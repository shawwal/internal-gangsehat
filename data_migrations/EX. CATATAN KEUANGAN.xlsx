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👥 Daftar Nama Pasien" sheetId="1" r:id="rId5"/>
    <sheet state="visible" name="⬇️ PEMASUKAN" sheetId="2" r:id="rId6"/>
    <sheet state="visible" name="⬆️ PENGELUARAN" sheetId="3" r:id="rId7"/>
    <sheet state="visible" name="📝 REKAP HARIAN" sheetId="4" r:id="rId8"/>
    <sheet state="visible" name="📈 ANALISIS BULANAN" sheetId="5" r:id="rId9"/>
    <sheet state="visible" name="🎯 ANALISIS CLOSING" sheetId="6" r:id="rId10"/>
    <sheet state="hidden" name="📈 Analisis Tahunan" sheetId="7" r:id="rId11"/>
    <sheet state="hidden" name="PFOTM" sheetId="8" r:id="rId12"/>
    <sheet state="hidden" name="FORM" sheetId="9" r:id="rId13"/>
    <sheet state="visible" name="⚙️ Pengaturan" sheetId="10" r:id="rId14"/>
  </sheets>
  <definedNames>
    <definedName hidden="1" localSheetId="2" name="_xlnm._FilterDatabase">'⬆️ PENGELUARAN'!$B$4:$M$145</definedName>
    <definedName hidden="1" localSheetId="1" name="Z_C356E9FC_63E8_4286_AF1A_367641D6CC4F_.wvu.FilterData">'⬇️ PEMASUKAN'!$B$4:$U$800</definedName>
    <definedName hidden="1" localSheetId="2" name="Z_340219A3_3393_4686_89D9_DE3506F9031C_.wvu.FilterData">'⬆️ PENGELUARAN'!$B$4:$M$145</definedName>
  </definedNames>
  <calcPr/>
  <customWorkbookViews>
    <customWorkbookView activeSheetId="0" maximized="1" windowHeight="0" windowWidth="0" guid="{C356E9FC-63E8-4286-AF1A-367641D6CC4F}" name="Group by Metode Bayar"/>
    <customWorkbookView activeSheetId="0" maximized="1" windowHeight="0" windowWidth="0" guid="{340219A3-3393-4686-89D9-DE3506F9031C}" name="Group by Kategori"/>
  </customWorkbookViews>
  <pivotCaches>
    <pivotCache cacheId="0" r:id="rId15"/>
    <pivotCache cacheId="1" r:id="rId16"/>
  </pivotCaches>
</workbook>
</file>

<file path=xl/sharedStrings.xml><?xml version="1.0" encoding="utf-8"?>
<sst xmlns="http://schemas.openxmlformats.org/spreadsheetml/2006/main" count="7883" uniqueCount="698">
  <si>
    <t>CATATAN PEMASUKAN LAYANAN FISIOTERAPI GANG SEHAT PONTIANAK
2026</t>
  </si>
  <si>
    <t>NO</t>
  </si>
  <si>
    <t>ADMIN</t>
  </si>
  <si>
    <t>TANGGAL</t>
  </si>
  <si>
    <t>TAHUN</t>
  </si>
  <si>
    <t>BULAN</t>
  </si>
  <si>
    <t>JAM</t>
  </si>
  <si>
    <t>FISIO</t>
  </si>
  <si>
    <t>NAMA PASIEN</t>
  </si>
  <si>
    <t>JENIS</t>
  </si>
  <si>
    <t>PEMBELIAN</t>
  </si>
  <si>
    <t>KATEGORI PEMBELIAN</t>
  </si>
  <si>
    <t>KETERANGAN BAYAR</t>
  </si>
  <si>
    <t>JUMLAH BAYAR</t>
  </si>
  <si>
    <t>DISKON</t>
  </si>
  <si>
    <t>HARGA</t>
  </si>
  <si>
    <t>KEKURANGAN</t>
  </si>
  <si>
    <t>METODE BAYAR</t>
  </si>
  <si>
    <t>PENJAMIN</t>
  </si>
  <si>
    <t>✅</t>
  </si>
  <si>
    <t>CATATAN</t>
  </si>
  <si>
    <t>SUCI</t>
  </si>
  <si>
    <t>11.00</t>
  </si>
  <si>
    <t>OKTA</t>
  </si>
  <si>
    <t>ANDIANA MARJAYANTI</t>
  </si>
  <si>
    <t>BARU</t>
  </si>
  <si>
    <t>K.TA - TERAPI AWAL</t>
  </si>
  <si>
    <t>LUNAS</t>
  </si>
  <si>
    <t>TRANSFER BCA</t>
  </si>
  <si>
    <t>12.00</t>
  </si>
  <si>
    <t>WAHYU</t>
  </si>
  <si>
    <t>SETIO BONO SAPUTRO</t>
  </si>
  <si>
    <t>K.ST - SESI TERAPI</t>
  </si>
  <si>
    <t>TUNAI</t>
  </si>
  <si>
    <t>-</t>
  </si>
  <si>
    <t>DANI</t>
  </si>
  <si>
    <t>IVONNY</t>
  </si>
  <si>
    <t>15.00</t>
  </si>
  <si>
    <t>YUBANADI</t>
  </si>
  <si>
    <t>K.PT - PAKET 1</t>
  </si>
  <si>
    <t>NOPI</t>
  </si>
  <si>
    <t>17.00</t>
  </si>
  <si>
    <t>PRITY</t>
  </si>
  <si>
    <t>SRI ESRI</t>
  </si>
  <si>
    <t>K.PT - PAKET 2</t>
  </si>
  <si>
    <t>EDC BCA</t>
  </si>
  <si>
    <t>16.00</t>
  </si>
  <si>
    <t>PUTERA ANUGRAH PRATAMA</t>
  </si>
  <si>
    <t>DESTY</t>
  </si>
  <si>
    <t>SUGIH WIRAMANTRI</t>
  </si>
  <si>
    <t>K. E. ANANTA UTAMI</t>
  </si>
  <si>
    <t>ORY</t>
  </si>
  <si>
    <t>HAMDAN IDRIS</t>
  </si>
  <si>
    <t>18.00</t>
  </si>
  <si>
    <t>KOLENIUS KOLAI</t>
  </si>
  <si>
    <t>EMMA</t>
  </si>
  <si>
    <t>20.00</t>
  </si>
  <si>
    <t>YA MUHAMMAD IKHSANDI</t>
  </si>
  <si>
    <t>AUL</t>
  </si>
  <si>
    <t>TAUFIK</t>
  </si>
  <si>
    <t>SHELSY MELANY</t>
  </si>
  <si>
    <t>21.00</t>
  </si>
  <si>
    <t>RANDA ARZA SAPUTRA</t>
  </si>
  <si>
    <t>PELUNASAN</t>
  </si>
  <si>
    <t>PUTRI ATIKAH</t>
  </si>
  <si>
    <t>RACHMAT RIYANTO</t>
  </si>
  <si>
    <t>WISNU WARDANA</t>
  </si>
  <si>
    <t>10.00</t>
  </si>
  <si>
    <t>HESTI</t>
  </si>
  <si>
    <t>ISNINDAR</t>
  </si>
  <si>
    <t>HENA</t>
  </si>
  <si>
    <t>ATHA HANIF PRADIPTA</t>
  </si>
  <si>
    <t>GALIH PITA LOKA</t>
  </si>
  <si>
    <t>V.TA - TERAPI AWAL VISIT + JARAK</t>
  </si>
  <si>
    <t>WACHYU WIDAYAT</t>
  </si>
  <si>
    <t>BELLY</t>
  </si>
  <si>
    <t>LANJUT</t>
  </si>
  <si>
    <t>WIWIK HARTATI</t>
  </si>
  <si>
    <t>CHOTIBUL UMAMI</t>
  </si>
  <si>
    <t>NIDYA RISWANDA TRISMA W</t>
  </si>
  <si>
    <t>MUHAMMAD FADHIL RAMADHANI</t>
  </si>
  <si>
    <t>ANDRI DOS SANTOS</t>
  </si>
  <si>
    <t>14.00</t>
  </si>
  <si>
    <t>ELISABETH SUTINI</t>
  </si>
  <si>
    <t>YASINTA</t>
  </si>
  <si>
    <t>DARMANSYAH</t>
  </si>
  <si>
    <t>DP</t>
  </si>
  <si>
    <t>ANANTA UTAMI</t>
  </si>
  <si>
    <t>JUVENTYA</t>
  </si>
  <si>
    <t>13.00</t>
  </si>
  <si>
    <t>TJONG LIE TJHIUN ALS SUKIMAN</t>
  </si>
  <si>
    <t>DWI RACHMAWAN</t>
  </si>
  <si>
    <t>V.ST - SESI VISIT</t>
  </si>
  <si>
    <t>HASNAWATI</t>
  </si>
  <si>
    <t>NOVI ASMARANI</t>
  </si>
  <si>
    <t>19.00</t>
  </si>
  <si>
    <t>CINTHYA TANJAYA</t>
  </si>
  <si>
    <t>FEDRICK JONATAN</t>
  </si>
  <si>
    <t>LIM OI KHIUN ALS RIANA</t>
  </si>
  <si>
    <t>YUNICA</t>
  </si>
  <si>
    <t>TAN TJHUN TIE ALS ROBERT</t>
  </si>
  <si>
    <t>09.00</t>
  </si>
  <si>
    <t>BENI SETIYANTO</t>
  </si>
  <si>
    <t>EDI LAZUARDI</t>
  </si>
  <si>
    <t>LIMINA DJUITA LIMAS</t>
  </si>
  <si>
    <t>MUSNAINI</t>
  </si>
  <si>
    <t>MUHAMMAD YAKINI AKBAR</t>
  </si>
  <si>
    <t>TRIATIE CHALIDYAH</t>
  </si>
  <si>
    <t>SHARON LIE</t>
  </si>
  <si>
    <t>HJ. RUGAYAH</t>
  </si>
  <si>
    <t>HERLINA AGUSTININGSIH</t>
  </si>
  <si>
    <t>MARTHIN SHARON NAPITUPULU</t>
  </si>
  <si>
    <t>NOPEARIANI, AMD.KEB</t>
  </si>
  <si>
    <t>TRANSFER BANK KALBAR</t>
  </si>
  <si>
    <t>NOPEARIANI</t>
  </si>
  <si>
    <t>SUSANTI</t>
  </si>
  <si>
    <t>HARDJONO</t>
  </si>
  <si>
    <t>INDRY WAHYUNINGSIH</t>
  </si>
  <si>
    <t>LAINNYA</t>
  </si>
  <si>
    <t xml:space="preserve">PUTRI ATIKAH </t>
  </si>
  <si>
    <t>PUTRI ATIKAH LELLYANA</t>
  </si>
  <si>
    <t>CHRIS MULIO JOHANES</t>
  </si>
  <si>
    <t>GALIH HANDAYANI</t>
  </si>
  <si>
    <t>M EKA PUTRA YUANDA</t>
  </si>
  <si>
    <t>S.TR - ICE BAG</t>
  </si>
  <si>
    <t>CINDY MONALISA ANDDIE</t>
  </si>
  <si>
    <t>TJHOA KHA TJE</t>
  </si>
  <si>
    <t>EFENDI WAHYU</t>
  </si>
  <si>
    <t>V.TA - TERAPI AWAL VISIT</t>
  </si>
  <si>
    <t>RICKY ISKANDAR</t>
  </si>
  <si>
    <t>DAMHUDI</t>
  </si>
  <si>
    <t>ICHSAN KAMIL</t>
  </si>
  <si>
    <t>CICILAN</t>
  </si>
  <si>
    <t>IMMANUEL ABEL BELARE LIRUNG</t>
  </si>
  <si>
    <t>MARTIN</t>
  </si>
  <si>
    <t>SAMIJO</t>
  </si>
  <si>
    <t>SALLY ISKANDAR TAN</t>
  </si>
  <si>
    <t xml:space="preserve">FEDRICK JONATAN </t>
  </si>
  <si>
    <t>RENDI</t>
  </si>
  <si>
    <t>M FAIZ AL BARA</t>
  </si>
  <si>
    <t>BAGAS BIMANTORO HARYONO</t>
  </si>
  <si>
    <r>
      <rPr>
        <color rgb="FF000000"/>
        <sz val="10.0"/>
      </rPr>
      <t xml:space="preserve">DRS JAROT SUTRISNO </t>
    </r>
    <r>
      <rPr>
        <color rgb="FF1155CC"/>
        <sz val="10.0"/>
        <u/>
      </rPr>
      <t>M.SI</t>
    </r>
  </si>
  <si>
    <t>AULIA SUCI NURFADILA</t>
  </si>
  <si>
    <t>SAMUEL LAURENS</t>
  </si>
  <si>
    <t>NG TJOEI FONG ALS SILVIA</t>
  </si>
  <si>
    <t>RUDI HARTONO</t>
  </si>
  <si>
    <t>SUWINDA KUSRINI</t>
  </si>
  <si>
    <t>WILDAN ANKY PUTRA</t>
  </si>
  <si>
    <t>EDO</t>
  </si>
  <si>
    <t>DHAIFULLAH IRFAN HAFIZH</t>
  </si>
  <si>
    <t>SYARIFAH FADILLAH</t>
  </si>
  <si>
    <t>KHANZA PUTRI HUMAIRAH</t>
  </si>
  <si>
    <t>FETY NOVIANTY</t>
  </si>
  <si>
    <t>FITA</t>
  </si>
  <si>
    <t>ELLEN ARIFIN</t>
  </si>
  <si>
    <t>FAHRIZAL RAMADHAN</t>
  </si>
  <si>
    <t>WIDODO 7512</t>
  </si>
  <si>
    <t>SARWINTO</t>
  </si>
  <si>
    <t>JEMMY</t>
  </si>
  <si>
    <t>NIKEN ATIKA PUSPA NINGRUM</t>
  </si>
  <si>
    <t>M FAHRIZA RAHMAN</t>
  </si>
  <si>
    <t>FERA HENDRY</t>
  </si>
  <si>
    <t>RATNA DEWI</t>
  </si>
  <si>
    <t>SYARIF ZULFAN ADHA</t>
  </si>
  <si>
    <t>NADYA SAFIRA</t>
  </si>
  <si>
    <t>CHALID OBED</t>
  </si>
  <si>
    <t>BINTARI INDAH SAPUTRI</t>
  </si>
  <si>
    <t>MIRNA APRIANTY</t>
  </si>
  <si>
    <t>JONG SULI</t>
  </si>
  <si>
    <t>WARSINO</t>
  </si>
  <si>
    <t>ANUSAPATI</t>
  </si>
  <si>
    <t>MUCHLIS</t>
  </si>
  <si>
    <t>SUDIYANTI HO</t>
  </si>
  <si>
    <t>YANTI</t>
  </si>
  <si>
    <t>RIDHO YUDI PRABAWA</t>
  </si>
  <si>
    <t>HENDRAWATI SAM</t>
  </si>
  <si>
    <t xml:space="preserve">SUGIH WIRAMANTRI </t>
  </si>
  <si>
    <t>DESI MARGASIA</t>
  </si>
  <si>
    <t>V.PT - PAKET VISIT + JARAK</t>
  </si>
  <si>
    <t>SALIMAN</t>
  </si>
  <si>
    <t>NICHOLAS A</t>
  </si>
  <si>
    <t>SURYANA</t>
  </si>
  <si>
    <t>NOVI SEPTRIANI</t>
  </si>
  <si>
    <t>SUKAWATI EFFENDY</t>
  </si>
  <si>
    <t>HENDI</t>
  </si>
  <si>
    <t>FEBE ANGELIA</t>
  </si>
  <si>
    <t>CANDY WIBOWO</t>
  </si>
  <si>
    <t>JON ALI</t>
  </si>
  <si>
    <t>MAULIZA DESIANA</t>
  </si>
  <si>
    <t xml:space="preserve">YAZID MISHBAH KHOIRI </t>
  </si>
  <si>
    <t>MUHAMMAD VIKI SYURIANSAH</t>
  </si>
  <si>
    <t>HENDRA GUNAWAN 8801</t>
  </si>
  <si>
    <t>HENDRA GUNAWAN</t>
  </si>
  <si>
    <t>DELA MASTIKA</t>
  </si>
  <si>
    <t>YANTO</t>
  </si>
  <si>
    <t>WINCENT CHANDRA</t>
  </si>
  <si>
    <t>TJOE HOEI THJENG</t>
  </si>
  <si>
    <t>V.PT - PAKET VISIT</t>
  </si>
  <si>
    <t>NUR APRIYANI</t>
  </si>
  <si>
    <t>ALVIN DIYANDRA</t>
  </si>
  <si>
    <t xml:space="preserve">EVI </t>
  </si>
  <si>
    <t>EVI</t>
  </si>
  <si>
    <t>ACHMAD RADAMA RINARDI</t>
  </si>
  <si>
    <t>YANTI TANTRA</t>
  </si>
  <si>
    <t>VIONA PRICILA</t>
  </si>
  <si>
    <t>ALIF BAINAL KHAFI</t>
  </si>
  <si>
    <t>EFFENDY</t>
  </si>
  <si>
    <t>ASNIWATI</t>
  </si>
  <si>
    <t>FATHUR RAHMAN</t>
  </si>
  <si>
    <t>DELLY MARINA</t>
  </si>
  <si>
    <t>YAYUK</t>
  </si>
  <si>
    <t>FITRA ALHANI</t>
  </si>
  <si>
    <t>NADYA MUTMAINAH</t>
  </si>
  <si>
    <t>LIM CUN HUE</t>
  </si>
  <si>
    <t>NAJLA NURHALIZA</t>
  </si>
  <si>
    <t>FELIKS ARMANTO</t>
  </si>
  <si>
    <t>ZULIANA</t>
  </si>
  <si>
    <t>DRS. H. SARDI. S</t>
  </si>
  <si>
    <t>SUWARNI</t>
  </si>
  <si>
    <t>M SYAFIQ</t>
  </si>
  <si>
    <t>SHAFA NUR INTAN FAJRIAH</t>
  </si>
  <si>
    <t>ENNY KUSUMAWATI</t>
  </si>
  <si>
    <t>PERMATA DEWI ANDINI</t>
  </si>
  <si>
    <t>JOKO</t>
  </si>
  <si>
    <t>DAHLIA</t>
  </si>
  <si>
    <t>MUHAMMAD REZKY NUGRAHA</t>
  </si>
  <si>
    <t>MAWAR AURELYSCA IRAWAN</t>
  </si>
  <si>
    <t>ANDIKA PRATAMA PUTRA</t>
  </si>
  <si>
    <t>HAMBALI</t>
  </si>
  <si>
    <t>ARIF KURNIAWAN</t>
  </si>
  <si>
    <t>HENNY</t>
  </si>
  <si>
    <t>ASNAH</t>
  </si>
  <si>
    <t>V.ST - SESI VISIT + JARAK</t>
  </si>
  <si>
    <t>RIZQY FACHRIA</t>
  </si>
  <si>
    <t xml:space="preserve">MUHAMMAD AFZANI NUR </t>
  </si>
  <si>
    <t>WIONA SILASHINTA WAHYUDI</t>
  </si>
  <si>
    <t>GUSTI AZLAN KHALID AYYUBI</t>
  </si>
  <si>
    <t>FRENKY FERIYANTO</t>
  </si>
  <si>
    <t>ANGELIA IVANA</t>
  </si>
  <si>
    <t>SUCI TRIHANTINI</t>
  </si>
  <si>
    <t>AZKA RAFIF ARYA</t>
  </si>
  <si>
    <t xml:space="preserve">IRIINA </t>
  </si>
  <si>
    <t>JUN FONG</t>
  </si>
  <si>
    <t>YAYUK KURNIAWATI</t>
  </si>
  <si>
    <t>JOKO WINARDI</t>
  </si>
  <si>
    <t>ARIEF WICAKSONO NUGROHO</t>
  </si>
  <si>
    <t>AKIAN</t>
  </si>
  <si>
    <t>SUMAYAH</t>
  </si>
  <si>
    <t>SUMIATI</t>
  </si>
  <si>
    <t>FERRY PANGKE</t>
  </si>
  <si>
    <t>ARIS BUDIMAN</t>
  </si>
  <si>
    <t>IRAWATI</t>
  </si>
  <si>
    <t>MUHAMMAD ICHSAN AZEVI</t>
  </si>
  <si>
    <t>HENDRA GUAWAN</t>
  </si>
  <si>
    <t>ASHRAF</t>
  </si>
  <si>
    <t>DIANA</t>
  </si>
  <si>
    <t>TYARA HARDYANTI SUHARNO</t>
  </si>
  <si>
    <t>HALIJAH</t>
  </si>
  <si>
    <t>RADIT</t>
  </si>
  <si>
    <t>RAMOTI PUTRA MANALU</t>
  </si>
  <si>
    <t>EKA KURNIAWATI</t>
  </si>
  <si>
    <t>ANDRI WIJAYA KUSUMA</t>
  </si>
  <si>
    <t>LEYLI NURLITA</t>
  </si>
  <si>
    <t>SUKAMTO</t>
  </si>
  <si>
    <t xml:space="preserve">JOESDI NGATIDJAN </t>
  </si>
  <si>
    <t>IQBAL MAULANA</t>
  </si>
  <si>
    <t>RAHMAD</t>
  </si>
  <si>
    <t>FLORENSIUS LAYLIM</t>
  </si>
  <si>
    <t>EKA LESTARI</t>
  </si>
  <si>
    <t>ALBERT ALRILLIAN TALINO</t>
  </si>
  <si>
    <t>ARIF PARABI</t>
  </si>
  <si>
    <t>RENDI ARDIAN</t>
  </si>
  <si>
    <t>YULITA RIANA</t>
  </si>
  <si>
    <t>RAYYANDRA GHUFRAN MARIOSHA</t>
  </si>
  <si>
    <t>SANDY KURNIA</t>
  </si>
  <si>
    <t>AZARYA JADAYN ARYO</t>
  </si>
  <si>
    <t>DIRGA WIJAYA JUMAIL</t>
  </si>
  <si>
    <t>NG TAI TJU</t>
  </si>
  <si>
    <t>SUNNY SOON</t>
  </si>
  <si>
    <t>SURIATI HALIM</t>
  </si>
  <si>
    <t>NELLY FITRIANA</t>
  </si>
  <si>
    <t>RUKIAH AGUSTIAWATI</t>
  </si>
  <si>
    <t>SYARIF RAIHAN RAFISKI</t>
  </si>
  <si>
    <t>TIKA MEIRAWATI</t>
  </si>
  <si>
    <t>RAHMAT REZA FAHLEVI</t>
  </si>
  <si>
    <t>IWAN HERIYANTO</t>
  </si>
  <si>
    <t>ISTIKA INDAH NINGSIH</t>
  </si>
  <si>
    <t>EVA DESI S PARDEDE</t>
  </si>
  <si>
    <t>RIZKY PUSPASARI</t>
  </si>
  <si>
    <t>VERONIMUS VALENT FRANSISKUS</t>
  </si>
  <si>
    <t>ARY HIDAYATUL FAJRI</t>
  </si>
  <si>
    <t>PEMAIN BAW</t>
  </si>
  <si>
    <t>MUHAMMAD ABDULLAH AL KAYIS</t>
  </si>
  <si>
    <t>WEHRY</t>
  </si>
  <si>
    <t>NOPIANTO SAPTA BONG</t>
  </si>
  <si>
    <t>HEYLIE ARIELLE ANG</t>
  </si>
  <si>
    <t>HENNY HO</t>
  </si>
  <si>
    <t>ANAK CE HENNY</t>
  </si>
  <si>
    <t>IWAN HERYANTO</t>
  </si>
  <si>
    <t>JULIANTO 9007</t>
  </si>
  <si>
    <t>JULIANTO</t>
  </si>
  <si>
    <t>BEASISWA</t>
  </si>
  <si>
    <t>REZA ILHAM FAHRINO</t>
  </si>
  <si>
    <t>KENNETH CARMEN</t>
  </si>
  <si>
    <t xml:space="preserve">MICKEL JERRI KURNIAWAN RAY </t>
  </si>
  <si>
    <t>MILINA</t>
  </si>
  <si>
    <t>ENRICO IVAN CHUA</t>
  </si>
  <si>
    <t>JUNIANSYAH</t>
  </si>
  <si>
    <t>S.TR - BANDAGE 7,5 CM</t>
  </si>
  <si>
    <t>S.TR - KINESIO TAPE</t>
  </si>
  <si>
    <t>SYARIFAH AINI</t>
  </si>
  <si>
    <t>TUKIJAN</t>
  </si>
  <si>
    <t>NAFLA RAIHANA QONITA HARDYAN</t>
  </si>
  <si>
    <t>MESSY</t>
  </si>
  <si>
    <t>NCHO</t>
  </si>
  <si>
    <t>LUSIANA MAENAH</t>
  </si>
  <si>
    <t>LIA MARISA</t>
  </si>
  <si>
    <t>GIGIH PURBO P</t>
  </si>
  <si>
    <t>LILY</t>
  </si>
  <si>
    <t>RAY DEDDY AZMI</t>
  </si>
  <si>
    <t>UTIN RAHMAH</t>
  </si>
  <si>
    <t>SULISTIYOWATI</t>
  </si>
  <si>
    <t>VERONIKA</t>
  </si>
  <si>
    <t>TITIN SUBAKTI S.SOS</t>
  </si>
  <si>
    <t>DRS BAGOES SOENHARLAN</t>
  </si>
  <si>
    <t>MERRY 7710</t>
  </si>
  <si>
    <t>HERY PURYANTO</t>
  </si>
  <si>
    <t>ANIS MUTIA</t>
  </si>
  <si>
    <t>RIZKY RESTU ANUGRAH PALURENG</t>
  </si>
  <si>
    <t>BERMAN PAULUS</t>
  </si>
  <si>
    <t>ELWIN LAVEDA</t>
  </si>
  <si>
    <t>TONNY MARZUKI</t>
  </si>
  <si>
    <t>DIVO</t>
  </si>
  <si>
    <t>M FATIH RIZKI</t>
  </si>
  <si>
    <t>KARTINI</t>
  </si>
  <si>
    <t>ELSA ELFIRA</t>
  </si>
  <si>
    <t>DHIASPUTRA BRILIANDRI</t>
  </si>
  <si>
    <t>RAINA AINUN NOOR</t>
  </si>
  <si>
    <t>WANTI SETIANINGSIH</t>
  </si>
  <si>
    <t>SYF NASYA SYABA</t>
  </si>
  <si>
    <t>REVAN FELIX GOUW</t>
  </si>
  <si>
    <t>NAJWA NUR AZWINA</t>
  </si>
  <si>
    <t>MUHAMMAD NUR</t>
  </si>
  <si>
    <t>DIARMI</t>
  </si>
  <si>
    <t>ARDY CAHYA FITRIYANTO</t>
  </si>
  <si>
    <t>PUTRI</t>
  </si>
  <si>
    <t>REVAEL ENGGANG ALHAQ</t>
  </si>
  <si>
    <t>INZALIA</t>
  </si>
  <si>
    <t>SINDY MELANI</t>
  </si>
  <si>
    <t>MERRY</t>
  </si>
  <si>
    <t>ROSDIANA</t>
  </si>
  <si>
    <t>RIZQY PERDANA</t>
  </si>
  <si>
    <t>RACHMAT HIDAYAT</t>
  </si>
  <si>
    <t>VERONICA</t>
  </si>
  <si>
    <t xml:space="preserve">IBNU SETYA HARYANA </t>
  </si>
  <si>
    <t>MAYONG ANDREAS ACIN</t>
  </si>
  <si>
    <t>M ADY SOEPIANSYAH</t>
  </si>
  <si>
    <t>UMAR</t>
  </si>
  <si>
    <t>VITA RESTI FARUQI</t>
  </si>
  <si>
    <t>HANDRI</t>
  </si>
  <si>
    <t>SHELIN XAVIERA SALAM</t>
  </si>
  <si>
    <t>SYF AFFIA HANDA</t>
  </si>
  <si>
    <t>BHAKTI HARIMURTI</t>
  </si>
  <si>
    <t>MARSHERLY LOVESENZIA</t>
  </si>
  <si>
    <t>MARSIANUS DWI W. DONATUS</t>
  </si>
  <si>
    <t>BEDJO RAHARDJO</t>
  </si>
  <si>
    <t>LENNY MARBUN</t>
  </si>
  <si>
    <t>SUHARDI</t>
  </si>
  <si>
    <t>FENRIADI</t>
  </si>
  <si>
    <t>K.ST - SESI TERAPI NEW</t>
  </si>
  <si>
    <t>RIZQIROIHANMUSTOFA</t>
  </si>
  <si>
    <t>RIKA ANGGRAINI</t>
  </si>
  <si>
    <t>YOHANES PELE KURNIAWAN</t>
  </si>
  <si>
    <t>ADI RAHMANTO</t>
  </si>
  <si>
    <t>EKA DEWI PRATIWI</t>
  </si>
  <si>
    <t>AIRLANGGA RADITYA SYAFIQ</t>
  </si>
  <si>
    <t>ALBERT RENSEN LIUNARDY</t>
  </si>
  <si>
    <t>NURILHAM IRSYAD</t>
  </si>
  <si>
    <t>GILANG</t>
  </si>
  <si>
    <t>EDDY SANTOSO</t>
  </si>
  <si>
    <t>HARTATI</t>
  </si>
  <si>
    <t>RINA TJENDERA</t>
  </si>
  <si>
    <t>ALEXANDER PUTRA DARMADI</t>
  </si>
  <si>
    <t>TARMANTO</t>
  </si>
  <si>
    <t>RIKA RIYANTI</t>
  </si>
  <si>
    <t xml:space="preserve">BAYU YOGA </t>
  </si>
  <si>
    <t>BAMBANG DWIPOJONO</t>
  </si>
  <si>
    <t>MEIZARANI HELJA</t>
  </si>
  <si>
    <t>SARIJEM</t>
  </si>
  <si>
    <t>NADIRA PARAMITA</t>
  </si>
  <si>
    <t>NABILA SEPTRIA NINGRUM</t>
  </si>
  <si>
    <t>KAUSAR</t>
  </si>
  <si>
    <t>MARSALINA NENE</t>
  </si>
  <si>
    <t>WIDI TRIYANTO</t>
  </si>
  <si>
    <t>NG LIP TJIU</t>
  </si>
  <si>
    <t>K.PT - PAKET SILVER</t>
  </si>
  <si>
    <t>IRENE ROYMOND</t>
  </si>
  <si>
    <t>K.PT - PAKET GOLD</t>
  </si>
  <si>
    <t>HENGKY TANUWIJAYA</t>
  </si>
  <si>
    <t>ALPAWI</t>
  </si>
  <si>
    <t>SITI ROHANI</t>
  </si>
  <si>
    <t>WELLY TRIPUTRA</t>
  </si>
  <si>
    <t>FEBRIANTO LIM</t>
  </si>
  <si>
    <t>ELMON UTOMO</t>
  </si>
  <si>
    <t>SIGIT HARTONO</t>
  </si>
  <si>
    <t xml:space="preserve">HARISYAH BANDIANTO </t>
  </si>
  <si>
    <t>LIM GEK KHIANG</t>
  </si>
  <si>
    <t xml:space="preserve">OKTAVIANA </t>
  </si>
  <si>
    <t>ASRIANI</t>
  </si>
  <si>
    <t>ADZAN AMMAR WANDI</t>
  </si>
  <si>
    <t>RIA DWI ANJANI</t>
  </si>
  <si>
    <t>AHMAD NAUFAL WIRDIYAN</t>
  </si>
  <si>
    <t>PAK FITRA</t>
  </si>
  <si>
    <t xml:space="preserve">YANUARTI </t>
  </si>
  <si>
    <t>JONO</t>
  </si>
  <si>
    <t>SIWA PRANATA</t>
  </si>
  <si>
    <t>VINA</t>
  </si>
  <si>
    <t>ACHMAD MAULANA</t>
  </si>
  <si>
    <t>VIVIANI</t>
  </si>
  <si>
    <t xml:space="preserve">DHIPA RADITYA </t>
  </si>
  <si>
    <t>DHIPA RADITYA</t>
  </si>
  <si>
    <t>RAJIDIN</t>
  </si>
  <si>
    <t>IR DARLIYUS</t>
  </si>
  <si>
    <t>OBED ROBBANI</t>
  </si>
  <si>
    <t>DIAN PRAMANA RAHAYU</t>
  </si>
  <si>
    <t>TRI SETIAWAN LUSLIM</t>
  </si>
  <si>
    <t>SUHADA</t>
  </si>
  <si>
    <t>SUMIATI 7409</t>
  </si>
  <si>
    <t>OSCAR ASTRAYANANDA</t>
  </si>
  <si>
    <t>YOLA PRAVIKA</t>
  </si>
  <si>
    <t>TITA ROSITA</t>
  </si>
  <si>
    <t>PANGGI</t>
  </si>
  <si>
    <t>RAMNAH</t>
  </si>
  <si>
    <t>M.ZAINAL</t>
  </si>
  <si>
    <t>K.PT - PAKET PLATINUM</t>
  </si>
  <si>
    <t>BAYAR UNTUK SENN</t>
  </si>
  <si>
    <t>SEKAR KINANTI HERPRADANTI</t>
  </si>
  <si>
    <t>BAYAR UNTUK SENIN</t>
  </si>
  <si>
    <t>NURSILA</t>
  </si>
  <si>
    <t>TAN BE LEI</t>
  </si>
  <si>
    <t xml:space="preserve">RIO RAMANDA </t>
  </si>
  <si>
    <t>RIO RAMANDA</t>
  </si>
  <si>
    <t>ANDY PANJAYA</t>
  </si>
  <si>
    <t>NORSIANTY</t>
  </si>
  <si>
    <t>ABANG DENI MAULANA</t>
  </si>
  <si>
    <t xml:space="preserve">EMI SETIAWATI </t>
  </si>
  <si>
    <t>ANIK LAILATUL NUTTAFIA</t>
  </si>
  <si>
    <t>MELISA</t>
  </si>
  <si>
    <t>GIOVANNI NASTASIO PARURERA</t>
  </si>
  <si>
    <t>NORSYANTI</t>
  </si>
  <si>
    <t>JUNIARDI</t>
  </si>
  <si>
    <t>VALENTINUS WONGSO</t>
  </si>
  <si>
    <t>SILVIA</t>
  </si>
  <si>
    <t>ANDRIE HANDOKO</t>
  </si>
  <si>
    <t>VEREN HALIM</t>
  </si>
  <si>
    <t>SUMIATI 5405</t>
  </si>
  <si>
    <t>WAHONO</t>
  </si>
  <si>
    <t>BRILLIAN NINDY SEPTIA</t>
  </si>
  <si>
    <t>M. PATRA MARMARA</t>
  </si>
  <si>
    <t>YUMANDA</t>
  </si>
  <si>
    <t>PEMBAYRAN SETELAH HARI SENIN</t>
  </si>
  <si>
    <t>NICHOLAS NELSON NATHANIEL</t>
  </si>
  <si>
    <t>RUSMA APRIANSYAH</t>
  </si>
  <si>
    <t>PATMAWATI</t>
  </si>
  <si>
    <t>GEOSEPPE DE ANDREA MALDEO</t>
  </si>
  <si>
    <t>GILANGEOSEPPE DE ANDREA MALDEO</t>
  </si>
  <si>
    <t>AZIZ HIDAYAT</t>
  </si>
  <si>
    <t>STEFANO</t>
  </si>
  <si>
    <t>DISC DARI MEMBER CARD</t>
  </si>
  <si>
    <t>ATIKA MUFLIHA</t>
  </si>
  <si>
    <t>ICHSAN CHANDRA</t>
  </si>
  <si>
    <t>MUHAMMAD RIDHO ANSYORI</t>
  </si>
  <si>
    <t>ELFIN ANUGERAH</t>
  </si>
  <si>
    <t>ILHAM AZIZ</t>
  </si>
  <si>
    <t>UCI ASMARANI</t>
  </si>
  <si>
    <t>SISA 6X PERTEMUAN</t>
  </si>
  <si>
    <t>WILIANA</t>
  </si>
  <si>
    <t>BOY</t>
  </si>
  <si>
    <t>SYARIFAH NASYA SYABA</t>
  </si>
  <si>
    <t xml:space="preserve">ZAENAL HASANUDDIN </t>
  </si>
  <si>
    <t>TRI WIBOWO</t>
  </si>
  <si>
    <t>DEWI MUSTIKA</t>
  </si>
  <si>
    <t>ANDREAN CAHYONO</t>
  </si>
  <si>
    <t>HANNY WULANDARI</t>
  </si>
  <si>
    <t>TJHOEA DJAP KAUW</t>
  </si>
  <si>
    <t>NICHOLAS A PRASETYO</t>
  </si>
  <si>
    <t>ANGGER CHESTA HIDAYAT</t>
  </si>
  <si>
    <t>DIDI WAHYUDI</t>
  </si>
  <si>
    <t>ALGI FAHRI</t>
  </si>
  <si>
    <t>ANA 1978</t>
  </si>
  <si>
    <t>ERICK TRIENARDO</t>
  </si>
  <si>
    <t>ERICKERICK TRIENARDO</t>
  </si>
  <si>
    <t>HAMZAH</t>
  </si>
  <si>
    <t>SYARIFAH AFFIA HANDA</t>
  </si>
  <si>
    <t>REZKY AKBAR</t>
  </si>
  <si>
    <t xml:space="preserve">SELA AMANDA </t>
  </si>
  <si>
    <t>TITIN AGUSTINA</t>
  </si>
  <si>
    <t>JAVON</t>
  </si>
  <si>
    <t>SELVIA</t>
  </si>
  <si>
    <t xml:space="preserve">RIA ARYUNI </t>
  </si>
  <si>
    <t>RIA ARYUNI</t>
  </si>
  <si>
    <t>H MAHDI</t>
  </si>
  <si>
    <t xml:space="preserve">ANDREAS RIAN PANAMUAN </t>
  </si>
  <si>
    <t>TJHOEA THENG KAK</t>
  </si>
  <si>
    <t>JOHANNES</t>
  </si>
  <si>
    <t>RAHDIAN EDISON</t>
  </si>
  <si>
    <t>CENDY VIBRIAN</t>
  </si>
  <si>
    <t>DHEA</t>
  </si>
  <si>
    <t>TJONG SAU CON</t>
  </si>
  <si>
    <t>ALIONG</t>
  </si>
  <si>
    <t>MUHAMAD TABSYIR</t>
  </si>
  <si>
    <t>DWI MARUTO</t>
  </si>
  <si>
    <t>ISRI ULFAINI</t>
  </si>
  <si>
    <t>AYDA RIANI JOHAR</t>
  </si>
  <si>
    <t xml:space="preserve">ERWIN, ST </t>
  </si>
  <si>
    <t>WARDOYO 8804</t>
  </si>
  <si>
    <t>WARDOYO</t>
  </si>
  <si>
    <t>JOKO AKBAR</t>
  </si>
  <si>
    <t>SANTY RIA TJHIE</t>
  </si>
  <si>
    <t>DARMADI</t>
  </si>
  <si>
    <t>ISFANDIAR, ST . MT</t>
  </si>
  <si>
    <t>FERNANDO NG</t>
  </si>
  <si>
    <t>JULIANTI JONARTO</t>
  </si>
  <si>
    <t>VIVI YULIANA</t>
  </si>
  <si>
    <t>EDI SUDIANDI</t>
  </si>
  <si>
    <t>LIVI</t>
  </si>
  <si>
    <t>FAHRI MAULIDA</t>
  </si>
  <si>
    <t>FEODORA</t>
  </si>
  <si>
    <t>RYAN PRAMIKA</t>
  </si>
  <si>
    <t>ENDANG MULYANI</t>
  </si>
  <si>
    <t xml:space="preserve">ABDULLAH SYAKUR </t>
  </si>
  <si>
    <t>LAURUS EDISON</t>
  </si>
  <si>
    <t>KRISTINA HERLINA</t>
  </si>
  <si>
    <t>RITA RUMIATI</t>
  </si>
  <si>
    <t>INDAHWATI</t>
  </si>
  <si>
    <t>RESTI DEWANTARI</t>
  </si>
  <si>
    <t>H.W. MANSOR ANDI MULIA</t>
  </si>
  <si>
    <t>MURTINI</t>
  </si>
  <si>
    <t>ANITA</t>
  </si>
  <si>
    <t>LIAU NYUK HIONG</t>
  </si>
  <si>
    <t>LAETITIA LAURA</t>
  </si>
  <si>
    <t>SITI HADIJAH 5806</t>
  </si>
  <si>
    <t>SRI ROEHANI</t>
  </si>
  <si>
    <t>ARBIAN OCTORA</t>
  </si>
  <si>
    <t>ALI</t>
  </si>
  <si>
    <t>DELLY MARIANA</t>
  </si>
  <si>
    <t>WENSESLAUS PALAGA</t>
  </si>
  <si>
    <t>PUTRI RAHMA SARI</t>
  </si>
  <si>
    <t>NAIMAH</t>
  </si>
  <si>
    <t>ALICIA</t>
  </si>
  <si>
    <t>CATATAN PENGELUARAN FISIOTERAPI GANG SEHAT PONTIANAK
2026</t>
  </si>
  <si>
    <t>Z</t>
  </si>
  <si>
    <t>NOMINAL</t>
  </si>
  <si>
    <t>JENIS PENGELUARAN</t>
  </si>
  <si>
    <t>KETERANGAN</t>
  </si>
  <si>
    <t>KATEGORI</t>
  </si>
  <si>
    <t>Column 12</t>
  </si>
  <si>
    <t>BELI MAP</t>
  </si>
  <si>
    <t>BEBAN PELAYANAN FGS</t>
  </si>
  <si>
    <t>TIA</t>
  </si>
  <si>
    <t>TUKAR TUNAI</t>
  </si>
  <si>
    <t>BELI ES BATU</t>
  </si>
  <si>
    <t>BYR SMPAH</t>
  </si>
  <si>
    <t>BELI AIR BLUE, DOUBLE TIP, MAP DAN PENGHARUM AC</t>
  </si>
  <si>
    <t>ES BATU</t>
  </si>
  <si>
    <t xml:space="preserve">BYR SMPH </t>
  </si>
  <si>
    <t>SUCI &amp; HESTI</t>
  </si>
  <si>
    <t>TT TIA</t>
  </si>
  <si>
    <t>TT PASIEN (NOPE)</t>
  </si>
  <si>
    <t>TT ORY</t>
  </si>
  <si>
    <t>BELI NOTA DAN PEWANGI</t>
  </si>
  <si>
    <t>HENA TT</t>
  </si>
  <si>
    <t>2026</t>
  </si>
  <si>
    <t>01 Jan</t>
  </si>
  <si>
    <t>TIA TT</t>
  </si>
  <si>
    <t>KONSUMSI RETURN TO SPORT PIPO</t>
  </si>
  <si>
    <t>HENA AMBIL UANG JARAK TA CE FEBE</t>
  </si>
  <si>
    <t>JARAK VISIT</t>
  </si>
  <si>
    <t>DESTY AMBIL JARAK KAK NOVI 2X SESI</t>
  </si>
  <si>
    <t>JARAK HENA (AN. ASNAH)</t>
  </si>
  <si>
    <t>BEBAN GAJI</t>
  </si>
  <si>
    <t>BELI LAMPU</t>
  </si>
  <si>
    <t>KOPI PELANGI DANI</t>
  </si>
  <si>
    <t>UPAH TEBAS RUMBUT</t>
  </si>
  <si>
    <t>TT TIA BELI MAKAN TUKANG</t>
  </si>
  <si>
    <t>REFUND UANG YAZID</t>
  </si>
  <si>
    <t>BELI KRESEK</t>
  </si>
  <si>
    <t>TT NOPI</t>
  </si>
  <si>
    <t>TT HESTI</t>
  </si>
  <si>
    <t>TT HEN</t>
  </si>
  <si>
    <t>DESTY AMBIL JARAK KAK NOVI SISANYA</t>
  </si>
  <si>
    <t>PAKET BASEP</t>
  </si>
  <si>
    <t>BAYAR SEDOT WC GRIYA ANAK</t>
  </si>
  <si>
    <t>BETULKAN LAMPU DPN ASESSMENT</t>
  </si>
  <si>
    <t xml:space="preserve">HENA DAN OKTA </t>
  </si>
  <si>
    <t>REFUND UANG RATNAWITA KELEBIHAN BAYAR</t>
  </si>
  <si>
    <t>SUCI TT</t>
  </si>
  <si>
    <t>TT SUCI</t>
  </si>
  <si>
    <t>PRITY AMBIL JARAK</t>
  </si>
  <si>
    <t>BYR TAS ALONG</t>
  </si>
  <si>
    <t>WAHYU BELANJA FGS</t>
  </si>
  <si>
    <t>HESTI TT</t>
  </si>
  <si>
    <t>BELI FOR3</t>
  </si>
  <si>
    <t>TT BANG EDO</t>
  </si>
  <si>
    <t>TT HENA</t>
  </si>
  <si>
    <t>TT WAHYU</t>
  </si>
  <si>
    <t>REFUND PASIEN VISIT</t>
  </si>
  <si>
    <t>REFUND</t>
  </si>
  <si>
    <t xml:space="preserve">BELI MATERAI </t>
  </si>
  <si>
    <t>TT NOPE</t>
  </si>
  <si>
    <t>ADA DI DUIT TGL 1</t>
  </si>
  <si>
    <t>DESTY AMBIL JARAK</t>
  </si>
  <si>
    <t>BETULKAN LAMPU</t>
  </si>
  <si>
    <t>BG EDO</t>
  </si>
  <si>
    <t>KK HESTI TT</t>
  </si>
  <si>
    <t>AMBIL BANNER</t>
  </si>
  <si>
    <t>UANG LEBIH PASIEN AN TAUFIK</t>
  </si>
  <si>
    <t>BAYAR MAXIM</t>
  </si>
  <si>
    <t>AMBIL BENNER</t>
  </si>
  <si>
    <t>BELI LAKBAN</t>
  </si>
  <si>
    <t>KAK TIA</t>
  </si>
  <si>
    <t>KAK SUCI</t>
  </si>
  <si>
    <t>PUTRI AMBIL JARAK</t>
  </si>
  <si>
    <t>BELI HANDSCOON</t>
  </si>
  <si>
    <t xml:space="preserve">BANG EDO </t>
  </si>
  <si>
    <t xml:space="preserve">KAK HENA </t>
  </si>
  <si>
    <t>HENA AMBIL JARAK</t>
  </si>
  <si>
    <t xml:space="preserve">DESTY </t>
  </si>
  <si>
    <t>Rekap Harian Admin</t>
  </si>
  <si>
    <t>Cash Hari Ini</t>
  </si>
  <si>
    <t>Jumlah Kwitansi Pemasukan</t>
  </si>
  <si>
    <t>Jumlah Layanan Masuk</t>
  </si>
  <si>
    <t>Jumlah Pemasukan</t>
  </si>
  <si>
    <t>Jumlah Pengeluaran</t>
  </si>
  <si>
    <t>Jumlah Kwitansi</t>
  </si>
  <si>
    <t>Total Pemasukan</t>
  </si>
  <si>
    <t>Jumlah Nominal</t>
  </si>
  <si>
    <t>Grand Total</t>
  </si>
  <si>
    <t>VALIDASI JUMLAH TRANSAKSI BULANAN</t>
  </si>
  <si>
    <t>Dari</t>
  </si>
  <si>
    <t>Sampai</t>
  </si>
  <si>
    <t>JUMLAH LAYANAN PER TANGGAL</t>
  </si>
  <si>
    <t>JUMLAH LAYANAN PER FISIO</t>
  </si>
  <si>
    <t>COUNTA of PEMBELIAN</t>
  </si>
  <si>
    <t>Bulan</t>
  </si>
  <si>
    <t>USIA</t>
  </si>
  <si>
    <t>LAYANAN TERAKHIR</t>
  </si>
  <si>
    <t>STATUS</t>
  </si>
  <si>
    <t>TERAPIS</t>
  </si>
  <si>
    <t>JUMLAH TA</t>
  </si>
  <si>
    <t>CLOSING PAKET</t>
  </si>
  <si>
    <t>CLOSING SESI</t>
  </si>
  <si>
    <t>TIDAK CLOSING</t>
  </si>
  <si>
    <t>TOTAL CLOSING</t>
  </si>
  <si>
    <t>DANRU</t>
  </si>
  <si>
    <t>NADA</t>
  </si>
  <si>
    <t>LAPORAN TRANSAKSI KEUANGAN FGS PONTIANAK
2026</t>
  </si>
  <si>
    <t>JUMLAH LAYANAN</t>
  </si>
  <si>
    <t>SUM of JUMLAH BAYAR</t>
  </si>
  <si>
    <t>02 Feb</t>
  </si>
  <si>
    <t>Nama Fisio</t>
  </si>
  <si>
    <t>Paket 1</t>
  </si>
  <si>
    <t>Paket 2</t>
  </si>
  <si>
    <t>Paket 3</t>
  </si>
  <si>
    <t>TA/Sesi Visit</t>
  </si>
  <si>
    <t>Paket Visit</t>
  </si>
  <si>
    <t>REKAP HARIAN TRANSAKSI FISIOTERAPI GANG SEHAT PONTIANAK</t>
  </si>
  <si>
    <t>KOMPONEN</t>
  </si>
  <si>
    <t>Hasil</t>
  </si>
  <si>
    <t>Target</t>
  </si>
  <si>
    <t>Capaian</t>
  </si>
  <si>
    <t>Jumlah Kwitansi / Bukti Transfer</t>
  </si>
  <si>
    <t>Jumlah Layanan &amp; Target</t>
  </si>
  <si>
    <t>Nominal Pemasukan</t>
  </si>
  <si>
    <t>Jumlah Data Error</t>
  </si>
  <si>
    <t>Catatan:</t>
  </si>
  <si>
    <t>ALDI</t>
  </si>
  <si>
    <t>HESTY</t>
  </si>
  <si>
    <t>K.SM - 1 JAM (8 TITIK)</t>
  </si>
  <si>
    <t>K.SM - 2 JAM (16 TITIK)</t>
  </si>
  <si>
    <t>S.TR - BANDAGE 15 CM</t>
  </si>
  <si>
    <t>S.TR - FINGER TAPE</t>
  </si>
  <si>
    <t>S.TR - MINI BAND HITAM</t>
  </si>
  <si>
    <t>S.TR - MINI BAND KUNING</t>
  </si>
  <si>
    <t>S.TR - MINI BAND MERAH</t>
  </si>
  <si>
    <t>S.TR - RIGID TAPE (STRAPPAL)</t>
  </si>
  <si>
    <t>V.SM - 1 JAM (8 TITIK)</t>
  </si>
  <si>
    <t>V.SM - 1 JAM (8 TITIK) + JARAK</t>
  </si>
  <si>
    <t>V.SM - 2 JAM (16 TITIK)</t>
  </si>
  <si>
    <t>V.SM - 2 JAM (16 TITIK) + JARAK</t>
  </si>
  <si>
    <t>STUDIO.LANSIA - SESI TERAPI</t>
  </si>
  <si>
    <t>STUDIO.LANSIA  - PAKET GOLD</t>
  </si>
  <si>
    <t>STUDIO.LANSIA - PAKET SILVER</t>
  </si>
  <si>
    <t>STUDIO.LANSIA  - PAKET PLATINUM</t>
  </si>
  <si>
    <t>STUDIO.SKOLIOSIS- SESI TERAPI</t>
  </si>
  <si>
    <t>STUDIO.SKOLIOSIS - PAKET SILVER</t>
  </si>
  <si>
    <t>STUDIO.SKOLIOSIS - PAKET GOLD</t>
  </si>
  <si>
    <t>STUDIO.SKOLIOSIS - PAKET PLATINUM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</si>
</sst>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p-421]#,##0"/>
    <numFmt numFmtId="165" formatCode="000"/>
    <numFmt numFmtId="166" formatCode="dd&quot; &quot;mmm&quot; &quot;yyyy"/>
    <numFmt numFmtId="167" formatCode="[$Rp]#,##0"/>
    <numFmt numFmtId="168" formatCode="0.0%"/>
  </numFmts>
  <fonts count="29">
    <font>
      <sz val="10.0"/>
      <color rgb="FF000000"/>
      <name val="Roboto"/>
      <scheme val="minor"/>
    </font>
    <font>
      <color theme="1"/>
      <name val="Roboto"/>
      <scheme val="minor"/>
    </font>
    <font>
      <b/>
      <sz val="14.0"/>
      <color theme="1"/>
      <name val="Roboto"/>
      <scheme val="minor"/>
    </font>
    <font>
      <b/>
      <i/>
      <sz val="14.0"/>
      <color theme="1"/>
      <name val="Roboto"/>
      <scheme val="minor"/>
    </font>
    <font>
      <i/>
      <color theme="1"/>
      <name val="Roboto"/>
      <scheme val="minor"/>
    </font>
    <font>
      <i/>
      <sz val="10.0"/>
      <color theme="1"/>
      <name val="Roboto"/>
      <scheme val="minor"/>
    </font>
    <font>
      <b/>
      <color theme="1"/>
      <name val="Roboto"/>
      <scheme val="minor"/>
    </font>
    <font>
      <b/>
      <i/>
      <sz val="8.0"/>
      <color theme="1"/>
      <name val="Roboto"/>
      <scheme val="minor"/>
    </font>
    <font>
      <sz val="10.0"/>
      <color theme="1"/>
      <name val="Roboto"/>
      <scheme val="minor"/>
    </font>
    <font>
      <b/>
      <sz val="10.0"/>
      <color theme="1"/>
      <name val="Roboto"/>
      <scheme val="minor"/>
    </font>
    <font>
      <u/>
      <sz val="10.0"/>
      <color rgb="FF000000"/>
      <name val="Roboto"/>
    </font>
    <font>
      <b/>
      <color rgb="FFD4EDBC"/>
      <name val="Roboto"/>
    </font>
    <font>
      <b/>
      <color rgb="FF473821"/>
      <name val="Roboto"/>
    </font>
    <font>
      <b/>
      <color rgb="FFBFE0F6"/>
      <name val="Roboto"/>
    </font>
    <font>
      <b/>
      <color theme="1"/>
      <name val="Roboto"/>
    </font>
    <font>
      <color rgb="FFD4EDBC"/>
      <name val="Roboto"/>
    </font>
    <font>
      <color rgb="FF473821"/>
      <name val="Roboto"/>
    </font>
    <font>
      <color rgb="FFBFE0F6"/>
      <name val="Roboto"/>
    </font>
    <font>
      <b/>
      <color rgb="FF434343"/>
      <name val="Roboto"/>
    </font>
    <font>
      <color rgb="FF434343"/>
      <name val="Roboto"/>
    </font>
    <font>
      <b/>
      <color rgb="FF34A853"/>
      <name val="Roboto"/>
    </font>
    <font>
      <b/>
      <sz val="18.0"/>
      <color theme="1"/>
      <name val="Roboto"/>
      <scheme val="minor"/>
    </font>
    <font>
      <b/>
      <u/>
      <sz val="14.0"/>
      <color theme="1"/>
      <name val="Roboto"/>
      <scheme val="minor"/>
    </font>
    <font>
      <b/>
      <sz val="12.0"/>
      <color theme="1"/>
      <name val="Roboto"/>
      <scheme val="minor"/>
    </font>
    <font>
      <sz val="14.0"/>
      <color theme="1"/>
      <name val="Roboto"/>
      <scheme val="minor"/>
    </font>
    <font/>
    <font>
      <b/>
      <sz val="8.0"/>
      <color theme="1"/>
      <name val="Roboto"/>
      <scheme val="minor"/>
    </font>
    <font>
      <sz val="12.0"/>
      <color rgb="FF999999"/>
      <name val="Roboto"/>
      <scheme val="minor"/>
    </font>
    <font>
      <b/>
      <i/>
      <color theme="1"/>
      <name val="Robo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AF8"/>
        <bgColor rgb="FFF8FAF8"/>
      </patternFill>
    </fill>
    <fill>
      <patternFill patternType="solid">
        <fgColor rgb="FFF1F4FA"/>
        <bgColor rgb="FFF1F4FA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49" xfId="0" applyFont="1" applyNumberFormat="1"/>
    <xf borderId="0" fillId="0" fontId="1" numFmtId="0" xfId="0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4" numFmtId="49" xfId="0" applyAlignment="1" applyFont="1" applyNumberFormat="1">
      <alignment readingOrder="0" vertical="center"/>
    </xf>
    <xf borderId="0" fillId="0" fontId="5" numFmtId="0" xfId="0" applyAlignment="1" applyFont="1">
      <alignment readingOrder="0"/>
    </xf>
    <xf borderId="0" fillId="0" fontId="1" numFmtId="0" xfId="0" applyAlignment="1" applyFont="1">
      <alignment vertical="center"/>
    </xf>
    <xf borderId="0" fillId="0" fontId="1" numFmtId="165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4" numFmtId="164" xfId="0" applyAlignment="1" applyFont="1" applyNumberFormat="1">
      <alignment vertical="center"/>
    </xf>
    <xf borderId="0" fillId="0" fontId="7" numFmtId="0" xfId="0" applyAlignment="1" applyFont="1">
      <alignment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7" numFmtId="165" xfId="0" applyAlignment="1" applyFont="1" applyNumberFormat="1">
      <alignment horizontal="left" readingOrder="0" shrinkToFit="0" vertical="center" wrapText="1"/>
    </xf>
    <xf borderId="0" fillId="0" fontId="7" numFmtId="165" xfId="0" applyAlignment="1" applyFont="1" applyNumberFormat="1">
      <alignment horizontal="right" readingOrder="0" shrinkToFit="0" vertical="center" wrapText="1"/>
    </xf>
    <xf borderId="0" fillId="0" fontId="7" numFmtId="49" xfId="0" applyAlignment="1" applyFont="1" applyNumberFormat="1">
      <alignment horizontal="left" readingOrder="0" shrinkToFit="0" vertical="center" wrapText="1"/>
    </xf>
    <xf borderId="0" fillId="0" fontId="1" numFmtId="165" xfId="0" applyAlignment="1" applyFont="1" applyNumberFormat="1">
      <alignment horizontal="left" readingOrder="0" shrinkToFit="0" vertical="center" wrapText="1"/>
    </xf>
    <xf borderId="0" fillId="0" fontId="7" numFmtId="165" xfId="0" applyAlignment="1" applyFont="1" applyNumberFormat="1">
      <alignment horizontal="left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165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166" xfId="0" applyAlignment="1" applyFont="1" applyNumberForma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0" fontId="9" numFmtId="164" xfId="0" applyAlignment="1" applyFont="1" applyNumberFormat="1">
      <alignment readingOrder="0" shrinkToFit="0" vertical="center" wrapText="1"/>
    </xf>
    <xf borderId="0" fillId="0" fontId="8" numFmtId="164" xfId="0" applyAlignment="1" applyFont="1" applyNumberFormat="1">
      <alignment readingOrder="0" shrinkToFit="0" vertical="center" wrapText="1"/>
    </xf>
    <xf borderId="0" fillId="0" fontId="5" numFmtId="164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shrinkToFit="0" vertical="center" wrapText="1"/>
    </xf>
    <xf borderId="0" fillId="0" fontId="0" numFmtId="49" xfId="0" applyAlignment="1" applyFont="1" applyNumberForma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164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shrinkToFit="0" vertical="center" wrapText="1"/>
    </xf>
    <xf borderId="0" fillId="0" fontId="5" numFmtId="164" xfId="0" applyAlignment="1" applyFont="1" applyNumberForma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164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shrinkToFit="0" vertical="center" wrapText="1"/>
    </xf>
    <xf borderId="0" fillId="0" fontId="0" numFmtId="49" xfId="0" applyAlignment="1" applyFont="1" applyNumberFormat="1">
      <alignment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0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1" fillId="2" fontId="11" numFmtId="0" xfId="0" applyAlignment="1" applyBorder="1" applyFont="1">
      <alignment shrinkToFit="0" vertical="center" wrapText="1"/>
    </xf>
    <xf borderId="1" fillId="2" fontId="12" numFmtId="0" xfId="0" applyAlignment="1" applyBorder="1" applyFont="1">
      <alignment shrinkToFit="0" vertical="center" wrapText="1"/>
    </xf>
    <xf borderId="1" fillId="2" fontId="12" numFmtId="0" xfId="0" applyAlignment="1" applyBorder="1" applyFont="1">
      <alignment shrinkToFit="0" vertical="center" wrapText="1"/>
    </xf>
    <xf borderId="1" fillId="2" fontId="13" numFmtId="0" xfId="0" applyAlignment="1" applyBorder="1" applyFont="1">
      <alignment shrinkToFit="0" vertical="center" wrapText="1"/>
    </xf>
    <xf borderId="1" fillId="2" fontId="14" numFmtId="164" xfId="0" applyAlignment="1" applyBorder="1" applyFont="1" applyNumberFormat="1">
      <alignment horizontal="right" shrinkToFit="0" vertical="center" wrapText="1"/>
    </xf>
    <xf borderId="1" fillId="2" fontId="14" numFmtId="164" xfId="0" applyAlignment="1" applyBorder="1" applyFont="1" applyNumberFormat="1">
      <alignment horizontal="right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1" fillId="3" fontId="15" numFmtId="0" xfId="0" applyAlignment="1" applyBorder="1" applyFill="1" applyFont="1">
      <alignment shrinkToFit="0" vertical="center" wrapText="1"/>
    </xf>
    <xf borderId="1" fillId="3" fontId="16" numFmtId="0" xfId="0" applyAlignment="1" applyBorder="1" applyFont="1">
      <alignment shrinkToFit="0" vertical="center" wrapText="1"/>
    </xf>
    <xf borderId="1" fillId="3" fontId="16" numFmtId="0" xfId="0" applyAlignment="1" applyBorder="1" applyFont="1">
      <alignment shrinkToFit="0" vertical="center" wrapText="1"/>
    </xf>
    <xf borderId="1" fillId="3" fontId="17" numFmtId="0" xfId="0" applyAlignment="1" applyBorder="1" applyFont="1">
      <alignment shrinkToFit="0" vertical="center" wrapText="1"/>
    </xf>
    <xf borderId="1" fillId="3" fontId="18" numFmtId="164" xfId="0" applyAlignment="1" applyBorder="1" applyFont="1" applyNumberFormat="1">
      <alignment horizontal="right" shrinkToFit="0" vertical="center" wrapText="1"/>
    </xf>
    <xf borderId="1" fillId="3" fontId="19" numFmtId="164" xfId="0" applyAlignment="1" applyBorder="1" applyFont="1" applyNumberFormat="1">
      <alignment horizontal="right" shrinkToFit="0" vertical="center" wrapText="1"/>
    </xf>
    <xf borderId="1" fillId="2" fontId="15" numFmtId="0" xfId="0" applyAlignment="1" applyBorder="1" applyFont="1">
      <alignment shrinkToFit="0" vertical="center" wrapText="1"/>
    </xf>
    <xf borderId="1" fillId="2" fontId="16" numFmtId="0" xfId="0" applyAlignment="1" applyBorder="1" applyFont="1">
      <alignment shrinkToFit="0" vertical="center" wrapText="1"/>
    </xf>
    <xf borderId="1" fillId="2" fontId="16" numFmtId="0" xfId="0" applyAlignment="1" applyBorder="1" applyFont="1">
      <alignment shrinkToFit="0" vertical="center" wrapText="1"/>
    </xf>
    <xf borderId="1" fillId="2" fontId="17" numFmtId="0" xfId="0" applyAlignment="1" applyBorder="1" applyFont="1">
      <alignment shrinkToFit="0" vertical="center" wrapText="1"/>
    </xf>
    <xf borderId="1" fillId="2" fontId="18" numFmtId="164" xfId="0" applyAlignment="1" applyBorder="1" applyFont="1" applyNumberFormat="1">
      <alignment horizontal="right" shrinkToFit="0" vertical="center" wrapText="1"/>
    </xf>
    <xf borderId="1" fillId="2" fontId="19" numFmtId="164" xfId="0" applyAlignment="1" applyBorder="1" applyFont="1" applyNumberFormat="1">
      <alignment horizontal="right" shrinkToFit="0" vertical="center" wrapText="1"/>
    </xf>
    <xf borderId="1" fillId="2" fontId="20" numFmtId="164" xfId="0" applyAlignment="1" applyBorder="1" applyFont="1" applyNumberFormat="1">
      <alignment horizontal="right" shrinkToFit="0" vertical="center" wrapText="1"/>
    </xf>
    <xf borderId="0" fillId="2" fontId="15" numFmtId="0" xfId="0" applyAlignment="1" applyFont="1">
      <alignment readingOrder="0" shrinkToFit="0" vertical="center" wrapText="1"/>
    </xf>
    <xf borderId="0" fillId="2" fontId="16" numFmtId="0" xfId="0" applyAlignment="1" applyFont="1">
      <alignment readingOrder="0" shrinkToFit="0" vertical="center" wrapText="1"/>
    </xf>
    <xf borderId="0" fillId="2" fontId="16" numFmtId="0" xfId="0" applyAlignment="1" applyFont="1">
      <alignment readingOrder="0" shrinkToFit="0" vertical="center" wrapText="1"/>
    </xf>
    <xf borderId="0" fillId="2" fontId="17" numFmtId="0" xfId="0" applyAlignment="1" applyFont="1">
      <alignment readingOrder="0" shrinkToFit="0" vertical="center" wrapText="1"/>
    </xf>
    <xf borderId="0" fillId="2" fontId="18" numFmtId="164" xfId="0" applyAlignment="1" applyFont="1" applyNumberFormat="1">
      <alignment horizontal="right" readingOrder="0" shrinkToFit="0" vertical="center" wrapText="1"/>
    </xf>
    <xf borderId="0" fillId="2" fontId="19" numFmtId="164" xfId="0" applyAlignment="1" applyFont="1" applyNumberFormat="1">
      <alignment horizontal="right" readingOrder="0" shrinkToFit="0" vertical="center" wrapText="1"/>
    </xf>
    <xf borderId="0" fillId="2" fontId="20" numFmtId="164" xfId="0" applyAlignment="1" applyFont="1" applyNumberFormat="1">
      <alignment horizontal="right" shrinkToFit="0" vertical="center" wrapText="1"/>
    </xf>
    <xf borderId="0" fillId="2" fontId="17" numFmtId="0" xfId="0" applyAlignment="1" applyFont="1">
      <alignment shrinkToFit="0" vertical="center" wrapText="1"/>
    </xf>
    <xf borderId="0" fillId="2" fontId="18" numFmtId="164" xfId="0" applyAlignment="1" applyFont="1" applyNumberFormat="1">
      <alignment horizontal="right" shrinkToFit="0" vertical="center" wrapText="1"/>
    </xf>
    <xf borderId="0" fillId="2" fontId="19" numFmtId="164" xfId="0" applyAlignment="1" applyFont="1" applyNumberFormat="1">
      <alignment horizontal="right" shrinkToFit="0" vertical="center" wrapText="1"/>
    </xf>
    <xf borderId="0" fillId="0" fontId="5" numFmtId="164" xfId="0" applyAlignment="1" applyFont="1" applyNumberFormat="1">
      <alignment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2" fontId="20" numFmtId="164" xfId="0" applyAlignment="1" applyFont="1" applyNumberFormat="1">
      <alignment horizontal="right" readingOrder="0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7" numFmtId="49" xfId="0" applyAlignment="1" applyFont="1" applyNumberFormat="1">
      <alignment horizontal="left" readingOrder="0" shrinkToFit="0" vertical="center" wrapText="1"/>
    </xf>
    <xf borderId="0" fillId="0" fontId="7" numFmtId="49" xfId="0" applyAlignment="1" applyFont="1" applyNumberFormat="1">
      <alignment horizontal="righ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7" numFmtId="49" xfId="0" applyAlignment="1" applyFont="1" applyNumberFormat="1">
      <alignment horizontal="left" readingOrder="0" shrinkToFit="0" vertical="center" wrapText="1"/>
    </xf>
    <xf borderId="0" fillId="0" fontId="1" numFmtId="165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6" xfId="0" applyAlignment="1" applyFont="1" applyNumberFormat="1">
      <alignment readingOrder="0"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vertical="center"/>
    </xf>
    <xf borderId="0" fillId="0" fontId="2" numFmtId="0" xfId="0" applyAlignment="1" applyFont="1">
      <alignment horizontal="right" readingOrder="0" vertical="center"/>
    </xf>
    <xf borderId="0" fillId="0" fontId="22" numFmtId="167" xfId="0" applyAlignment="1" applyFont="1" applyNumberFormat="1">
      <alignment vertical="center"/>
    </xf>
    <xf borderId="0" fillId="0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6" numFmtId="165" xfId="0" applyAlignment="1" applyFont="1" applyNumberForma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49" xfId="0" applyAlignment="1" applyFont="1" applyNumberFormat="1">
      <alignment shrinkToFit="0" vertical="center" wrapText="1"/>
    </xf>
    <xf borderId="0" fillId="0" fontId="8" numFmtId="0" xfId="0" applyAlignment="1" applyFont="1">
      <alignment horizontal="righ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right" shrinkToFit="0" vertical="center" wrapText="1"/>
    </xf>
    <xf borderId="0" fillId="0" fontId="24" numFmtId="0" xfId="0" applyAlignment="1" applyFont="1">
      <alignment horizontal="center" vertical="center"/>
    </xf>
    <xf borderId="0" fillId="0" fontId="24" numFmtId="0" xfId="0" applyAlignment="1" applyFont="1">
      <alignment horizontal="left" vertical="center"/>
    </xf>
    <xf borderId="0" fillId="0" fontId="1" numFmtId="49" xfId="0" applyAlignment="1" applyFont="1" applyNumberFormat="1">
      <alignment readingOrder="0" vertical="center"/>
    </xf>
    <xf borderId="2" fillId="4" fontId="6" numFmtId="166" xfId="0" applyAlignment="1" applyBorder="1" applyFill="1" applyFont="1" applyNumberFormat="1">
      <alignment horizontal="center" readingOrder="0" vertical="center"/>
    </xf>
    <xf borderId="3" fillId="0" fontId="25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right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6" numFmtId="0" xfId="0" applyAlignment="1" applyFont="1">
      <alignment shrinkToFit="0" vertical="center" wrapText="1"/>
    </xf>
    <xf borderId="0" fillId="0" fontId="26" numFmtId="165" xfId="0" applyAlignment="1" applyFont="1" applyNumberFormat="1">
      <alignment horizontal="right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left" shrinkToFit="0" vertical="center" wrapText="1"/>
    </xf>
    <xf borderId="0" fillId="0" fontId="26" numFmtId="49" xfId="0" applyAlignment="1" applyFont="1" applyNumberFormat="1">
      <alignment horizontal="right" shrinkToFit="0" vertical="center" wrapText="1"/>
    </xf>
    <xf borderId="0" fillId="0" fontId="1" numFmtId="166" xfId="0" applyAlignment="1" applyFont="1" applyNumberFormat="1">
      <alignment vertical="center"/>
    </xf>
    <xf borderId="0" fillId="0" fontId="1" numFmtId="0" xfId="0" applyAlignment="1" applyFont="1">
      <alignment horizontal="center" readingOrder="0" vertical="center"/>
    </xf>
    <xf borderId="0" fillId="0" fontId="1" numFmtId="166" xfId="0" applyAlignment="1" applyFont="1" applyNumberFormat="1">
      <alignment readingOrder="0" vertical="center"/>
    </xf>
    <xf borderId="0" fillId="0" fontId="1" numFmtId="166" xfId="0" applyAlignment="1" applyFont="1" applyNumberFormat="1">
      <alignment horizontal="right" readingOrder="0" vertical="center"/>
    </xf>
    <xf borderId="0" fillId="0" fontId="1" numFmtId="0" xfId="0" applyAlignment="1" applyFont="1">
      <alignment horizontal="right" readingOrder="0" vertical="center"/>
    </xf>
    <xf borderId="0" fillId="0" fontId="1" numFmtId="166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6" numFmtId="168" xfId="0" applyAlignment="1" applyFont="1" applyNumberFormat="1">
      <alignment horizontal="lef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8" xfId="0" applyAlignment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0" fillId="0" fontId="24" numFmtId="0" xfId="0" applyAlignment="1" applyFont="1">
      <alignment horizontal="right" vertical="center"/>
    </xf>
    <xf borderId="0" fillId="0" fontId="24" numFmtId="0" xfId="0" applyAlignment="1" applyFont="1">
      <alignment vertical="center"/>
    </xf>
    <xf borderId="0" fillId="0" fontId="6" numFmtId="0" xfId="0" applyAlignment="1" applyFont="1">
      <alignment horizontal="left" shrinkToFit="0" vertical="center" wrapText="1"/>
    </xf>
    <xf borderId="0" fillId="0" fontId="1" numFmtId="165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6" numFmtId="165" xfId="0" applyAlignment="1" applyFont="1" applyNumberFormat="1">
      <alignment horizontal="left" shrinkToFit="0" vertical="center" wrapText="1"/>
    </xf>
    <xf borderId="0" fillId="0" fontId="26" numFmtId="0" xfId="0" applyAlignment="1" applyFont="1">
      <alignment horizontal="right" shrinkToFit="0" vertical="center" wrapText="1"/>
    </xf>
    <xf borderId="0" fillId="0" fontId="1" numFmtId="164" xfId="0" applyAlignment="1" applyFont="1" applyNumberFormat="1">
      <alignment horizontal="righ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1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0" fillId="0" fontId="27" numFmtId="0" xfId="0" applyAlignment="1" applyFont="1">
      <alignment vertical="center"/>
    </xf>
    <xf borderId="0" fillId="0" fontId="27" numFmtId="0" xfId="0" applyAlignment="1" applyFont="1">
      <alignment horizontal="center" vertical="center"/>
    </xf>
    <xf borderId="0" fillId="0" fontId="28" numFmtId="0" xfId="0" applyAlignment="1" applyFont="1">
      <alignment vertical="center"/>
    </xf>
    <xf borderId="4" fillId="0" fontId="28" numFmtId="0" xfId="0" applyAlignment="1" applyBorder="1" applyFont="1">
      <alignment readingOrder="0" vertical="center"/>
    </xf>
    <xf borderId="4" fillId="0" fontId="28" numFmtId="0" xfId="0" applyAlignment="1" applyBorder="1" applyFont="1">
      <alignment horizontal="center" readingOrder="0" vertical="center"/>
    </xf>
    <xf borderId="0" fillId="0" fontId="28" numFmtId="0" xfId="0" applyAlignment="1" applyFont="1">
      <alignment readingOrder="0" vertical="center"/>
    </xf>
    <xf borderId="4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vertical="center"/>
    </xf>
    <xf borderId="0" fillId="2" fontId="28" numFmtId="0" xfId="0" applyFont="1"/>
    <xf borderId="0" fillId="0" fontId="28" numFmtId="0" xfId="0" applyAlignment="1" applyFont="1">
      <alignment readingOrder="0"/>
    </xf>
    <xf borderId="0" fillId="0" fontId="28" numFmtId="164" xfId="0" applyAlignment="1" applyFont="1" applyNumberFormat="1">
      <alignment readingOrder="0"/>
    </xf>
    <xf borderId="0" fillId="0" fontId="28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8FAF8"/>
          <bgColor rgb="FFF8FAF8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EA4335"/>
      </font>
      <fill>
        <patternFill patternType="none"/>
      </fill>
      <border/>
    </dxf>
    <dxf>
      <font>
        <b/>
        <color rgb="FF34A853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b/>
        <color rgb="FFFF0000"/>
      </font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b/>
        <color theme="5"/>
      </font>
      <fill>
        <patternFill patternType="none"/>
      </fill>
      <border/>
    </dxf>
    <dxf>
      <font>
        <b/>
        <color theme="7"/>
      </font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8">
    <tableStyle count="2" pivot="0" name="👥 Daftar Nama Pasien-style">
      <tableStyleElement dxfId="1" type="firstRowStripe"/>
      <tableStyleElement dxfId="2" type="secondRowStripe"/>
    </tableStyle>
    <tableStyle count="4" pivot="0" name="⬇️ PEMASUKAN-style">
      <tableStyleElement dxfId="3" type="headerRow"/>
      <tableStyleElement dxfId="1" type="firstRowStripe"/>
      <tableStyleElement dxfId="4" type="secondRowStripe"/>
      <tableStyleElement dxfId="5" size="0" type="wholeTable"/>
    </tableStyle>
    <tableStyle count="4" pivot="0" name="⬆️ PENGELUARAN-style">
      <tableStyleElement dxfId="3" type="headerRow"/>
      <tableStyleElement dxfId="1" type="firstRowStripe"/>
      <tableStyleElement dxfId="4" type="secondRowStripe"/>
      <tableStyleElement dxfId="5" size="0" type="wholeTable"/>
    </tableStyle>
    <tableStyle count="4" pivot="0" name="🎯 ANALISIS CLOSING-style">
      <tableStyleElement dxfId="3" type="headerRow"/>
      <tableStyleElement dxfId="1" type="firstRowStripe"/>
      <tableStyleElement dxfId="10" type="secondRowStripe"/>
      <tableStyleElement dxfId="5" size="0" type="wholeTable"/>
    </tableStyle>
    <tableStyle count="4" pivot="0" name="🎯 ANALISIS CLOSING-style 2">
      <tableStyleElement dxfId="3" type="headerRow"/>
      <tableStyleElement dxfId="1" type="firstRowStripe"/>
      <tableStyleElement dxfId="10" type="secondRowStripe"/>
      <tableStyleElement dxfId="5" size="0" type="wholeTable"/>
    </tableStyle>
    <tableStyle count="4" pivot="0" name="🎯 ANALISIS CLOSING-style 3">
      <tableStyleElement dxfId="3" type="headerRow"/>
      <tableStyleElement dxfId="1" type="firstRowStripe"/>
      <tableStyleElement dxfId="10" type="secondRowStripe"/>
      <tableStyleElement dxfId="5" size="0" type="wholeTable"/>
    </tableStyle>
    <tableStyle count="4" pivot="0" name="PFOTM-style">
      <tableStyleElement dxfId="3" type="headerRow"/>
      <tableStyleElement dxfId="1" type="firstRowStripe"/>
      <tableStyleElement dxfId="10" type="secondRowStripe"/>
      <tableStyleElement dxfId="5" size="0" type="wholeTable"/>
    </tableStyle>
    <tableStyle count="3" pivot="0" name="⚙️ Pengaturan-style">
      <tableStyleElement dxfId="1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180975</xdr:colOff>
      <xdr:row>0</xdr:row>
      <xdr:rowOff>0</xdr:rowOff>
    </xdr:from>
    <xdr:ext cx="5715000" cy="3533775"/>
    <xdr:pic>
      <xdr:nvPicPr>
        <xdr:cNvPr id="45507321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4:U800" sheet="⬇️ PEMASUKAN"/>
  </cacheSource>
  <cacheFields>
    <cacheField name="NO" numFmtId="165">
      <sharedItems containsSemiMixedTypes="0" containsString="0" containsNumber="1" containsInteger="1"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</sharedItems>
    </cacheField>
    <cacheField name="ADMIN" numFmtId="0">
      <sharedItems>
        <s v="SUCI"/>
        <s v="NOPI"/>
        <s v="LAINNYA"/>
        <s v="DHEA"/>
      </sharedItems>
    </cacheField>
    <cacheField name="TANGGAL" numFmtId="166">
      <sharedItems containsSemiMixedTypes="0" containsDate="1" containsString="0"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23T00:00:00Z"/>
        <d v="2026-02-12T00:00:00Z"/>
        <d v="2026-02-13T00:00:00Z"/>
        <d v="2026-02-14T00:00:00Z"/>
        <d v="2026-02-15T00:00:00Z"/>
        <d v="2026-02-16T00:00:00Z"/>
        <d v="2026-02-18T00:00:00Z"/>
        <d v="2026-02-19T00:00:00Z"/>
        <d v="2026-02-20T00:00:00Z"/>
        <d v="2026-02-21T00:00:00Z"/>
        <d v="2026-02-22T00:00:00Z"/>
        <d v="2026-02-24T00:00:00Z"/>
        <d v="2026-02-25T00:00:00Z"/>
        <d v="2026-02-26T00:00:00Z"/>
        <d v="2026-02-27T00:00:00Z"/>
        <d v="2026-02-28T00:00:00Z"/>
      </sharedItems>
    </cacheField>
    <cacheField name="TAHUN" numFmtId="0">
      <sharedItems>
        <s v="2026"/>
      </sharedItems>
    </cacheField>
    <cacheField name="BULAN" numFmtId="0">
      <sharedItems>
        <s v="01 Jan"/>
        <s v="02 Feb"/>
      </sharedItems>
    </cacheField>
    <cacheField name="JAM" numFmtId="0">
      <sharedItems>
        <s v="11.00"/>
        <s v="12.00"/>
        <s v="15.00"/>
        <s v="17.00"/>
        <s v="16.00"/>
        <s v="18.00"/>
        <s v="20.00"/>
        <s v="21.00"/>
        <s v="10.00"/>
        <s v="14.00"/>
        <s v="13.00"/>
        <s v="19.00"/>
        <s v="09.00"/>
        <s v="LAINNYA"/>
      </sharedItems>
    </cacheField>
    <cacheField name="FISIO" numFmtId="0">
      <sharedItems>
        <s v="OKTA"/>
        <s v="WAHYU"/>
        <s v="DANI"/>
        <s v="PRITY"/>
        <s v="DESTY"/>
        <s v="ORY"/>
        <s v="AUL"/>
        <s v="HESTI"/>
        <s v="HENA"/>
        <s v="EDO"/>
        <s v="PUTRI"/>
      </sharedItems>
    </cacheField>
    <cacheField name="NAMA PASIEN" numFmtId="0">
      <sharedItems>
        <s v="ANDIANA MARJAYANTI"/>
        <s v="SETIO BONO SAPUTRO"/>
        <s v="IVONNY"/>
        <s v="YUBANADI"/>
        <s v="SRI ESRI"/>
        <s v="PUTERA ANUGRAH PRATAMA"/>
        <s v="SUGIH WIRAMANTRI"/>
        <s v="K. E. ANANTA UTAMI"/>
        <s v="HAMDAN IDRIS"/>
        <s v="KOLENIUS KOLAI"/>
        <s v="EMMA"/>
        <s v="YA MUHAMMAD IKHSANDI"/>
        <s v="TAUFIK"/>
        <s v="SHELSY MELANY"/>
        <s v="RANDA ARZA SAPUTRA"/>
        <s v="PUTRI ATIKAH"/>
        <s v="WISNU WARDANA"/>
        <s v="ISNINDAR"/>
        <s v="ATHA HANIF PRADIPTA"/>
        <s v="GALIH PITA LOKA"/>
        <s v="WACHYU WIDAYAT"/>
        <s v="BELLY"/>
        <s v="WIWIK HARTATI"/>
        <s v="CHOTIBUL UMAMI"/>
        <s v="MUHAMMAD FADHIL RAMADHANI"/>
        <s v="ANDRI DOS SANTOS"/>
        <s v="ELISABETH SUTINI"/>
        <s v="DARMANSYAH"/>
        <s v="JUVENTYA"/>
        <s v="TJONG LIE TJHIUN ALS SUKIMAN"/>
        <s v="HASNAWATI"/>
        <s v="CINTHYA TANJAYA"/>
        <s v="FEDRICK JONATAN"/>
        <s v="LIM OI KHIUN ALS RIANA"/>
        <s v="TAN TJHUN TIE ALS ROBERT"/>
        <s v="BENI SETIYANTO"/>
        <s v="EDI LAZUARDI"/>
        <s v="LIMINA DJUITA LIMAS"/>
        <s v="MUSNAINI"/>
        <s v="TRIATIE CHALIDYAH"/>
        <s v="SHARON LIE"/>
        <s v="HJ. RUGAYAH"/>
        <s v="MARTHIN SHARON NAPITUPULU"/>
        <s v="NOPEARIANI, AMD.KEB"/>
        <s v="SUSANTI"/>
        <s v="HARDJONO"/>
        <s v="PUTRI ATIKAH "/>
        <s v="CHRIS MULIO JOHANES"/>
        <s v="GALIH HANDAYANI"/>
        <s v="CINDY MONALISA ANDDIE"/>
        <s v="TJHOA KHA TJE"/>
        <s v="EFENDI WAHYU"/>
        <s v="RICKY ISKANDAR"/>
        <s v="DAMHUDI"/>
        <s v="ICHSAN KAMIL"/>
        <s v="MARTIN"/>
        <s v="SAMIJO"/>
        <s v="SALLY ISKANDAR TAN"/>
        <s v="FEDRICK JONATAN "/>
        <s v="RENDI"/>
        <s v="M FAIZ AL BARA"/>
        <s v="BAGAS BIMANTORO HARYONO"/>
        <s v="DRS JAROT SUTRISNO M.SI"/>
        <s v="AULIA SUCI NURFADILA"/>
        <s v="NG TJOEI FONG ALS SILVIA"/>
        <s v="SUWINDA KUSRINI"/>
        <s v="WILDAN ANKY PUTRA"/>
        <s v="DHAIFULLAH IRFAN HAFIZH"/>
        <s v="SYARIFAH FADILLAH"/>
        <s v="KHANZA PUTRI HUMAIRAH"/>
        <s v="FITA"/>
        <s v="ELLEN ARIFIN"/>
        <s v="FAHRIZAL RAMADHAN"/>
        <s v="WIDODO 7512"/>
        <s v="SARWINTO"/>
        <s v="JEMMY"/>
        <s v="NIKEN ATIKA PUSPA NINGRUM"/>
        <s v="M FAHRIZA RAHMAN"/>
        <s v="FERA HENDRY"/>
        <s v="RATNA DEWI"/>
        <s v="SYARIF ZULFAN ADHA"/>
        <s v="NADYA SAFIRA"/>
        <s v="CHALID OBED"/>
        <s v="BINTARI INDAH SAPUTRI"/>
        <s v="MIRNA APRIANTY"/>
        <s v="JONG SULI"/>
        <s v="WARSINO"/>
        <s v="ANUSAPATI"/>
        <s v="MUCHLIS"/>
        <s v="SUDIYANTI HO"/>
        <s v="RIDHO YUDI PRABAWA"/>
        <s v="HENDRAWATI SAM"/>
        <s v="SUGIH WIRAMANTRI "/>
        <s v="DESI MARGASIA"/>
        <s v="SALIMAN"/>
        <s v="SURYANA"/>
        <s v="NOVI SEPTRIANI"/>
        <s v="SUKAWATI EFFENDY"/>
        <s v="HENDI"/>
        <s v="FEBE ANGELIA"/>
        <s v="JON ALI"/>
        <s v="MAULIZA DESIANA"/>
        <s v="YAZID MISHBAH KHOIRI "/>
        <s v="MUHAMMAD VIKI SYURIANSAH"/>
        <s v="HENDRA GUNAWAN 8801"/>
        <s v="DELA MASTIKA"/>
        <s v="YANTO"/>
        <s v="WINCENT CHANDRA"/>
        <s v="TJOE HOEI THJENG"/>
        <s v="ALVIN DIYANDRA"/>
        <s v="EVI "/>
        <s v="ACHMAD RADAMA RINARDI"/>
        <s v="VIONA PRICILA"/>
        <s v="ALIF BAINAL KHAFI"/>
        <s v="EFFENDY"/>
        <s v="ASNIWATI"/>
        <s v="FATHUR RAHMAN"/>
        <s v="DELLY MARINA"/>
        <s v="YAYUK"/>
        <s v="FITRA ALHANI"/>
        <s v="NADYA MUTMAINAH"/>
        <s v="LIM CUN HUE"/>
        <s v="NAJLA NURHALIZA"/>
        <s v="FELIKS ARMANTO"/>
        <s v="ZULIANA"/>
        <s v="DRS. H. SARDI. S"/>
        <s v="SUWARNI"/>
        <s v="SHAFA NUR INTAN FAJRIAH"/>
        <s v="PERMATA DEWI ANDINI"/>
        <s v="JOKO"/>
        <s v="DAHLIA"/>
        <s v="MUHAMMAD REZKY NUGRAHA"/>
        <s v="MAWAR AURELYSCA IRAWAN"/>
        <s v="ANDIKA PRATAMA PUTRA"/>
        <s v="HAMBALI"/>
        <s v="ARIF KURNIAWAN"/>
        <s v="HENNY"/>
        <s v="ASNAH"/>
        <s v="RIZQY FACHRIA"/>
        <s v="MUHAMMAD AFZANI NUR "/>
        <s v="WIONA SILASHINTA WAHYUDI"/>
        <s v="GUSTI AZLAN KHALID AYYUBI"/>
        <s v="FRENKY FERIYANTO"/>
        <s v="ANGELIA IVANA"/>
        <s v="SUCI TRIHANTINI"/>
        <s v="AZKA RAFIF ARYA"/>
        <s v="JUN FONG"/>
        <s v="YAYUK KURNIAWATI"/>
        <s v="JOKO WINARDI"/>
        <s v="AKIAN"/>
        <s v="SUMAYAH"/>
        <s v="SUMIATI"/>
        <s v="NOVI ASMARANI"/>
        <s v="FERRY PANGKE"/>
        <s v="ARIS BUDIMAN"/>
        <s v="IRAWATI"/>
        <s v="MUHAMMAD ICHSAN AZEVI"/>
        <s v="ASHRAF"/>
        <s v="TYARA HARDYANTI SUHARNO"/>
        <s v="HALIJAH"/>
        <s v="RADIT"/>
        <s v="RAMOTI PUTRA MANALU"/>
        <s v="EKA KURNIAWATI"/>
        <s v="ANDRI WIJAYA KUSUMA"/>
        <s v="LEYLI NURLITA"/>
        <s v="SUKAMTO"/>
        <s v="JOESDI NGATIDJAN "/>
        <s v="IQBAL MAULANA"/>
        <s v="RAHMAD"/>
        <s v="FLORENSIUS LAYLIM"/>
        <s v="ALBERT ALRILLIAN TALINO"/>
        <s v="RENDI ARDIAN"/>
        <s v="YULITA RIANA"/>
        <s v="RAYYANDRA GHUFRAN MARIOSHA"/>
        <s v="SANDY KURNIA"/>
        <s v="AZARYA JADAYN ARYO"/>
        <s v="DIRGA WIJAYA JUMAIL"/>
        <s v="NG TAI TJU"/>
        <s v="SURIATI HALIM"/>
        <s v="NELLY FITRIANA"/>
        <s v="RUKIAH AGUSTIAWATI"/>
        <s v="SYARIF RAIHAN RAFISKI"/>
        <s v="RAHMAT REZA FAHLEVI"/>
        <s v="ISTIKA INDAH NINGSIH"/>
        <s v="EVA DESI S PARDEDE"/>
        <s v="RIZKY PUSPASARI"/>
        <s v="VERONIMUS VALENT FRANSISKUS"/>
        <s v="ARY HIDAYATUL FAJRI"/>
        <s v="MUHAMMAD ABDULLAH AL KAYIS"/>
        <s v="WEHRY"/>
        <s v="NOPIANTO SAPTA BONG"/>
        <s v="HEYLIE ARIELLE ANG"/>
        <s v="JULIANTO 9007"/>
        <s v="REZA ILHAM FAHRINO"/>
        <s v="KENNETH CARMEN"/>
        <s v="MICKEL JERRI KURNIAWAN RAY "/>
        <s v="MILINA"/>
        <s v="ENRICO IVAN CHUA"/>
        <s v="JUNIANSYAH"/>
        <s v="SYARIFAH AINI"/>
        <s v="TUKIJAN"/>
        <s v="NAFLA RAIHANA QONITA HARDYAN"/>
        <s v="MESSY"/>
        <s v="LUSIANA MAENAH"/>
        <s v="LIA MARISA"/>
        <s v="GIGIH PURBO P"/>
        <s v="LILY"/>
        <s v="RAY DEDDY AZMI"/>
        <s v="UTIN RAHMAH"/>
        <s v="SULISTIYOWATI"/>
        <s v="VERONIKA"/>
        <s v="TITIN SUBAKTI S.SOS"/>
        <s v="DRS BAGOES SOENHARLAN"/>
        <s v="MERRY 7710"/>
        <s v="HERY PURYANTO"/>
        <s v="ANIS MUTIA"/>
        <s v="RIZKY RESTU ANUGRAH PALURENG"/>
        <s v="BERMAN PAULUS"/>
        <s v="ELWIN LAVEDA"/>
        <s v="TONNY MARZUKI"/>
        <s v="DIVO"/>
        <s v="M FATIH RIZKI"/>
        <s v="ELSA ELFIRA"/>
        <s v="DHIASPUTRA BRILIANDRI"/>
        <s v="RAINA AINUN NOOR"/>
        <s v="WANTI SETIANINGSIH"/>
        <s v="REVAN FELIX GOUW"/>
        <s v="NAJWA NUR AZWINA"/>
        <s v="MUHAMMAD NUR"/>
        <s v="DIARMI"/>
        <s v="ARDY CAHYA FITRIYANTO"/>
        <s v="REVAEL ENGGANG ALHAQ"/>
        <s v="INZALIA"/>
        <s v="SINDY MELANI"/>
        <s v="MERRY"/>
        <s v="ROSDIANA"/>
        <s v="RACHMAT HIDAYAT"/>
        <s v="VERONICA"/>
        <s v="IBNU SETYA HARYANA "/>
        <s v="MAYONG ANDREAS ACIN"/>
        <s v="M ADY SOEPIANSYAH"/>
        <s v="UMAR"/>
        <s v="HANDRI"/>
        <s v="SHELIN XAVIERA SALAM"/>
        <s v="BHAKTI HARIMURTI"/>
        <s v="MARSHERLY LOVESENZIA"/>
        <s v="MARSIANUS DWI W. DONATUS"/>
        <s v="BEDJO RAHARDJO"/>
        <s v="LENNY MARBUN"/>
        <s v="SUHARDI"/>
        <s v="FENRIADI"/>
        <s v="HENNY HO"/>
        <s v="RIZQIROIHANMUSTOFA"/>
        <s v="RIKA ANGGRAINI"/>
        <s v="YOHANES PELE KURNIAWAN"/>
        <s v="ADI RAHMANTO"/>
        <s v="EKA DEWI PRATIWI"/>
        <s v="AIRLANGGA RADITYA SYAFIQ"/>
        <s v="ALBERT RENSEN LIUNARDY"/>
        <s v="NURILHAM IRSYAD"/>
        <s v="EDDY SANTOSO"/>
        <s v="HARTATI"/>
        <s v="ALEXANDER PUTRA DARMADI"/>
        <s v="TARMANTO"/>
        <s v="RIKA RIYANTI"/>
        <s v="BAYU YOGA "/>
        <s v="BAMBANG DWIPOJONO"/>
        <s v="MEIZARANI HELJA"/>
        <s v="SARIJEM"/>
        <s v="NADIRA PARAMITA"/>
        <s v="NABILA SEPTRIA NINGRUM"/>
        <s v="WIDI TRIYANTO"/>
        <s v="NG LIP TJIU"/>
        <s v="IRENE ROYMOND"/>
        <s v="HENGKY TANUWIJAYA"/>
        <s v="ALPAWI"/>
        <s v="WELLY TRIPUTRA"/>
        <s v="FEBRIANTO LIM"/>
        <s v="ELMON UTOMO"/>
        <s v="HARISYAH BANDIANTO "/>
        <s v="LIM GEK KHIANG"/>
        <s v="OKTAVIANA "/>
        <s v="ASRIANI"/>
        <s v="ADZAN AMMAR WANDI"/>
        <s v="RIA DWI ANJANI"/>
        <s v="AHMAD NAUFAL WIRDIYAN"/>
        <s v="YANUARTI "/>
        <s v="JONO"/>
        <s v="SIWA PRANATA"/>
        <s v="VINA"/>
        <s v="ACHMAD MAULANA"/>
        <s v="VIVIANI"/>
        <s v="DHIPA RADITYA "/>
        <s v="RAJIDIN"/>
        <s v="IR DARLIYUS"/>
        <s v="OBED ROBBANI"/>
        <s v="DIAN PRAMANA RAHAYU"/>
        <s v="TRI SETIAWAN LUSLIM"/>
        <s v="SUHADA"/>
        <s v="SUMIATI 7409"/>
        <s v="OSCAR ASTRAYANANDA"/>
        <s v="YOLA PRAVIKA"/>
        <s v="TITA ROSITA"/>
        <s v="RAMNAH"/>
        <s v="M.ZAINAL"/>
        <s v="SEKAR KINANTI HERPRADANTI"/>
        <s v="NURSILA"/>
        <s v="TAN BE LEI"/>
        <s v="RIO RAMANDA "/>
        <s v="ANDY PANJAYA"/>
        <s v="NORSIANTY"/>
        <s v="EMI SETIAWATI "/>
        <s v="ANIK LAILATUL NUTTAFIA"/>
        <s v="MELISA"/>
        <s v="GIOVANNI NASTASIO PARURERA"/>
        <s v="NORSYANTI"/>
        <s v="JUNIARDI"/>
        <s v="VALENTINUS WONGSO"/>
        <s v="SILVIA"/>
        <s v="EKA LESTARI"/>
        <s v="ANDRIE HANDOKO"/>
        <s v="VEREN HALIM"/>
        <s v="SUMIATI 5405"/>
        <s v="WAHONO"/>
        <s v="BRILLIAN NINDY SEPTIA"/>
        <s v="M. PATRA MARMARA"/>
        <s v="NICHOLAS NELSON NATHANIEL"/>
        <s v="RUSMA APRIANSYAH"/>
        <s v="PATMAWATI"/>
        <s v="GEOSEPPE DE ANDREA MALDEO"/>
        <s v="AZIZ HIDAYAT"/>
        <s v="STEFANO"/>
        <s v="ATIKA MUFLIHA"/>
        <s v="ICHSAN CHANDRA"/>
        <s v="MUHAMMAD RIDHO ANSYORI"/>
        <s v="ELFIN ANUGERAH"/>
        <s v="ILHAM AZIZ"/>
        <s v="WILIANA"/>
        <s v="BOY"/>
        <s v="DWI RACHMAWAN"/>
        <s v="ZAENAL HASANUDDIN "/>
        <s v="TRI WIBOWO"/>
        <s v="DEWI MUSTIKA"/>
        <s v="ANDREAN CAHYONO"/>
        <s v="HANNY WULANDARI"/>
        <s v="TJHOEA DJAP KAUW"/>
        <s v="ANGGER CHESTA HIDAYAT"/>
        <s v="ALGI FAHRI"/>
        <s v="ANA 1978"/>
        <s v="ERICK TRIENARDO"/>
        <s v="HAMZAH"/>
        <s v="REZKY AKBAR"/>
        <s v="SELA AMANDA "/>
        <s v="TITIN AGUSTINA"/>
        <s v="JAVON"/>
        <s v="SELVIA"/>
        <s v="RIA ARYUNI "/>
        <s v="H MAHDI"/>
        <s v="ANDREAS RIAN PANAMUAN "/>
        <s v="TJHOEA THENG KAK"/>
        <s v="JOHANNES"/>
        <s v="RAHDIAN EDISON"/>
        <s v="CENDY VIBRIAN"/>
        <s v="TJONG SAU CON"/>
        <s v="ALIONG"/>
        <s v="MUHAMAD TABSYIR"/>
        <s v="DWI MARUTO"/>
        <s v="ISRI ULFAINI"/>
        <s v="AYDA RIANI JOHAR"/>
        <s v="ERWIN, ST "/>
        <s v="WARDOYO 8804"/>
        <s v="JOKO AKBAR"/>
        <s v="SANTY RIA TJHIE"/>
        <s v="ISFANDIAR, ST . MT"/>
        <s v="FERNANDO NG"/>
        <s v="JULIANTI JONARTO"/>
        <s v="EDI SUDIANDI"/>
        <s v="LIVI"/>
        <s v="FAHRI MAULIDA"/>
        <s v="FEODORA"/>
        <s v="RYAN PRAMIKA"/>
        <s v="ENDANG MULYANI"/>
        <s v="ABDULLAH SYAKUR "/>
        <s v="LAURUS EDISON"/>
        <s v="RITA RUMIATI"/>
        <s v="RESTI DEWANTARI"/>
        <s v="H.W. MANSOR ANDI MULIA"/>
        <s v="MURTINI"/>
        <s v="ANITA"/>
        <s v="LIAU NYUK HIONG"/>
        <s v="LAETITIA LAURA"/>
        <s v="SITI HADIJAH 5806"/>
        <s v="SRI ROEHANI"/>
        <s v="ARBIAN OCTORA"/>
        <s v="ALI"/>
        <s v="WENSESLAUS PALAGA"/>
        <s v="PUTRI RAHMA SARI"/>
        <s v="NAIMAH"/>
        <s v="ALICIA"/>
      </sharedItems>
    </cacheField>
    <cacheField name="JENIS" numFmtId="0">
      <sharedItems containsBlank="1">
        <s v="BARU"/>
        <m/>
        <s v="LANJUT"/>
      </sharedItems>
    </cacheField>
    <cacheField name="PEMBELIAN" numFmtId="0">
      <sharedItems>
        <s v="K.TA - TERAPI AWAL"/>
        <s v="K.ST - SESI TERAPI"/>
        <s v="K.PT - PAKET 1"/>
        <s v="K.PT - PAKET 2"/>
        <s v="V.TA - TERAPI AWAL VISIT + JARAK"/>
        <s v="V.ST - SESI VISIT"/>
        <s v="S.TR - ICE BAG"/>
        <s v="V.TA - TERAPI AWAL VISIT"/>
        <s v="V.PT - PAKET VISIT + JARAK"/>
        <s v="V.PT - PAKET VISIT"/>
        <s v="V.ST - SESI VISIT + JARAK"/>
        <s v="S.TR - BANDAGE 7,5 CM"/>
        <s v="S.TR - KINESIO TAPE"/>
        <s v="K.ST - SESI TERAPI NEW"/>
        <s v="K.PT - PAKET SILVER"/>
        <s v="K.PT - PAKET GOLD"/>
        <s v="K.PT - PAKET PLATINUM"/>
      </sharedItems>
    </cacheField>
    <cacheField name="KATEGORI PEMBELIAN" numFmtId="0">
      <sharedItems>
        <s v="TA KLINIK"/>
        <s v="SESI KLINIK"/>
        <s v="PAKET KLINIK"/>
        <s v="TA VISIT"/>
        <s v="SESI VISIT"/>
        <s v="LAINNYA"/>
        <s v="PAKET VISIT"/>
      </sharedItems>
    </cacheField>
    <cacheField name="KETERANGAN BAYAR" numFmtId="0">
      <sharedItems>
        <s v="LUNAS"/>
        <s v="PELUNASAN"/>
        <s v="DP"/>
        <s v="CICILAN"/>
      </sharedItems>
    </cacheField>
    <cacheField name="JUMLAH BAYAR" numFmtId="164">
      <sharedItems containsSemiMixedTypes="0" containsString="0" containsNumber="1" containsInteger="1">
        <n v="250000.0"/>
        <n v="150000.0"/>
        <n v="650000.0"/>
        <n v="1200000.0"/>
        <n v="450000.0"/>
        <n v="350000.0"/>
        <n v="200000.0"/>
        <n v="500000.0"/>
        <n v="50000.0"/>
        <n v="300000.0"/>
        <n v="600000.0"/>
        <n v="700000.0"/>
        <n v="100000.0"/>
        <n v="2300000.0"/>
        <n v="800000.0"/>
        <n v="1000000.0"/>
        <n v="400000.0"/>
        <n v="0.0"/>
        <n v="25000.0"/>
        <n v="45000.0"/>
        <n v="180000.0"/>
        <n v="1800000.0"/>
        <n v="750000.0"/>
        <n v="1300000.0"/>
        <n v="550000.0"/>
        <n v="2400000.0"/>
        <n v="144000.0"/>
        <n v="1040000.0"/>
      </sharedItems>
    </cacheField>
    <cacheField name="DISKON" numFmtId="164">
      <sharedItems containsSemiMixedTypes="0" containsString="0" containsNumber="1" containsInteger="1">
        <n v="0.0"/>
        <n v="200000.0"/>
        <n v="600000.0"/>
        <n v="500000.0"/>
        <n v="100000.0"/>
        <n v="1000000.0"/>
        <n v="450000.0"/>
        <n v="150000.0"/>
        <n v="250000.0"/>
        <n v="650000.0"/>
        <n v="50000.0"/>
        <n v="300000.0"/>
        <n v="350000.0"/>
        <n v="750000.0"/>
        <n v="130000.0"/>
        <n v="36000.0"/>
        <n v="260000.0"/>
      </sharedItems>
    </cacheField>
    <cacheField name="HARGA" numFmtId="164">
      <sharedItems containsSemiMixedTypes="0" containsString="0" containsNumber="1" containsInteger="1">
        <n v="250000.0"/>
        <n v="150000.0"/>
        <n v="650000.0"/>
        <n v="1200000.0"/>
        <n v="350000.0"/>
        <n v="200000.0"/>
        <n v="50000.0"/>
        <n v="300000.0"/>
        <n v="2300000.0"/>
        <n v="1800000.0"/>
        <n v="25000.0"/>
        <n v="45000.0"/>
        <n v="180000.0"/>
        <n v="750000.0"/>
        <n v="1300000.0"/>
        <n v="2400000.0"/>
      </sharedItems>
    </cacheField>
    <cacheField name="KEKURANGAN">
      <sharedItems containsMixedTypes="1" containsNumber="1" containsInteger="1">
        <n v="0.0"/>
        <n v="-450000.0"/>
        <n v="-700000.0"/>
        <n v="-200000.0"/>
        <n v="-150000.0"/>
        <n v="-800000.0"/>
        <n v="-400000.0"/>
        <n v="-500000.0"/>
        <n v="-350000.0"/>
        <n v="-1000000.0"/>
        <n v="-300000.0"/>
        <n v="-550000.0"/>
        <n v="-630000.0"/>
        <n v="-50000.0"/>
        <n v="20000.0"/>
        <n v="-250000.0"/>
        <e v="#REF!"/>
        <n v="-1100000.0"/>
      </sharedItems>
    </cacheField>
    <cacheField name="METODE BAYAR" numFmtId="0">
      <sharedItems containsBlank="1">
        <s v="TRANSFER BCA"/>
        <s v="TUNAI"/>
        <s v="EDC BCA"/>
        <s v="TRANSFER BANK KALBAR"/>
        <m/>
      </sharedItems>
    </cacheField>
    <cacheField name="PENJAMIN" numFmtId="49">
      <sharedItems containsBlank="1">
        <s v="ANDIANA MARJAYANTI"/>
        <s v="-"/>
        <s v="SRI ESRI"/>
        <s v="PUTERA ANUGRAH PRATAMA"/>
        <s v="SUGIH WIRAMANTRI"/>
        <s v="RANDA ARZA SAPUTRA"/>
        <s v="RACHMAT RIYANTO"/>
        <s v="WISNU WARDANA"/>
        <s v="ISNINDAR"/>
        <s v="ATHA HANIF PRADIPTA"/>
        <s v="GALIH PITA LOKA"/>
        <s v="WIWIK HARTATI"/>
        <s v="NIDYA RISWANDA TRISMA W"/>
        <s v="MUHAMMAD FADHIL RAMADHANI"/>
        <s v="ANDRI DOS SANTOS"/>
        <s v="YASINTA"/>
        <s v="ANANTA UTAMI"/>
        <s v="DWI RACHMAWAN"/>
        <s v="PUTRI ATIKAH"/>
        <s v="NOVI ASMARANI"/>
        <s v="CINTHYA TANJAYA"/>
        <s v="YUNICA"/>
        <s v="BENI SETIYANTO"/>
        <s v="LIMINA DJUITA LIMAS"/>
        <s v="MUHAMMAD YAKINI AKBAR"/>
        <s v="TRIATIE CHALIDYAH"/>
        <s v="SHARON LIE"/>
        <s v="HERLINA AGUSTININGSIH"/>
        <s v="NOPEARIANI"/>
        <s v="INDRY WAHYUNINGSIH"/>
        <s v="PUTRI ATIKAH LELLYANA"/>
        <s v="CHRIS MULIO JOHANES"/>
        <s v="M EKA PUTRA YUANDA"/>
        <s v="ELISABETH SUTINI"/>
        <s v="CINDY MONALISA ANDDIE"/>
        <s v="EFENDI WAHYU"/>
        <s v="RICKY ISKANDAR"/>
        <s v="DAMHUDI"/>
        <s v="IMMANUEL ABEL BELARE LIRUNG"/>
        <s v="MARTIN"/>
        <s v="K. E. ANANTA UTAMI"/>
        <s v="SAMUEL LAURENS"/>
        <s v="RUDI HARTONO"/>
        <s v="PUTRI ATIKAH "/>
        <s v="JUVENTYA"/>
        <s v="WILDAN ANKY PUTRA"/>
        <s v="FETY NOVIANTY"/>
        <s v="FITA"/>
        <s v="ELLEN ARIFIN"/>
        <s v="ICHSAN KAMIL"/>
        <s v="WIDODO 7512"/>
        <s v="SARWINTO"/>
        <s v="M FAHRIZA RAHMAN"/>
        <s v="FERA HENDRY"/>
        <s v="BINTARI INDAH SAPUTRI"/>
        <s v="MIRNA APRIANTY"/>
        <s v="NOPEARIANI, AMD.KEB"/>
        <s v="ANUSAPATI"/>
        <s v="MUCHLIS"/>
        <s v="YANTI"/>
        <s v="RIDHO YUDI PRABAWA"/>
        <s v="SUGIH WIRAMANTRI "/>
        <s v="DESI MARGASIA"/>
        <s v="NICHOLAS A"/>
        <s v="SURYANA"/>
        <s v="NOVI SEPTRIANI"/>
        <s v="CANDY WIBOWO"/>
        <s v="SYARIFAH FADILLAH"/>
        <s v="JON ALI"/>
        <s v="MAULIZA DESIANA"/>
        <s v="MUHAMMAD VIKI SYURIANSAH"/>
        <s v="HENDRA GUNAWAN"/>
        <s v="DELA MASTIKA"/>
        <s v="WINCENT CHANDRA"/>
        <s v="NUR APRIYANI"/>
        <s v="ALVIN DIYANDRA"/>
        <s v="EVI"/>
        <s v="ACHMAD RADAMA RINARDI"/>
        <s v="YAZID MISHBAH KHOIRI "/>
        <s v="YANTI TANTRA"/>
        <s v="VIONA PRICILA"/>
        <s v="JONG SULI"/>
        <s v="DELLY MARINA"/>
        <m/>
        <s v="FITRA ALHANI"/>
        <s v="NADYA MUTMAINAH"/>
        <s v="FELIKS ARMANTO"/>
        <s v="M SYAFIQ"/>
        <s v="ENNY KUSUMAWATI"/>
        <s v="MUHAMMAD REZKY NUGRAHA"/>
        <s v="MAWAR AURELYSCA IRAWAN"/>
        <s v="BAGAS BIMANTORO HARYONO"/>
        <s v="RIZQY FACHRIA"/>
        <s v="HENDRA GUNAWAN 8801"/>
        <s v="FRENKY FERIYANTO"/>
        <s v="SUCI TRIHANTINI"/>
        <s v="IRIINA "/>
        <s v="ARIEF WICAKSONO NUGROHO"/>
        <s v="AKIAN"/>
        <s v="SUMIATI"/>
        <s v="FERRY PANGKE"/>
        <s v="ARIS BUDIMAN"/>
        <s v="FATHUR RAHMAN"/>
        <s v="MUHAMMAD ICHSAN AZEVI"/>
        <s v="HENDRA GUAWAN"/>
        <s v="DIANA"/>
        <s v="TYARA HARDYANTI SUHARNO"/>
        <s v="EKA KURNIAWATI"/>
        <s v="ANDRI WIJAYA KUSUMA"/>
        <s v="FAHRIZAL RAMADHAN"/>
        <s v="IQBAL MAULANA"/>
        <s v="FLORENSIUS LAYLIM"/>
        <s v="EKA LESTARI"/>
        <s v="ARIF PARABI"/>
        <s v="RENDI ARDIAN"/>
        <s v="RAYYANDRA GHUFRAN MARIOSHA"/>
        <s v="DIRGA WIJAYA JUMAIL"/>
        <s v="SUNNY SOON"/>
        <s v="NELLY FITRIANA"/>
        <s v="TIKA MEIRAWATI"/>
        <s v="IWAN HERIYANTO"/>
        <s v="GUSTI AZLAN KHALID AYYUBI"/>
        <s v="RIZKY PUSPASARI"/>
        <s v="VERONIMUS VALENT FRANSISKUS"/>
        <s v="WEHRY"/>
        <s v="HENNY HO"/>
        <s v="LEYLI NURLITA"/>
        <s v="IWAN HERYANTO"/>
        <s v="JULIANTO"/>
        <s v="KENNETH CARMEN"/>
        <s v="ENRICO IVAN CHUA"/>
        <s v="NCHO"/>
        <s v="LIA MARISA"/>
        <s v="RAY DEDDY AZMI"/>
        <s v="SULISTIYOWATI"/>
        <s v="VERONIKA"/>
        <s v="MUHAMMAD ABDULLAH AL KAYIS"/>
        <s v="ANIS MUTIA"/>
        <s v="RIZKY RESTU ANUGRAH PALURENG"/>
        <s v="BERMAN PAULUS"/>
        <s v="MICKEL JERRI KURNIAWAN RAY "/>
        <s v="DIVO"/>
        <s v="KARTINI"/>
        <s v="ELSA ELFIRA"/>
        <s v="DHIASPUTRA BRILIANDRI"/>
        <s v="SYF NASYA SYABA"/>
        <s v="NAJWA NUR AZWINA"/>
        <s v="DIARMI"/>
        <s v="REVAEL ENGGANG ALHAQ"/>
        <s v="RIZQY PERDANA"/>
        <s v="RACHMAT HIDAYAT"/>
        <s v="VERONICA"/>
        <s v="GIGIH PURBO P"/>
        <s v="MAYONG ANDREAS ACIN"/>
        <s v="M ADY SOEPIANSYAH"/>
        <s v="VITA RESTI FARUQI"/>
        <s v="SYF AFFIA HANDA"/>
        <s v="MARSHERLY LOVESENZIA"/>
        <s v="SINDY MELANI"/>
        <s v="LENNY MARBUN"/>
        <s v="WANTI SETIANINGSIH"/>
        <s v="RIKA ANGGRAINI"/>
        <s v="ADI RAHMANTO"/>
        <s v="GILANG"/>
        <s v="NOPIANTO SAPTA BONG"/>
        <s v="HARTATI"/>
        <s v="RINA TJENDERA"/>
        <s v="TARMANTO"/>
        <s v="RIKA RIYANTI"/>
        <s v="BAMBANG DWIPOJONO"/>
        <s v="KAUSAR"/>
        <s v="MARSALINA NENE"/>
        <s v="ALBERT RENSEN LIUNARDY"/>
        <s v="SITI ROHANI"/>
        <s v="WELLY TRIPUTRA"/>
        <s v="MERRY"/>
        <s v="ELMON UTOMO"/>
        <s v="SIGIT HARTONO"/>
        <s v="LIM GEK KHIANG"/>
        <s v="OKTAVIANA "/>
        <s v="BAYU YOGA "/>
        <s v="FEBRIANTO LIM"/>
        <s v="RIA DWI ANJANI"/>
        <s v="PAK FITRA"/>
        <s v="JONO"/>
        <s v="DHIPA RADITYA"/>
        <s v="RAJIDIN"/>
        <s v="DIAN PRAMANA RAHAYU"/>
        <s v="TRI SETIAWAN LUSLIM"/>
        <s v="OSCAR ASTRAYANANDA"/>
        <s v="YOLA PRAVIKA"/>
        <s v="TITA ROSITA"/>
        <s v="PANGGI"/>
        <s v="M.ZAINAL"/>
        <s v="VINA"/>
        <s v="ACHMAD MAULANA"/>
        <s v="SEKAR KINANTI HERPRADANTI"/>
        <s v="TAN BE LEI"/>
        <s v="RIO RAMANDA"/>
        <s v="ANDY PANJAYA"/>
        <s v="ABANG DENI MAULANA"/>
        <s v="AHMAD NAUFAL WIRDIYAN"/>
        <s v="MELISA"/>
        <s v="VALENTINUS WONGSO"/>
        <s v="SILVIA"/>
        <s v="BRILLIAN NINDY SEPTIA"/>
        <s v="YUMANDA"/>
        <s v="NICHOLAS NELSON NATHANIEL"/>
        <s v="SHELSY MELANY"/>
        <s v="RUSMA APRIANSYAH"/>
        <s v="GILANGEOSEPPE DE ANDREA MALDEO"/>
        <s v="RATNA DEWI"/>
        <s v="STEFANO"/>
        <s v="SUWINDA KUSRINI"/>
        <s v="ICHSAN CHANDRA"/>
        <s v="MUHAMMAD RIDHO ANSYORI"/>
        <s v="UCI ASMARANI"/>
        <s v="SYARIFAH NASYA SYABA"/>
        <s v="TRI WIBOWO"/>
        <s v="ANDREAN CAHYONO"/>
        <s v="HANNY WULANDARI"/>
        <s v="NICHOLAS A PRASETYO"/>
        <s v="DIDI WAHYUDI"/>
        <s v="ALGI FAHRI"/>
        <s v="ERICKERICK TRIENARDO"/>
        <s v="SYARIFAH AFFIA HANDA"/>
        <s v="REVAN FELIX GOUW"/>
        <s v="ATIKA MUFLIHA"/>
        <s v="REZKY AKBAR"/>
        <s v="TITIN AGUSTINA"/>
        <s v="RIA ARYUNI"/>
        <s v="RIA ARYUNI "/>
        <s v="JOHANNES"/>
        <s v="RAHDIAN EDISON"/>
        <s v="CENDY VIBRIAN"/>
        <s v="MUHAMAD TABSYIR"/>
        <s v="AYDA RIANI JOHAR"/>
        <s v="WARDOYO"/>
        <s v="DARMADI"/>
        <s v="FERNANDO NG"/>
        <s v="VIVI YULIANA"/>
        <s v="FEODORA"/>
        <s v="RYAN PRAMIKA"/>
        <s v="ENDANG MULYANI"/>
        <s v="KRISTINA HERLINA"/>
        <s v="ELWIN LAVEDA"/>
        <s v="JULIANTI JONARTO"/>
        <s v="INDAHWATI"/>
        <s v="ANDRIE HANDOKO"/>
        <s v="VIVIANI"/>
        <s v="LAETITIA LAURA"/>
        <s v="WIONA SILASHINTA WAHYUDI"/>
        <s v="DELLY MARIANA"/>
        <s v="ALICIA"/>
      </sharedItems>
    </cacheField>
    <cacheField name="✅" numFmtId="0">
      <sharedItems>
        <b v="1"/>
        <b v="0"/>
      </sharedItems>
    </cacheField>
    <cacheField name="CATATAN" numFmtId="0">
      <sharedItems containsBlank="1">
        <m/>
        <s v="PEMAIN BAW"/>
        <s v="ANAK CE HENNY"/>
        <s v="-"/>
        <s v="BEASISWA"/>
        <s v="BAYAR UNTUK SENN"/>
        <s v="BAYAR UNTUK SENIN"/>
        <s v="PEMBAYRAN SETELAH HARI SENIN"/>
        <s v="DISC DARI MEMBER CARD"/>
        <s v="SISA 6X PERTEMUAN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4:M145" sheet="⬆️ PENGELUARAN"/>
  </cacheSource>
  <cacheFields>
    <cacheField name="Z" numFmtId="165">
      <sharedItems containsSemiMixedTypes="0" containsString="0" containsNumber="1" containsInteger="1"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</sharedItems>
    </cacheField>
    <cacheField name="ADMIN" numFmtId="0">
      <sharedItems>
        <s v="NOPI"/>
        <s v="SUCI"/>
        <s v="DHEA"/>
      </sharedItems>
    </cacheField>
    <cacheField name="TANGGAL" numFmtId="166">
      <sharedItems containsSemiMixedTypes="0" containsDate="1" containsString="0">
        <d v="2026-01-03T00:00:00Z"/>
        <d v="2026-01-04T00:00:00Z"/>
        <d v="2026-01-05T00:00:00Z"/>
        <d v="2026-01-06T00:00:00Z"/>
        <d v="2026-01-07T00:00:00Z"/>
        <d v="2026-01-08T00:00:00Z"/>
        <d v="2026-01-10T00:00:00Z"/>
        <d v="2026-01-11T00:00:00Z"/>
        <d v="2026-01-12T00:00:00Z"/>
        <d v="2026-01-13T00:00:00Z"/>
        <d v="2026-01-14T00:00:00Z"/>
        <d v="2026-01-15T00:00:00Z"/>
        <d v="2026-01-17T00:00:00Z"/>
        <d v="2026-01-18T00:00:00Z"/>
        <d v="2026-01-19T00:00:00Z"/>
        <d v="2026-01-20T00:00:00Z"/>
        <d v="2026-01-21T00:00:00Z"/>
        <d v="2026-01-22T00:00:00Z"/>
        <d v="2026-01-24T00:00:00Z"/>
        <d v="2026-01-25T00:00:00Z"/>
        <d v="2026-01-26T00:00:00Z"/>
        <d v="2026-01-27T00:00:00Z"/>
        <d v="2026-01-28T00:00:00Z"/>
        <d v="2026-01-29T00:00:00Z"/>
        <d v="2026-01-31T00:00:00Z"/>
        <d v="2026-02-02T00:00:00Z"/>
        <d v="2026-02-03T00:00:00Z"/>
        <d v="2026-02-04T00:00:00Z"/>
        <d v="2026-02-05T00:00:00Z"/>
        <d v="2026-02-07T00:00:00Z"/>
        <d v="2026-02-08T00:00:00Z"/>
        <d v="2026-02-09T00:00:00Z"/>
        <d v="2026-02-10T00:00:00Z"/>
        <d v="2026-02-11T00:00:00Z"/>
        <d v="2026-02-12T00:00:00Z"/>
        <d v="2026-02-14T00:00:00Z"/>
        <d v="2026-02-15T00:00:00Z"/>
        <d v="2026-02-16T00:00:00Z"/>
        <d v="2026-02-18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</sharedItems>
    </cacheField>
    <cacheField name="TAHUN" numFmtId="164">
      <sharedItems containsBlank="1">
        <s v="2026"/>
        <m/>
      </sharedItems>
    </cacheField>
    <cacheField name="BULAN" numFmtId="164">
      <sharedItems containsBlank="1">
        <s v="01 Jan"/>
        <m/>
        <s v="02 Feb"/>
      </sharedItems>
    </cacheField>
    <cacheField name="NOMINAL" numFmtId="164">
      <sharedItems containsSemiMixedTypes="0" containsString="0" containsNumber="1" containsInteger="1">
        <n v="148000.0"/>
        <n v="400000.0"/>
        <n v="15000.0"/>
        <n v="100000.0"/>
        <n v="150000.0"/>
        <n v="50000.0"/>
        <n v="200000.0"/>
        <n v="35000.0"/>
        <n v="300000.0"/>
        <n v="80000.0"/>
        <n v="900000.0"/>
        <n v="14000.0"/>
        <n v="86000.0"/>
        <n v="38000.0"/>
        <n v="11000.0"/>
        <n v="275000.0"/>
        <n v="25000.0"/>
        <n v="67000.0"/>
        <n v="30000.0"/>
        <n v="250000.0"/>
        <n v="40000.0"/>
        <n v="9000.0"/>
        <n v="600000.0"/>
        <n v="55000.0"/>
        <n v="95000.0"/>
        <n v="18000.0"/>
        <n v="190000.0"/>
        <n v="13000.0"/>
        <n v="90000.0"/>
        <n v="92000.0"/>
        <n v="31000.0"/>
      </sharedItems>
    </cacheField>
    <cacheField name="JENIS PENGELUARAN" numFmtId="0">
      <sharedItems>
        <s v="TUNAI"/>
      </sharedItems>
    </cacheField>
    <cacheField name="KETERANGAN" numFmtId="0">
      <sharedItems>
        <s v="BELI MAP"/>
        <s v="TIA"/>
        <s v="BELI ES BATU"/>
        <s v="SUCI"/>
        <s v="NOPI"/>
        <s v="BYR SMPAH"/>
        <s v="HENA"/>
        <s v="BELI AIR BLUE, DOUBLE TIP, MAP DAN PENGHARUM AC"/>
        <s v="EDO"/>
        <s v="ES BATU"/>
        <s v="BYR SMPH "/>
        <s v="SUCI &amp; HESTI"/>
        <s v="TT TIA"/>
        <s v="TT PASIEN (NOPE)"/>
        <s v="TT ORY"/>
        <s v="BELI NOTA DAN PEWANGI"/>
        <s v="HENA TT"/>
        <s v="TIA TT"/>
        <s v="KONSUMSI RETURN TO SPORT PIPO"/>
        <s v="HENA AMBIL UANG JARAK TA CE FEBE"/>
        <s v="DESTY AMBIL JARAK KAK NOVI 2X SESI"/>
        <s v="JARAK HENA (AN. ASNAH)"/>
        <s v="BELI LAMPU"/>
        <s v="KOPI PELANGI DANI"/>
        <s v="UPAH TEBAS RUMBUT"/>
        <s v="TT TIA BELI MAKAN TUKANG"/>
        <s v="REFUND UANG YAZID"/>
        <s v="HESTI"/>
        <s v="BELI KRESEK"/>
        <s v="TT NOPI"/>
        <s v="TT HESTI"/>
        <s v="TT HEN"/>
        <s v="DESTY AMBIL JARAK KAK NOVI SISANYA"/>
        <s v="PAKET BASEP"/>
        <s v="BAYAR SEDOT WC GRIYA ANAK"/>
        <s v="BETULKAN LAMPU DPN ASESSMENT"/>
        <s v="HENA DAN OKTA "/>
        <s v="WAHYU"/>
        <s v="REFUND UANG RATNAWITA KELEBIHAN BAYAR"/>
        <s v="SUCI TT"/>
        <s v="TT SUCI"/>
        <s v="PRITY AMBIL JARAK"/>
        <s v="BYR TAS ALONG"/>
        <s v="WAHYU BELANJA FGS"/>
        <s v="HESTI TT"/>
        <s v="BELI FOR3"/>
        <s v="TT BANG EDO"/>
        <s v="TT HENA"/>
        <s v="TT WAHYU"/>
        <s v="REFUND PASIEN VISIT"/>
        <s v="BELI MATERAI "/>
        <s v="TT NOPE"/>
        <s v="ADA DI DUIT TGL 1"/>
        <s v="DESTY AMBIL JARAK"/>
        <s v="BETULKAN LAMPU"/>
        <s v="BG EDO"/>
        <s v="KK HESTI TT"/>
        <s v="AMBIL BANNER"/>
        <s v="UANG LEBIH PASIEN AN TAUFIK"/>
        <s v="BAYAR MAXIM"/>
        <s v="AMBIL BENNER"/>
        <s v="BELI LAKBAN"/>
        <s v="KAK TIA"/>
        <s v="ORY"/>
        <s v="KAK SUCI"/>
        <s v="PUTRI AMBIL JARAK"/>
        <s v="BELI HANDSCOON"/>
        <s v="BANG EDO "/>
        <s v="KAK HENA "/>
        <s v="HENA AMBIL JARAK"/>
        <s v="DESTY "/>
      </sharedItems>
    </cacheField>
    <cacheField name="KATEGORI" numFmtId="0">
      <sharedItems>
        <s v="BEBAN PELAYANAN FGS"/>
        <s v="TUKAR TUNAI"/>
        <s v="JARAK VISIT"/>
        <s v="BEBAN GAJI"/>
        <s v="-"/>
        <s v="HESTI TT"/>
        <s v="REFUND"/>
      </sharedItems>
    </cacheField>
    <cacheField name="✅" numFmtId="0">
      <sharedItems>
        <b v="1"/>
      </sharedItems>
    </cacheField>
    <cacheField name="CATATAN" numFmtId="0">
      <sharedItems containsString="0" containsBlank="1">
        <m/>
      </sharedItems>
    </cacheField>
    <cacheField name="Column 1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📝 REKAP HARIAN" cacheId="0" dataCaption="" compact="0" compactData="0">
  <location ref="B9:C10" firstHeaderRow="0" firstDataRow="1" firstDataCol="0" rowPageCount="1" colPageCount="1"/>
  <pivotFields>
    <pivotField name="N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t="default"/>
      </items>
    </pivotField>
    <pivotField name="TANGGAL" axis="axisPag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AHUN" compact="0" outline="0" multipleItemSelectionAllowed="1" showAll="0">
      <items>
        <item x="0"/>
        <item t="default"/>
      </items>
    </pivotField>
    <pivotField name="BULAN" compact="0" outline="0" multipleItemSelectionAllowed="1" showAll="0">
      <items>
        <item x="0"/>
        <item x="1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IS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AMA PASI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JENIS" compact="0" outline="0" multipleItemSelectionAllowed="1" showAll="0">
      <items>
        <item x="0"/>
        <item x="1"/>
        <item x="2"/>
        <item t="default"/>
      </items>
    </pivotField>
    <pivotField name="PEMBEL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KATEGORI PEMBELIA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ETERANGAN BAYAR" compact="0" outline="0" multipleItemSelectionAllowed="1" showAll="0">
      <items>
        <item x="0"/>
        <item x="1"/>
        <item x="2"/>
        <item x="3"/>
        <item t="default"/>
      </items>
    </pivotField>
    <pivotField name="JUMLAH BAY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K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HAR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ETODE BAYAR" axis="axisRow" dataField="1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PENJAMI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6"/>
  </rowFields>
  <pageFields>
    <pageField fld="2"/>
  </pageFields>
  <dataFields>
    <dataField name="Jumlah Kwitansi" fld="16" subtotal="count" baseField="0"/>
  </dataFields>
</pivotTableDefinition>
</file>

<file path=xl/pivotTables/pivotTable2.xml><?xml version="1.0" encoding="utf-8"?>
<pivotTableDefinition xmlns="http://schemas.openxmlformats.org/spreadsheetml/2006/main" name="📝 REKAP HARIAN 2" cacheId="0" dataCaption="" compact="0" compactData="0">
  <location ref="F10:G11" firstHeaderRow="0" firstDataRow="1" firstDataCol="0" rowPageCount="2" colPageCount="1"/>
  <pivotFields>
    <pivotField name="N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t="default"/>
      </items>
    </pivotField>
    <pivotField name="TANGGAL" axis="axisPag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AHUN" compact="0" outline="0" multipleItemSelectionAllowed="1" showAll="0">
      <items>
        <item x="0"/>
        <item t="default"/>
      </items>
    </pivotField>
    <pivotField name="BULAN" compact="0" outline="0" multipleItemSelectionAllowed="1" showAll="0">
      <items>
        <item x="0"/>
        <item x="1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IS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AMA PASI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JENIS" compact="0" outline="0" multipleItemSelectionAllowed="1" showAll="0">
      <items>
        <item x="0"/>
        <item x="1"/>
        <item x="2"/>
        <item t="default"/>
      </items>
    </pivotField>
    <pivotField name="PEMBELIAN" axis="axisRow" compact="0" outline="0" multipleItemSelectionAllowed="1" showAll="0" sortType="ascending">
      <items>
        <item x="2"/>
        <item x="3"/>
        <item x="15"/>
        <item x="16"/>
        <item x="14"/>
        <item x="1"/>
        <item x="13"/>
        <item x="0"/>
        <item x="11"/>
        <item x="6"/>
        <item x="12"/>
        <item x="9"/>
        <item x="8"/>
        <item x="5"/>
        <item x="10"/>
        <item x="7"/>
        <item x="4"/>
        <item t="default"/>
      </items>
    </pivotField>
    <pivotField name="KATEGORI PEMBELIA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ETERANGAN BAYAR" axis="axisPage" compact="0" outline="0" multipleItemSelectionAllowed="1" showAll="0">
      <items>
        <item x="0"/>
        <item h="1" x="1"/>
        <item x="2"/>
        <item h="1" x="3"/>
        <item t="default"/>
      </items>
    </pivotField>
    <pivotField name="JUMLAH BAY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K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HAR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ETODE BAYAR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NJAMI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9"/>
  </rowFields>
  <pageFields>
    <pageField fld="2"/>
    <pageField fld="11"/>
  </pageFields>
  <dataFields>
    <dataField name="Jumlah Kwitansi" fld="16" subtotal="count" baseField="0"/>
  </dataFields>
</pivotTableDefinition>
</file>

<file path=xl/pivotTables/pivotTable3.xml><?xml version="1.0" encoding="utf-8"?>
<pivotTableDefinition xmlns="http://schemas.openxmlformats.org/spreadsheetml/2006/main" name="📝 REKAP HARIAN 3" cacheId="0" dataCaption="" compact="0" compactData="0">
  <location ref="J9:K10" firstHeaderRow="0" firstDataRow="1" firstDataCol="0" rowPageCount="1" colPageCount="1"/>
  <pivotFields>
    <pivotField name="N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t="default"/>
      </items>
    </pivotField>
    <pivotField name="TANGGAL" axis="axisPag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AHUN" compact="0" outline="0" multipleItemSelectionAllowed="1" showAll="0">
      <items>
        <item x="0"/>
        <item t="default"/>
      </items>
    </pivotField>
    <pivotField name="BULAN" compact="0" outline="0" multipleItemSelectionAllowed="1" showAll="0">
      <items>
        <item x="0"/>
        <item x="1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IS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AMA PASI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JENIS" compact="0" outline="0" multipleItemSelectionAllowed="1" showAll="0">
      <items>
        <item x="0"/>
        <item x="1"/>
        <item x="2"/>
        <item t="default"/>
      </items>
    </pivotField>
    <pivotField name="PEMBEL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KATEGORI PEMBELIA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ETERANGAN BAYAR" compact="0" outline="0" multipleItemSelectionAllowed="1" showAll="0">
      <items>
        <item x="0"/>
        <item x="1"/>
        <item x="2"/>
        <item x="3"/>
        <item t="default"/>
      </items>
    </pivotField>
    <pivotField name="JUMLAH BAYAR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K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HAR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ETODE BAYAR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PENJAMI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6"/>
  </rowFields>
  <pageFields>
    <pageField fld="2"/>
  </pageFields>
  <dataFields>
    <dataField name="Total Pemasukan" fld="12" baseField="0"/>
  </dataFields>
</pivotTableDefinition>
</file>

<file path=xl/pivotTables/pivotTable4.xml><?xml version="1.0" encoding="utf-8"?>
<pivotTableDefinition xmlns="http://schemas.openxmlformats.org/spreadsheetml/2006/main" name="📝 REKAP HARIAN 4" cacheId="1" dataCaption="" compact="0" compactData="0">
  <location ref="N9:O10" firstHeaderRow="0" firstDataRow="1" firstDataCol="0" rowPageCount="1" colPageCount="1"/>
  <pivotFields>
    <pivotField name="Z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ADMIN" compact="0" outline="0" multipleItemSelectionAllowed="1" showAll="0">
      <items>
        <item x="0"/>
        <item x="1"/>
        <item x="2"/>
        <item t="default"/>
      </items>
    </pivotField>
    <pivotField name="TANGGAL" axis="axisPag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TAHUN" compact="0" numFmtId="164" outline="0" multipleItemSelectionAllowed="1" showAll="0">
      <items>
        <item x="0"/>
        <item x="1"/>
        <item t="default"/>
      </items>
    </pivotField>
    <pivotField name="BULAN" compact="0" numFmtId="164" outline="0" multipleItemSelectionAllowed="1" showAll="0">
      <items>
        <item x="0"/>
        <item x="1"/>
        <item x="2"/>
        <item t="default"/>
      </items>
    </pivotField>
    <pivotField name="NOMIN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JENIS PENGELUARAN" axis="axisRow" compact="0" outline="0" multipleItemSelectionAllowed="1" showAll="0" sortType="ascending">
      <items>
        <item x="0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KATEGORI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✅" compact="0" outline="0" multipleItemSelectionAllowed="1" showAll="0">
      <items>
        <item x="0"/>
        <item t="default"/>
      </items>
    </pivotField>
    <pivotField name="CATATAN" compact="0" outline="0" multipleItemSelectionAllowed="1" showAll="0">
      <items>
        <item x="0"/>
        <item t="default"/>
      </items>
    </pivotField>
    <pivotField name="Column 12" compact="0" outline="0" multipleItemSelectionAllowed="1" showAll="0">
      <items>
        <item x="0"/>
        <item t="default"/>
      </items>
    </pivotField>
  </pivotFields>
  <rowFields>
    <field x="6"/>
  </rowFields>
  <pageFields>
    <pageField fld="2"/>
  </pageFields>
  <dataFields>
    <dataField name="Jumlah Nominal" fld="5" baseField="0"/>
  </dataFields>
</pivotTableDefinition>
</file>

<file path=xl/pivotTables/pivotTable5.xml><?xml version="1.0" encoding="utf-8"?>
<pivotTableDefinition xmlns="http://schemas.openxmlformats.org/spreadsheetml/2006/main" name="📈 ANALISIS BULANAN" cacheId="0" dataCaption="" compact="0" compactData="0">
  <location ref="B6:P36" firstHeaderRow="0" firstDataRow="1" firstDataCol="1" rowPageCount="1" colPageCount="1"/>
  <pivotFields>
    <pivotField name="N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t="default"/>
      </items>
    </pivotField>
    <pivotField name="TANGGAL" axis="axisRow" compact="0" numFmtId="166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7"/>
        <item x="48"/>
        <item x="49"/>
        <item x="39"/>
        <item x="50"/>
        <item x="51"/>
        <item x="52"/>
        <item x="53"/>
        <item x="54"/>
        <item t="default"/>
      </items>
    </pivotField>
    <pivotField name="TAHUN" compact="0" outline="0" multipleItemSelectionAllowed="1" showAll="0">
      <items>
        <item x="0"/>
        <item t="default"/>
      </items>
    </pivotField>
    <pivotField name="BULAN" compact="0" outline="0" multipleItemSelectionAllowed="1" showAll="0">
      <items>
        <item x="0"/>
        <item x="1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IS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AMA PASI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JENIS" compact="0" outline="0" multipleItemSelectionAllowed="1" showAll="0">
      <items>
        <item x="0"/>
        <item x="1"/>
        <item x="2"/>
        <item t="default"/>
      </items>
    </pivotField>
    <pivotField name="PEMBELIAN" axis="axisCol" dataField="1" compact="0" outline="0" multipleItemSelectionAllowed="1" showAll="0" sortType="ascending">
      <items>
        <item x="2"/>
        <item x="3"/>
        <item x="15"/>
        <item x="16"/>
        <item x="14"/>
        <item x="1"/>
        <item x="13"/>
        <item x="0"/>
        <item x="11"/>
        <item x="6"/>
        <item x="12"/>
        <item x="9"/>
        <item x="8"/>
        <item x="5"/>
        <item x="10"/>
        <item x="7"/>
        <item x="4"/>
        <item t="default"/>
      </items>
    </pivotField>
    <pivotField name="KATEGORI PEMBELIA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ETERANGAN BAYAR" axis="axisPage" compact="0" outline="0" multipleItemSelectionAllowed="1" showAll="0">
      <items>
        <item x="0"/>
        <item h="1" x="1"/>
        <item x="2"/>
        <item h="1" x="3"/>
        <item t="default"/>
      </items>
    </pivotField>
    <pivotField name="JUMLAH BAY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K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HAR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ETODE BAY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NJAMI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2"/>
  </rowFields>
  <colFields>
    <field x="9"/>
  </colFields>
  <pageFields>
    <pageField fld="11"/>
  </pageFields>
  <dataFields>
    <dataField name="COUNTA of PEMBELIAN" fld="9" subtotal="count" baseField="0"/>
  </dataFields>
</pivotTableDefinition>
</file>

<file path=xl/pivotTables/pivotTable6.xml><?xml version="1.0" encoding="utf-8"?>
<pivotTableDefinition xmlns="http://schemas.openxmlformats.org/spreadsheetml/2006/main" name="📈 ANALISIS BULANAN 2" cacheId="0" dataCaption="" compact="0" compactData="0">
  <location ref="W6:AK17" firstHeaderRow="0" firstDataRow="1" firstDataCol="1" rowPageCount="2" colPageCount="1"/>
  <pivotFields>
    <pivotField name="N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t="default"/>
      </items>
    </pivotField>
    <pivotField name="TANGGAL" axis="axisPag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AHUN" compact="0" outline="0" multipleItemSelectionAllowed="1" showAll="0">
      <items>
        <item x="0"/>
        <item t="default"/>
      </items>
    </pivotField>
    <pivotField name="BULAN" compact="0" outline="0" multipleItemSelectionAllowed="1" showAll="0">
      <items>
        <item x="0"/>
        <item x="1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ISIO" axis="axisRow" compact="0" outline="0" multipleItemSelectionAllowed="1" showAll="0" sortType="ascending">
      <items>
        <item x="6"/>
        <item h="1" x="2"/>
        <item x="4"/>
        <item h="1" x="9"/>
        <item x="8"/>
        <item x="7"/>
        <item x="0"/>
        <item x="5"/>
        <item x="3"/>
        <item x="10"/>
        <item x="1"/>
        <item t="default"/>
      </items>
    </pivotField>
    <pivotField name="NAMA PASI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JENIS" compact="0" outline="0" multipleItemSelectionAllowed="1" showAll="0">
      <items>
        <item x="0"/>
        <item x="1"/>
        <item x="2"/>
        <item t="default"/>
      </items>
    </pivotField>
    <pivotField name="PEMBELIAN" axis="axisCol" dataField="1" compact="0" outline="0" multipleItemSelectionAllowed="1" showAll="0" sortType="ascending">
      <items>
        <item x="2"/>
        <item x="3"/>
        <item x="15"/>
        <item x="16"/>
        <item x="14"/>
        <item x="1"/>
        <item x="13"/>
        <item x="0"/>
        <item x="11"/>
        <item x="6"/>
        <item x="12"/>
        <item x="9"/>
        <item x="8"/>
        <item x="5"/>
        <item x="10"/>
        <item x="7"/>
        <item x="4"/>
        <item t="default"/>
      </items>
    </pivotField>
    <pivotField name="KATEGORI PEMBELIA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ETERANGAN BAYAR" axis="axisPage" compact="0" outline="0" multipleItemSelectionAllowed="1" showAll="0">
      <items>
        <item x="0"/>
        <item h="1" x="1"/>
        <item x="2"/>
        <item h="1" x="3"/>
        <item t="default"/>
      </items>
    </pivotField>
    <pivotField name="JUMLAH BAY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K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HAR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ETODE BAY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NJAMI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6"/>
  </rowFields>
  <colFields>
    <field x="9"/>
  </colFields>
  <pageFields>
    <pageField fld="11"/>
    <pageField fld="2"/>
  </pageFields>
  <dataFields>
    <dataField name="COUNTA of PEMBELIAN" fld="9" subtotal="count" baseField="0"/>
  </dataFields>
</pivotTableDefinition>
</file>

<file path=xl/pivotTables/pivotTable7.xml><?xml version="1.0" encoding="utf-8"?>
<pivotTableDefinition xmlns="http://schemas.openxmlformats.org/spreadsheetml/2006/main" name="📈 Analisis Tahunan" cacheId="0" dataCaption="" createdVersion="6" compact="0" compactData="0">
  <location ref="B5:E24" firstHeaderRow="0" firstDataRow="1" firstDataCol="1" rowPageCount="1" colPageCount="1"/>
  <pivotFields>
    <pivotField name="N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t="default"/>
      </items>
    </pivotField>
    <pivotField name="TANGGAL" axis="axisPag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AHUN" compact="0" outline="0" multipleItemSelectionAllowed="1" showAll="0">
      <items>
        <item x="0"/>
        <item t="default"/>
      </items>
    </pivotField>
    <pivotField name="BULAN" axis="axisCol" compact="0" outline="0" multipleItemSelectionAllowed="1" showAll="0" sortType="ascending">
      <items>
        <item x="0"/>
        <item x="1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IS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AMA PASI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JENIS" compact="0" outline="0" multipleItemSelectionAllowed="1" showAll="0">
      <items>
        <item x="0"/>
        <item x="1"/>
        <item x="2"/>
        <item t="default"/>
      </items>
    </pivotField>
    <pivotField name="PEMBELIAN" axis="axisRow" compact="0" outline="0" multipleItemSelectionAllowed="1" showAll="0" sortType="ascending">
      <items>
        <item x="2"/>
        <item x="3"/>
        <item x="15"/>
        <item x="16"/>
        <item x="14"/>
        <item x="1"/>
        <item x="13"/>
        <item x="0"/>
        <item x="11"/>
        <item x="6"/>
        <item x="12"/>
        <item x="9"/>
        <item x="8"/>
        <item x="5"/>
        <item x="10"/>
        <item x="7"/>
        <item x="4"/>
        <item t="default"/>
      </items>
    </pivotField>
    <pivotField name="KATEGORI PEMBELIA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ETERANGAN BAYAR" compact="0" outline="0" multipleItemSelectionAllowed="1" showAll="0">
      <items>
        <item x="0"/>
        <item x="1"/>
        <item x="2"/>
        <item x="3"/>
        <item t="default"/>
      </items>
    </pivotField>
    <pivotField name="JUMLAH BAYAR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K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HAR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ETODE BAY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NJAMI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9"/>
  </rowFields>
  <colFields>
    <field x="4"/>
  </colFields>
  <pageFields>
    <pageField fld="2"/>
  </pageFields>
  <dataFields>
    <dataField name="SUM of JUMLAH BAYAR" fld="12" baseField="0"/>
  </dataFields>
  <filters>
    <filter fld="2" type="captionBetween" evalOrder="-1" id="1" stringValue1="1/1/2026" stringValue2="31/12/2026">
      <autoFilter ref="A1">
        <filterColumn colId="0">
          <customFilters and="1">
            <customFilter operator="greaterThanOrEqual" val="1/1/2026"/>
            <customFilter operator="lessThanOrEqual" val="31/12/2026"/>
          </customFilters>
        </filterColumn>
      </autoFilter>
    </filter>
  </filters>
</pivotTableDefinition>
</file>

<file path=xl/tables/table1.xml><?xml version="1.0" encoding="utf-8"?>
<table xmlns="http://schemas.openxmlformats.org/spreadsheetml/2006/main" headerRowCount="0" ref="A1:E5337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👥 Daftar Nama Pasien-style" showColumnStripes="0" showFirstColumn="1" showLastColumn="1" showRowStripes="1"/>
</table>
</file>

<file path=xl/tables/table2.xml><?xml version="1.0" encoding="utf-8"?>
<table xmlns="http://schemas.openxmlformats.org/spreadsheetml/2006/main" ref="B4:U800" displayName="PEMASUKAN" name="PEMASUKAN" id="2">
  <tableColumns count="20">
    <tableColumn name="NO" id="1"/>
    <tableColumn name="ADMIN" id="2"/>
    <tableColumn name="TANGGAL" id="3"/>
    <tableColumn name="TAHUN" id="4"/>
    <tableColumn name="BULAN" id="5"/>
    <tableColumn name="JAM" id="6"/>
    <tableColumn name="FISIO" id="7"/>
    <tableColumn name="NAMA PASIEN" id="8"/>
    <tableColumn name="JENIS" id="9"/>
    <tableColumn name="PEMBELIAN" id="10"/>
    <tableColumn name="KATEGORI PEMBELIAN" id="11"/>
    <tableColumn name="KETERANGAN BAYAR" id="12"/>
    <tableColumn name="JUMLAH BAYAR" id="13"/>
    <tableColumn name="DISKON" id="14"/>
    <tableColumn name="HARGA" id="15"/>
    <tableColumn name="KEKURANGAN" id="16"/>
    <tableColumn name="METODE BAYAR" id="17"/>
    <tableColumn name="PENJAMIN" id="18"/>
    <tableColumn name="✅" id="19"/>
    <tableColumn name="CATATAN" id="20"/>
  </tableColumns>
  <tableStyleInfo name="⬇️ PEMASUKAN-style" showColumnStripes="0" showFirstColumn="1" showLastColumn="1" showRowStripes="1"/>
</table>
</file>

<file path=xl/tables/table3.xml><?xml version="1.0" encoding="utf-8"?>
<table xmlns="http://schemas.openxmlformats.org/spreadsheetml/2006/main" ref="B4:M145" displayName="PENGELUARAN" name="PENGELUARAN" id="3">
  <autoFilter ref="$B$4:$M$145"/>
  <tableColumns count="12">
    <tableColumn name="Z" id="1"/>
    <tableColumn name="ADMIN" id="2"/>
    <tableColumn name="TANGGAL" id="3"/>
    <tableColumn name="TAHUN" id="4"/>
    <tableColumn name="BULAN" id="5"/>
    <tableColumn name="NOMINAL" id="6"/>
    <tableColumn name="JENIS PENGELUARAN" id="7"/>
    <tableColumn name="KETERANGAN" id="8"/>
    <tableColumn name="KATEGORI" id="9"/>
    <tableColumn name="✅" id="10"/>
    <tableColumn name="CATATAN" id="11"/>
    <tableColumn name="Column 12" id="12"/>
  </tableColumns>
  <tableStyleInfo name="⬆️ PENGELUARAN-style" showColumnStripes="0" showFirstColumn="1" showLastColumn="1" showRowStripes="1"/>
</table>
</file>

<file path=xl/tables/table4.xml><?xml version="1.0" encoding="utf-8"?>
<table xmlns="http://schemas.openxmlformats.org/spreadsheetml/2006/main" ref="A2:J1181" displayName="CLOSING_TA" name="CLOSING_TA" id="4">
  <tableColumns count="10">
    <tableColumn name="TANGGAL" id="1"/>
    <tableColumn name="Bulan" id="2"/>
    <tableColumn name="NAMA PASIEN" id="3"/>
    <tableColumn name="USIA" id="4"/>
    <tableColumn name="LAYANAN TERAKHIR" id="5"/>
    <tableColumn name="STATUS" id="6"/>
    <tableColumn name="KATEGORI" id="7"/>
    <tableColumn name="TERAPIS" id="8"/>
    <tableColumn name="ADMIN" id="9"/>
    <tableColumn name="KETERANGAN" id="10"/>
  </tableColumns>
  <tableStyleInfo name="🎯 ANALISIS CLOSING-style" showColumnStripes="0" showFirstColumn="1" showLastColumn="1" showRowStripes="1"/>
</table>
</file>

<file path=xl/tables/table5.xml><?xml version="1.0" encoding="utf-8"?>
<table xmlns="http://schemas.openxmlformats.org/spreadsheetml/2006/main" ref="M2:R13" displayName="Table2" name="Table2" id="5">
  <tableColumns count="6">
    <tableColumn name="TERAPIS" id="1"/>
    <tableColumn name="JUMLAH TA" id="2"/>
    <tableColumn name="CLOSING PAKET" id="3"/>
    <tableColumn name="CLOSING SESI" id="4"/>
    <tableColumn name="TIDAK CLOSING" id="5"/>
    <tableColumn name="TOTAL CLOSING" id="6"/>
  </tableColumns>
  <tableStyleInfo name="🎯 ANALISIS CLOSING-style 2" showColumnStripes="0" showFirstColumn="1" showLastColumn="1" showRowStripes="1"/>
</table>
</file>

<file path=xl/tables/table6.xml><?xml version="1.0" encoding="utf-8"?>
<table xmlns="http://schemas.openxmlformats.org/spreadsheetml/2006/main" ref="U2:Y13" displayName="Table3" name="Table3" id="6">
  <tableColumns count="5">
    <tableColumn name="TERAPIS" id="1"/>
    <tableColumn name="CLOSING PAKET" id="2"/>
    <tableColumn name="CLOSING SESI" id="3"/>
    <tableColumn name="TIDAK CLOSING" id="4"/>
    <tableColumn name="TOTAL CLOSING" id="5"/>
  </tableColumns>
  <tableStyleInfo name="🎯 ANALISIS CLOSING-style 3" showColumnStripes="0" showFirstColumn="1" showLastColumn="1" showRowStripes="1"/>
</table>
</file>

<file path=xl/tables/table7.xml><?xml version="1.0" encoding="utf-8"?>
<table xmlns="http://schemas.openxmlformats.org/spreadsheetml/2006/main" ref="A1:F12" displayName="Table1" name="Table1" id="7">
  <tableColumns count="6">
    <tableColumn name="Nama Fisio" id="1"/>
    <tableColumn name="Paket 1" id="2"/>
    <tableColumn name="Paket 2" id="3"/>
    <tableColumn name="Paket 3" id="4"/>
    <tableColumn name="TA/Sesi Visit" id="5"/>
    <tableColumn name="Paket Visit" id="6"/>
  </tableColumns>
  <tableStyleInfo name="PFOTM-style" showColumnStripes="0" showFirstColumn="1" showLastColumn="1" showRowStripes="1"/>
</table>
</file>

<file path=xl/tables/table8.xml><?xml version="1.0" encoding="utf-8"?>
<table xmlns="http://schemas.openxmlformats.org/spreadsheetml/2006/main" headerRowCount="0" ref="A1:S46" displayName="Table_2" name="Table_2" id="8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⚙️ Pengatur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.si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2.63"/>
    <col customWidth="1" min="2" max="2" width="25.13"/>
    <col customWidth="1" min="5" max="5" width="2.63"/>
  </cols>
  <sheetData>
    <row r="1" hidden="1" outlineLevel="1">
      <c r="A1" s="1"/>
      <c r="B1" s="2" t="str">
        <f>IFERROR(__xludf.DUMMYFUNCTION("IMPORTRANGE(""https://docs.google.com/spreadsheets/d/1q5irXBuyRkQM_goHlRjPTSwHk1on6thK70p8lljqLrs/edit?gid=1342096879#gid=1342096879"",""🙎‍♂️ Pasien!$G$2:$I"")"),"Nama Pasien")</f>
        <v>Nama Pasien</v>
      </c>
      <c r="C1" s="2" t="str">
        <f>IFERROR(__xludf.DUMMYFUNCTION("""COMPUTED_VALUE"""),"No. RM")</f>
        <v>No. RM</v>
      </c>
      <c r="D1" s="2" t="str">
        <f>IFERROR(__xludf.DUMMYFUNCTION("""COMPUTED_VALUE"""),"Usia")</f>
        <v>Usia</v>
      </c>
      <c r="E1" s="1"/>
    </row>
    <row r="2" hidden="1" outlineLevel="1">
      <c r="A2" s="1"/>
      <c r="B2" s="3" t="str">
        <f>IFERROR(__xludf.DUMMYFUNCTION("""COMPUTED_VALUE"""),"OFF")</f>
        <v>OFF</v>
      </c>
      <c r="C2" s="3" t="str">
        <f>IFERROR(__xludf.DUMMYFUNCTION("""COMPUTED_VALUE"""),"OFF")</f>
        <v>OFF</v>
      </c>
      <c r="D2" s="3"/>
      <c r="E2" s="1"/>
    </row>
    <row r="3" hidden="1" outlineLevel="1">
      <c r="A3" s="1"/>
      <c r="B3" s="3" t="str">
        <f>IFERROR(__xludf.DUMMYFUNCTION("""COMPUTED_VALUE"""),"LIBUR")</f>
        <v>LIBUR</v>
      </c>
      <c r="C3" s="3" t="str">
        <f>IFERROR(__xludf.DUMMYFUNCTION("""COMPUTED_VALUE"""),"LIBUR")</f>
        <v>LIBUR</v>
      </c>
      <c r="D3" s="3"/>
      <c r="E3" s="1"/>
    </row>
    <row r="4" hidden="1" outlineLevel="1">
      <c r="A4" s="1"/>
      <c r="B4" s="3" t="str">
        <f>IFERROR(__xludf.DUMMYFUNCTION("""COMPUTED_VALUE"""),"TA")</f>
        <v>TA</v>
      </c>
      <c r="C4" s="3"/>
      <c r="D4" s="3"/>
      <c r="E4" s="1"/>
    </row>
    <row r="5" hidden="1" outlineLevel="1">
      <c r="A5" s="1"/>
      <c r="B5" s="3" t="str">
        <f>IFERROR(__xludf.DUMMYFUNCTION("""COMPUTED_VALUE"""),"MANAJEMEN")</f>
        <v>MANAJEMEN</v>
      </c>
      <c r="C5" s="3" t="str">
        <f>IFERROR(__xludf.DUMMYFUNCTION("""COMPUTED_VALUE"""),"MANAJEMEN")</f>
        <v>MANAJEMEN</v>
      </c>
      <c r="D5" s="3"/>
      <c r="E5" s="1"/>
    </row>
    <row r="6" collapsed="1">
      <c r="A6" s="1"/>
      <c r="B6" s="3" t="str">
        <f>IFERROR(__xludf.DUMMYFUNCTION("""COMPUTED_VALUE"""),"KHUSUS")</f>
        <v>KHUSUS</v>
      </c>
      <c r="C6" s="3" t="str">
        <f>IFERROR(__xludf.DUMMYFUNCTION("""COMPUTED_VALUE"""),"KHUSUS")</f>
        <v>KHUSUS</v>
      </c>
      <c r="D6" s="3"/>
      <c r="E6" s="1"/>
    </row>
    <row r="7">
      <c r="A7" s="1"/>
      <c r="B7" s="3" t="str">
        <f>IFERROR(__xludf.DUMMYFUNCTION("""COMPUTED_VALUE"""),"PIPO")</f>
        <v>PIPO</v>
      </c>
      <c r="C7" s="3" t="str">
        <f>IFERROR(__xludf.DUMMYFUNCTION("""COMPUTED_VALUE"""),"PANGSUMA FC")</f>
        <v>PANGSUMA FC</v>
      </c>
      <c r="D7" s="3"/>
      <c r="E7" s="1"/>
    </row>
    <row r="8">
      <c r="A8" s="1"/>
      <c r="B8" s="3"/>
      <c r="C8" s="3" t="str">
        <f>IFERROR(__xludf.DUMMYFUNCTION("""COMPUTED_VALUE"""),"")</f>
        <v/>
      </c>
      <c r="D8" s="3" t="str">
        <f>IFERROR(__xludf.DUMMYFUNCTION("""COMPUTED_VALUE"""),"")</f>
        <v/>
      </c>
      <c r="E8" s="1"/>
    </row>
    <row r="9">
      <c r="A9" s="1"/>
      <c r="B9" s="3" t="str">
        <f>IFERROR(__xludf.DUMMYFUNCTION("""COMPUTED_VALUE"""),"ZHOFRAN FARRAS ATAYA")</f>
        <v>ZHOFRAN FARRAS ATAYA</v>
      </c>
      <c r="C9" s="3" t="str">
        <f>IFERROR(__xludf.DUMMYFUNCTION("""COMPUTED_VALUE"""),"Z0922105765")</f>
        <v>Z0922105765</v>
      </c>
      <c r="D9" s="3">
        <f>IFERROR(__xludf.DUMMYFUNCTION("""COMPUTED_VALUE"""),17.0)</f>
        <v>17</v>
      </c>
      <c r="E9" s="1"/>
    </row>
    <row r="10">
      <c r="A10" s="1"/>
      <c r="B10" s="3" t="str">
        <f>IFERROR(__xludf.DUMMYFUNCTION("""COMPUTED_VALUE"""),"DIAH SUCI RINI")</f>
        <v>DIAH SUCI RINI</v>
      </c>
      <c r="C10" s="3" t="str">
        <f>IFERROR(__xludf.DUMMYFUNCTION("""COMPUTED_VALUE"""),"D5722102445")</f>
        <v>D5722102445</v>
      </c>
      <c r="D10" s="3">
        <f>IFERROR(__xludf.DUMMYFUNCTION("""COMPUTED_VALUE"""),68.0)</f>
        <v>68</v>
      </c>
      <c r="E10" s="1"/>
    </row>
    <row r="11">
      <c r="A11" s="1"/>
      <c r="B11" s="3" t="str">
        <f>IFERROR(__xludf.DUMMYFUNCTION("""COMPUTED_VALUE"""),"MEIZARANI HELJA")</f>
        <v>MEIZARANI HELJA</v>
      </c>
      <c r="C11" s="3" t="str">
        <f>IFERROR(__xludf.DUMMYFUNCTION("""COMPUTED_VALUE"""),"M9322128010")</f>
        <v>M9322128010</v>
      </c>
      <c r="D11" s="3">
        <f>IFERROR(__xludf.DUMMYFUNCTION("""COMPUTED_VALUE"""),33.0)</f>
        <v>33</v>
      </c>
      <c r="E11" s="1"/>
    </row>
    <row r="12">
      <c r="A12" s="1"/>
      <c r="B12" s="3" t="str">
        <f>IFERROR(__xludf.DUMMYFUNCTION("""COMPUTED_VALUE"""),"HUWAIDAH THIFAL NAURAH")</f>
        <v>HUWAIDAH THIFAL NAURAH</v>
      </c>
      <c r="C12" s="3" t="str">
        <f>IFERROR(__xludf.DUMMYFUNCTION("""COMPUTED_VALUE"""),"H0123016085")</f>
        <v>H0123016085</v>
      </c>
      <c r="D12" s="3">
        <f>IFERROR(__xludf.DUMMYFUNCTION("""COMPUTED_VALUE"""),25.0)</f>
        <v>25</v>
      </c>
      <c r="E12" s="1"/>
    </row>
    <row r="13">
      <c r="A13" s="1"/>
      <c r="B13" s="3" t="str">
        <f>IFERROR(__xludf.DUMMYFUNCTION("""COMPUTED_VALUE"""),"SUFIRNA")</f>
        <v>SUFIRNA</v>
      </c>
      <c r="C13" s="3" t="str">
        <f>IFERROR(__xludf.DUMMYFUNCTION("""COMPUTED_VALUE"""),"S7823018882")</f>
        <v>S7823018882</v>
      </c>
      <c r="D13" s="3">
        <f>IFERROR(__xludf.DUMMYFUNCTION("""COMPUTED_VALUE"""),48.0)</f>
        <v>48</v>
      </c>
      <c r="E13" s="1"/>
    </row>
    <row r="14">
      <c r="A14" s="1"/>
      <c r="B14" s="3" t="str">
        <f>IFERROR(__xludf.DUMMYFUNCTION("""COMPUTED_VALUE"""),"ALVIN DIYANDRA")</f>
        <v>ALVIN DIYANDRA</v>
      </c>
      <c r="C14" s="3" t="str">
        <f>IFERROR(__xludf.DUMMYFUNCTION("""COMPUTED_VALUE"""),"A9723017817")</f>
        <v>A9723017817</v>
      </c>
      <c r="D14" s="3">
        <f>IFERROR(__xludf.DUMMYFUNCTION("""COMPUTED_VALUE"""),29.0)</f>
        <v>29</v>
      </c>
      <c r="E14" s="1"/>
    </row>
    <row r="15">
      <c r="A15" s="1"/>
      <c r="B15" s="3" t="str">
        <f>IFERROR(__xludf.DUMMYFUNCTION("""COMPUTED_VALUE"""),"ANDI ICHWANUL AZWAR")</f>
        <v>ANDI ICHWANUL AZWAR</v>
      </c>
      <c r="C15" s="3" t="str">
        <f>IFERROR(__xludf.DUMMYFUNCTION("""COMPUTED_VALUE"""),"A8823011011")</f>
        <v>A8823011011</v>
      </c>
      <c r="D15" s="3">
        <f>IFERROR(__xludf.DUMMYFUNCTION("""COMPUTED_VALUE"""),37.0)</f>
        <v>37</v>
      </c>
      <c r="E15" s="1"/>
    </row>
    <row r="16">
      <c r="A16" s="1"/>
      <c r="B16" s="3" t="str">
        <f>IFERROR(__xludf.DUMMYFUNCTION("""COMPUTED_VALUE"""),"AREEFAQEEL DIEN HAQQ")</f>
        <v>AREEFAQEEL DIEN HAQQ</v>
      </c>
      <c r="C16" s="3" t="str">
        <f>IFERROR(__xludf.DUMMYFUNCTION("""COMPUTED_VALUE"""),"A1023015335")</f>
        <v>A1023015335</v>
      </c>
      <c r="D16" s="3">
        <f>IFERROR(__xludf.DUMMYFUNCTION("""COMPUTED_VALUE"""),15.0)</f>
        <v>15</v>
      </c>
      <c r="E16" s="1"/>
    </row>
    <row r="17">
      <c r="A17" s="1"/>
      <c r="B17" s="3" t="str">
        <f>IFERROR(__xludf.DUMMYFUNCTION("""COMPUTED_VALUE"""),"NURLINA")</f>
        <v>NURLINA</v>
      </c>
      <c r="C17" s="3" t="str">
        <f>IFERROR(__xludf.DUMMYFUNCTION("""COMPUTED_VALUE"""),"N8523017483")</f>
        <v>N8523017483</v>
      </c>
      <c r="D17" s="3">
        <f>IFERROR(__xludf.DUMMYFUNCTION("""COMPUTED_VALUE"""),40.0)</f>
        <v>40</v>
      </c>
      <c r="E17" s="1"/>
    </row>
    <row r="18">
      <c r="A18" s="1"/>
      <c r="B18" s="3" t="str">
        <f>IFERROR(__xludf.DUMMYFUNCTION("""COMPUTED_VALUE"""),"A. THENU")</f>
        <v>A. THENU</v>
      </c>
      <c r="C18" s="3" t="str">
        <f>IFERROR(__xludf.DUMMYFUNCTION("""COMPUTED_VALUE"""),"A7023018857")</f>
        <v>A7023018857</v>
      </c>
      <c r="D18" s="3">
        <f>IFERROR(__xludf.DUMMYFUNCTION("""COMPUTED_VALUE"""),55.0)</f>
        <v>55</v>
      </c>
      <c r="E18" s="1"/>
    </row>
    <row r="19">
      <c r="A19" s="1"/>
      <c r="B19" s="3" t="str">
        <f>IFERROR(__xludf.DUMMYFUNCTION("""COMPUTED_VALUE"""),"ATIKA ALIFIA F. TOBING")</f>
        <v>ATIKA ALIFIA F. TOBING</v>
      </c>
      <c r="C19" s="3" t="str">
        <f>IFERROR(__xludf.DUMMYFUNCTION("""COMPUTED_VALUE"""),"A9023018425")</f>
        <v>A9023018425</v>
      </c>
      <c r="D19" s="3">
        <f>IFERROR(__xludf.DUMMYFUNCTION("""COMPUTED_VALUE"""),36.0)</f>
        <v>36</v>
      </c>
      <c r="E19" s="1"/>
    </row>
    <row r="20">
      <c r="A20" s="1"/>
      <c r="B20" s="3" t="str">
        <f>IFERROR(__xludf.DUMMYFUNCTION("""COMPUTED_VALUE"""),"JAKA SEPTIADI")</f>
        <v>JAKA SEPTIADI</v>
      </c>
      <c r="C20" s="3" t="str">
        <f>IFERROR(__xludf.DUMMYFUNCTION("""COMPUTED_VALUE"""),"J8823016633")</f>
        <v>J8823016633</v>
      </c>
      <c r="D20" s="3">
        <f>IFERROR(__xludf.DUMMYFUNCTION("""COMPUTED_VALUE"""),38.0)</f>
        <v>38</v>
      </c>
      <c r="E20" s="1"/>
    </row>
    <row r="21">
      <c r="A21" s="1"/>
      <c r="B21" s="3" t="str">
        <f>IFERROR(__xludf.DUMMYFUNCTION("""COMPUTED_VALUE"""),"MARIYO")</f>
        <v>MARIYO</v>
      </c>
      <c r="C21" s="3" t="str">
        <f>IFERROR(__xludf.DUMMYFUNCTION("""COMPUTED_VALUE"""),"M6523010470")</f>
        <v>M6523010470</v>
      </c>
      <c r="D21" s="3">
        <f>IFERROR(__xludf.DUMMYFUNCTION("""COMPUTED_VALUE"""),60.0)</f>
        <v>60</v>
      </c>
      <c r="E21" s="1"/>
    </row>
    <row r="22">
      <c r="A22" s="1"/>
      <c r="B22" s="3" t="str">
        <f>IFERROR(__xludf.DUMMYFUNCTION("""COMPUTED_VALUE"""),"ADIEL PRATAMA PUTRA K.")</f>
        <v>ADIEL PRATAMA PUTRA K.</v>
      </c>
      <c r="C22" s="3" t="str">
        <f>IFERROR(__xludf.DUMMYFUNCTION("""COMPUTED_VALUE"""),"A0623015163")</f>
        <v>A0623015163</v>
      </c>
      <c r="D22" s="3">
        <f>IFERROR(__xludf.DUMMYFUNCTION("""COMPUTED_VALUE"""),20.0)</f>
        <v>20</v>
      </c>
      <c r="E22" s="1"/>
    </row>
    <row r="23">
      <c r="A23" s="1"/>
      <c r="B23" s="3" t="str">
        <f>IFERROR(__xludf.DUMMYFUNCTION("""COMPUTED_VALUE"""),"DAVID BURUI")</f>
        <v>DAVID BURUI</v>
      </c>
      <c r="C23" s="3" t="str">
        <f>IFERROR(__xludf.DUMMYFUNCTION("""COMPUTED_VALUE"""),"D6123013327")</f>
        <v>D6123013327</v>
      </c>
      <c r="D23" s="3">
        <f>IFERROR(__xludf.DUMMYFUNCTION("""COMPUTED_VALUE"""),64.0)</f>
        <v>64</v>
      </c>
      <c r="E23" s="1"/>
    </row>
    <row r="24">
      <c r="A24" s="1"/>
      <c r="B24" s="3" t="str">
        <f>IFERROR(__xludf.DUMMYFUNCTION("""COMPUTED_VALUE"""),"DEDI SUNARDI")</f>
        <v>DEDI SUNARDI</v>
      </c>
      <c r="C24" s="3" t="str">
        <f>IFERROR(__xludf.DUMMYFUNCTION("""COMPUTED_VALUE"""),"D8223017622")</f>
        <v>D8223017622</v>
      </c>
      <c r="D24" s="3">
        <f>IFERROR(__xludf.DUMMYFUNCTION("""COMPUTED_VALUE"""),43.0)</f>
        <v>43</v>
      </c>
      <c r="E24" s="1"/>
    </row>
    <row r="25">
      <c r="A25" s="1"/>
      <c r="B25" s="3" t="str">
        <f>IFERROR(__xludf.DUMMYFUNCTION("""COMPUTED_VALUE"""),"MIGUEL TJONDRO")</f>
        <v>MIGUEL TJONDRO</v>
      </c>
      <c r="C25" s="3" t="str">
        <f>IFERROR(__xludf.DUMMYFUNCTION("""COMPUTED_VALUE"""),"M9823010741")</f>
        <v>M9823010741</v>
      </c>
      <c r="D25" s="3">
        <f>IFERROR(__xludf.DUMMYFUNCTION("""COMPUTED_VALUE"""),28.0)</f>
        <v>28</v>
      </c>
      <c r="E25" s="1"/>
    </row>
    <row r="26">
      <c r="A26" s="1"/>
      <c r="B26" s="3" t="str">
        <f>IFERROR(__xludf.DUMMYFUNCTION("""COMPUTED_VALUE"""),"TRI WAHYUNI")</f>
        <v>TRI WAHYUNI</v>
      </c>
      <c r="C26" s="3" t="str">
        <f>IFERROR(__xludf.DUMMYFUNCTION("""COMPUTED_VALUE"""),"T7623010391")</f>
        <v>T7623010391</v>
      </c>
      <c r="D26" s="3">
        <f>IFERROR(__xludf.DUMMYFUNCTION("""COMPUTED_VALUE"""),50.0)</f>
        <v>50</v>
      </c>
      <c r="E26" s="1"/>
    </row>
    <row r="27">
      <c r="A27" s="1"/>
      <c r="B27" s="3" t="str">
        <f>IFERROR(__xludf.DUMMYFUNCTION("""COMPUTED_VALUE"""),"ANANTA UTAMI")</f>
        <v>ANANTA UTAMI</v>
      </c>
      <c r="C27" s="3" t="str">
        <f>IFERROR(__xludf.DUMMYFUNCTION("""COMPUTED_VALUE"""),"A9123011070")</f>
        <v>A9123011070</v>
      </c>
      <c r="D27" s="3">
        <f>IFERROR(__xludf.DUMMYFUNCTION("""COMPUTED_VALUE"""),34.0)</f>
        <v>34</v>
      </c>
      <c r="E27" s="1"/>
    </row>
    <row r="28">
      <c r="A28" s="1"/>
      <c r="B28" s="3" t="str">
        <f>IFERROR(__xludf.DUMMYFUNCTION("""COMPUTED_VALUE"""),"EMMI")</f>
        <v>EMMI</v>
      </c>
      <c r="C28" s="3" t="str">
        <f>IFERROR(__xludf.DUMMYFUNCTION("""COMPUTED_VALUE"""),"E6223013059")</f>
        <v>E6223013059</v>
      </c>
      <c r="D28" s="3">
        <f>IFERROR(__xludf.DUMMYFUNCTION("""COMPUTED_VALUE"""),63.0)</f>
        <v>63</v>
      </c>
      <c r="E28" s="1"/>
    </row>
    <row r="29">
      <c r="A29" s="1"/>
      <c r="B29" s="3" t="str">
        <f>IFERROR(__xludf.DUMMYFUNCTION("""COMPUTED_VALUE"""),"ZIQRIL HAKIM R")</f>
        <v>ZIQRIL HAKIM R</v>
      </c>
      <c r="C29" s="3" t="str">
        <f>IFERROR(__xludf.DUMMYFUNCTION("""COMPUTED_VALUE"""),"Z0423010391")</f>
        <v>Z0423010391</v>
      </c>
      <c r="D29" s="3">
        <f>IFERROR(__xludf.DUMMYFUNCTION("""COMPUTED_VALUE"""),21.0)</f>
        <v>21</v>
      </c>
      <c r="E29" s="1"/>
    </row>
    <row r="30">
      <c r="A30" s="1"/>
      <c r="B30" s="3" t="str">
        <f>IFERROR(__xludf.DUMMYFUNCTION("""COMPUTED_VALUE"""),"ERNA SETIAWATY")</f>
        <v>ERNA SETIAWATY</v>
      </c>
      <c r="C30" s="3" t="str">
        <f>IFERROR(__xludf.DUMMYFUNCTION("""COMPUTED_VALUE"""),"E5423019005")</f>
        <v>E5423019005</v>
      </c>
      <c r="D30" s="3">
        <f>IFERROR(__xludf.DUMMYFUNCTION("""COMPUTED_VALUE"""),71.0)</f>
        <v>71</v>
      </c>
      <c r="E30" s="1"/>
    </row>
    <row r="31">
      <c r="A31" s="1"/>
      <c r="B31" s="3" t="str">
        <f>IFERROR(__xludf.DUMMYFUNCTION("""COMPUTED_VALUE"""),"EVA DOLOROSA")</f>
        <v>EVA DOLOROSA</v>
      </c>
      <c r="C31" s="3" t="str">
        <f>IFERROR(__xludf.DUMMYFUNCTION("""COMPUTED_VALUE"""),"E6723010889")</f>
        <v>E6723010889</v>
      </c>
      <c r="D31" s="3">
        <f>IFERROR(__xludf.DUMMYFUNCTION("""COMPUTED_VALUE"""),58.0)</f>
        <v>58</v>
      </c>
      <c r="E31" s="1"/>
    </row>
    <row r="32">
      <c r="A32" s="1"/>
      <c r="B32" s="3" t="str">
        <f>IFERROR(__xludf.DUMMYFUNCTION("""COMPUTED_VALUE"""),"ANTO PRAYUGO")</f>
        <v>ANTO PRAYUGO</v>
      </c>
      <c r="C32" s="3" t="str">
        <f>IFERROR(__xludf.DUMMYFUNCTION("""COMPUTED_VALUE"""),"A9523012989")</f>
        <v>A9523012989</v>
      </c>
      <c r="D32" s="3">
        <f>IFERROR(__xludf.DUMMYFUNCTION("""COMPUTED_VALUE"""),31.0)</f>
        <v>31</v>
      </c>
      <c r="E32" s="1"/>
    </row>
    <row r="33">
      <c r="A33" s="1"/>
      <c r="B33" s="3" t="str">
        <f>IFERROR(__xludf.DUMMYFUNCTION("""COMPUTED_VALUE"""),"FAHMI")</f>
        <v>FAHMI</v>
      </c>
      <c r="C33" s="3" t="str">
        <f>IFERROR(__xludf.DUMMYFUNCTION("""COMPUTED_VALUE"""),"F8623010888")</f>
        <v>F8623010888</v>
      </c>
      <c r="D33" s="3">
        <f>IFERROR(__xludf.DUMMYFUNCTION("""COMPUTED_VALUE"""),40.0)</f>
        <v>40</v>
      </c>
      <c r="E33" s="1"/>
    </row>
    <row r="34">
      <c r="A34" s="1"/>
      <c r="B34" s="3" t="str">
        <f>IFERROR(__xludf.DUMMYFUNCTION("""COMPUTED_VALUE"""),"RYANDI ARDIENDA P.")</f>
        <v>RYANDI ARDIENDA P.</v>
      </c>
      <c r="C34" s="3" t="str">
        <f>IFERROR(__xludf.DUMMYFUNCTION("""COMPUTED_VALUE"""),"R9323012323")</f>
        <v>R9323012323</v>
      </c>
      <c r="D34" s="3">
        <f>IFERROR(__xludf.DUMMYFUNCTION("""COMPUTED_VALUE"""),32.0)</f>
        <v>32</v>
      </c>
      <c r="E34" s="1"/>
    </row>
    <row r="35">
      <c r="A35" s="1"/>
      <c r="B35" s="3" t="str">
        <f>IFERROR(__xludf.DUMMYFUNCTION("""COMPUTED_VALUE"""),"NURYANTO")</f>
        <v>NURYANTO</v>
      </c>
      <c r="C35" s="3" t="str">
        <f>IFERROR(__xludf.DUMMYFUNCTION("""COMPUTED_VALUE"""),"N5423010002")</f>
        <v>N5423010002</v>
      </c>
      <c r="D35" s="3">
        <f>IFERROR(__xludf.DUMMYFUNCTION("""COMPUTED_VALUE"""),71.0)</f>
        <v>71</v>
      </c>
      <c r="E35" s="1"/>
    </row>
    <row r="36">
      <c r="A36" s="1"/>
      <c r="B36" s="3" t="str">
        <f>IFERROR(__xludf.DUMMYFUNCTION("""COMPUTED_VALUE"""),"DIMAS PANDU HIDAYATULLAH")</f>
        <v>DIMAS PANDU HIDAYATULLAH</v>
      </c>
      <c r="C36" s="3" t="str">
        <f>IFERROR(__xludf.DUMMYFUNCTION("""COMPUTED_VALUE"""),"D0023011314")</f>
        <v>D0023011314</v>
      </c>
      <c r="D36" s="3">
        <f>IFERROR(__xludf.DUMMYFUNCTION("""COMPUTED_VALUE"""),26.0)</f>
        <v>26</v>
      </c>
      <c r="E36" s="1"/>
    </row>
    <row r="37">
      <c r="A37" s="1"/>
      <c r="B37" s="3" t="str">
        <f>IFERROR(__xludf.DUMMYFUNCTION("""COMPUTED_VALUE"""),"EIVA RADE SIHO")</f>
        <v>EIVA RADE SIHO</v>
      </c>
      <c r="C37" s="3" t="str">
        <f>IFERROR(__xludf.DUMMYFUNCTION("""COMPUTED_VALUE"""),"E7623015810")</f>
        <v>E7623015810</v>
      </c>
      <c r="D37" s="3">
        <f>IFERROR(__xludf.DUMMYFUNCTION("""COMPUTED_VALUE"""),49.0)</f>
        <v>49</v>
      </c>
      <c r="E37" s="1"/>
    </row>
    <row r="38">
      <c r="A38" s="1"/>
      <c r="B38" s="3" t="str">
        <f>IFERROR(__xludf.DUMMYFUNCTION("""COMPUTED_VALUE"""),"ERICK TRIENARDO")</f>
        <v>ERICK TRIENARDO</v>
      </c>
      <c r="C38" s="3" t="str">
        <f>IFERROR(__xludf.DUMMYFUNCTION("""COMPUTED_VALUE"""),"E9723014638")</f>
        <v>E9723014638</v>
      </c>
      <c r="D38" s="3">
        <f>IFERROR(__xludf.DUMMYFUNCTION("""COMPUTED_VALUE"""),29.0)</f>
        <v>29</v>
      </c>
      <c r="E38" s="1"/>
    </row>
    <row r="39">
      <c r="A39" s="1"/>
      <c r="B39" s="3" t="str">
        <f>IFERROR(__xludf.DUMMYFUNCTION("""COMPUTED_VALUE"""),"FLAVIUS PANGAREGO")</f>
        <v>FLAVIUS PANGAREGO</v>
      </c>
      <c r="C39" s="3" t="str">
        <f>IFERROR(__xludf.DUMMYFUNCTION("""COMPUTED_VALUE"""),"F9623012859")</f>
        <v>F9623012859</v>
      </c>
      <c r="D39" s="3">
        <f>IFERROR(__xludf.DUMMYFUNCTION("""COMPUTED_VALUE"""),30.0)</f>
        <v>30</v>
      </c>
      <c r="E39" s="1"/>
    </row>
    <row r="40">
      <c r="A40" s="1"/>
      <c r="B40" s="3" t="str">
        <f>IFERROR(__xludf.DUMMYFUNCTION("""COMPUTED_VALUE"""),"HERI RAHMANTO")</f>
        <v>HERI RAHMANTO</v>
      </c>
      <c r="C40" s="3" t="str">
        <f>IFERROR(__xludf.DUMMYFUNCTION("""COMPUTED_VALUE"""),"H6123011926")</f>
        <v>H6123011926</v>
      </c>
      <c r="D40" s="3">
        <f>IFERROR(__xludf.DUMMYFUNCTION("""COMPUTED_VALUE"""),65.0)</f>
        <v>65</v>
      </c>
      <c r="E40" s="1"/>
    </row>
    <row r="41">
      <c r="A41" s="1"/>
      <c r="B41" s="3" t="str">
        <f>IFERROR(__xludf.DUMMYFUNCTION("""COMPUTED_VALUE"""),"HILMIY DZAKIY")</f>
        <v>HILMIY DZAKIY</v>
      </c>
      <c r="C41" s="3" t="str">
        <f>IFERROR(__xludf.DUMMYFUNCTION("""COMPUTED_VALUE"""),"H0923018457")</f>
        <v>H0923018457</v>
      </c>
      <c r="D41" s="3">
        <f>IFERROR(__xludf.DUMMYFUNCTION("""COMPUTED_VALUE"""),17.0)</f>
        <v>17</v>
      </c>
      <c r="E41" s="1"/>
    </row>
    <row r="42">
      <c r="A42" s="1"/>
      <c r="B42" s="3" t="str">
        <f>IFERROR(__xludf.DUMMYFUNCTION("""COMPUTED_VALUE"""),"BARIONO")</f>
        <v>BARIONO</v>
      </c>
      <c r="C42" s="3" t="str">
        <f>IFERROR(__xludf.DUMMYFUNCTION("""COMPUTED_VALUE"""),"B7723012106")</f>
        <v>B7723012106</v>
      </c>
      <c r="D42" s="3">
        <f>IFERROR(__xludf.DUMMYFUNCTION("""COMPUTED_VALUE"""),49.0)</f>
        <v>49</v>
      </c>
      <c r="E42" s="1"/>
    </row>
    <row r="43">
      <c r="A43" s="1"/>
      <c r="B43" s="3" t="str">
        <f>IFERROR(__xludf.DUMMYFUNCTION("""COMPUTED_VALUE"""),"BASORI")</f>
        <v>BASORI</v>
      </c>
      <c r="C43" s="3" t="str">
        <f>IFERROR(__xludf.DUMMYFUNCTION("""COMPUTED_VALUE"""),"B9723011146")</f>
        <v>B9723011146</v>
      </c>
      <c r="D43" s="3">
        <f>IFERROR(__xludf.DUMMYFUNCTION("""COMPUTED_VALUE"""),29.0)</f>
        <v>29</v>
      </c>
      <c r="E43" s="1"/>
    </row>
    <row r="44">
      <c r="A44" s="1"/>
      <c r="B44" s="3" t="str">
        <f>IFERROR(__xludf.DUMMYFUNCTION("""COMPUTED_VALUE"""),"CHALISA PUTRI PRISYLA")</f>
        <v>CHALISA PUTRI PRISYLA</v>
      </c>
      <c r="C44" s="3" t="str">
        <f>IFERROR(__xludf.DUMMYFUNCTION("""COMPUTED_VALUE"""),"C0923018735")</f>
        <v>C0923018735</v>
      </c>
      <c r="D44" s="3">
        <f>IFERROR(__xludf.DUMMYFUNCTION("""COMPUTED_VALUE"""),16.0)</f>
        <v>16</v>
      </c>
      <c r="E44" s="1"/>
    </row>
    <row r="45">
      <c r="A45" s="1"/>
      <c r="B45" s="3" t="str">
        <f>IFERROR(__xludf.DUMMYFUNCTION("""COMPUTED_VALUE"""),"HARDJONO")</f>
        <v>HARDJONO</v>
      </c>
      <c r="C45" s="3" t="str">
        <f>IFERROR(__xludf.DUMMYFUNCTION("""COMPUTED_VALUE"""),"H4623015667")</f>
        <v>H4623015667</v>
      </c>
      <c r="D45" s="3">
        <f>IFERROR(__xludf.DUMMYFUNCTION("""COMPUTED_VALUE"""),80.0)</f>
        <v>80</v>
      </c>
      <c r="E45" s="1"/>
    </row>
    <row r="46">
      <c r="A46" s="1"/>
      <c r="B46" s="3" t="str">
        <f>IFERROR(__xludf.DUMMYFUNCTION("""COMPUTED_VALUE"""),"JUSWARDI")</f>
        <v>JUSWARDI</v>
      </c>
      <c r="C46" s="3" t="str">
        <f>IFERROR(__xludf.DUMMYFUNCTION("""COMPUTED_VALUE"""),"J6223019000")</f>
        <v>J6223019000</v>
      </c>
      <c r="D46" s="3">
        <f>IFERROR(__xludf.DUMMYFUNCTION("""COMPUTED_VALUE"""),63.0)</f>
        <v>63</v>
      </c>
      <c r="E46" s="1"/>
    </row>
    <row r="47">
      <c r="A47" s="1"/>
      <c r="B47" s="3" t="str">
        <f>IFERROR(__xludf.DUMMYFUNCTION("""COMPUTED_VALUE"""),"TUTI NOVITA")</f>
        <v>TUTI NOVITA</v>
      </c>
      <c r="C47" s="3" t="str">
        <f>IFERROR(__xludf.DUMMYFUNCTION("""COMPUTED_VALUE"""),"T7223011339")</f>
        <v>T7223011339</v>
      </c>
      <c r="D47" s="3">
        <f>IFERROR(__xludf.DUMMYFUNCTION("""COMPUTED_VALUE"""),53.0)</f>
        <v>53</v>
      </c>
      <c r="E47" s="1"/>
    </row>
    <row r="48">
      <c r="A48" s="1"/>
      <c r="B48" s="3" t="str">
        <f>IFERROR(__xludf.DUMMYFUNCTION("""COMPUTED_VALUE"""),"HENDRI WAHYUDHI")</f>
        <v>HENDRI WAHYUDHI</v>
      </c>
      <c r="C48" s="3" t="str">
        <f>IFERROR(__xludf.DUMMYFUNCTION("""COMPUTED_VALUE"""),"H7623014100")</f>
        <v>H7623014100</v>
      </c>
      <c r="D48" s="3">
        <f>IFERROR(__xludf.DUMMYFUNCTION("""COMPUTED_VALUE"""),49.0)</f>
        <v>49</v>
      </c>
      <c r="E48" s="1"/>
    </row>
    <row r="49">
      <c r="A49" s="1"/>
      <c r="B49" s="3" t="str">
        <f>IFERROR(__xludf.DUMMYFUNCTION("""COMPUTED_VALUE"""),"HERLINA AGUSTININGSIH")</f>
        <v>HERLINA AGUSTININGSIH</v>
      </c>
      <c r="C49" s="3" t="str">
        <f>IFERROR(__xludf.DUMMYFUNCTION("""COMPUTED_VALUE"""),"H8523011399")</f>
        <v>H8523011399</v>
      </c>
      <c r="D49" s="3">
        <f>IFERROR(__xludf.DUMMYFUNCTION("""COMPUTED_VALUE"""),40.0)</f>
        <v>40</v>
      </c>
      <c r="E49" s="1"/>
    </row>
    <row r="50">
      <c r="A50" s="1"/>
      <c r="B50" s="3" t="str">
        <f>IFERROR(__xludf.DUMMYFUNCTION("""COMPUTED_VALUE"""),"JOCELYN WAHYUDHI")</f>
        <v>JOCELYN WAHYUDHI</v>
      </c>
      <c r="C50" s="3" t="str">
        <f>IFERROR(__xludf.DUMMYFUNCTION("""COMPUTED_VALUE"""),"J0623019005")</f>
        <v>J0623019005</v>
      </c>
      <c r="D50" s="3">
        <f>IFERROR(__xludf.DUMMYFUNCTION("""COMPUTED_VALUE"""),20.0)</f>
        <v>20</v>
      </c>
      <c r="E50" s="1"/>
    </row>
    <row r="51">
      <c r="A51" s="1"/>
      <c r="B51" s="3" t="str">
        <f>IFERROR(__xludf.DUMMYFUNCTION("""COMPUTED_VALUE"""),"JON ALI")</f>
        <v>JON ALI</v>
      </c>
      <c r="C51" s="3" t="str">
        <f>IFERROR(__xludf.DUMMYFUNCTION("""COMPUTED_VALUE"""),"J8823019998")</f>
        <v>J8823019998</v>
      </c>
      <c r="D51" s="3">
        <f>IFERROR(__xludf.DUMMYFUNCTION("""COMPUTED_VALUE"""),38.0)</f>
        <v>38</v>
      </c>
      <c r="E51" s="1"/>
    </row>
    <row r="52">
      <c r="A52" s="1"/>
      <c r="B52" s="3" t="str">
        <f>IFERROR(__xludf.DUMMYFUNCTION("""COMPUTED_VALUE"""),"LIWONO")</f>
        <v>LIWONO</v>
      </c>
      <c r="C52" s="3" t="str">
        <f>IFERROR(__xludf.DUMMYFUNCTION("""COMPUTED_VALUE"""),"L6623014041")</f>
        <v>L6623014041</v>
      </c>
      <c r="D52" s="3">
        <f>IFERROR(__xludf.DUMMYFUNCTION("""COMPUTED_VALUE"""),59.0)</f>
        <v>59</v>
      </c>
      <c r="E52" s="1"/>
    </row>
    <row r="53">
      <c r="A53" s="1"/>
      <c r="B53" s="3" t="str">
        <f>IFERROR(__xludf.DUMMYFUNCTION("""COMPUTED_VALUE"""),"AGUS SETIAWAN")</f>
        <v>AGUS SETIAWAN</v>
      </c>
      <c r="C53" s="3" t="str">
        <f>IFERROR(__xludf.DUMMYFUNCTION("""COMPUTED_VALUE"""),"A9523018347")</f>
        <v>A9523018347</v>
      </c>
      <c r="D53" s="3">
        <f>IFERROR(__xludf.DUMMYFUNCTION("""COMPUTED_VALUE"""),30.0)</f>
        <v>30</v>
      </c>
      <c r="E53" s="1"/>
    </row>
    <row r="54">
      <c r="A54" s="1"/>
      <c r="B54" s="3" t="str">
        <f>IFERROR(__xludf.DUMMYFUNCTION("""COMPUTED_VALUE"""),"ANGGA HENDHARSA")</f>
        <v>ANGGA HENDHARSA</v>
      </c>
      <c r="C54" s="3" t="str">
        <f>IFERROR(__xludf.DUMMYFUNCTION("""COMPUTED_VALUE"""),"A9023010811")</f>
        <v>A9023010811</v>
      </c>
      <c r="D54" s="3">
        <f>IFERROR(__xludf.DUMMYFUNCTION("""COMPUTED_VALUE"""),36.0)</f>
        <v>36</v>
      </c>
      <c r="E54" s="1"/>
    </row>
    <row r="55">
      <c r="A55" s="1"/>
      <c r="B55" s="3" t="str">
        <f>IFERROR(__xludf.DUMMYFUNCTION("""COMPUTED_VALUE"""),"HELEN RANDY FEBRIANA")</f>
        <v>HELEN RANDY FEBRIANA</v>
      </c>
      <c r="C55" s="3" t="str">
        <f>IFERROR(__xludf.DUMMYFUNCTION("""COMPUTED_VALUE"""),"H8723012002")</f>
        <v>H8723012002</v>
      </c>
      <c r="D55" s="3">
        <f>IFERROR(__xludf.DUMMYFUNCTION("""COMPUTED_VALUE"""),39.0)</f>
        <v>39</v>
      </c>
      <c r="E55" s="1"/>
    </row>
    <row r="56">
      <c r="A56" s="1"/>
      <c r="B56" s="3" t="str">
        <f>IFERROR(__xludf.DUMMYFUNCTION("""COMPUTED_VALUE"""),"ELFA MARTIAN")</f>
        <v>ELFA MARTIAN</v>
      </c>
      <c r="C56" s="3" t="str">
        <f>IFERROR(__xludf.DUMMYFUNCTION("""COMPUTED_VALUE"""),"E8423012220")</f>
        <v>E8423012220</v>
      </c>
      <c r="D56" s="3">
        <f>IFERROR(__xludf.DUMMYFUNCTION("""COMPUTED_VALUE"""),42.0)</f>
        <v>42</v>
      </c>
      <c r="E56" s="1"/>
    </row>
    <row r="57">
      <c r="A57" s="1"/>
      <c r="B57" s="3" t="str">
        <f>IFERROR(__xludf.DUMMYFUNCTION("""COMPUTED_VALUE"""),"M. ARKANA DISA AL MASRI")</f>
        <v>M. ARKANA DISA AL MASRI</v>
      </c>
      <c r="C57" s="3" t="str">
        <f>IFERROR(__xludf.DUMMYFUNCTION("""COMPUTED_VALUE"""),"M1323013389")</f>
        <v>M1323013389</v>
      </c>
      <c r="D57" s="3">
        <f>IFERROR(__xludf.DUMMYFUNCTION("""COMPUTED_VALUE"""),13.0)</f>
        <v>13</v>
      </c>
      <c r="E57" s="1"/>
    </row>
    <row r="58">
      <c r="A58" s="1"/>
      <c r="B58" s="3" t="str">
        <f>IFERROR(__xludf.DUMMYFUNCTION("""COMPUTED_VALUE"""),"SRI MARTINI")</f>
        <v>SRI MARTINI</v>
      </c>
      <c r="C58" s="3" t="str">
        <f>IFERROR(__xludf.DUMMYFUNCTION("""COMPUTED_VALUE"""),"S6123013882")</f>
        <v>S6123013882</v>
      </c>
      <c r="D58" s="3">
        <f>IFERROR(__xludf.DUMMYFUNCTION("""COMPUTED_VALUE"""),65.0)</f>
        <v>65</v>
      </c>
      <c r="E58" s="1"/>
    </row>
    <row r="59">
      <c r="A59" s="1"/>
      <c r="B59" s="3" t="str">
        <f>IFERROR(__xludf.DUMMYFUNCTION("""COMPUTED_VALUE"""),"AMINAH")</f>
        <v>AMINAH</v>
      </c>
      <c r="C59" s="3" t="str">
        <f>IFERROR(__xludf.DUMMYFUNCTION("""COMPUTED_VALUE"""),"A6323017817")</f>
        <v>A6323017817</v>
      </c>
      <c r="D59" s="3">
        <f>IFERROR(__xludf.DUMMYFUNCTION("""COMPUTED_VALUE"""),62.0)</f>
        <v>62</v>
      </c>
      <c r="E59" s="1"/>
    </row>
    <row r="60">
      <c r="A60" s="1"/>
      <c r="B60" s="3" t="str">
        <f>IFERROR(__xludf.DUMMYFUNCTION("""COMPUTED_VALUE"""),"DIMAS ARYO BIMO")</f>
        <v>DIMAS ARYO BIMO</v>
      </c>
      <c r="C60" s="3" t="str">
        <f>IFERROR(__xludf.DUMMYFUNCTION("""COMPUTED_VALUE"""),"D0523010337")</f>
        <v>D0523010337</v>
      </c>
      <c r="D60" s="3">
        <f>IFERROR(__xludf.DUMMYFUNCTION("""COMPUTED_VALUE"""),20.0)</f>
        <v>20</v>
      </c>
      <c r="E60" s="1"/>
    </row>
    <row r="61">
      <c r="A61" s="1"/>
      <c r="B61" s="3" t="str">
        <f>IFERROR(__xludf.DUMMYFUNCTION("""COMPUTED_VALUE"""),"MARSIANA RITA")</f>
        <v>MARSIANA RITA</v>
      </c>
      <c r="C61" s="3" t="str">
        <f>IFERROR(__xludf.DUMMYFUNCTION("""COMPUTED_VALUE"""),"M7623018071")</f>
        <v>M7623018071</v>
      </c>
      <c r="D61" s="3">
        <f>IFERROR(__xludf.DUMMYFUNCTION("""COMPUTED_VALUE"""),49.0)</f>
        <v>49</v>
      </c>
      <c r="E61" s="1"/>
    </row>
    <row r="62">
      <c r="A62" s="1"/>
      <c r="B62" s="3" t="str">
        <f>IFERROR(__xludf.DUMMYFUNCTION("""COMPUTED_VALUE"""),"MARVELLA BENITA PUSPORINI")</f>
        <v>MARVELLA BENITA PUSPORINI</v>
      </c>
      <c r="C62" s="3" t="str">
        <f>IFERROR(__xludf.DUMMYFUNCTION("""COMPUTED_VALUE"""),"M0423015817")</f>
        <v>M0423015817</v>
      </c>
      <c r="D62" s="3">
        <f>IFERROR(__xludf.DUMMYFUNCTION("""COMPUTED_VALUE"""),22.0)</f>
        <v>22</v>
      </c>
      <c r="E62" s="1"/>
    </row>
    <row r="63">
      <c r="A63" s="1"/>
      <c r="B63" s="3" t="str">
        <f>IFERROR(__xludf.DUMMYFUNCTION("""COMPUTED_VALUE"""),"NENI RIMBAWATI")</f>
        <v>NENI RIMBAWATI</v>
      </c>
      <c r="C63" s="3" t="str">
        <f>IFERROR(__xludf.DUMMYFUNCTION("""COMPUTED_VALUE"""),"N7123011230")</f>
        <v>N7123011230</v>
      </c>
      <c r="D63" s="3">
        <f>IFERROR(__xludf.DUMMYFUNCTION("""COMPUTED_VALUE"""),54.0)</f>
        <v>54</v>
      </c>
      <c r="E63" s="1"/>
    </row>
    <row r="64">
      <c r="A64" s="1"/>
      <c r="B64" s="3" t="str">
        <f>IFERROR(__xludf.DUMMYFUNCTION("""COMPUTED_VALUE"""),"NOVI WINATA")</f>
        <v>NOVI WINATA</v>
      </c>
      <c r="C64" s="3" t="str">
        <f>IFERROR(__xludf.DUMMYFUNCTION("""COMPUTED_VALUE"""),"N8723013099")</f>
        <v>N8723013099</v>
      </c>
      <c r="D64" s="3">
        <f>IFERROR(__xludf.DUMMYFUNCTION("""COMPUTED_VALUE"""),38.0)</f>
        <v>38</v>
      </c>
      <c r="E64" s="1"/>
    </row>
    <row r="65">
      <c r="A65" s="1"/>
      <c r="B65" s="3" t="str">
        <f>IFERROR(__xludf.DUMMYFUNCTION("""COMPUTED_VALUE"""),"NURDIN")</f>
        <v>NURDIN</v>
      </c>
      <c r="C65" s="3" t="str">
        <f>IFERROR(__xludf.DUMMYFUNCTION("""COMPUTED_VALUE"""),"N6423016044")</f>
        <v>N6423016044</v>
      </c>
      <c r="D65" s="3">
        <f>IFERROR(__xludf.DUMMYFUNCTION("""COMPUTED_VALUE"""),61.0)</f>
        <v>61</v>
      </c>
      <c r="E65" s="1"/>
    </row>
    <row r="66">
      <c r="A66" s="1"/>
      <c r="B66" s="3" t="str">
        <f>IFERROR(__xludf.DUMMYFUNCTION("""COMPUTED_VALUE"""),"ALDI")</f>
        <v>ALDI</v>
      </c>
      <c r="C66" s="3" t="str">
        <f>IFERROR(__xludf.DUMMYFUNCTION("""COMPUTED_VALUE"""),"A0623017317")</f>
        <v>A0623017317</v>
      </c>
      <c r="D66" s="3">
        <f>IFERROR(__xludf.DUMMYFUNCTION("""COMPUTED_VALUE"""),19.0)</f>
        <v>19</v>
      </c>
      <c r="E66" s="1"/>
    </row>
    <row r="67">
      <c r="A67" s="1"/>
      <c r="B67" s="3" t="str">
        <f>IFERROR(__xludf.DUMMYFUNCTION("""COMPUTED_VALUE"""),"NURHAYATI 55")</f>
        <v>NURHAYATI 55</v>
      </c>
      <c r="C67" s="3" t="str">
        <f>IFERROR(__xludf.DUMMYFUNCTION("""COMPUTED_VALUE"""),"N5523017792")</f>
        <v>N5523017792</v>
      </c>
      <c r="D67" s="3">
        <f>IFERROR(__xludf.DUMMYFUNCTION("""COMPUTED_VALUE"""),71.0)</f>
        <v>71</v>
      </c>
      <c r="E67" s="1"/>
    </row>
    <row r="68">
      <c r="A68" s="1"/>
      <c r="B68" s="3" t="str">
        <f>IFERROR(__xludf.DUMMYFUNCTION("""COMPUTED_VALUE"""),"RIZKI SAPUTRA")</f>
        <v>RIZKI SAPUTRA</v>
      </c>
      <c r="C68" s="3" t="str">
        <f>IFERROR(__xludf.DUMMYFUNCTION("""COMPUTED_VALUE"""),"R0423012690")</f>
        <v>R0423012690</v>
      </c>
      <c r="D68" s="3">
        <f>IFERROR(__xludf.DUMMYFUNCTION("""COMPUTED_VALUE"""),21.0)</f>
        <v>21</v>
      </c>
      <c r="E68" s="1"/>
    </row>
    <row r="69">
      <c r="A69" s="1"/>
      <c r="B69" s="3" t="str">
        <f>IFERROR(__xludf.DUMMYFUNCTION("""COMPUTED_VALUE"""),"RONY LIUNG")</f>
        <v>RONY LIUNG</v>
      </c>
      <c r="C69" s="3" t="str">
        <f>IFERROR(__xludf.DUMMYFUNCTION("""COMPUTED_VALUE"""),"R0123012900")</f>
        <v>R0123012900</v>
      </c>
      <c r="D69" s="3">
        <f>IFERROR(__xludf.DUMMYFUNCTION("""COMPUTED_VALUE"""),25.0)</f>
        <v>25</v>
      </c>
      <c r="E69" s="1"/>
    </row>
    <row r="70">
      <c r="A70" s="1"/>
      <c r="B70" s="3" t="str">
        <f>IFERROR(__xludf.DUMMYFUNCTION("""COMPUTED_VALUE"""),"NOVI ASMARANI")</f>
        <v>NOVI ASMARANI</v>
      </c>
      <c r="C70" s="3" t="str">
        <f>IFERROR(__xludf.DUMMYFUNCTION("""COMPUTED_VALUE"""),"N8723015132")</f>
        <v>N8723015132</v>
      </c>
      <c r="D70" s="3">
        <f>IFERROR(__xludf.DUMMYFUNCTION("""COMPUTED_VALUE"""),38.0)</f>
        <v>38</v>
      </c>
      <c r="E70" s="1"/>
    </row>
    <row r="71">
      <c r="A71" s="1"/>
      <c r="B71" s="3" t="str">
        <f>IFERROR(__xludf.DUMMYFUNCTION("""COMPUTED_VALUE"""),"SULISTIYOWATI")</f>
        <v>SULISTIYOWATI</v>
      </c>
      <c r="C71" s="3" t="str">
        <f>IFERROR(__xludf.DUMMYFUNCTION("""COMPUTED_VALUE"""),"S7523014141")</f>
        <v>S7523014141</v>
      </c>
      <c r="D71" s="3">
        <f>IFERROR(__xludf.DUMMYFUNCTION("""COMPUTED_VALUE"""),51.0)</f>
        <v>51</v>
      </c>
      <c r="E71" s="1"/>
    </row>
    <row r="72">
      <c r="A72" s="1"/>
      <c r="B72" s="3" t="str">
        <f>IFERROR(__xludf.DUMMYFUNCTION("""COMPUTED_VALUE"""),"ARIFYANDI")</f>
        <v>ARIFYANDI</v>
      </c>
      <c r="C72" s="3" t="str">
        <f>IFERROR(__xludf.DUMMYFUNCTION("""COMPUTED_VALUE"""),"A9923014697")</f>
        <v>A9923014697</v>
      </c>
      <c r="D72" s="3">
        <f>IFERROR(__xludf.DUMMYFUNCTION("""COMPUTED_VALUE"""),27.0)</f>
        <v>27</v>
      </c>
      <c r="E72" s="1"/>
    </row>
    <row r="73">
      <c r="A73" s="1"/>
      <c r="B73" s="3" t="str">
        <f>IFERROR(__xludf.DUMMYFUNCTION("""COMPUTED_VALUE"""),"KARTINAH")</f>
        <v>KARTINAH</v>
      </c>
      <c r="C73" s="3" t="str">
        <f>IFERROR(__xludf.DUMMYFUNCTION("""COMPUTED_VALUE"""),"K6223018878")</f>
        <v>K6223018878</v>
      </c>
      <c r="D73" s="3">
        <f>IFERROR(__xludf.DUMMYFUNCTION("""COMPUTED_VALUE"""),64.0)</f>
        <v>64</v>
      </c>
      <c r="E73" s="1"/>
    </row>
    <row r="74">
      <c r="A74" s="1"/>
      <c r="B74" s="3" t="str">
        <f>IFERROR(__xludf.DUMMYFUNCTION("""COMPUTED_VALUE"""),"KHARISMA RIZKI UTAMA")</f>
        <v>KHARISMA RIZKI UTAMA</v>
      </c>
      <c r="C74" s="3" t="str">
        <f>IFERROR(__xludf.DUMMYFUNCTION("""COMPUTED_VALUE"""),"K9223011118")</f>
        <v>K9223011118</v>
      </c>
      <c r="D74" s="3">
        <f>IFERROR(__xludf.DUMMYFUNCTION("""COMPUTED_VALUE"""),33.0)</f>
        <v>33</v>
      </c>
      <c r="E74" s="1"/>
    </row>
    <row r="75">
      <c r="A75" s="1"/>
      <c r="B75" s="3" t="str">
        <f>IFERROR(__xludf.DUMMYFUNCTION("""COMPUTED_VALUE"""),"M. ABDUL LATIEF LAZUARDI")</f>
        <v>M. ABDUL LATIEF LAZUARDI</v>
      </c>
      <c r="C75" s="3" t="str">
        <f>IFERROR(__xludf.DUMMYFUNCTION("""COMPUTED_VALUE"""),"M0023019835")</f>
        <v>M0023019835</v>
      </c>
      <c r="D75" s="3">
        <f>IFERROR(__xludf.DUMMYFUNCTION("""COMPUTED_VALUE"""),25.0)</f>
        <v>25</v>
      </c>
      <c r="E75" s="1"/>
    </row>
    <row r="76">
      <c r="A76" s="1"/>
      <c r="B76" s="3" t="str">
        <f>IFERROR(__xludf.DUMMYFUNCTION("""COMPUTED_VALUE"""),"SUPINI")</f>
        <v>SUPINI</v>
      </c>
      <c r="C76" s="3" t="str">
        <f>IFERROR(__xludf.DUMMYFUNCTION("""COMPUTED_VALUE"""),"S6923014949")</f>
        <v>S6923014949</v>
      </c>
      <c r="D76" s="3">
        <f>IFERROR(__xludf.DUMMYFUNCTION("""COMPUTED_VALUE"""),56.0)</f>
        <v>56</v>
      </c>
      <c r="E76" s="1"/>
    </row>
    <row r="77">
      <c r="A77" s="1"/>
      <c r="B77" s="3" t="str">
        <f>IFERROR(__xludf.DUMMYFUNCTION("""COMPUTED_VALUE"""),"TUKIJO")</f>
        <v>TUKIJO</v>
      </c>
      <c r="C77" s="3" t="str">
        <f>IFERROR(__xludf.DUMMYFUNCTION("""COMPUTED_VALUE"""),"T5523016407")</f>
        <v>T5523016407</v>
      </c>
      <c r="D77" s="3">
        <f>IFERROR(__xludf.DUMMYFUNCTION("""COMPUTED_VALUE"""),70.0)</f>
        <v>70</v>
      </c>
      <c r="E77" s="1"/>
    </row>
    <row r="78">
      <c r="A78" s="1"/>
      <c r="B78" s="3" t="str">
        <f>IFERROR(__xludf.DUMMYFUNCTION("""COMPUTED_VALUE"""),"FAHRIZAL")</f>
        <v>FAHRIZAL</v>
      </c>
      <c r="C78" s="3" t="str">
        <f>IFERROR(__xludf.DUMMYFUNCTION("""COMPUTED_VALUE"""),"F7023014230")</f>
        <v>F7023014230</v>
      </c>
      <c r="D78" s="3">
        <f>IFERROR(__xludf.DUMMYFUNCTION("""COMPUTED_VALUE"""),55.0)</f>
        <v>55</v>
      </c>
      <c r="E78" s="1"/>
    </row>
    <row r="79">
      <c r="A79" s="1"/>
      <c r="B79" s="3" t="str">
        <f>IFERROR(__xludf.DUMMYFUNCTION("""COMPUTED_VALUE"""),"INNOSENSIUS SILA")</f>
        <v>INNOSENSIUS SILA</v>
      </c>
      <c r="C79" s="3" t="str">
        <f>IFERROR(__xludf.DUMMYFUNCTION("""COMPUTED_VALUE"""),"I0123017652")</f>
        <v>I0123017652</v>
      </c>
      <c r="D79" s="3">
        <f>IFERROR(__xludf.DUMMYFUNCTION("""COMPUTED_VALUE"""),25.0)</f>
        <v>25</v>
      </c>
      <c r="E79" s="1"/>
    </row>
    <row r="80">
      <c r="A80" s="1"/>
      <c r="B80" s="3" t="str">
        <f>IFERROR(__xludf.DUMMYFUNCTION("""COMPUTED_VALUE"""),"PRIMA FARRET")</f>
        <v>PRIMA FARRET</v>
      </c>
      <c r="C80" s="3" t="str">
        <f>IFERROR(__xludf.DUMMYFUNCTION("""COMPUTED_VALUE"""),"P8223015614")</f>
        <v>P8223015614</v>
      </c>
      <c r="D80" s="3">
        <f>IFERROR(__xludf.DUMMYFUNCTION("""COMPUTED_VALUE"""),43.0)</f>
        <v>43</v>
      </c>
      <c r="E80" s="1"/>
    </row>
    <row r="81">
      <c r="A81" s="1"/>
      <c r="B81" s="3" t="str">
        <f>IFERROR(__xludf.DUMMYFUNCTION("""COMPUTED_VALUE"""),"SRI SURYATI")</f>
        <v>SRI SURYATI</v>
      </c>
      <c r="C81" s="3" t="str">
        <f>IFERROR(__xludf.DUMMYFUNCTION("""COMPUTED_VALUE"""),"S5723017882")</f>
        <v>S5723017882</v>
      </c>
      <c r="D81" s="3">
        <f>IFERROR(__xludf.DUMMYFUNCTION("""COMPUTED_VALUE"""),69.0)</f>
        <v>69</v>
      </c>
      <c r="E81" s="1"/>
    </row>
    <row r="82">
      <c r="A82" s="1"/>
      <c r="B82" s="3" t="str">
        <f>IFERROR(__xludf.DUMMYFUNCTION("""COMPUTED_VALUE"""),"SUADI")</f>
        <v>SUADI</v>
      </c>
      <c r="C82" s="3" t="str">
        <f>IFERROR(__xludf.DUMMYFUNCTION("""COMPUTED_VALUE"""),"S6823014569")</f>
        <v>S6823014569</v>
      </c>
      <c r="D82" s="3">
        <f>IFERROR(__xludf.DUMMYFUNCTION("""COMPUTED_VALUE"""),58.0)</f>
        <v>58</v>
      </c>
      <c r="E82" s="1"/>
    </row>
    <row r="83">
      <c r="A83" s="1"/>
      <c r="B83" s="3" t="str">
        <f>IFERROR(__xludf.DUMMYFUNCTION("""COMPUTED_VALUE"""),"TRIANI SEPTI")</f>
        <v>TRIANI SEPTI</v>
      </c>
      <c r="C83" s="3" t="str">
        <f>IFERROR(__xludf.DUMMYFUNCTION("""COMPUTED_VALUE"""),"T9523019991")</f>
        <v>T9523019991</v>
      </c>
      <c r="D83" s="3">
        <f>IFERROR(__xludf.DUMMYFUNCTION("""COMPUTED_VALUE"""),30.0)</f>
        <v>30</v>
      </c>
      <c r="E83" s="1"/>
    </row>
    <row r="84">
      <c r="A84" s="1"/>
      <c r="B84" s="3" t="str">
        <f>IFERROR(__xludf.DUMMYFUNCTION("""COMPUTED_VALUE"""),"YUDHI PONCA MANALU")</f>
        <v>YUDHI PONCA MANALU</v>
      </c>
      <c r="C84" s="3" t="str">
        <f>IFERROR(__xludf.DUMMYFUNCTION("""COMPUTED_VALUE"""),"Y8823015888")</f>
        <v>Y8823015888</v>
      </c>
      <c r="D84" s="3">
        <f>IFERROR(__xludf.DUMMYFUNCTION("""COMPUTED_VALUE"""),37.0)</f>
        <v>37</v>
      </c>
      <c r="E84" s="1"/>
    </row>
    <row r="85">
      <c r="A85" s="1"/>
      <c r="B85" s="3" t="str">
        <f>IFERROR(__xludf.DUMMYFUNCTION("""COMPUTED_VALUE"""),"DEDE ALFIANDI")</f>
        <v>DEDE ALFIANDI</v>
      </c>
      <c r="C85" s="3" t="str">
        <f>IFERROR(__xludf.DUMMYFUNCTION("""COMPUTED_VALUE"""),"D8923011717")</f>
        <v>D8923011717</v>
      </c>
      <c r="D85" s="3">
        <f>IFERROR(__xludf.DUMMYFUNCTION("""COMPUTED_VALUE"""),37.0)</f>
        <v>37</v>
      </c>
      <c r="E85" s="1"/>
    </row>
    <row r="86">
      <c r="A86" s="1"/>
      <c r="B86" s="3" t="str">
        <f>IFERROR(__xludf.DUMMYFUNCTION("""COMPUTED_VALUE"""),"DENY SUMANTRI")</f>
        <v>DENY SUMANTRI</v>
      </c>
      <c r="C86" s="3" t="str">
        <f>IFERROR(__xludf.DUMMYFUNCTION("""COMPUTED_VALUE"""),"D9523019981")</f>
        <v>D9523019981</v>
      </c>
      <c r="D86" s="3">
        <f>IFERROR(__xludf.DUMMYFUNCTION("""COMPUTED_VALUE"""),30.0)</f>
        <v>30</v>
      </c>
      <c r="E86" s="1"/>
    </row>
    <row r="87">
      <c r="A87" s="1"/>
      <c r="B87" s="3" t="str">
        <f>IFERROR(__xludf.DUMMYFUNCTION("""COMPUTED_VALUE"""),"ELO SINAGA")</f>
        <v>ELO SINAGA</v>
      </c>
      <c r="C87" s="3" t="str">
        <f>IFERROR(__xludf.DUMMYFUNCTION("""COMPUTED_VALUE"""),"E1023019575")</f>
        <v>E1023019575</v>
      </c>
      <c r="D87" s="3">
        <f>IFERROR(__xludf.DUMMYFUNCTION("""COMPUTED_VALUE"""),15.0)</f>
        <v>15</v>
      </c>
      <c r="E87" s="1"/>
    </row>
    <row r="88">
      <c r="A88" s="1"/>
      <c r="B88" s="3" t="str">
        <f>IFERROR(__xludf.DUMMYFUNCTION("""COMPUTED_VALUE"""),"FARIDA")</f>
        <v>FARIDA</v>
      </c>
      <c r="C88" s="3" t="str">
        <f>IFERROR(__xludf.DUMMYFUNCTION("""COMPUTED_VALUE"""),"F6023018181")</f>
        <v>F6023018181</v>
      </c>
      <c r="D88" s="3">
        <f>IFERROR(__xludf.DUMMYFUNCTION("""COMPUTED_VALUE"""),65.0)</f>
        <v>65</v>
      </c>
      <c r="E88" s="1"/>
    </row>
    <row r="89">
      <c r="A89" s="1"/>
      <c r="B89" s="3" t="str">
        <f>IFERROR(__xludf.DUMMYFUNCTION("""COMPUTED_VALUE"""),"MAYSHA PUTRI LESMANA")</f>
        <v>MAYSHA PUTRI LESMANA</v>
      </c>
      <c r="C89" s="3" t="str">
        <f>IFERROR(__xludf.DUMMYFUNCTION("""COMPUTED_VALUE"""),"M0823012188")</f>
        <v>M0823012188</v>
      </c>
      <c r="D89" s="3">
        <f>IFERROR(__xludf.DUMMYFUNCTION("""COMPUTED_VALUE"""),18.0)</f>
        <v>18</v>
      </c>
      <c r="E89" s="1"/>
    </row>
    <row r="90">
      <c r="A90" s="1"/>
      <c r="B90" s="3" t="str">
        <f>IFERROR(__xludf.DUMMYFUNCTION("""COMPUTED_VALUE"""),"PRILANDA GILANG RADANNA")</f>
        <v>PRILANDA GILANG RADANNA</v>
      </c>
      <c r="C90" s="3" t="str">
        <f>IFERROR(__xludf.DUMMYFUNCTION("""COMPUTED_VALUE"""),"P9823015565")</f>
        <v>P9823015565</v>
      </c>
      <c r="D90" s="3">
        <f>IFERROR(__xludf.DUMMYFUNCTION("""COMPUTED_VALUE"""),28.0)</f>
        <v>28</v>
      </c>
      <c r="E90" s="1"/>
    </row>
    <row r="91">
      <c r="A91" s="1"/>
      <c r="B91" s="3" t="str">
        <f>IFERROR(__xludf.DUMMYFUNCTION("""COMPUTED_VALUE"""),"RAISAN FIQRI")</f>
        <v>RAISAN FIQRI</v>
      </c>
      <c r="C91" s="3" t="str">
        <f>IFERROR(__xludf.DUMMYFUNCTION("""COMPUTED_VALUE"""),"R0423010268")</f>
        <v>R0423010268</v>
      </c>
      <c r="D91" s="3">
        <f>IFERROR(__xludf.DUMMYFUNCTION("""COMPUTED_VALUE"""),21.0)</f>
        <v>21</v>
      </c>
      <c r="E91" s="1"/>
    </row>
    <row r="92">
      <c r="A92" s="1"/>
      <c r="B92" s="3" t="str">
        <f>IFERROR(__xludf.DUMMYFUNCTION("""COMPUTED_VALUE"""),"REZA FERDIANSYAH")</f>
        <v>REZA FERDIANSYAH</v>
      </c>
      <c r="C92" s="3" t="str">
        <f>IFERROR(__xludf.DUMMYFUNCTION("""COMPUTED_VALUE"""),"R0323019317")</f>
        <v>R0323019317</v>
      </c>
      <c r="D92" s="3">
        <f>IFERROR(__xludf.DUMMYFUNCTION("""COMPUTED_VALUE"""),23.0)</f>
        <v>23</v>
      </c>
      <c r="E92" s="1"/>
    </row>
    <row r="93">
      <c r="A93" s="1"/>
      <c r="B93" s="3" t="str">
        <f>IFERROR(__xludf.DUMMYFUNCTION("""COMPUTED_VALUE"""),"RIA")</f>
        <v>RIA</v>
      </c>
      <c r="C93" s="3" t="str">
        <f>IFERROR(__xludf.DUMMYFUNCTION("""COMPUTED_VALUE"""),"R7723015689")</f>
        <v>R7723015689</v>
      </c>
      <c r="D93" s="3">
        <f>IFERROR(__xludf.DUMMYFUNCTION("""COMPUTED_VALUE"""),49.0)</f>
        <v>49</v>
      </c>
      <c r="E93" s="1"/>
    </row>
    <row r="94">
      <c r="A94" s="1"/>
      <c r="B94" s="3" t="str">
        <f>IFERROR(__xludf.DUMMYFUNCTION("""COMPUTED_VALUE"""),"SYARIF ABDUL KHALID")</f>
        <v>SYARIF ABDUL KHALID</v>
      </c>
      <c r="C94" s="3" t="str">
        <f>IFERROR(__xludf.DUMMYFUNCTION("""COMPUTED_VALUE"""),"S8823016365")</f>
        <v>S8823016365</v>
      </c>
      <c r="D94" s="3">
        <f>IFERROR(__xludf.DUMMYFUNCTION("""COMPUTED_VALUE"""),38.0)</f>
        <v>38</v>
      </c>
      <c r="E94" s="1"/>
    </row>
    <row r="95">
      <c r="A95" s="1"/>
      <c r="B95" s="3" t="str">
        <f>IFERROR(__xludf.DUMMYFUNCTION("""COMPUTED_VALUE"""),"TITIK NURSIAH")</f>
        <v>TITIK NURSIAH</v>
      </c>
      <c r="C95" s="3" t="str">
        <f>IFERROR(__xludf.DUMMYFUNCTION("""COMPUTED_VALUE"""),"T5423015410")</f>
        <v>T5423015410</v>
      </c>
      <c r="D95" s="3">
        <f>IFERROR(__xludf.DUMMYFUNCTION("""COMPUTED_VALUE"""),72.0)</f>
        <v>72</v>
      </c>
      <c r="E95" s="1"/>
    </row>
    <row r="96">
      <c r="A96" s="1"/>
      <c r="B96" s="3" t="str">
        <f>IFERROR(__xludf.DUMMYFUNCTION("""COMPUTED_VALUE"""),"YESSI ANDRIANI S")</f>
        <v>YESSI ANDRIANI S</v>
      </c>
      <c r="C96" s="3" t="str">
        <f>IFERROR(__xludf.DUMMYFUNCTION("""COMPUTED_VALUE"""),"Y8523019223")</f>
        <v>Y8523019223</v>
      </c>
      <c r="D96" s="3">
        <f>IFERROR(__xludf.DUMMYFUNCTION("""COMPUTED_VALUE"""),40.0)</f>
        <v>40</v>
      </c>
      <c r="E96" s="1"/>
    </row>
    <row r="97">
      <c r="A97" s="1"/>
      <c r="B97" s="3" t="str">
        <f>IFERROR(__xludf.DUMMYFUNCTION("""COMPUTED_VALUE"""),"AGUSTINUS SIMATUPANG")</f>
        <v>AGUSTINUS SIMATUPANG</v>
      </c>
      <c r="C97" s="3" t="str">
        <f>IFERROR(__xludf.DUMMYFUNCTION("""COMPUTED_VALUE"""),"A8723018222")</f>
        <v>A8723018222</v>
      </c>
      <c r="D97" s="3">
        <f>IFERROR(__xludf.DUMMYFUNCTION("""COMPUTED_VALUE"""),38.0)</f>
        <v>38</v>
      </c>
      <c r="E97" s="1"/>
    </row>
    <row r="98">
      <c r="A98" s="1"/>
      <c r="B98" s="3" t="str">
        <f>IFERROR(__xludf.DUMMYFUNCTION("""COMPUTED_VALUE"""),"EKO SUTRISTIYADI")</f>
        <v>EKO SUTRISTIYADI</v>
      </c>
      <c r="C98" s="3" t="str">
        <f>IFERROR(__xludf.DUMMYFUNCTION("""COMPUTED_VALUE"""),"E9523011787")</f>
        <v>E9523011787</v>
      </c>
      <c r="D98" s="3">
        <f>IFERROR(__xludf.DUMMYFUNCTION("""COMPUTED_VALUE"""),31.0)</f>
        <v>31</v>
      </c>
      <c r="E98" s="1"/>
    </row>
    <row r="99">
      <c r="A99" s="1"/>
      <c r="B99" s="3" t="str">
        <f>IFERROR(__xludf.DUMMYFUNCTION("""COMPUTED_VALUE"""),"FIKRI RIPARTA HARAHAP")</f>
        <v>FIKRI RIPARTA HARAHAP</v>
      </c>
      <c r="C99" s="3" t="str">
        <f>IFERROR(__xludf.DUMMYFUNCTION("""COMPUTED_VALUE"""),"F0523012509")</f>
        <v>F0523012509</v>
      </c>
      <c r="D99" s="3">
        <f>IFERROR(__xludf.DUMMYFUNCTION("""COMPUTED_VALUE"""),20.0)</f>
        <v>20</v>
      </c>
      <c r="E99" s="1"/>
    </row>
    <row r="100">
      <c r="A100" s="1"/>
      <c r="B100" s="3" t="str">
        <f>IFERROR(__xludf.DUMMYFUNCTION("""COMPUTED_VALUE"""),"SRI SUGIHARTI")</f>
        <v>SRI SUGIHARTI</v>
      </c>
      <c r="C100" s="3" t="str">
        <f>IFERROR(__xludf.DUMMYFUNCTION("""COMPUTED_VALUE"""),"S5423018611")</f>
        <v>S5423018611</v>
      </c>
      <c r="D100" s="3">
        <f>IFERROR(__xludf.DUMMYFUNCTION("""COMPUTED_VALUE"""),71.0)</f>
        <v>71</v>
      </c>
      <c r="E100" s="1"/>
    </row>
    <row r="101">
      <c r="A101" s="1"/>
      <c r="B101" s="3" t="str">
        <f>IFERROR(__xludf.DUMMYFUNCTION("""COMPUTED_VALUE"""),"SURIYA RUSDIANI")</f>
        <v>SURIYA RUSDIANI</v>
      </c>
      <c r="C101" s="3" t="str">
        <f>IFERROR(__xludf.DUMMYFUNCTION("""COMPUTED_VALUE"""),"S6923010888")</f>
        <v>S6923010888</v>
      </c>
      <c r="D101" s="3">
        <f>IFERROR(__xludf.DUMMYFUNCTION("""COMPUTED_VALUE"""),57.0)</f>
        <v>57</v>
      </c>
      <c r="E101" s="1"/>
    </row>
    <row r="102">
      <c r="A102" s="1"/>
      <c r="B102" s="3" t="str">
        <f>IFERROR(__xludf.DUMMYFUNCTION("""COMPUTED_VALUE"""),"DIMAS AGUS TRWIBOWO")</f>
        <v>DIMAS AGUS TRWIBOWO</v>
      </c>
      <c r="C102" s="3" t="str">
        <f>IFERROR(__xludf.DUMMYFUNCTION("""COMPUTED_VALUE"""),"D0323015889")</f>
        <v>D0323015889</v>
      </c>
      <c r="D102" s="3">
        <f>IFERROR(__xludf.DUMMYFUNCTION("""COMPUTED_VALUE"""),22.0)</f>
        <v>22</v>
      </c>
      <c r="E102" s="1"/>
    </row>
    <row r="103">
      <c r="A103" s="1"/>
      <c r="B103" s="3" t="str">
        <f>IFERROR(__xludf.DUMMYFUNCTION("""COMPUTED_VALUE"""),"VICTORIUS AZIS P")</f>
        <v>VICTORIUS AZIS P</v>
      </c>
      <c r="C103" s="3" t="str">
        <f>IFERROR(__xludf.DUMMYFUNCTION("""COMPUTED_VALUE"""),"V8323011899")</f>
        <v>V8323011899</v>
      </c>
      <c r="D103" s="3">
        <f>IFERROR(__xludf.DUMMYFUNCTION("""COMPUTED_VALUE"""),42.0)</f>
        <v>42</v>
      </c>
      <c r="E103" s="1"/>
    </row>
    <row r="104">
      <c r="A104" s="1"/>
      <c r="B104" s="3" t="str">
        <f>IFERROR(__xludf.DUMMYFUNCTION("""COMPUTED_VALUE"""),"BONIFASIUS")</f>
        <v>BONIFASIUS</v>
      </c>
      <c r="C104" s="3" t="str">
        <f>IFERROR(__xludf.DUMMYFUNCTION("""COMPUTED_VALUE"""),"B9623019319")</f>
        <v>B9623019319</v>
      </c>
      <c r="D104" s="3">
        <f>IFERROR(__xludf.DUMMYFUNCTION("""COMPUTED_VALUE"""),29.0)</f>
        <v>29</v>
      </c>
      <c r="E104" s="1"/>
    </row>
    <row r="105">
      <c r="A105" s="1"/>
      <c r="B105" s="3" t="str">
        <f>IFERROR(__xludf.DUMMYFUNCTION("""COMPUTED_VALUE"""),"CIRILA SRIANI")</f>
        <v>CIRILA SRIANI</v>
      </c>
      <c r="C105" s="3" t="str">
        <f>IFERROR(__xludf.DUMMYFUNCTION("""COMPUTED_VALUE"""),"C6923015446")</f>
        <v>C6923015446</v>
      </c>
      <c r="D105" s="3">
        <f>IFERROR(__xludf.DUMMYFUNCTION("""COMPUTED_VALUE"""),56.0)</f>
        <v>56</v>
      </c>
      <c r="E105" s="1"/>
    </row>
    <row r="106">
      <c r="A106" s="1"/>
      <c r="B106" s="3" t="str">
        <f>IFERROR(__xludf.DUMMYFUNCTION("""COMPUTED_VALUE"""),"FENGMING XIAO")</f>
        <v>FENGMING XIAO</v>
      </c>
      <c r="C106" s="3" t="str">
        <f>IFERROR(__xludf.DUMMYFUNCTION("""COMPUTED_VALUE"""),"F5423018689")</f>
        <v>F5423018689</v>
      </c>
      <c r="D106" s="3">
        <f>IFERROR(__xludf.DUMMYFUNCTION("""COMPUTED_VALUE"""),71.0)</f>
        <v>71</v>
      </c>
      <c r="E106" s="1"/>
    </row>
    <row r="107">
      <c r="A107" s="1"/>
      <c r="B107" s="3" t="str">
        <f>IFERROR(__xludf.DUMMYFUNCTION("""COMPUTED_VALUE"""),"JUNAIDI ARSEKON")</f>
        <v>JUNAIDI ARSEKON</v>
      </c>
      <c r="C107" s="3" t="str">
        <f>IFERROR(__xludf.DUMMYFUNCTION("""COMPUTED_VALUE"""),"J9523013186")</f>
        <v>J9523013186</v>
      </c>
      <c r="D107" s="3">
        <f>IFERROR(__xludf.DUMMYFUNCTION("""COMPUTED_VALUE"""),31.0)</f>
        <v>31</v>
      </c>
      <c r="E107" s="1"/>
    </row>
    <row r="108">
      <c r="A108" s="1"/>
      <c r="B108" s="3" t="str">
        <f>IFERROR(__xludf.DUMMYFUNCTION("""COMPUTED_VALUE"""),"REZA ILHAM FAHRINO")</f>
        <v>REZA ILHAM FAHRINO</v>
      </c>
      <c r="C108" s="3" t="str">
        <f>IFERROR(__xludf.DUMMYFUNCTION("""COMPUTED_VALUE"""),"R8923010787")</f>
        <v>R8923010787</v>
      </c>
      <c r="D108" s="3">
        <f>IFERROR(__xludf.DUMMYFUNCTION("""COMPUTED_VALUE"""),36.0)</f>
        <v>36</v>
      </c>
      <c r="E108" s="1"/>
    </row>
    <row r="109">
      <c r="A109" s="1"/>
      <c r="B109" s="3" t="str">
        <f>IFERROR(__xludf.DUMMYFUNCTION("""COMPUTED_VALUE"""),"SUTOPO HARIANTO")</f>
        <v>SUTOPO HARIANTO</v>
      </c>
      <c r="C109" s="3" t="str">
        <f>IFERROR(__xludf.DUMMYFUNCTION("""COMPUTED_VALUE"""),"S9123018423")</f>
        <v>S9123018423</v>
      </c>
      <c r="D109" s="3">
        <f>IFERROR(__xludf.DUMMYFUNCTION("""COMPUTED_VALUE"""),34.0)</f>
        <v>34</v>
      </c>
      <c r="E109" s="1"/>
    </row>
    <row r="110">
      <c r="A110" s="1"/>
      <c r="B110" s="3" t="str">
        <f>IFERROR(__xludf.DUMMYFUNCTION("""COMPUTED_VALUE"""),"THJANG FIE KIAN")</f>
        <v>THJANG FIE KIAN</v>
      </c>
      <c r="C110" s="3" t="str">
        <f>IFERROR(__xludf.DUMMYFUNCTION("""COMPUTED_VALUE"""),"T5923014555")</f>
        <v>T5923014555</v>
      </c>
      <c r="D110" s="3">
        <f>IFERROR(__xludf.DUMMYFUNCTION("""COMPUTED_VALUE"""),67.0)</f>
        <v>67</v>
      </c>
      <c r="E110" s="1"/>
    </row>
    <row r="111">
      <c r="A111" s="1"/>
      <c r="B111" s="3" t="str">
        <f>IFERROR(__xludf.DUMMYFUNCTION("""COMPUTED_VALUE"""),"AULIA RACHMAN")</f>
        <v>AULIA RACHMAN</v>
      </c>
      <c r="C111" s="3" t="str">
        <f>IFERROR(__xludf.DUMMYFUNCTION("""COMPUTED_VALUE"""),"A0223014044")</f>
        <v>A0223014044</v>
      </c>
      <c r="D111" s="3">
        <f>IFERROR(__xludf.DUMMYFUNCTION("""COMPUTED_VALUE"""),23.0)</f>
        <v>23</v>
      </c>
      <c r="E111" s="1"/>
    </row>
    <row r="112">
      <c r="A112" s="1"/>
      <c r="B112" s="3" t="str">
        <f>IFERROR(__xludf.DUMMYFUNCTION("""COMPUTED_VALUE"""),"NANDA ARSEKON")</f>
        <v>NANDA ARSEKON</v>
      </c>
      <c r="C112" s="3" t="str">
        <f>IFERROR(__xludf.DUMMYFUNCTION("""COMPUTED_VALUE"""),"N0323013850")</f>
        <v>N0323013850</v>
      </c>
      <c r="D112" s="3">
        <f>IFERROR(__xludf.DUMMYFUNCTION("""COMPUTED_VALUE"""),22.0)</f>
        <v>22</v>
      </c>
      <c r="E112" s="1"/>
    </row>
    <row r="113">
      <c r="A113" s="1"/>
      <c r="B113" s="3" t="str">
        <f>IFERROR(__xludf.DUMMYFUNCTION("""COMPUTED_VALUE"""),"CHRISTOFER NICHOLAUS")</f>
        <v>CHRISTOFER NICHOLAUS</v>
      </c>
      <c r="C113" s="3" t="str">
        <f>IFERROR(__xludf.DUMMYFUNCTION("""COMPUTED_VALUE"""),"C9223011117")</f>
        <v>C9223011117</v>
      </c>
      <c r="D113" s="3">
        <f>IFERROR(__xludf.DUMMYFUNCTION("""COMPUTED_VALUE"""),33.0)</f>
        <v>33</v>
      </c>
      <c r="E113" s="1"/>
    </row>
    <row r="114">
      <c r="A114" s="1"/>
      <c r="B114" s="3" t="str">
        <f>IFERROR(__xludf.DUMMYFUNCTION("""COMPUTED_VALUE"""),"NAYLA CHAIRANI")</f>
        <v>NAYLA CHAIRANI</v>
      </c>
      <c r="C114" s="3" t="str">
        <f>IFERROR(__xludf.DUMMYFUNCTION("""COMPUTED_VALUE"""),"N0823019915")</f>
        <v>N0823019915</v>
      </c>
      <c r="D114" s="3">
        <f>IFERROR(__xludf.DUMMYFUNCTION("""COMPUTED_VALUE"""),17.0)</f>
        <v>17</v>
      </c>
      <c r="E114" s="1"/>
    </row>
    <row r="115">
      <c r="A115" s="1"/>
      <c r="B115" s="3" t="str">
        <f>IFERROR(__xludf.DUMMYFUNCTION("""COMPUTED_VALUE"""),"ANDITTYA ANDINI")</f>
        <v>ANDITTYA ANDINI</v>
      </c>
      <c r="C115" s="3" t="str">
        <f>IFERROR(__xludf.DUMMYFUNCTION("""COMPUTED_VALUE"""),"A0323027186")</f>
        <v>A0323027186</v>
      </c>
      <c r="D115" s="3">
        <f>IFERROR(__xludf.DUMMYFUNCTION("""COMPUTED_VALUE"""),22.0)</f>
        <v>22</v>
      </c>
      <c r="E115" s="1"/>
    </row>
    <row r="116">
      <c r="A116" s="1"/>
      <c r="B116" s="3" t="str">
        <f>IFERROR(__xludf.DUMMYFUNCTION("""COMPUTED_VALUE"""),"FAUZAN ASKAR")</f>
        <v>FAUZAN ASKAR</v>
      </c>
      <c r="C116" s="3" t="str">
        <f>IFERROR(__xludf.DUMMYFUNCTION("""COMPUTED_VALUE"""),"F9323020350")</f>
        <v>F9323020350</v>
      </c>
      <c r="D116" s="3">
        <f>IFERROR(__xludf.DUMMYFUNCTION("""COMPUTED_VALUE"""),33.0)</f>
        <v>33</v>
      </c>
      <c r="E116" s="1"/>
    </row>
    <row r="117">
      <c r="A117" s="1"/>
      <c r="B117" s="3" t="str">
        <f>IFERROR(__xludf.DUMMYFUNCTION("""COMPUTED_VALUE"""),"MAWARDI")</f>
        <v>MAWARDI</v>
      </c>
      <c r="C117" s="3" t="str">
        <f>IFERROR(__xludf.DUMMYFUNCTION("""COMPUTED_VALUE"""),"M9323023413")</f>
        <v>M9323023413</v>
      </c>
      <c r="D117" s="3">
        <f>IFERROR(__xludf.DUMMYFUNCTION("""COMPUTED_VALUE"""),33.0)</f>
        <v>33</v>
      </c>
      <c r="E117" s="1"/>
    </row>
    <row r="118">
      <c r="A118" s="1"/>
      <c r="B118" s="3" t="str">
        <f>IFERROR(__xludf.DUMMYFUNCTION("""COMPUTED_VALUE"""),"WISNUNANDAR SANTOSO")</f>
        <v>WISNUNANDAR SANTOSO</v>
      </c>
      <c r="C118" s="3" t="str">
        <f>IFERROR(__xludf.DUMMYFUNCTION("""COMPUTED_VALUE"""),"W9623025042")</f>
        <v>W9623025042</v>
      </c>
      <c r="D118" s="3">
        <f>IFERROR(__xludf.DUMMYFUNCTION("""COMPUTED_VALUE"""),30.0)</f>
        <v>30</v>
      </c>
      <c r="E118" s="1"/>
    </row>
    <row r="119">
      <c r="A119" s="1"/>
      <c r="B119" s="3" t="str">
        <f>IFERROR(__xludf.DUMMYFUNCTION("""COMPUTED_VALUE"""),"HADI PRATAMA")</f>
        <v>HADI PRATAMA</v>
      </c>
      <c r="C119" s="3" t="str">
        <f>IFERROR(__xludf.DUMMYFUNCTION("""COMPUTED_VALUE"""),"H8923022234")</f>
        <v>H8923022234</v>
      </c>
      <c r="D119" s="3">
        <f>IFERROR(__xludf.DUMMYFUNCTION("""COMPUTED_VALUE"""),37.0)</f>
        <v>37</v>
      </c>
      <c r="E119" s="1"/>
    </row>
    <row r="120">
      <c r="A120" s="1"/>
      <c r="B120" s="3" t="str">
        <f>IFERROR(__xludf.DUMMYFUNCTION("""COMPUTED_VALUE"""),"NANDA M SHAUQIE")</f>
        <v>NANDA M SHAUQIE</v>
      </c>
      <c r="C120" s="3" t="str">
        <f>IFERROR(__xludf.DUMMYFUNCTION("""COMPUTED_VALUE"""),"N9323021358")</f>
        <v>N9323021358</v>
      </c>
      <c r="D120" s="3">
        <f>IFERROR(__xludf.DUMMYFUNCTION("""COMPUTED_VALUE"""),33.0)</f>
        <v>33</v>
      </c>
      <c r="E120" s="1"/>
    </row>
    <row r="121">
      <c r="A121" s="1"/>
      <c r="B121" s="3" t="str">
        <f>IFERROR(__xludf.DUMMYFUNCTION("""COMPUTED_VALUE"""),"RIKO PRASETYO")</f>
        <v>RIKO PRASETYO</v>
      </c>
      <c r="C121" s="3" t="str">
        <f>IFERROR(__xludf.DUMMYFUNCTION("""COMPUTED_VALUE"""),"R9923026333")</f>
        <v>R9923026333</v>
      </c>
      <c r="D121" s="3">
        <f>IFERROR(__xludf.DUMMYFUNCTION("""COMPUTED_VALUE"""),27.0)</f>
        <v>27</v>
      </c>
      <c r="E121" s="1"/>
    </row>
    <row r="122">
      <c r="A122" s="1"/>
      <c r="B122" s="3" t="str">
        <f>IFERROR(__xludf.DUMMYFUNCTION("""COMPUTED_VALUE"""),"INDAH KRISTI AUDI")</f>
        <v>INDAH KRISTI AUDI</v>
      </c>
      <c r="C122" s="3" t="str">
        <f>IFERROR(__xludf.DUMMYFUNCTION("""COMPUTED_VALUE"""),"I0023024097")</f>
        <v>I0023024097</v>
      </c>
      <c r="D122" s="3">
        <f>IFERROR(__xludf.DUMMYFUNCTION("""COMPUTED_VALUE"""),25.0)</f>
        <v>25</v>
      </c>
      <c r="E122" s="1"/>
    </row>
    <row r="123">
      <c r="A123" s="1"/>
      <c r="B123" s="3" t="str">
        <f>IFERROR(__xludf.DUMMYFUNCTION("""COMPUTED_VALUE"""),"ANI WATI")</f>
        <v>ANI WATI</v>
      </c>
      <c r="C123" s="3" t="str">
        <f>IFERROR(__xludf.DUMMYFUNCTION("""COMPUTED_VALUE"""),"A5423026842")</f>
        <v>A5423026842</v>
      </c>
      <c r="D123" s="3">
        <f>IFERROR(__xludf.DUMMYFUNCTION("""COMPUTED_VALUE"""),72.0)</f>
        <v>72</v>
      </c>
      <c r="E123" s="1"/>
    </row>
    <row r="124">
      <c r="A124" s="1"/>
      <c r="B124" s="3" t="str">
        <f>IFERROR(__xludf.DUMMYFUNCTION("""COMPUTED_VALUE"""),"M HANIF HILMI")</f>
        <v>M HANIF HILMI</v>
      </c>
      <c r="C124" s="3" t="str">
        <f>IFERROR(__xludf.DUMMYFUNCTION("""COMPUTED_VALUE"""),"M1123026696")</f>
        <v>M1123026696</v>
      </c>
      <c r="D124" s="3">
        <f>IFERROR(__xludf.DUMMYFUNCTION("""COMPUTED_VALUE"""),14.0)</f>
        <v>14</v>
      </c>
      <c r="E124" s="1"/>
    </row>
    <row r="125">
      <c r="A125" s="1"/>
      <c r="B125" s="3" t="str">
        <f>IFERROR(__xludf.DUMMYFUNCTION("""COMPUTED_VALUE"""),"ARIF WICAKSONO")</f>
        <v>ARIF WICAKSONO</v>
      </c>
      <c r="C125" s="3" t="str">
        <f>IFERROR(__xludf.DUMMYFUNCTION("""COMPUTED_VALUE"""),"A9623024664")</f>
        <v>A9623024664</v>
      </c>
      <c r="D125" s="3">
        <f>IFERROR(__xludf.DUMMYFUNCTION("""COMPUTED_VALUE"""),30.0)</f>
        <v>30</v>
      </c>
      <c r="E125" s="1"/>
    </row>
    <row r="126">
      <c r="A126" s="1"/>
      <c r="B126" s="3" t="str">
        <f>IFERROR(__xludf.DUMMYFUNCTION("""COMPUTED_VALUE"""),"URAY SHEILA ANNISA AULIA")</f>
        <v>URAY SHEILA ANNISA AULIA</v>
      </c>
      <c r="C126" s="3" t="str">
        <f>IFERROR(__xludf.DUMMYFUNCTION("""COMPUTED_VALUE"""),"U0423025464")</f>
        <v>U0423025464</v>
      </c>
      <c r="D126" s="3">
        <f>IFERROR(__xludf.DUMMYFUNCTION("""COMPUTED_VALUE"""),21.0)</f>
        <v>21</v>
      </c>
      <c r="E126" s="1"/>
    </row>
    <row r="127">
      <c r="A127" s="1"/>
      <c r="B127" s="3" t="str">
        <f>IFERROR(__xludf.DUMMYFUNCTION("""COMPUTED_VALUE"""),"NAUFAL ARYA IRAWAN PUTRA")</f>
        <v>NAUFAL ARYA IRAWAN PUTRA</v>
      </c>
      <c r="C127" s="3" t="str">
        <f>IFERROR(__xludf.DUMMYFUNCTION("""COMPUTED_VALUE"""),"N0423029831")</f>
        <v>N0423029831</v>
      </c>
      <c r="D127" s="3">
        <f>IFERROR(__xludf.DUMMYFUNCTION("""COMPUTED_VALUE"""),22.0)</f>
        <v>22</v>
      </c>
      <c r="E127" s="1"/>
    </row>
    <row r="128">
      <c r="A128" s="1"/>
      <c r="B128" s="3" t="str">
        <f>IFERROR(__xludf.DUMMYFUNCTION("""COMPUTED_VALUE"""),"ANUGRAH D. ARI")</f>
        <v>ANUGRAH D. ARI</v>
      </c>
      <c r="C128" s="3" t="str">
        <f>IFERROR(__xludf.DUMMYFUNCTION("""COMPUTED_VALUE"""),"A9323020943")</f>
        <v>A9323020943</v>
      </c>
      <c r="D128" s="3">
        <f>IFERROR(__xludf.DUMMYFUNCTION("""COMPUTED_VALUE"""),32.0)</f>
        <v>32</v>
      </c>
      <c r="E128" s="1"/>
    </row>
    <row r="129">
      <c r="A129" s="1"/>
      <c r="B129" s="3" t="str">
        <f>IFERROR(__xludf.DUMMYFUNCTION("""COMPUTED_VALUE"""),"ARIES SANDYANDI")</f>
        <v>ARIES SANDYANDI</v>
      </c>
      <c r="C129" s="3" t="str">
        <f>IFERROR(__xludf.DUMMYFUNCTION("""COMPUTED_VALUE"""),"A9723027716")</f>
        <v>A9723027716</v>
      </c>
      <c r="D129" s="3">
        <f>IFERROR(__xludf.DUMMYFUNCTION("""COMPUTED_VALUE"""),28.0)</f>
        <v>28</v>
      </c>
      <c r="E129" s="1"/>
    </row>
    <row r="130">
      <c r="A130" s="1"/>
      <c r="B130" s="3" t="str">
        <f>IFERROR(__xludf.DUMMYFUNCTION("""COMPUTED_VALUE"""),"KENZO WINLIN")</f>
        <v>KENZO WINLIN</v>
      </c>
      <c r="C130" s="3" t="str">
        <f>IFERROR(__xludf.DUMMYFUNCTION("""COMPUTED_VALUE"""),"K1123020083")</f>
        <v>K1123020083</v>
      </c>
      <c r="D130" s="3">
        <f>IFERROR(__xludf.DUMMYFUNCTION("""COMPUTED_VALUE"""),14.0)</f>
        <v>14</v>
      </c>
      <c r="E130" s="1"/>
    </row>
    <row r="131">
      <c r="A131" s="1"/>
      <c r="B131" s="3" t="str">
        <f>IFERROR(__xludf.DUMMYFUNCTION("""COMPUTED_VALUE"""),"ZINEDINE AL HAADII")</f>
        <v>ZINEDINE AL HAADII</v>
      </c>
      <c r="C131" s="3" t="str">
        <f>IFERROR(__xludf.DUMMYFUNCTION("""COMPUTED_VALUE"""),"Z0723022066")</f>
        <v>Z0723022066</v>
      </c>
      <c r="D131" s="3">
        <f>IFERROR(__xludf.DUMMYFUNCTION("""COMPUTED_VALUE"""),19.0)</f>
        <v>19</v>
      </c>
      <c r="E131" s="1"/>
    </row>
    <row r="132">
      <c r="A132" s="1"/>
      <c r="B132" s="3" t="str">
        <f>IFERROR(__xludf.DUMMYFUNCTION("""COMPUTED_VALUE"""),"RIANTIN")</f>
        <v>RIANTIN</v>
      </c>
      <c r="C132" s="3" t="str">
        <f>IFERROR(__xludf.DUMMYFUNCTION("""COMPUTED_VALUE"""),"R7723022907")</f>
        <v>R7723022907</v>
      </c>
      <c r="D132" s="3">
        <f>IFERROR(__xludf.DUMMYFUNCTION("""COMPUTED_VALUE"""),48.0)</f>
        <v>48</v>
      </c>
      <c r="E132" s="1"/>
    </row>
    <row r="133">
      <c r="A133" s="1"/>
      <c r="B133" s="3" t="str">
        <f>IFERROR(__xludf.DUMMYFUNCTION("""COMPUTED_VALUE"""),"EKA ARIANDY")</f>
        <v>EKA ARIANDY</v>
      </c>
      <c r="C133" s="3" t="str">
        <f>IFERROR(__xludf.DUMMYFUNCTION("""COMPUTED_VALUE"""),"E8323022005")</f>
        <v>E8323022005</v>
      </c>
      <c r="D133" s="3">
        <f>IFERROR(__xludf.DUMMYFUNCTION("""COMPUTED_VALUE"""),43.0)</f>
        <v>43</v>
      </c>
      <c r="E133" s="1"/>
    </row>
    <row r="134">
      <c r="A134" s="1"/>
      <c r="B134" s="3" t="str">
        <f>IFERROR(__xludf.DUMMYFUNCTION("""COMPUTED_VALUE"""),"HENCENT MINANTO")</f>
        <v>HENCENT MINANTO</v>
      </c>
      <c r="C134" s="3" t="str">
        <f>IFERROR(__xludf.DUMMYFUNCTION("""COMPUTED_VALUE"""),"H9623022867")</f>
        <v>H9623022867</v>
      </c>
      <c r="D134" s="3">
        <f>IFERROR(__xludf.DUMMYFUNCTION("""COMPUTED_VALUE"""),29.0)</f>
        <v>29</v>
      </c>
      <c r="E134" s="1"/>
    </row>
    <row r="135">
      <c r="A135" s="1"/>
      <c r="B135" s="3" t="str">
        <f>IFERROR(__xludf.DUMMYFUNCTION("""COMPUTED_VALUE"""),"HENDRY WAHYONO")</f>
        <v>HENDRY WAHYONO</v>
      </c>
      <c r="C135" s="3" t="str">
        <f>IFERROR(__xludf.DUMMYFUNCTION("""COMPUTED_VALUE"""),"H7123024397")</f>
        <v>H7123024397</v>
      </c>
      <c r="D135" s="3">
        <f>IFERROR(__xludf.DUMMYFUNCTION("""COMPUTED_VALUE"""),55.0)</f>
        <v>55</v>
      </c>
      <c r="E135" s="1"/>
    </row>
    <row r="136">
      <c r="A136" s="1"/>
      <c r="B136" s="3" t="str">
        <f>IFERROR(__xludf.DUMMYFUNCTION("""COMPUTED_VALUE"""),"MARUPA SAGALA")</f>
        <v>MARUPA SAGALA</v>
      </c>
      <c r="C136" s="3" t="str">
        <f>IFERROR(__xludf.DUMMYFUNCTION("""COMPUTED_VALUE"""),"M7623025705")</f>
        <v>M7623025705</v>
      </c>
      <c r="D136" s="3">
        <f>IFERROR(__xludf.DUMMYFUNCTION("""COMPUTED_VALUE"""),50.0)</f>
        <v>50</v>
      </c>
      <c r="E136" s="1"/>
    </row>
    <row r="137">
      <c r="A137" s="1"/>
      <c r="B137" s="3" t="str">
        <f>IFERROR(__xludf.DUMMYFUNCTION("""COMPUTED_VALUE"""),"RIZKA TRI WARDHANI")</f>
        <v>RIZKA TRI WARDHANI</v>
      </c>
      <c r="C137" s="3" t="str">
        <f>IFERROR(__xludf.DUMMYFUNCTION("""COMPUTED_VALUE"""),"R9123026668")</f>
        <v>R9123026668</v>
      </c>
      <c r="D137" s="3">
        <f>IFERROR(__xludf.DUMMYFUNCTION("""COMPUTED_VALUE"""),35.0)</f>
        <v>35</v>
      </c>
      <c r="E137" s="1"/>
    </row>
    <row r="138">
      <c r="A138" s="1"/>
      <c r="B138" s="3" t="str">
        <f>IFERROR(__xludf.DUMMYFUNCTION("""COMPUTED_VALUE"""),"ARVIZA ALIFIANDRQ PRATAMA")</f>
        <v>ARVIZA ALIFIANDRQ PRATAMA</v>
      </c>
      <c r="C138" s="3" t="str">
        <f>IFERROR(__xludf.DUMMYFUNCTION("""COMPUTED_VALUE"""),"A1423027269")</f>
        <v>A1423027269</v>
      </c>
      <c r="D138" s="3">
        <f>IFERROR(__xludf.DUMMYFUNCTION("""COMPUTED_VALUE"""),11.0)</f>
        <v>11</v>
      </c>
      <c r="E138" s="1"/>
    </row>
    <row r="139">
      <c r="A139" s="1"/>
      <c r="B139" s="3" t="str">
        <f>IFERROR(__xludf.DUMMYFUNCTION("""COMPUTED_VALUE"""),"FATHUR AHLAN ALVARO")</f>
        <v>FATHUR AHLAN ALVARO</v>
      </c>
      <c r="C139" s="3" t="str">
        <f>IFERROR(__xludf.DUMMYFUNCTION("""COMPUTED_VALUE"""),"F1023022717")</f>
        <v>F1023022717</v>
      </c>
      <c r="D139" s="3">
        <f>IFERROR(__xludf.DUMMYFUNCTION("""COMPUTED_VALUE"""),16.0)</f>
        <v>16</v>
      </c>
      <c r="E139" s="1"/>
    </row>
    <row r="140">
      <c r="A140" s="1"/>
      <c r="B140" s="3" t="str">
        <f>IFERROR(__xludf.DUMMYFUNCTION("""COMPUTED_VALUE"""),"FITRI AYU RAMADHANTI")</f>
        <v>FITRI AYU RAMADHANTI</v>
      </c>
      <c r="C140" s="3" t="str">
        <f>IFERROR(__xludf.DUMMYFUNCTION("""COMPUTED_VALUE"""),"F9923027126")</f>
        <v>F9923027126</v>
      </c>
      <c r="D140" s="3">
        <f>IFERROR(__xludf.DUMMYFUNCTION("""COMPUTED_VALUE"""),27.0)</f>
        <v>27</v>
      </c>
      <c r="E140" s="1"/>
    </row>
    <row r="141">
      <c r="A141" s="1"/>
      <c r="B141" s="3" t="str">
        <f>IFERROR(__xludf.DUMMYFUNCTION("""COMPUTED_VALUE"""),"RAJA AQSHA P")</f>
        <v>RAJA AQSHA P</v>
      </c>
      <c r="C141" s="3" t="str">
        <f>IFERROR(__xludf.DUMMYFUNCTION("""COMPUTED_VALUE"""),"R1023025743")</f>
        <v>R1023025743</v>
      </c>
      <c r="D141" s="3">
        <f>IFERROR(__xludf.DUMMYFUNCTION("""COMPUTED_VALUE"""),16.0)</f>
        <v>16</v>
      </c>
      <c r="E141" s="1"/>
    </row>
    <row r="142">
      <c r="A142" s="1"/>
      <c r="B142" s="3" t="str">
        <f>IFERROR(__xludf.DUMMYFUNCTION("""COMPUTED_VALUE"""),"ROMY ERLANGGA")</f>
        <v>ROMY ERLANGGA</v>
      </c>
      <c r="C142" s="3" t="str">
        <f>IFERROR(__xludf.DUMMYFUNCTION("""COMPUTED_VALUE"""),"R8723026176")</f>
        <v>R8723026176</v>
      </c>
      <c r="D142" s="3">
        <f>IFERROR(__xludf.DUMMYFUNCTION("""COMPUTED_VALUE"""),39.0)</f>
        <v>39</v>
      </c>
      <c r="E142" s="1"/>
    </row>
    <row r="143">
      <c r="A143" s="1"/>
      <c r="B143" s="3" t="str">
        <f>IFERROR(__xludf.DUMMYFUNCTION("""COMPUTED_VALUE"""),"SYAHRIAL")</f>
        <v>SYAHRIAL</v>
      </c>
      <c r="C143" s="3" t="str">
        <f>IFERROR(__xludf.DUMMYFUNCTION("""COMPUTED_VALUE"""),"S7523022111")</f>
        <v>S7523022111</v>
      </c>
      <c r="D143" s="3">
        <f>IFERROR(__xludf.DUMMYFUNCTION("""COMPUTED_VALUE"""),51.0)</f>
        <v>51</v>
      </c>
      <c r="E143" s="1"/>
    </row>
    <row r="144">
      <c r="A144" s="1"/>
      <c r="B144" s="3" t="str">
        <f>IFERROR(__xludf.DUMMYFUNCTION("""COMPUTED_VALUE"""),"DODI SURIYADI")</f>
        <v>DODI SURIYADI</v>
      </c>
      <c r="C144" s="3" t="str">
        <f>IFERROR(__xludf.DUMMYFUNCTION("""COMPUTED_VALUE"""),"D7023021970")</f>
        <v>D7023021970</v>
      </c>
      <c r="D144" s="3">
        <f>IFERROR(__xludf.DUMMYFUNCTION("""COMPUTED_VALUE"""),56.0)</f>
        <v>56</v>
      </c>
      <c r="E144" s="1"/>
    </row>
    <row r="145">
      <c r="A145" s="1"/>
      <c r="B145" s="3" t="str">
        <f>IFERROR(__xludf.DUMMYFUNCTION("""COMPUTED_VALUE"""),"PUJI ASTUTI")</f>
        <v>PUJI ASTUTI</v>
      </c>
      <c r="C145" s="3" t="str">
        <f>IFERROR(__xludf.DUMMYFUNCTION("""COMPUTED_VALUE"""),"P8623020320")</f>
        <v>P8623020320</v>
      </c>
      <c r="D145" s="3">
        <f>IFERROR(__xludf.DUMMYFUNCTION("""COMPUTED_VALUE"""),39.0)</f>
        <v>39</v>
      </c>
      <c r="E145" s="1"/>
    </row>
    <row r="146">
      <c r="A146" s="1"/>
      <c r="B146" s="3" t="str">
        <f>IFERROR(__xludf.DUMMYFUNCTION("""COMPUTED_VALUE"""),"ADNAN PRAMUDIO")</f>
        <v>ADNAN PRAMUDIO</v>
      </c>
      <c r="C146" s="3" t="str">
        <f>IFERROR(__xludf.DUMMYFUNCTION("""COMPUTED_VALUE"""),"A9323025721")</f>
        <v>A9323025721</v>
      </c>
      <c r="D146" s="3">
        <f>IFERROR(__xludf.DUMMYFUNCTION("""COMPUTED_VALUE"""),33.0)</f>
        <v>33</v>
      </c>
      <c r="E146" s="1"/>
    </row>
    <row r="147">
      <c r="A147" s="1"/>
      <c r="B147" s="3" t="str">
        <f>IFERROR(__xludf.DUMMYFUNCTION("""COMPUTED_VALUE"""),"AHMAD NAZRAN")</f>
        <v>AHMAD NAZRAN</v>
      </c>
      <c r="C147" s="3" t="str">
        <f>IFERROR(__xludf.DUMMYFUNCTION("""COMPUTED_VALUE"""),"A9723026314")</f>
        <v>A9723026314</v>
      </c>
      <c r="D147" s="3">
        <f>IFERROR(__xludf.DUMMYFUNCTION("""COMPUTED_VALUE"""),29.0)</f>
        <v>29</v>
      </c>
      <c r="E147" s="1"/>
    </row>
    <row r="148">
      <c r="A148" s="1"/>
      <c r="B148" s="3" t="str">
        <f>IFERROR(__xludf.DUMMYFUNCTION("""COMPUTED_VALUE"""),"BERNADUS MILINIUS")</f>
        <v>BERNADUS MILINIUS</v>
      </c>
      <c r="C148" s="3" t="str">
        <f>IFERROR(__xludf.DUMMYFUNCTION("""COMPUTED_VALUE"""),"B0023023780")</f>
        <v>B0023023780</v>
      </c>
      <c r="D148" s="3">
        <f>IFERROR(__xludf.DUMMYFUNCTION("""COMPUTED_VALUE"""),25.0)</f>
        <v>25</v>
      </c>
      <c r="E148" s="1"/>
    </row>
    <row r="149">
      <c r="A149" s="1"/>
      <c r="B149" s="3" t="str">
        <f>IFERROR(__xludf.DUMMYFUNCTION("""COMPUTED_VALUE"""),"BURHAN")</f>
        <v>BURHAN</v>
      </c>
      <c r="C149" s="3" t="str">
        <f>IFERROR(__xludf.DUMMYFUNCTION("""COMPUTED_VALUE"""),"B6323026014")</f>
        <v>B6323026014</v>
      </c>
      <c r="D149" s="3">
        <f>IFERROR(__xludf.DUMMYFUNCTION("""COMPUTED_VALUE"""),62.0)</f>
        <v>62</v>
      </c>
      <c r="E149" s="1"/>
    </row>
    <row r="150">
      <c r="A150" s="1"/>
      <c r="B150" s="3" t="str">
        <f>IFERROR(__xludf.DUMMYFUNCTION("""COMPUTED_VALUE"""),"RICKY")</f>
        <v>RICKY</v>
      </c>
      <c r="C150" s="3" t="str">
        <f>IFERROR(__xludf.DUMMYFUNCTION("""COMPUTED_VALUE"""),"R0123024442")</f>
        <v>R0123024442</v>
      </c>
      <c r="D150" s="3">
        <f>IFERROR(__xludf.DUMMYFUNCTION("""COMPUTED_VALUE"""),25.0)</f>
        <v>25</v>
      </c>
      <c r="E150" s="1"/>
    </row>
    <row r="151">
      <c r="A151" s="1"/>
      <c r="B151" s="3" t="str">
        <f>IFERROR(__xludf.DUMMYFUNCTION("""COMPUTED_VALUE"""),"ENDANG SUAIDAH")</f>
        <v>ENDANG SUAIDAH</v>
      </c>
      <c r="C151" s="3" t="str">
        <f>IFERROR(__xludf.DUMMYFUNCTION("""COMPUTED_VALUE"""),"E7223028000")</f>
        <v>E7223028000</v>
      </c>
      <c r="D151" s="3">
        <f>IFERROR(__xludf.DUMMYFUNCTION("""COMPUTED_VALUE"""),53.0)</f>
        <v>53</v>
      </c>
      <c r="E151" s="1"/>
    </row>
    <row r="152">
      <c r="A152" s="1"/>
      <c r="B152" s="3" t="str">
        <f>IFERROR(__xludf.DUMMYFUNCTION("""COMPUTED_VALUE"""),"KINARA SHALWA MIKHAYLA")</f>
        <v>KINARA SHALWA MIKHAYLA</v>
      </c>
      <c r="C152" s="3" t="str">
        <f>IFERROR(__xludf.DUMMYFUNCTION("""COMPUTED_VALUE"""),"K1423026996")</f>
        <v>K1423026996</v>
      </c>
      <c r="D152" s="3">
        <f>IFERROR(__xludf.DUMMYFUNCTION("""COMPUTED_VALUE"""),12.0)</f>
        <v>12</v>
      </c>
      <c r="E152" s="1"/>
    </row>
    <row r="153">
      <c r="A153" s="1"/>
      <c r="B153" s="3" t="str">
        <f>IFERROR(__xludf.DUMMYFUNCTION("""COMPUTED_VALUE"""),"MURNI YUS ANAS")</f>
        <v>MURNI YUS ANAS</v>
      </c>
      <c r="C153" s="3" t="str">
        <f>IFERROR(__xludf.DUMMYFUNCTION("""COMPUTED_VALUE"""),"M6023025875")</f>
        <v>M6023025875</v>
      </c>
      <c r="D153" s="3">
        <f>IFERROR(__xludf.DUMMYFUNCTION("""COMPUTED_VALUE"""),65.0)</f>
        <v>65</v>
      </c>
      <c r="E153" s="1"/>
    </row>
    <row r="154">
      <c r="A154" s="1"/>
      <c r="B154" s="3" t="str">
        <f>IFERROR(__xludf.DUMMYFUNCTION("""COMPUTED_VALUE"""),"PURMAWATI")</f>
        <v>PURMAWATI</v>
      </c>
      <c r="C154" s="3" t="str">
        <f>IFERROR(__xludf.DUMMYFUNCTION("""COMPUTED_VALUE"""),"P5923029996")</f>
        <v>P5923029996</v>
      </c>
      <c r="D154" s="3">
        <f>IFERROR(__xludf.DUMMYFUNCTION("""COMPUTED_VALUE"""),66.0)</f>
        <v>66</v>
      </c>
      <c r="E154" s="1"/>
    </row>
    <row r="155">
      <c r="A155" s="1"/>
      <c r="B155" s="3" t="str">
        <f>IFERROR(__xludf.DUMMYFUNCTION("""COMPUTED_VALUE"""),"SARBANI")</f>
        <v>SARBANI</v>
      </c>
      <c r="C155" s="3" t="str">
        <f>IFERROR(__xludf.DUMMYFUNCTION("""COMPUTED_VALUE"""),"S6023020000")</f>
        <v>S6023020000</v>
      </c>
      <c r="D155" s="3">
        <f>IFERROR(__xludf.DUMMYFUNCTION("""COMPUTED_VALUE"""),65.0)</f>
        <v>65</v>
      </c>
      <c r="E155" s="1"/>
    </row>
    <row r="156">
      <c r="A156" s="1"/>
      <c r="B156" s="3" t="str">
        <f>IFERROR(__xludf.DUMMYFUNCTION("""COMPUTED_VALUE"""),"ARDILA ARZETA")</f>
        <v>ARDILA ARZETA</v>
      </c>
      <c r="C156" s="3" t="str">
        <f>IFERROR(__xludf.DUMMYFUNCTION("""COMPUTED_VALUE"""),"A0323029483")</f>
        <v>A0323029483</v>
      </c>
      <c r="D156" s="3">
        <f>IFERROR(__xludf.DUMMYFUNCTION("""COMPUTED_VALUE"""),22.0)</f>
        <v>22</v>
      </c>
      <c r="E156" s="1"/>
    </row>
    <row r="157">
      <c r="A157" s="1"/>
      <c r="B157" s="3" t="str">
        <f>IFERROR(__xludf.DUMMYFUNCTION("""COMPUTED_VALUE"""),"EKO SUPRIHATINO")</f>
        <v>EKO SUPRIHATINO</v>
      </c>
      <c r="C157" s="3" t="str">
        <f>IFERROR(__xludf.DUMMYFUNCTION("""COMPUTED_VALUE"""),"E7223023777")</f>
        <v>E7223023777</v>
      </c>
      <c r="D157" s="3">
        <f>IFERROR(__xludf.DUMMYFUNCTION("""COMPUTED_VALUE"""),53.0)</f>
        <v>53</v>
      </c>
      <c r="E157" s="1"/>
    </row>
    <row r="158">
      <c r="A158" s="1"/>
      <c r="B158" s="3" t="str">
        <f>IFERROR(__xludf.DUMMYFUNCTION("""COMPUTED_VALUE"""),"HEDI SURYADI")</f>
        <v>HEDI SURYADI</v>
      </c>
      <c r="C158" s="3" t="str">
        <f>IFERROR(__xludf.DUMMYFUNCTION("""COMPUTED_VALUE"""),"H9623023395")</f>
        <v>H9623023395</v>
      </c>
      <c r="D158" s="3">
        <f>IFERROR(__xludf.DUMMYFUNCTION("""COMPUTED_VALUE"""),29.0)</f>
        <v>29</v>
      </c>
      <c r="E158" s="1"/>
    </row>
    <row r="159">
      <c r="A159" s="1"/>
      <c r="B159" s="3" t="str">
        <f>IFERROR(__xludf.DUMMYFUNCTION("""COMPUTED_VALUE"""),"ITA PURNAMA")</f>
        <v>ITA PURNAMA</v>
      </c>
      <c r="C159" s="3" t="str">
        <f>IFERROR(__xludf.DUMMYFUNCTION("""COMPUTED_VALUE"""),"I6623028423")</f>
        <v>I6623028423</v>
      </c>
      <c r="D159" s="3">
        <f>IFERROR(__xludf.DUMMYFUNCTION("""COMPUTED_VALUE"""),59.0)</f>
        <v>59</v>
      </c>
      <c r="E159" s="1"/>
    </row>
    <row r="160">
      <c r="A160" s="1"/>
      <c r="B160" s="3" t="str">
        <f>IFERROR(__xludf.DUMMYFUNCTION("""COMPUTED_VALUE"""),"LEO NATHANAEL LAURENT")</f>
        <v>LEO NATHANAEL LAURENT</v>
      </c>
      <c r="C160" s="3" t="str">
        <f>IFERROR(__xludf.DUMMYFUNCTION("""COMPUTED_VALUE"""),"L1423029798")</f>
        <v>L1423029798</v>
      </c>
      <c r="D160" s="3">
        <f>IFERROR(__xludf.DUMMYFUNCTION("""COMPUTED_VALUE"""),11.0)</f>
        <v>11</v>
      </c>
      <c r="E160" s="1"/>
    </row>
    <row r="161">
      <c r="A161" s="1"/>
      <c r="B161" s="3" t="str">
        <f>IFERROR(__xludf.DUMMYFUNCTION("""COMPUTED_VALUE"""),"SYELLA WAHYU PUTRI ARYANTO")</f>
        <v>SYELLA WAHYU PUTRI ARYANTO</v>
      </c>
      <c r="C161" s="3" t="str">
        <f>IFERROR(__xludf.DUMMYFUNCTION("""COMPUTED_VALUE"""),"S8823027049")</f>
        <v>S8823027049</v>
      </c>
      <c r="D161" s="3">
        <f>IFERROR(__xludf.DUMMYFUNCTION("""COMPUTED_VALUE"""),38.0)</f>
        <v>38</v>
      </c>
      <c r="E161" s="1"/>
    </row>
    <row r="162">
      <c r="A162" s="1"/>
      <c r="B162" s="3" t="str">
        <f>IFERROR(__xludf.DUMMYFUNCTION("""COMPUTED_VALUE"""),"ANETHA AVERIL CORNELIA")</f>
        <v>ANETHA AVERIL CORNELIA</v>
      </c>
      <c r="C162" s="3" t="str">
        <f>IFERROR(__xludf.DUMMYFUNCTION("""COMPUTED_VALUE"""),"A0523028996")</f>
        <v>A0523028996</v>
      </c>
      <c r="D162" s="3">
        <f>IFERROR(__xludf.DUMMYFUNCTION("""COMPUTED_VALUE"""),21.0)</f>
        <v>21</v>
      </c>
      <c r="E162" s="1"/>
    </row>
    <row r="163">
      <c r="A163" s="1"/>
      <c r="B163" s="3" t="str">
        <f>IFERROR(__xludf.DUMMYFUNCTION("""COMPUTED_VALUE"""),"FATMA NURHAYATI")</f>
        <v>FATMA NURHAYATI</v>
      </c>
      <c r="C163" s="3" t="str">
        <f>IFERROR(__xludf.DUMMYFUNCTION("""COMPUTED_VALUE"""),"F5923021150")</f>
        <v>F5923021150</v>
      </c>
      <c r="D163" s="3">
        <f>IFERROR(__xludf.DUMMYFUNCTION("""COMPUTED_VALUE"""),67.0)</f>
        <v>67</v>
      </c>
      <c r="E163" s="1"/>
    </row>
    <row r="164">
      <c r="A164" s="1"/>
      <c r="B164" s="3" t="str">
        <f>IFERROR(__xludf.DUMMYFUNCTION("""COMPUTED_VALUE"""),"NICO ADIDHARMA")</f>
        <v>NICO ADIDHARMA</v>
      </c>
      <c r="C164" s="3" t="str">
        <f>IFERROR(__xludf.DUMMYFUNCTION("""COMPUTED_VALUE"""),"N8223028356")</f>
        <v>N8223028356</v>
      </c>
      <c r="D164" s="3">
        <f>IFERROR(__xludf.DUMMYFUNCTION("""COMPUTED_VALUE"""),43.0)</f>
        <v>43</v>
      </c>
      <c r="E164" s="1"/>
    </row>
    <row r="165">
      <c r="A165" s="1"/>
      <c r="B165" s="3" t="str">
        <f>IFERROR(__xludf.DUMMYFUNCTION("""COMPUTED_VALUE"""),"VELLEN WIBOWO")</f>
        <v>VELLEN WIBOWO</v>
      </c>
      <c r="C165" s="3" t="str">
        <f>IFERROR(__xludf.DUMMYFUNCTION("""COMPUTED_VALUE"""),"V9223025562")</f>
        <v>V9223025562</v>
      </c>
      <c r="D165" s="3">
        <f>IFERROR(__xludf.DUMMYFUNCTION("""COMPUTED_VALUE"""),34.0)</f>
        <v>34</v>
      </c>
      <c r="E165" s="1"/>
    </row>
    <row r="166">
      <c r="A166" s="1"/>
      <c r="B166" s="3" t="str">
        <f>IFERROR(__xludf.DUMMYFUNCTION("""COMPUTED_VALUE"""),"DUDI HARSONO")</f>
        <v>DUDI HARSONO</v>
      </c>
      <c r="C166" s="3" t="str">
        <f>IFERROR(__xludf.DUMMYFUNCTION("""COMPUTED_VALUE"""),"D8223022134")</f>
        <v>D8223022134</v>
      </c>
      <c r="D166" s="3">
        <f>IFERROR(__xludf.DUMMYFUNCTION("""COMPUTED_VALUE"""),43.0)</f>
        <v>43</v>
      </c>
      <c r="E166" s="1"/>
    </row>
    <row r="167">
      <c r="A167" s="1"/>
      <c r="B167" s="3" t="str">
        <f>IFERROR(__xludf.DUMMYFUNCTION("""COMPUTED_VALUE"""),"FENDY")</f>
        <v>FENDY</v>
      </c>
      <c r="C167" s="3" t="str">
        <f>IFERROR(__xludf.DUMMYFUNCTION("""COMPUTED_VALUE"""),"F8423023131")</f>
        <v>F8423023131</v>
      </c>
      <c r="D167" s="3">
        <f>IFERROR(__xludf.DUMMYFUNCTION("""COMPUTED_VALUE"""),42.0)</f>
        <v>42</v>
      </c>
      <c r="E167" s="1"/>
    </row>
    <row r="168">
      <c r="A168" s="1"/>
      <c r="B168" s="3" t="str">
        <f>IFERROR(__xludf.DUMMYFUNCTION("""COMPUTED_VALUE"""),"M. HAMZAH")</f>
        <v>M. HAMZAH</v>
      </c>
      <c r="C168" s="3" t="str">
        <f>IFERROR(__xludf.DUMMYFUNCTION("""COMPUTED_VALUE"""),"M7823020278")</f>
        <v>M7823020278</v>
      </c>
      <c r="D168" s="3">
        <f>IFERROR(__xludf.DUMMYFUNCTION("""COMPUTED_VALUE"""),48.0)</f>
        <v>48</v>
      </c>
      <c r="E168" s="1"/>
    </row>
    <row r="169">
      <c r="A169" s="1"/>
      <c r="B169" s="3" t="str">
        <f>IFERROR(__xludf.DUMMYFUNCTION("""COMPUTED_VALUE"""),"NG NYUK THJIU")</f>
        <v>NG NYUK THJIU</v>
      </c>
      <c r="C169" s="3" t="str">
        <f>IFERROR(__xludf.DUMMYFUNCTION("""COMPUTED_VALUE"""),"N6223028829")</f>
        <v>N6223028829</v>
      </c>
      <c r="D169" s="3">
        <f>IFERROR(__xludf.DUMMYFUNCTION("""COMPUTED_VALUE"""),64.0)</f>
        <v>64</v>
      </c>
      <c r="E169" s="1"/>
    </row>
    <row r="170">
      <c r="A170" s="1"/>
      <c r="B170" s="3" t="str">
        <f>IFERROR(__xludf.DUMMYFUNCTION("""COMPUTED_VALUE"""),"RIZKY PRASETYA")</f>
        <v>RIZKY PRASETYA</v>
      </c>
      <c r="C170" s="3" t="str">
        <f>IFERROR(__xludf.DUMMYFUNCTION("""COMPUTED_VALUE"""),"R9123020062")</f>
        <v>R9123020062</v>
      </c>
      <c r="D170" s="3">
        <f>IFERROR(__xludf.DUMMYFUNCTION("""COMPUTED_VALUE"""),35.0)</f>
        <v>35</v>
      </c>
      <c r="E170" s="1"/>
    </row>
    <row r="171">
      <c r="A171" s="1"/>
      <c r="B171" s="3" t="str">
        <f>IFERROR(__xludf.DUMMYFUNCTION("""COMPUTED_VALUE"""),"TJUNG LIAN SIAN")</f>
        <v>TJUNG LIAN SIAN</v>
      </c>
      <c r="C171" s="3" t="str">
        <f>IFERROR(__xludf.DUMMYFUNCTION("""COMPUTED_VALUE"""),"T5923028951")</f>
        <v>T5923028951</v>
      </c>
      <c r="D171" s="3">
        <f>IFERROR(__xludf.DUMMYFUNCTION("""COMPUTED_VALUE"""),67.0)</f>
        <v>67</v>
      </c>
      <c r="E171" s="1"/>
    </row>
    <row r="172">
      <c r="A172" s="1"/>
      <c r="B172" s="3" t="str">
        <f>IFERROR(__xludf.DUMMYFUNCTION("""COMPUTED_VALUE"""),"SUSAN")</f>
        <v>SUSAN</v>
      </c>
      <c r="C172" s="3" t="str">
        <f>IFERROR(__xludf.DUMMYFUNCTION("""COMPUTED_VALUE"""),"S7623022392")</f>
        <v>S7623022392</v>
      </c>
      <c r="D172" s="3">
        <f>IFERROR(__xludf.DUMMYFUNCTION("""COMPUTED_VALUE"""),49.0)</f>
        <v>49</v>
      </c>
      <c r="E172" s="1"/>
    </row>
    <row r="173">
      <c r="A173" s="1"/>
      <c r="B173" s="3" t="str">
        <f>IFERROR(__xludf.DUMMYFUNCTION("""COMPUTED_VALUE"""),"FARHAN 1007")</f>
        <v>FARHAN 1007</v>
      </c>
      <c r="C173" s="3" t="str">
        <f>IFERROR(__xludf.DUMMYFUNCTION("""COMPUTED_VALUE"""),"F1023024870")</f>
        <v>F1023024870</v>
      </c>
      <c r="D173" s="3">
        <f>IFERROR(__xludf.DUMMYFUNCTION("""COMPUTED_VALUE"""),15.0)</f>
        <v>15</v>
      </c>
      <c r="E173" s="1"/>
    </row>
    <row r="174">
      <c r="A174" s="1"/>
      <c r="B174" s="3" t="str">
        <f>IFERROR(__xludf.DUMMYFUNCTION("""COMPUTED_VALUE"""),"NUR ANNISA")</f>
        <v>NUR ANNISA</v>
      </c>
      <c r="C174" s="3" t="str">
        <f>IFERROR(__xludf.DUMMYFUNCTION("""COMPUTED_VALUE"""),"N9623024811")</f>
        <v>N9623024811</v>
      </c>
      <c r="D174" s="3">
        <f>IFERROR(__xludf.DUMMYFUNCTION("""COMPUTED_VALUE"""),29.0)</f>
        <v>29</v>
      </c>
      <c r="E174" s="1"/>
    </row>
    <row r="175">
      <c r="A175" s="1"/>
      <c r="B175" s="3" t="str">
        <f>IFERROR(__xludf.DUMMYFUNCTION("""COMPUTED_VALUE"""),"RAYMOND FERDINAND")</f>
        <v>RAYMOND FERDINAND</v>
      </c>
      <c r="C175" s="3" t="str">
        <f>IFERROR(__xludf.DUMMYFUNCTION("""COMPUTED_VALUE"""),"R0023021918")</f>
        <v>R0023021918</v>
      </c>
      <c r="D175" s="3">
        <f>IFERROR(__xludf.DUMMYFUNCTION("""COMPUTED_VALUE"""),25.0)</f>
        <v>25</v>
      </c>
      <c r="E175" s="1"/>
    </row>
    <row r="176">
      <c r="A176" s="1"/>
      <c r="B176" s="3" t="str">
        <f>IFERROR(__xludf.DUMMYFUNCTION("""COMPUTED_VALUE"""),"RIFKI FAUZI")</f>
        <v>RIFKI FAUZI</v>
      </c>
      <c r="C176" s="3" t="str">
        <f>IFERROR(__xludf.DUMMYFUNCTION("""COMPUTED_VALUE"""),"R9323025671")</f>
        <v>R9323025671</v>
      </c>
      <c r="D176" s="3">
        <f>IFERROR(__xludf.DUMMYFUNCTION("""COMPUTED_VALUE"""),33.0)</f>
        <v>33</v>
      </c>
      <c r="E176" s="1"/>
    </row>
    <row r="177">
      <c r="A177" s="1"/>
      <c r="B177" s="3" t="str">
        <f>IFERROR(__xludf.DUMMYFUNCTION("""COMPUTED_VALUE"""),"WINDA STANZA")</f>
        <v>WINDA STANZA</v>
      </c>
      <c r="C177" s="3" t="str">
        <f>IFERROR(__xludf.DUMMYFUNCTION("""COMPUTED_VALUE"""),"W8823027511")</f>
        <v>W8823027511</v>
      </c>
      <c r="D177" s="3">
        <f>IFERROR(__xludf.DUMMYFUNCTION("""COMPUTED_VALUE"""),37.0)</f>
        <v>37</v>
      </c>
      <c r="E177" s="1"/>
    </row>
    <row r="178">
      <c r="A178" s="1"/>
      <c r="B178" s="3" t="str">
        <f>IFERROR(__xludf.DUMMYFUNCTION("""COMPUTED_VALUE"""),"LILIANA GUNAWAN")</f>
        <v>LILIANA GUNAWAN</v>
      </c>
      <c r="C178" s="3" t="str">
        <f>IFERROR(__xludf.DUMMYFUNCTION("""COMPUTED_VALUE"""),"L8723022028")</f>
        <v>L8723022028</v>
      </c>
      <c r="D178" s="3">
        <f>IFERROR(__xludf.DUMMYFUNCTION("""COMPUTED_VALUE"""),39.0)</f>
        <v>39</v>
      </c>
      <c r="E178" s="1"/>
    </row>
    <row r="179">
      <c r="A179" s="1"/>
      <c r="B179" s="3" t="str">
        <f>IFERROR(__xludf.DUMMYFUNCTION("""COMPUTED_VALUE"""),"TAUFIK MUTTAQIN")</f>
        <v>TAUFIK MUTTAQIN</v>
      </c>
      <c r="C179" s="3" t="str">
        <f>IFERROR(__xludf.DUMMYFUNCTION("""COMPUTED_VALUE"""),"T0623027099")</f>
        <v>T0623027099</v>
      </c>
      <c r="D179" s="3">
        <f>IFERROR(__xludf.DUMMYFUNCTION("""COMPUTED_VALUE"""),20.0)</f>
        <v>20</v>
      </c>
      <c r="E179" s="1"/>
    </row>
    <row r="180">
      <c r="A180" s="1"/>
      <c r="B180" s="3" t="str">
        <f>IFERROR(__xludf.DUMMYFUNCTION("""COMPUTED_VALUE"""),"AKA PRATAMA")</f>
        <v>AKA PRATAMA</v>
      </c>
      <c r="C180" s="3" t="str">
        <f>IFERROR(__xludf.DUMMYFUNCTION("""COMPUTED_VALUE"""),"A0223025155")</f>
        <v>A0223025155</v>
      </c>
      <c r="D180" s="3">
        <f>IFERROR(__xludf.DUMMYFUNCTION("""COMPUTED_VALUE"""),24.0)</f>
        <v>24</v>
      </c>
      <c r="E180" s="1"/>
    </row>
    <row r="181">
      <c r="A181" s="1"/>
      <c r="B181" s="3" t="str">
        <f>IFERROR(__xludf.DUMMYFUNCTION("""COMPUTED_VALUE"""),"MULYA")</f>
        <v>MULYA</v>
      </c>
      <c r="C181" s="3" t="str">
        <f>IFERROR(__xludf.DUMMYFUNCTION("""COMPUTED_VALUE"""),"M8723024289")</f>
        <v>M8723024289</v>
      </c>
      <c r="D181" s="3">
        <f>IFERROR(__xludf.DUMMYFUNCTION("""COMPUTED_VALUE"""),38.0)</f>
        <v>38</v>
      </c>
      <c r="E181" s="1"/>
    </row>
    <row r="182">
      <c r="A182" s="1"/>
      <c r="B182" s="3" t="str">
        <f>IFERROR(__xludf.DUMMYFUNCTION("""COMPUTED_VALUE"""),"AYUNI")</f>
        <v>AYUNI</v>
      </c>
      <c r="C182" s="3" t="str">
        <f>IFERROR(__xludf.DUMMYFUNCTION("""COMPUTED_VALUE"""),"A9823029528")</f>
        <v>A9823029528</v>
      </c>
      <c r="D182" s="3">
        <f>IFERROR(__xludf.DUMMYFUNCTION("""COMPUTED_VALUE"""),27.0)</f>
        <v>27</v>
      </c>
      <c r="E182" s="1"/>
    </row>
    <row r="183">
      <c r="A183" s="1"/>
      <c r="B183" s="3" t="str">
        <f>IFERROR(__xludf.DUMMYFUNCTION("""COMPUTED_VALUE"""),"FERNI PUSPITA")</f>
        <v>FERNI PUSPITA</v>
      </c>
      <c r="C183" s="3" t="str">
        <f>IFERROR(__xludf.DUMMYFUNCTION("""COMPUTED_VALUE"""),"F6623026735")</f>
        <v>F6623026735</v>
      </c>
      <c r="D183" s="3">
        <f>IFERROR(__xludf.DUMMYFUNCTION("""COMPUTED_VALUE"""),60.0)</f>
        <v>60</v>
      </c>
      <c r="E183" s="1"/>
    </row>
    <row r="184">
      <c r="A184" s="1"/>
      <c r="B184" s="3" t="str">
        <f>IFERROR(__xludf.DUMMYFUNCTION("""COMPUTED_VALUE"""),"RAI BINTANG ELSHIRAZY")</f>
        <v>RAI BINTANG ELSHIRAZY</v>
      </c>
      <c r="C184" s="3" t="str">
        <f>IFERROR(__xludf.DUMMYFUNCTION("""COMPUTED_VALUE"""),"R0923025321")</f>
        <v>R0923025321</v>
      </c>
      <c r="D184" s="3">
        <f>IFERROR(__xludf.DUMMYFUNCTION("""COMPUTED_VALUE"""),16.0)</f>
        <v>16</v>
      </c>
      <c r="E184" s="1"/>
    </row>
    <row r="185">
      <c r="A185" s="1"/>
      <c r="B185" s="3" t="str">
        <f>IFERROR(__xludf.DUMMYFUNCTION("""COMPUTED_VALUE"""),"MAULANA FILANI RIZAL")</f>
        <v>MAULANA FILANI RIZAL</v>
      </c>
      <c r="C185" s="3" t="str">
        <f>IFERROR(__xludf.DUMMYFUNCTION("""COMPUTED_VALUE"""),"M8123038531")</f>
        <v>M8123038531</v>
      </c>
      <c r="D185" s="3">
        <f>IFERROR(__xludf.DUMMYFUNCTION("""COMPUTED_VALUE"""),45.0)</f>
        <v>45</v>
      </c>
      <c r="E185" s="1"/>
    </row>
    <row r="186">
      <c r="A186" s="1"/>
      <c r="B186" s="3" t="str">
        <f>IFERROR(__xludf.DUMMYFUNCTION("""COMPUTED_VALUE"""),"NADIA GADIS NAMIRA")</f>
        <v>NADIA GADIS NAMIRA</v>
      </c>
      <c r="C186" s="3" t="str">
        <f>IFERROR(__xludf.DUMMYFUNCTION("""COMPUTED_VALUE"""),"N0423037312")</f>
        <v>N0423037312</v>
      </c>
      <c r="D186" s="3">
        <f>IFERROR(__xludf.DUMMYFUNCTION("""COMPUTED_VALUE"""),22.0)</f>
        <v>22</v>
      </c>
      <c r="E186" s="1"/>
    </row>
    <row r="187">
      <c r="A187" s="1"/>
      <c r="B187" s="3" t="str">
        <f>IFERROR(__xludf.DUMMYFUNCTION("""COMPUTED_VALUE"""),"M ANDREAN")</f>
        <v>M ANDREAN</v>
      </c>
      <c r="C187" s="3" t="str">
        <f>IFERROR(__xludf.DUMMYFUNCTION("""COMPUTED_VALUE"""),"M9523038177")</f>
        <v>M9523038177</v>
      </c>
      <c r="D187" s="3">
        <f>IFERROR(__xludf.DUMMYFUNCTION("""COMPUTED_VALUE"""),30.0)</f>
        <v>30</v>
      </c>
      <c r="E187" s="1"/>
    </row>
    <row r="188">
      <c r="A188" s="1"/>
      <c r="B188" s="3" t="str">
        <f>IFERROR(__xludf.DUMMYFUNCTION("""COMPUTED_VALUE"""),"ANGLITU SUHARDIMAN PUTRA")</f>
        <v>ANGLITU SUHARDIMAN PUTRA</v>
      </c>
      <c r="C188" s="3" t="str">
        <f>IFERROR(__xludf.DUMMYFUNCTION("""COMPUTED_VALUE"""),"A0023033823")</f>
        <v>A0023033823</v>
      </c>
      <c r="D188" s="3">
        <f>IFERROR(__xludf.DUMMYFUNCTION("""COMPUTED_VALUE"""),26.0)</f>
        <v>26</v>
      </c>
      <c r="E188" s="1"/>
    </row>
    <row r="189">
      <c r="A189" s="1"/>
      <c r="B189" s="3" t="str">
        <f>IFERROR(__xludf.DUMMYFUNCTION("""COMPUTED_VALUE"""),"DIYAH EKOWATI")</f>
        <v>DIYAH EKOWATI</v>
      </c>
      <c r="C189" s="3" t="str">
        <f>IFERROR(__xludf.DUMMYFUNCTION("""COMPUTED_VALUE"""),"D5723035189")</f>
        <v>D5723035189</v>
      </c>
      <c r="D189" s="3">
        <f>IFERROR(__xludf.DUMMYFUNCTION("""COMPUTED_VALUE"""),69.0)</f>
        <v>69</v>
      </c>
      <c r="E189" s="1"/>
    </row>
    <row r="190">
      <c r="A190" s="1"/>
      <c r="B190" s="3" t="str">
        <f>IFERROR(__xludf.DUMMYFUNCTION("""COMPUTED_VALUE"""),"HENDRA WAHYUDI")</f>
        <v>HENDRA WAHYUDI</v>
      </c>
      <c r="C190" s="3" t="str">
        <f>IFERROR(__xludf.DUMMYFUNCTION("""COMPUTED_VALUE"""),"H9823032560")</f>
        <v>H9823032560</v>
      </c>
      <c r="D190" s="3">
        <f>IFERROR(__xludf.DUMMYFUNCTION("""COMPUTED_VALUE"""),27.0)</f>
        <v>27</v>
      </c>
      <c r="E190" s="1"/>
    </row>
    <row r="191">
      <c r="A191" s="1"/>
      <c r="B191" s="3" t="str">
        <f>IFERROR(__xludf.DUMMYFUNCTION("""COMPUTED_VALUE"""),"KURNIASIH")</f>
        <v>KURNIASIH</v>
      </c>
      <c r="C191" s="3" t="str">
        <f>IFERROR(__xludf.DUMMYFUNCTION("""COMPUTED_VALUE"""),"K7923031679")</f>
        <v>K7923031679</v>
      </c>
      <c r="D191" s="3">
        <f>IFERROR(__xludf.DUMMYFUNCTION("""COMPUTED_VALUE"""),47.0)</f>
        <v>47</v>
      </c>
      <c r="E191" s="1"/>
    </row>
    <row r="192">
      <c r="A192" s="1"/>
      <c r="B192" s="3" t="str">
        <f>IFERROR(__xludf.DUMMYFUNCTION("""COMPUTED_VALUE"""),"ZAINAL ARIFIN")</f>
        <v>ZAINAL ARIFIN</v>
      </c>
      <c r="C192" s="3" t="str">
        <f>IFERROR(__xludf.DUMMYFUNCTION("""COMPUTED_VALUE"""),"Z0723036045")</f>
        <v>Z0723036045</v>
      </c>
      <c r="D192" s="3">
        <f>IFERROR(__xludf.DUMMYFUNCTION("""COMPUTED_VALUE"""),19.0)</f>
        <v>19</v>
      </c>
      <c r="E192" s="1"/>
    </row>
    <row r="193">
      <c r="A193" s="1"/>
      <c r="B193" s="3" t="str">
        <f>IFERROR(__xludf.DUMMYFUNCTION("""COMPUTED_VALUE"""),"DANNY GUNAWAN")</f>
        <v>DANNY GUNAWAN</v>
      </c>
      <c r="C193" s="3" t="str">
        <f>IFERROR(__xludf.DUMMYFUNCTION("""COMPUTED_VALUE"""),"D9123037717")</f>
        <v>D9123037717</v>
      </c>
      <c r="D193" s="3">
        <f>IFERROR(__xludf.DUMMYFUNCTION("""COMPUTED_VALUE"""),35.0)</f>
        <v>35</v>
      </c>
      <c r="E193" s="1"/>
    </row>
    <row r="194">
      <c r="A194" s="1"/>
      <c r="B194" s="3" t="str">
        <f>IFERROR(__xludf.DUMMYFUNCTION("""COMPUTED_VALUE"""),"LUKMAN NAWAWI")</f>
        <v>LUKMAN NAWAWI</v>
      </c>
      <c r="C194" s="3" t="str">
        <f>IFERROR(__xludf.DUMMYFUNCTION("""COMPUTED_VALUE"""),"L4623032999")</f>
        <v>L4623032999</v>
      </c>
      <c r="D194" s="3">
        <f>IFERROR(__xludf.DUMMYFUNCTION("""COMPUTED_VALUE"""),80.0)</f>
        <v>80</v>
      </c>
      <c r="E194" s="1"/>
    </row>
    <row r="195">
      <c r="A195" s="1"/>
      <c r="B195" s="3" t="str">
        <f>IFERROR(__xludf.DUMMYFUNCTION("""COMPUTED_VALUE"""),"MASTHUR THAHA")</f>
        <v>MASTHUR THAHA</v>
      </c>
      <c r="C195" s="3" t="str">
        <f>IFERROR(__xludf.DUMMYFUNCTION("""COMPUTED_VALUE"""),"M5223032487")</f>
        <v>M5223032487</v>
      </c>
      <c r="D195" s="3">
        <f>IFERROR(__xludf.DUMMYFUNCTION("""COMPUTED_VALUE"""),73.0)</f>
        <v>73</v>
      </c>
      <c r="E195" s="1"/>
    </row>
    <row r="196">
      <c r="A196" s="1"/>
      <c r="B196" s="3" t="str">
        <f>IFERROR(__xludf.DUMMYFUNCTION("""COMPUTED_VALUE"""),"NABIL")</f>
        <v>NABIL</v>
      </c>
      <c r="C196" s="3" t="str">
        <f>IFERROR(__xludf.DUMMYFUNCTION("""COMPUTED_VALUE"""),"N0923031247")</f>
        <v>N0923031247</v>
      </c>
      <c r="D196" s="3">
        <f>IFERROR(__xludf.DUMMYFUNCTION("""COMPUTED_VALUE"""),17.0)</f>
        <v>17</v>
      </c>
      <c r="E196" s="1"/>
    </row>
    <row r="197">
      <c r="A197" s="1"/>
      <c r="B197" s="3" t="str">
        <f>IFERROR(__xludf.DUMMYFUNCTION("""COMPUTED_VALUE"""),"EGA RAKITY")</f>
        <v>EGA RAKITY</v>
      </c>
      <c r="C197" s="3" t="str">
        <f>IFERROR(__xludf.DUMMYFUNCTION("""COMPUTED_VALUE"""),"E9023030499")</f>
        <v>E9023030499</v>
      </c>
      <c r="D197" s="3">
        <f>IFERROR(__xludf.DUMMYFUNCTION("""COMPUTED_VALUE"""),36.0)</f>
        <v>36</v>
      </c>
      <c r="E197" s="1"/>
    </row>
    <row r="198">
      <c r="A198" s="1"/>
      <c r="B198" s="3" t="str">
        <f>IFERROR(__xludf.DUMMYFUNCTION("""COMPUTED_VALUE"""),"MOH. FADHIL")</f>
        <v>MOH. FADHIL</v>
      </c>
      <c r="C198" s="3" t="str">
        <f>IFERROR(__xludf.DUMMYFUNCTION("""COMPUTED_VALUE"""),"M9123036025")</f>
        <v>M9123036025</v>
      </c>
      <c r="D198" s="3">
        <f>IFERROR(__xludf.DUMMYFUNCTION("""COMPUTED_VALUE"""),34.0)</f>
        <v>34</v>
      </c>
      <c r="E198" s="1"/>
    </row>
    <row r="199">
      <c r="A199" s="1"/>
      <c r="B199" s="3" t="str">
        <f>IFERROR(__xludf.DUMMYFUNCTION("""COMPUTED_VALUE"""),"AHMADI BUSTAMI")</f>
        <v>AHMADI BUSTAMI</v>
      </c>
      <c r="C199" s="3" t="str">
        <f>IFERROR(__xludf.DUMMYFUNCTION("""COMPUTED_VALUE"""),"A6323033163")</f>
        <v>A6323033163</v>
      </c>
      <c r="D199" s="3">
        <f>IFERROR(__xludf.DUMMYFUNCTION("""COMPUTED_VALUE"""),62.0)</f>
        <v>62</v>
      </c>
      <c r="E199" s="1"/>
    </row>
    <row r="200">
      <c r="A200" s="1"/>
      <c r="B200" s="3" t="str">
        <f>IFERROR(__xludf.DUMMYFUNCTION("""COMPUTED_VALUE"""),"RABITHAH")</f>
        <v>RABITHAH</v>
      </c>
      <c r="C200" s="3" t="str">
        <f>IFERROR(__xludf.DUMMYFUNCTION("""COMPUTED_VALUE"""),"R5923030468")</f>
        <v>R5923030468</v>
      </c>
      <c r="D200" s="3">
        <f>IFERROR(__xludf.DUMMYFUNCTION("""COMPUTED_VALUE"""),66.0)</f>
        <v>66</v>
      </c>
      <c r="E200" s="1"/>
    </row>
    <row r="201">
      <c r="A201" s="1"/>
      <c r="B201" s="3" t="str">
        <f>IFERROR(__xludf.DUMMYFUNCTION("""COMPUTED_VALUE"""),"ANDREAS KADIM")</f>
        <v>ANDREAS KADIM</v>
      </c>
      <c r="C201" s="3" t="str">
        <f>IFERROR(__xludf.DUMMYFUNCTION("""COMPUTED_VALUE"""),"A7223038357")</f>
        <v>A7223038357</v>
      </c>
      <c r="D201" s="3">
        <f>IFERROR(__xludf.DUMMYFUNCTION("""COMPUTED_VALUE"""),54.0)</f>
        <v>54</v>
      </c>
      <c r="E201" s="1"/>
    </row>
    <row r="202">
      <c r="A202" s="1"/>
      <c r="B202" s="3" t="str">
        <f>IFERROR(__xludf.DUMMYFUNCTION("""COMPUTED_VALUE"""),"DEWI HIDAYAH")</f>
        <v>DEWI HIDAYAH</v>
      </c>
      <c r="C202" s="3" t="str">
        <f>IFERROR(__xludf.DUMMYFUNCTION("""COMPUTED_VALUE"""),"D9023033274")</f>
        <v>D9023033274</v>
      </c>
      <c r="D202" s="3">
        <f>IFERROR(__xludf.DUMMYFUNCTION("""COMPUTED_VALUE"""),36.0)</f>
        <v>36</v>
      </c>
      <c r="E202" s="1"/>
    </row>
    <row r="203">
      <c r="A203" s="1"/>
      <c r="B203" s="3" t="str">
        <f>IFERROR(__xludf.DUMMYFUNCTION("""COMPUTED_VALUE"""),"NAYLA SALSABILA")</f>
        <v>NAYLA SALSABILA</v>
      </c>
      <c r="C203" s="3" t="str">
        <f>IFERROR(__xludf.DUMMYFUNCTION("""COMPUTED_VALUE"""),"N0923037059")</f>
        <v>N0923037059</v>
      </c>
      <c r="D203" s="3">
        <f>IFERROR(__xludf.DUMMYFUNCTION("""COMPUTED_VALUE"""),16.0)</f>
        <v>16</v>
      </c>
      <c r="E203" s="1"/>
    </row>
    <row r="204">
      <c r="A204" s="1"/>
      <c r="B204" s="3" t="str">
        <f>IFERROR(__xludf.DUMMYFUNCTION("""COMPUTED_VALUE"""),"RAYON RAHAGUNG")</f>
        <v>RAYON RAHAGUNG</v>
      </c>
      <c r="C204" s="3" t="str">
        <f>IFERROR(__xludf.DUMMYFUNCTION("""COMPUTED_VALUE"""),"R9723038234")</f>
        <v>R9723038234</v>
      </c>
      <c r="D204" s="3">
        <f>IFERROR(__xludf.DUMMYFUNCTION("""COMPUTED_VALUE"""),28.0)</f>
        <v>28</v>
      </c>
      <c r="E204" s="1"/>
    </row>
    <row r="205">
      <c r="A205" s="1"/>
      <c r="B205" s="3" t="str">
        <f>IFERROR(__xludf.DUMMYFUNCTION("""COMPUTED_VALUE"""),"ARIF DAWAMI")</f>
        <v>ARIF DAWAMI</v>
      </c>
      <c r="C205" s="3" t="str">
        <f>IFERROR(__xludf.DUMMYFUNCTION("""COMPUTED_VALUE"""),"A9523038565")</f>
        <v>A9523038565</v>
      </c>
      <c r="D205" s="3">
        <f>IFERROR(__xludf.DUMMYFUNCTION("""COMPUTED_VALUE"""),31.0)</f>
        <v>31</v>
      </c>
      <c r="E205" s="1"/>
    </row>
    <row r="206">
      <c r="A206" s="1"/>
      <c r="B206" s="3" t="str">
        <f>IFERROR(__xludf.DUMMYFUNCTION("""COMPUTED_VALUE"""),"M. RAFI PRIATNO")</f>
        <v>M. RAFI PRIATNO</v>
      </c>
      <c r="C206" s="3" t="str">
        <f>IFERROR(__xludf.DUMMYFUNCTION("""COMPUTED_VALUE"""),"M0623036403")</f>
        <v>M0623036403</v>
      </c>
      <c r="D206" s="3">
        <f>IFERROR(__xludf.DUMMYFUNCTION("""COMPUTED_VALUE"""),19.0)</f>
        <v>19</v>
      </c>
      <c r="E206" s="1"/>
    </row>
    <row r="207">
      <c r="A207" s="1"/>
      <c r="B207" s="3" t="str">
        <f>IFERROR(__xludf.DUMMYFUNCTION("""COMPUTED_VALUE"""),"RAUL RAMADHAN")</f>
        <v>RAUL RAMADHAN</v>
      </c>
      <c r="C207" s="3" t="str">
        <f>IFERROR(__xludf.DUMMYFUNCTION("""COMPUTED_VALUE"""),"R0023036712")</f>
        <v>R0023036712</v>
      </c>
      <c r="D207" s="3">
        <f>IFERROR(__xludf.DUMMYFUNCTION("""COMPUTED_VALUE"""),25.0)</f>
        <v>25</v>
      </c>
      <c r="E207" s="1"/>
    </row>
    <row r="208">
      <c r="A208" s="1"/>
      <c r="B208" s="3" t="str">
        <f>IFERROR(__xludf.DUMMYFUNCTION("""COMPUTED_VALUE"""),"RICKI ANTONO BUDIMAN")</f>
        <v>RICKI ANTONO BUDIMAN</v>
      </c>
      <c r="C208" s="3" t="str">
        <f>IFERROR(__xludf.DUMMYFUNCTION("""COMPUTED_VALUE"""),"R9423032241")</f>
        <v>R9423032241</v>
      </c>
      <c r="D208" s="3">
        <f>IFERROR(__xludf.DUMMYFUNCTION("""COMPUTED_VALUE"""),32.0)</f>
        <v>32</v>
      </c>
      <c r="E208" s="1"/>
    </row>
    <row r="209">
      <c r="A209" s="1"/>
      <c r="B209" s="3" t="str">
        <f>IFERROR(__xludf.DUMMYFUNCTION("""COMPUTED_VALUE"""),"STEPANUS WILLY")</f>
        <v>STEPANUS WILLY</v>
      </c>
      <c r="C209" s="3" t="str">
        <f>IFERROR(__xludf.DUMMYFUNCTION("""COMPUTED_VALUE"""),"S0123033700")</f>
        <v>S0123033700</v>
      </c>
      <c r="D209" s="3">
        <f>IFERROR(__xludf.DUMMYFUNCTION("""COMPUTED_VALUE"""),24.0)</f>
        <v>24</v>
      </c>
      <c r="E209" s="1"/>
    </row>
    <row r="210">
      <c r="A210" s="1"/>
      <c r="B210" s="3" t="str">
        <f>IFERROR(__xludf.DUMMYFUNCTION("""COMPUTED_VALUE"""),"SUMIATI 5405")</f>
        <v>SUMIATI 5405</v>
      </c>
      <c r="C210" s="3" t="str">
        <f>IFERROR(__xludf.DUMMYFUNCTION("""COMPUTED_VALUE"""),"S5423033777")</f>
        <v>S5423033777</v>
      </c>
      <c r="D210" s="3">
        <f>IFERROR(__xludf.DUMMYFUNCTION("""COMPUTED_VALUE"""),72.0)</f>
        <v>72</v>
      </c>
      <c r="E210" s="1"/>
    </row>
    <row r="211">
      <c r="A211" s="1"/>
      <c r="B211" s="3" t="str">
        <f>IFERROR(__xludf.DUMMYFUNCTION("""COMPUTED_VALUE"""),"TARMINA")</f>
        <v>TARMINA</v>
      </c>
      <c r="C211" s="3" t="str">
        <f>IFERROR(__xludf.DUMMYFUNCTION("""COMPUTED_VALUE"""),"T5823036199")</f>
        <v>T5823036199</v>
      </c>
      <c r="D211" s="3">
        <f>IFERROR(__xludf.DUMMYFUNCTION("""COMPUTED_VALUE"""),67.0)</f>
        <v>67</v>
      </c>
      <c r="E211" s="1"/>
    </row>
    <row r="212">
      <c r="A212" s="1"/>
      <c r="B212" s="3" t="str">
        <f>IFERROR(__xludf.DUMMYFUNCTION("""COMPUTED_VALUE"""),"SUMIATI 5505")</f>
        <v>SUMIATI 5505</v>
      </c>
      <c r="C212" s="3" t="str">
        <f>IFERROR(__xludf.DUMMYFUNCTION("""COMPUTED_VALUE"""),"S5523031475")</f>
        <v>S5523031475</v>
      </c>
      <c r="D212" s="3">
        <f>IFERROR(__xludf.DUMMYFUNCTION("""COMPUTED_VALUE"""),71.0)</f>
        <v>71</v>
      </c>
      <c r="E212" s="1"/>
    </row>
    <row r="213">
      <c r="A213" s="1"/>
      <c r="B213" s="3" t="str">
        <f>IFERROR(__xludf.DUMMYFUNCTION("""COMPUTED_VALUE"""),"MAURA GEBI")</f>
        <v>MAURA GEBI</v>
      </c>
      <c r="C213" s="3" t="str">
        <f>IFERROR(__xludf.DUMMYFUNCTION("""COMPUTED_VALUE"""),"M9423033885")</f>
        <v>M9423033885</v>
      </c>
      <c r="D213" s="3">
        <f>IFERROR(__xludf.DUMMYFUNCTION("""COMPUTED_VALUE"""),32.0)</f>
        <v>32</v>
      </c>
      <c r="E213" s="1"/>
    </row>
    <row r="214">
      <c r="A214" s="1"/>
      <c r="B214" s="3" t="str">
        <f>IFERROR(__xludf.DUMMYFUNCTION("""COMPUTED_VALUE"""),"EFFENDI")</f>
        <v>EFFENDI</v>
      </c>
      <c r="C214" s="3" t="str">
        <f>IFERROR(__xludf.DUMMYFUNCTION("""COMPUTED_VALUE"""),"E8423034868")</f>
        <v>E8423034868</v>
      </c>
      <c r="D214" s="3">
        <f>IFERROR(__xludf.DUMMYFUNCTION("""COMPUTED_VALUE"""),42.0)</f>
        <v>42</v>
      </c>
      <c r="E214" s="1"/>
    </row>
    <row r="215">
      <c r="A215" s="1"/>
      <c r="B215" s="3" t="str">
        <f>IFERROR(__xludf.DUMMYFUNCTION("""COMPUTED_VALUE"""),"FIKRI ALVARIZI")</f>
        <v>FIKRI ALVARIZI</v>
      </c>
      <c r="C215" s="3" t="str">
        <f>IFERROR(__xludf.DUMMYFUNCTION("""COMPUTED_VALUE"""),"F0523035300")</f>
        <v>F0523035300</v>
      </c>
      <c r="D215" s="3">
        <f>IFERROR(__xludf.DUMMYFUNCTION("""COMPUTED_VALUE"""),21.0)</f>
        <v>21</v>
      </c>
      <c r="E215" s="1"/>
    </row>
    <row r="216">
      <c r="A216" s="1"/>
      <c r="B216" s="3" t="str">
        <f>IFERROR(__xludf.DUMMYFUNCTION("""COMPUTED_VALUE"""),"HAFIZHATUL FATHAN ABDULLAH")</f>
        <v>HAFIZHATUL FATHAN ABDULLAH</v>
      </c>
      <c r="C216" s="3" t="str">
        <f>IFERROR(__xludf.DUMMYFUNCTION("""COMPUTED_VALUE"""),"H1123038212")</f>
        <v>H1123038212</v>
      </c>
      <c r="D216" s="3">
        <f>IFERROR(__xludf.DUMMYFUNCTION("""COMPUTED_VALUE"""),14.0)</f>
        <v>14</v>
      </c>
      <c r="E216" s="1"/>
    </row>
    <row r="217">
      <c r="A217" s="1"/>
      <c r="B217" s="3" t="str">
        <f>IFERROR(__xludf.DUMMYFUNCTION("""COMPUTED_VALUE"""),"JOSEPHINE DESSIE")</f>
        <v>JOSEPHINE DESSIE</v>
      </c>
      <c r="C217" s="3" t="str">
        <f>IFERROR(__xludf.DUMMYFUNCTION("""COMPUTED_VALUE"""),"J7523039975")</f>
        <v>J7523039975</v>
      </c>
      <c r="D217" s="3">
        <f>IFERROR(__xludf.DUMMYFUNCTION("""COMPUTED_VALUE"""),51.0)</f>
        <v>51</v>
      </c>
      <c r="E217" s="1"/>
    </row>
    <row r="218">
      <c r="A218" s="1"/>
      <c r="B218" s="3" t="str">
        <f>IFERROR(__xludf.DUMMYFUNCTION("""COMPUTED_VALUE"""),"NUZULUDDIN")</f>
        <v>NUZULUDDIN</v>
      </c>
      <c r="C218" s="3" t="str">
        <f>IFERROR(__xludf.DUMMYFUNCTION("""COMPUTED_VALUE"""),"N9423037321")</f>
        <v>N9423037321</v>
      </c>
      <c r="D218" s="3">
        <f>IFERROR(__xludf.DUMMYFUNCTION("""COMPUTED_VALUE"""),32.0)</f>
        <v>32</v>
      </c>
      <c r="E218" s="1"/>
    </row>
    <row r="219">
      <c r="A219" s="1"/>
      <c r="B219" s="3" t="str">
        <f>IFERROR(__xludf.DUMMYFUNCTION("""COMPUTED_VALUE"""),"JENSEN DARMALI")</f>
        <v>JENSEN DARMALI</v>
      </c>
      <c r="C219" s="3" t="str">
        <f>IFERROR(__xludf.DUMMYFUNCTION("""COMPUTED_VALUE"""),"J0023038051")</f>
        <v>J0023038051</v>
      </c>
      <c r="D219" s="3">
        <f>IFERROR(__xludf.DUMMYFUNCTION("""COMPUTED_VALUE"""),26.0)</f>
        <v>26</v>
      </c>
      <c r="E219" s="1"/>
    </row>
    <row r="220">
      <c r="A220" s="1"/>
      <c r="B220" s="3" t="str">
        <f>IFERROR(__xludf.DUMMYFUNCTION("""COMPUTED_VALUE"""),"SAPARUDIN")</f>
        <v>SAPARUDIN</v>
      </c>
      <c r="C220" s="3" t="str">
        <f>IFERROR(__xludf.DUMMYFUNCTION("""COMPUTED_VALUE"""),"S7623034000")</f>
        <v>S7623034000</v>
      </c>
      <c r="D220" s="3">
        <f>IFERROR(__xludf.DUMMYFUNCTION("""COMPUTED_VALUE"""),49.0)</f>
        <v>49</v>
      </c>
      <c r="E220" s="1"/>
    </row>
    <row r="221">
      <c r="A221" s="1"/>
      <c r="B221" s="3" t="str">
        <f>IFERROR(__xludf.DUMMYFUNCTION("""COMPUTED_VALUE"""),"WIDYASTUTI")</f>
        <v>WIDYASTUTI</v>
      </c>
      <c r="C221" s="3" t="str">
        <f>IFERROR(__xludf.DUMMYFUNCTION("""COMPUTED_VALUE"""),"W4923032600")</f>
        <v>W4923032600</v>
      </c>
      <c r="D221" s="3">
        <f>IFERROR(__xludf.DUMMYFUNCTION("""COMPUTED_VALUE"""),76.0)</f>
        <v>76</v>
      </c>
      <c r="E221" s="1"/>
    </row>
    <row r="222">
      <c r="A222" s="1"/>
      <c r="B222" s="3" t="str">
        <f>IFERROR(__xludf.DUMMYFUNCTION("""COMPUTED_VALUE"""),"DEWI INDAH HARJANTI")</f>
        <v>DEWI INDAH HARJANTI</v>
      </c>
      <c r="C222" s="3" t="str">
        <f>IFERROR(__xludf.DUMMYFUNCTION("""COMPUTED_VALUE"""),"D9323031027")</f>
        <v>D9323031027</v>
      </c>
      <c r="D222" s="3">
        <f>IFERROR(__xludf.DUMMYFUNCTION("""COMPUTED_VALUE"""),33.0)</f>
        <v>33</v>
      </c>
      <c r="E222" s="1"/>
    </row>
    <row r="223">
      <c r="A223" s="1"/>
      <c r="B223" s="3" t="str">
        <f>IFERROR(__xludf.DUMMYFUNCTION("""COMPUTED_VALUE"""),"DIAN PURNAMAWATI")</f>
        <v>DIAN PURNAMAWATI</v>
      </c>
      <c r="C223" s="3" t="str">
        <f>IFERROR(__xludf.DUMMYFUNCTION("""COMPUTED_VALUE"""),"D8023032004")</f>
        <v>D8023032004</v>
      </c>
      <c r="D223" s="3">
        <f>IFERROR(__xludf.DUMMYFUNCTION("""COMPUTED_VALUE"""),46.0)</f>
        <v>46</v>
      </c>
      <c r="E223" s="1"/>
    </row>
    <row r="224">
      <c r="A224" s="1"/>
      <c r="B224" s="3" t="str">
        <f>IFERROR(__xludf.DUMMYFUNCTION("""COMPUTED_VALUE"""),"DODY AZWAR")</f>
        <v>DODY AZWAR</v>
      </c>
      <c r="C224" s="3" t="str">
        <f>IFERROR(__xludf.DUMMYFUNCTION("""COMPUTED_VALUE"""),"D7923030314")</f>
        <v>D7923030314</v>
      </c>
      <c r="D224" s="3">
        <f>IFERROR(__xludf.DUMMYFUNCTION("""COMPUTED_VALUE"""),46.0)</f>
        <v>46</v>
      </c>
      <c r="E224" s="1"/>
    </row>
    <row r="225">
      <c r="A225" s="1"/>
      <c r="B225" s="3" t="str">
        <f>IFERROR(__xludf.DUMMYFUNCTION("""COMPUTED_VALUE"""),"FITRISKA RAHMADIANSARI")</f>
        <v>FITRISKA RAHMADIANSARI</v>
      </c>
      <c r="C225" s="3" t="str">
        <f>IFERROR(__xludf.DUMMYFUNCTION("""COMPUTED_VALUE"""),"F9123039066")</f>
        <v>F9123039066</v>
      </c>
      <c r="D225" s="3">
        <f>IFERROR(__xludf.DUMMYFUNCTION("""COMPUTED_VALUE"""),35.0)</f>
        <v>35</v>
      </c>
      <c r="E225" s="1"/>
    </row>
    <row r="226">
      <c r="A226" s="1"/>
      <c r="B226" s="3" t="str">
        <f>IFERROR(__xludf.DUMMYFUNCTION("""COMPUTED_VALUE"""),"ISDIANTO TRY MURDITYO")</f>
        <v>ISDIANTO TRY MURDITYO</v>
      </c>
      <c r="C226" s="3" t="str">
        <f>IFERROR(__xludf.DUMMYFUNCTION("""COMPUTED_VALUE"""),"I9423035004")</f>
        <v>I9423035004</v>
      </c>
      <c r="D226" s="3">
        <f>IFERROR(__xludf.DUMMYFUNCTION("""COMPUTED_VALUE"""),32.0)</f>
        <v>32</v>
      </c>
      <c r="E226" s="1"/>
    </row>
    <row r="227">
      <c r="A227" s="1"/>
      <c r="B227" s="3" t="str">
        <f>IFERROR(__xludf.DUMMYFUNCTION("""COMPUTED_VALUE"""),"MOURENT MIFTAHULLAH")</f>
        <v>MOURENT MIFTAHULLAH</v>
      </c>
      <c r="C227" s="3" t="str">
        <f>IFERROR(__xludf.DUMMYFUNCTION("""COMPUTED_VALUE"""),"M8723030309")</f>
        <v>M8723030309</v>
      </c>
      <c r="D227" s="3">
        <f>IFERROR(__xludf.DUMMYFUNCTION("""COMPUTED_VALUE"""),38.0)</f>
        <v>38</v>
      </c>
      <c r="E227" s="1"/>
    </row>
    <row r="228">
      <c r="A228" s="1"/>
      <c r="B228" s="3" t="str">
        <f>IFERROR(__xludf.DUMMYFUNCTION("""COMPUTED_VALUE"""),"NUGRAHA ADITYA CANDRA")</f>
        <v>NUGRAHA ADITYA CANDRA</v>
      </c>
      <c r="C228" s="3" t="str">
        <f>IFERROR(__xludf.DUMMYFUNCTION("""COMPUTED_VALUE"""),"N8823039749")</f>
        <v>N8823039749</v>
      </c>
      <c r="D228" s="3">
        <f>IFERROR(__xludf.DUMMYFUNCTION("""COMPUTED_VALUE"""),37.0)</f>
        <v>37</v>
      </c>
      <c r="E228" s="1"/>
    </row>
    <row r="229">
      <c r="A229" s="1"/>
      <c r="B229" s="3" t="str">
        <f>IFERROR(__xludf.DUMMYFUNCTION("""COMPUTED_VALUE"""),"ARTIZENO KYNAN PRAMUDYA")</f>
        <v>ARTIZENO KYNAN PRAMUDYA</v>
      </c>
      <c r="C229" s="3" t="str">
        <f>IFERROR(__xludf.DUMMYFUNCTION("""COMPUTED_VALUE"""),"A0623039735")</f>
        <v>A0623039735</v>
      </c>
      <c r="D229" s="3">
        <f>IFERROR(__xludf.DUMMYFUNCTION("""COMPUTED_VALUE"""),19.0)</f>
        <v>19</v>
      </c>
      <c r="E229" s="1"/>
    </row>
    <row r="230">
      <c r="A230" s="1"/>
      <c r="B230" s="3" t="str">
        <f>IFERROR(__xludf.DUMMYFUNCTION("""COMPUTED_VALUE"""),"CHIN KONG")</f>
        <v>CHIN KONG</v>
      </c>
      <c r="C230" s="3" t="str">
        <f>IFERROR(__xludf.DUMMYFUNCTION("""COMPUTED_VALUE"""),"C7823036389")</f>
        <v>C7823036389</v>
      </c>
      <c r="D230" s="3">
        <f>IFERROR(__xludf.DUMMYFUNCTION("""COMPUTED_VALUE"""),47.0)</f>
        <v>47</v>
      </c>
      <c r="E230" s="1"/>
    </row>
    <row r="231">
      <c r="A231" s="1"/>
      <c r="B231" s="3" t="str">
        <f>IFERROR(__xludf.DUMMYFUNCTION("""COMPUTED_VALUE"""),"MURSINAH")</f>
        <v>MURSINAH</v>
      </c>
      <c r="C231" s="3" t="str">
        <f>IFERROR(__xludf.DUMMYFUNCTION("""COMPUTED_VALUE"""),"M5823032597")</f>
        <v>M5823032597</v>
      </c>
      <c r="D231" s="3">
        <f>IFERROR(__xludf.DUMMYFUNCTION("""COMPUTED_VALUE"""),68.0)</f>
        <v>68</v>
      </c>
      <c r="E231" s="1"/>
    </row>
    <row r="232">
      <c r="A232" s="1"/>
      <c r="B232" s="3" t="str">
        <f>IFERROR(__xludf.DUMMYFUNCTION("""COMPUTED_VALUE"""),"NOVIE YU")</f>
        <v>NOVIE YU</v>
      </c>
      <c r="C232" s="3" t="str">
        <f>IFERROR(__xludf.DUMMYFUNCTION("""COMPUTED_VALUE"""),"N9023031899")</f>
        <v>N9023031899</v>
      </c>
      <c r="D232" s="3">
        <f>IFERROR(__xludf.DUMMYFUNCTION("""COMPUTED_VALUE"""),36.0)</f>
        <v>36</v>
      </c>
      <c r="E232" s="1"/>
    </row>
    <row r="233">
      <c r="A233" s="1"/>
      <c r="B233" s="3" t="str">
        <f>IFERROR(__xludf.DUMMYFUNCTION("""COMPUTED_VALUE"""),"ADITYO D. SUDAGUNG")</f>
        <v>ADITYO D. SUDAGUNG</v>
      </c>
      <c r="C233" s="3" t="str">
        <f>IFERROR(__xludf.DUMMYFUNCTION("""COMPUTED_VALUE"""),"A9023031923")</f>
        <v>A9023031923</v>
      </c>
      <c r="D233" s="3">
        <f>IFERROR(__xludf.DUMMYFUNCTION("""COMPUTED_VALUE"""),35.0)</f>
        <v>35</v>
      </c>
      <c r="E233" s="1"/>
    </row>
    <row r="234">
      <c r="A234" s="1"/>
      <c r="B234" s="3" t="str">
        <f>IFERROR(__xludf.DUMMYFUNCTION("""COMPUTED_VALUE"""),"DEA CITRA R.")</f>
        <v>DEA CITRA R.</v>
      </c>
      <c r="C234" s="3" t="str">
        <f>IFERROR(__xludf.DUMMYFUNCTION("""COMPUTED_VALUE"""),"D9123038876")</f>
        <v>D9123038876</v>
      </c>
      <c r="D234" s="3">
        <f>IFERROR(__xludf.DUMMYFUNCTION("""COMPUTED_VALUE"""),34.0)</f>
        <v>34</v>
      </c>
      <c r="E234" s="1"/>
    </row>
    <row r="235">
      <c r="A235" s="1"/>
      <c r="B235" s="3" t="str">
        <f>IFERROR(__xludf.DUMMYFUNCTION("""COMPUTED_VALUE"""),"ERWIN LAKSAMANA")</f>
        <v>ERWIN LAKSAMANA</v>
      </c>
      <c r="C235" s="3" t="str">
        <f>IFERROR(__xludf.DUMMYFUNCTION("""COMPUTED_VALUE"""),"E9423030623")</f>
        <v>E9423030623</v>
      </c>
      <c r="D235" s="3">
        <f>IFERROR(__xludf.DUMMYFUNCTION("""COMPUTED_VALUE"""),31.0)</f>
        <v>31</v>
      </c>
      <c r="E235" s="1"/>
    </row>
    <row r="236">
      <c r="A236" s="1"/>
      <c r="B236" s="3" t="str">
        <f>IFERROR(__xludf.DUMMYFUNCTION("""COMPUTED_VALUE"""),"FENNY CUNG")</f>
        <v>FENNY CUNG</v>
      </c>
      <c r="C236" s="3" t="str">
        <f>IFERROR(__xludf.DUMMYFUNCTION("""COMPUTED_VALUE"""),"F8023034895")</f>
        <v>F8023034895</v>
      </c>
      <c r="D236" s="3">
        <f>IFERROR(__xludf.DUMMYFUNCTION("""COMPUTED_VALUE"""),46.0)</f>
        <v>46</v>
      </c>
      <c r="E236" s="1"/>
    </row>
    <row r="237">
      <c r="A237" s="1"/>
      <c r="B237" s="3" t="str">
        <f>IFERROR(__xludf.DUMMYFUNCTION("""COMPUTED_VALUE"""),"SRI RAYANAWATI")</f>
        <v>SRI RAYANAWATI</v>
      </c>
      <c r="C237" s="3" t="str">
        <f>IFERROR(__xludf.DUMMYFUNCTION("""COMPUTED_VALUE"""),"S7023035823")</f>
        <v>S7023035823</v>
      </c>
      <c r="D237" s="3">
        <f>IFERROR(__xludf.DUMMYFUNCTION("""COMPUTED_VALUE"""),55.0)</f>
        <v>55</v>
      </c>
      <c r="E237" s="1"/>
    </row>
    <row r="238">
      <c r="A238" s="1"/>
      <c r="B238" s="3" t="str">
        <f>IFERROR(__xludf.DUMMYFUNCTION("""COMPUTED_VALUE"""),"TEGUH TRI HADMOJO")</f>
        <v>TEGUH TRI HADMOJO</v>
      </c>
      <c r="C238" s="3" t="str">
        <f>IFERROR(__xludf.DUMMYFUNCTION("""COMPUTED_VALUE"""),"T9223035598")</f>
        <v>T9223035598</v>
      </c>
      <c r="D238" s="3">
        <f>IFERROR(__xludf.DUMMYFUNCTION("""COMPUTED_VALUE"""),33.0)</f>
        <v>33</v>
      </c>
      <c r="E238" s="1"/>
    </row>
    <row r="239">
      <c r="A239" s="1"/>
      <c r="B239" s="3" t="str">
        <f>IFERROR(__xludf.DUMMYFUNCTION("""COMPUTED_VALUE"""),"ARSHAL GHIYAT TSANI")</f>
        <v>ARSHAL GHIYAT TSANI</v>
      </c>
      <c r="C239" s="3" t="str">
        <f>IFERROR(__xludf.DUMMYFUNCTION("""COMPUTED_VALUE"""),"A0523030717")</f>
        <v>A0523030717</v>
      </c>
      <c r="D239" s="3">
        <f>IFERROR(__xludf.DUMMYFUNCTION("""COMPUTED_VALUE"""),20.0)</f>
        <v>20</v>
      </c>
      <c r="E239" s="1"/>
    </row>
    <row r="240">
      <c r="A240" s="1"/>
      <c r="B240" s="3" t="str">
        <f>IFERROR(__xludf.DUMMYFUNCTION("""COMPUTED_VALUE"""),"RUSLI")</f>
        <v>RUSLI</v>
      </c>
      <c r="C240" s="3" t="str">
        <f>IFERROR(__xludf.DUMMYFUNCTION("""COMPUTED_VALUE"""),"R7123038687")</f>
        <v>R7123038687</v>
      </c>
      <c r="D240" s="3">
        <f>IFERROR(__xludf.DUMMYFUNCTION("""COMPUTED_VALUE"""),55.0)</f>
        <v>55</v>
      </c>
      <c r="E240" s="1"/>
    </row>
    <row r="241">
      <c r="A241" s="1"/>
      <c r="B241" s="3" t="str">
        <f>IFERROR(__xludf.DUMMYFUNCTION("""COMPUTED_VALUE"""),"ZULFIKAR")</f>
        <v>ZULFIKAR</v>
      </c>
      <c r="C241" s="3" t="str">
        <f>IFERROR(__xludf.DUMMYFUNCTION("""COMPUTED_VALUE"""),"Z9323034489")</f>
        <v>Z9323034489</v>
      </c>
      <c r="D241" s="3">
        <f>IFERROR(__xludf.DUMMYFUNCTION("""COMPUTED_VALUE"""),32.0)</f>
        <v>32</v>
      </c>
      <c r="E241" s="1"/>
    </row>
    <row r="242">
      <c r="A242" s="1"/>
      <c r="B242" s="3" t="str">
        <f>IFERROR(__xludf.DUMMYFUNCTION("""COMPUTED_VALUE"""),"BUDI KURNIAWAN MANURUNG")</f>
        <v>BUDI KURNIAWAN MANURUNG</v>
      </c>
      <c r="C242" s="3" t="str">
        <f>IFERROR(__xludf.DUMMYFUNCTION("""COMPUTED_VALUE"""),"B9623038042")</f>
        <v>B9623038042</v>
      </c>
      <c r="D242" s="3">
        <f>IFERROR(__xludf.DUMMYFUNCTION("""COMPUTED_VALUE"""),29.0)</f>
        <v>29</v>
      </c>
      <c r="E242" s="1"/>
    </row>
    <row r="243">
      <c r="A243" s="1"/>
      <c r="B243" s="3" t="str">
        <f>IFERROR(__xludf.DUMMYFUNCTION("""COMPUTED_VALUE"""),"GILANG WAHYU RAMADHAN")</f>
        <v>GILANG WAHYU RAMADHAN</v>
      </c>
      <c r="C243" s="3" t="str">
        <f>IFERROR(__xludf.DUMMYFUNCTION("""COMPUTED_VALUE"""),"G0623030109")</f>
        <v>G0623030109</v>
      </c>
      <c r="D243" s="3">
        <f>IFERROR(__xludf.DUMMYFUNCTION("""COMPUTED_VALUE"""),19.0)</f>
        <v>19</v>
      </c>
      <c r="E243" s="1"/>
    </row>
    <row r="244">
      <c r="A244" s="1"/>
      <c r="B244" s="3" t="str">
        <f>IFERROR(__xludf.DUMMYFUNCTION("""COMPUTED_VALUE"""),"JUHERI")</f>
        <v>JUHERI</v>
      </c>
      <c r="C244" s="3" t="str">
        <f>IFERROR(__xludf.DUMMYFUNCTION("""COMPUTED_VALUE"""),"J9623038103")</f>
        <v>J9623038103</v>
      </c>
      <c r="D244" s="3">
        <f>IFERROR(__xludf.DUMMYFUNCTION("""COMPUTED_VALUE"""),30.0)</f>
        <v>30</v>
      </c>
      <c r="E244" s="1"/>
    </row>
    <row r="245">
      <c r="A245" s="1"/>
      <c r="B245" s="3" t="str">
        <f>IFERROR(__xludf.DUMMYFUNCTION("""COMPUTED_VALUE"""),"MULYADI RAHYONO")</f>
        <v>MULYADI RAHYONO</v>
      </c>
      <c r="C245" s="3" t="str">
        <f>IFERROR(__xludf.DUMMYFUNCTION("""COMPUTED_VALUE"""),"M6023037890")</f>
        <v>M6023037890</v>
      </c>
      <c r="D245" s="3">
        <f>IFERROR(__xludf.DUMMYFUNCTION("""COMPUTED_VALUE"""),66.0)</f>
        <v>66</v>
      </c>
      <c r="E245" s="1"/>
    </row>
    <row r="246">
      <c r="A246" s="1"/>
      <c r="B246" s="3" t="str">
        <f>IFERROR(__xludf.DUMMYFUNCTION("""COMPUTED_VALUE"""),"RANDI APRIYANTO")</f>
        <v>RANDI APRIYANTO</v>
      </c>
      <c r="C246" s="3" t="str">
        <f>IFERROR(__xludf.DUMMYFUNCTION("""COMPUTED_VALUE"""),"R1023038566")</f>
        <v>R1023038566</v>
      </c>
      <c r="D246" s="3">
        <f>IFERROR(__xludf.DUMMYFUNCTION("""COMPUTED_VALUE"""),16.0)</f>
        <v>16</v>
      </c>
      <c r="E246" s="1"/>
    </row>
    <row r="247">
      <c r="A247" s="1"/>
      <c r="B247" s="3" t="str">
        <f>IFERROR(__xludf.DUMMYFUNCTION("""COMPUTED_VALUE"""),"FAUZAN NUR ADIMA")</f>
        <v>FAUZAN NUR ADIMA</v>
      </c>
      <c r="C247" s="3" t="str">
        <f>IFERROR(__xludf.DUMMYFUNCTION("""COMPUTED_VALUE"""),"F2323030963")</f>
        <v>F2323030963</v>
      </c>
      <c r="D247" s="3">
        <f>IFERROR(__xludf.DUMMYFUNCTION("""COMPUTED_VALUE"""),3.0)</f>
        <v>3</v>
      </c>
      <c r="E247" s="1"/>
    </row>
    <row r="248">
      <c r="A248" s="1"/>
      <c r="B248" s="3" t="str">
        <f>IFERROR(__xludf.DUMMYFUNCTION("""COMPUTED_VALUE"""),"FINA ANDRIANA")</f>
        <v>FINA ANDRIANA</v>
      </c>
      <c r="C248" s="3" t="str">
        <f>IFERROR(__xludf.DUMMYFUNCTION("""COMPUTED_VALUE"""),"F2323031111")</f>
        <v>F2323031111</v>
      </c>
      <c r="D248" s="3">
        <f>IFERROR(__xludf.DUMMYFUNCTION("""COMPUTED_VALUE"""),3.0)</f>
        <v>3</v>
      </c>
      <c r="E248" s="1"/>
    </row>
    <row r="249">
      <c r="A249" s="1"/>
      <c r="B249" s="3" t="str">
        <f>IFERROR(__xludf.DUMMYFUNCTION("""COMPUTED_VALUE"""),"ADI ACHYANI")</f>
        <v>ADI ACHYANI</v>
      </c>
      <c r="C249" s="3" t="str">
        <f>IFERROR(__xludf.DUMMYFUNCTION("""COMPUTED_VALUE"""),"A6123035104")</f>
        <v>A6123035104</v>
      </c>
      <c r="D249" s="3">
        <f>IFERROR(__xludf.DUMMYFUNCTION("""COMPUTED_VALUE"""),64.0)</f>
        <v>64</v>
      </c>
      <c r="E249" s="1"/>
    </row>
    <row r="250">
      <c r="A250" s="1"/>
      <c r="B250" s="3" t="str">
        <f>IFERROR(__xludf.DUMMYFUNCTION("""COMPUTED_VALUE"""),"DICKY G V PANGESTU")</f>
        <v>DICKY G V PANGESTU</v>
      </c>
      <c r="C250" s="3" t="str">
        <f>IFERROR(__xludf.DUMMYFUNCTION("""COMPUTED_VALUE"""),"D0023038792")</f>
        <v>D0023038792</v>
      </c>
      <c r="D250" s="3">
        <f>IFERROR(__xludf.DUMMYFUNCTION("""COMPUTED_VALUE"""),25.0)</f>
        <v>25</v>
      </c>
      <c r="E250" s="1"/>
    </row>
    <row r="251">
      <c r="A251" s="1"/>
      <c r="B251" s="3" t="str">
        <f>IFERROR(__xludf.DUMMYFUNCTION("""COMPUTED_VALUE"""),"SUKATMI")</f>
        <v>SUKATMI</v>
      </c>
      <c r="C251" s="3" t="str">
        <f>IFERROR(__xludf.DUMMYFUNCTION("""COMPUTED_VALUE"""),"S6323036745")</f>
        <v>S6323036745</v>
      </c>
      <c r="D251" s="3">
        <f>IFERROR(__xludf.DUMMYFUNCTION("""COMPUTED_VALUE"""),63.0)</f>
        <v>63</v>
      </c>
      <c r="E251" s="1"/>
    </row>
    <row r="252">
      <c r="A252" s="1"/>
      <c r="B252" s="3" t="str">
        <f>IFERROR(__xludf.DUMMYFUNCTION("""COMPUTED_VALUE"""),"FITRIANA")</f>
        <v>FITRIANA</v>
      </c>
      <c r="C252" s="3" t="str">
        <f>IFERROR(__xludf.DUMMYFUNCTION("""COMPUTED_VALUE"""),"F8123036614")</f>
        <v>F8123036614</v>
      </c>
      <c r="D252" s="3">
        <f>IFERROR(__xludf.DUMMYFUNCTION("""COMPUTED_VALUE"""),45.0)</f>
        <v>45</v>
      </c>
      <c r="E252" s="1"/>
    </row>
    <row r="253">
      <c r="A253" s="1"/>
      <c r="B253" s="3" t="str">
        <f>IFERROR(__xludf.DUMMYFUNCTION("""COMPUTED_VALUE"""),"WARDOYO")</f>
        <v>WARDOYO</v>
      </c>
      <c r="C253" s="3" t="str">
        <f>IFERROR(__xludf.DUMMYFUNCTION("""COMPUTED_VALUE"""),"W6423033788")</f>
        <v>W6423033788</v>
      </c>
      <c r="D253" s="3">
        <f>IFERROR(__xludf.DUMMYFUNCTION("""COMPUTED_VALUE"""),62.0)</f>
        <v>62</v>
      </c>
      <c r="E253" s="1"/>
    </row>
    <row r="254">
      <c r="A254" s="1"/>
      <c r="B254" s="3" t="str">
        <f>IFERROR(__xludf.DUMMYFUNCTION("""COMPUTED_VALUE"""),"SUPINAH")</f>
        <v>SUPINAH</v>
      </c>
      <c r="C254" s="3" t="str">
        <f>IFERROR(__xludf.DUMMYFUNCTION("""COMPUTED_VALUE"""),"S5723036787")</f>
        <v>S5723036787</v>
      </c>
      <c r="D254" s="3">
        <f>IFERROR(__xludf.DUMMYFUNCTION("""COMPUTED_VALUE"""),69.0)</f>
        <v>69</v>
      </c>
      <c r="E254" s="1"/>
    </row>
    <row r="255">
      <c r="A255" s="1"/>
      <c r="B255" s="3" t="str">
        <f>IFERROR(__xludf.DUMMYFUNCTION("""COMPUTED_VALUE"""),"YUNINGSIH")</f>
        <v>YUNINGSIH</v>
      </c>
      <c r="C255" s="3" t="str">
        <f>IFERROR(__xludf.DUMMYFUNCTION("""COMPUTED_VALUE"""),"Y7623046888")</f>
        <v>Y7623046888</v>
      </c>
      <c r="D255" s="3">
        <f>IFERROR(__xludf.DUMMYFUNCTION("""COMPUTED_VALUE"""),50.0)</f>
        <v>50</v>
      </c>
      <c r="E255" s="1"/>
    </row>
    <row r="256">
      <c r="A256" s="1"/>
      <c r="B256" s="3" t="str">
        <f>IFERROR(__xludf.DUMMYFUNCTION("""COMPUTED_VALUE"""),"SAHLY RIMBA ZENDEORIZKY")</f>
        <v>SAHLY RIMBA ZENDEORIZKY</v>
      </c>
      <c r="C256" s="3" t="str">
        <f>IFERROR(__xludf.DUMMYFUNCTION("""COMPUTED_VALUE"""),"S9623040058")</f>
        <v>S9623040058</v>
      </c>
      <c r="D256" s="3">
        <f>IFERROR(__xludf.DUMMYFUNCTION("""COMPUTED_VALUE"""),30.0)</f>
        <v>30</v>
      </c>
      <c r="E256" s="1"/>
    </row>
    <row r="257">
      <c r="A257" s="1"/>
      <c r="B257" s="3" t="str">
        <f>IFERROR(__xludf.DUMMYFUNCTION("""COMPUTED_VALUE"""),"LARASATI")</f>
        <v>LARASATI</v>
      </c>
      <c r="C257" s="3" t="str">
        <f>IFERROR(__xludf.DUMMYFUNCTION("""COMPUTED_VALUE"""),"L9023048870")</f>
        <v>L9023048870</v>
      </c>
      <c r="D257" s="3">
        <f>IFERROR(__xludf.DUMMYFUNCTION("""COMPUTED_VALUE"""),35.0)</f>
        <v>35</v>
      </c>
      <c r="E257" s="1"/>
    </row>
    <row r="258">
      <c r="A258" s="1"/>
      <c r="B258" s="3" t="str">
        <f>IFERROR(__xludf.DUMMYFUNCTION("""COMPUTED_VALUE"""),"TIFFANY WAHYUDHI")</f>
        <v>TIFFANY WAHYUDHI</v>
      </c>
      <c r="C258" s="3" t="str">
        <f>IFERROR(__xludf.DUMMYFUNCTION("""COMPUTED_VALUE"""),"T0723049005")</f>
        <v>T0723049005</v>
      </c>
      <c r="D258" s="3">
        <f>IFERROR(__xludf.DUMMYFUNCTION("""COMPUTED_VALUE"""),19.0)</f>
        <v>19</v>
      </c>
      <c r="E258" s="1"/>
    </row>
    <row r="259">
      <c r="A259" s="1"/>
      <c r="B259" s="3" t="str">
        <f>IFERROR(__xludf.DUMMYFUNCTION("""COMPUTED_VALUE"""),"FERA HENDRA")</f>
        <v>FERA HENDRA</v>
      </c>
      <c r="C259" s="3" t="str">
        <f>IFERROR(__xludf.DUMMYFUNCTION("""COMPUTED_VALUE"""),"F7023046888")</f>
        <v>F7023046888</v>
      </c>
      <c r="D259" s="3">
        <f>IFERROR(__xludf.DUMMYFUNCTION("""COMPUTED_VALUE"""),55.0)</f>
        <v>55</v>
      </c>
      <c r="E259" s="1"/>
    </row>
    <row r="260">
      <c r="A260" s="1"/>
      <c r="B260" s="3" t="str">
        <f>IFERROR(__xludf.DUMMYFUNCTION("""COMPUTED_VALUE"""),"TATA RISYADI")</f>
        <v>TATA RISYADI</v>
      </c>
      <c r="C260" s="3" t="str">
        <f>IFERROR(__xludf.DUMMYFUNCTION("""COMPUTED_VALUE"""),"T5723048107")</f>
        <v>T5723048107</v>
      </c>
      <c r="D260" s="3">
        <f>IFERROR(__xludf.DUMMYFUNCTION("""COMPUTED_VALUE"""),68.0)</f>
        <v>68</v>
      </c>
      <c r="E260" s="1"/>
    </row>
    <row r="261">
      <c r="A261" s="1"/>
      <c r="B261" s="3" t="str">
        <f>IFERROR(__xludf.DUMMYFUNCTION("""COMPUTED_VALUE"""),"QOID ABRAR ZUHDI")</f>
        <v>QOID ABRAR ZUHDI</v>
      </c>
      <c r="C261" s="3" t="str">
        <f>IFERROR(__xludf.DUMMYFUNCTION("""COMPUTED_VALUE"""),"Q9523047282")</f>
        <v>Q9523047282</v>
      </c>
      <c r="D261" s="3">
        <f>IFERROR(__xludf.DUMMYFUNCTION("""COMPUTED_VALUE"""),30.0)</f>
        <v>30</v>
      </c>
      <c r="E261" s="1"/>
    </row>
    <row r="262">
      <c r="A262" s="1"/>
      <c r="B262" s="3" t="str">
        <f>IFERROR(__xludf.DUMMYFUNCTION("""COMPUTED_VALUE"""),"EDY PURWANTO")</f>
        <v>EDY PURWANTO</v>
      </c>
      <c r="C262" s="3" t="str">
        <f>IFERROR(__xludf.DUMMYFUNCTION("""COMPUTED_VALUE"""),"E7323041009")</f>
        <v>E7323041009</v>
      </c>
      <c r="D262" s="3">
        <f>IFERROR(__xludf.DUMMYFUNCTION("""COMPUTED_VALUE"""),53.0)</f>
        <v>53</v>
      </c>
      <c r="E262" s="1"/>
    </row>
    <row r="263">
      <c r="A263" s="1"/>
      <c r="B263" s="3" t="str">
        <f>IFERROR(__xludf.DUMMYFUNCTION("""COMPUTED_VALUE"""),"HARIS MUHAMMAD HAQ")</f>
        <v>HARIS MUHAMMAD HAQ</v>
      </c>
      <c r="C263" s="3" t="str">
        <f>IFERROR(__xludf.DUMMYFUNCTION("""COMPUTED_VALUE"""),"H0223042344")</f>
        <v>H0223042344</v>
      </c>
      <c r="D263" s="3">
        <f>IFERROR(__xludf.DUMMYFUNCTION("""COMPUTED_VALUE"""),23.0)</f>
        <v>23</v>
      </c>
      <c r="E263" s="1"/>
    </row>
    <row r="264">
      <c r="A264" s="1"/>
      <c r="B264" s="3" t="str">
        <f>IFERROR(__xludf.DUMMYFUNCTION("""COMPUTED_VALUE"""),"SYAFITRA")</f>
        <v>SYAFITRA</v>
      </c>
      <c r="C264" s="3" t="str">
        <f>IFERROR(__xludf.DUMMYFUNCTION("""COMPUTED_VALUE"""),"S9323044739")</f>
        <v>S9323044739</v>
      </c>
      <c r="D264" s="3">
        <f>IFERROR(__xludf.DUMMYFUNCTION("""COMPUTED_VALUE"""),33.0)</f>
        <v>33</v>
      </c>
      <c r="E264" s="1"/>
    </row>
    <row r="265">
      <c r="A265" s="1"/>
      <c r="B265" s="3" t="str">
        <f>IFERROR(__xludf.DUMMYFUNCTION("""COMPUTED_VALUE"""),"KENNY ROBERT")</f>
        <v>KENNY ROBERT</v>
      </c>
      <c r="C265" s="3" t="str">
        <f>IFERROR(__xludf.DUMMYFUNCTION("""COMPUTED_VALUE"""),"K9323045200")</f>
        <v>K9323045200</v>
      </c>
      <c r="D265" s="3">
        <f>IFERROR(__xludf.DUMMYFUNCTION("""COMPUTED_VALUE"""),32.0)</f>
        <v>32</v>
      </c>
      <c r="E265" s="1"/>
    </row>
    <row r="266">
      <c r="A266" s="1"/>
      <c r="B266" s="3" t="str">
        <f>IFERROR(__xludf.DUMMYFUNCTION("""COMPUTED_VALUE"""),"MOCHAMMAD SOEDADI")</f>
        <v>MOCHAMMAD SOEDADI</v>
      </c>
      <c r="C266" s="3" t="str">
        <f>IFERROR(__xludf.DUMMYFUNCTION("""COMPUTED_VALUE"""),"M9323042433")</f>
        <v>M9323042433</v>
      </c>
      <c r="D266" s="3">
        <f>IFERROR(__xludf.DUMMYFUNCTION("""COMPUTED_VALUE"""),32.0)</f>
        <v>32</v>
      </c>
      <c r="E266" s="1"/>
    </row>
    <row r="267">
      <c r="A267" s="1"/>
      <c r="B267" s="3" t="str">
        <f>IFERROR(__xludf.DUMMYFUNCTION("""COMPUTED_VALUE"""),"SYLVIE WULANDARI")</f>
        <v>SYLVIE WULANDARI</v>
      </c>
      <c r="C267" s="3" t="str">
        <f>IFERROR(__xludf.DUMMYFUNCTION("""COMPUTED_VALUE"""),"S8323048735")</f>
        <v>S8323048735</v>
      </c>
      <c r="D267" s="3">
        <f>IFERROR(__xludf.DUMMYFUNCTION("""COMPUTED_VALUE"""),43.0)</f>
        <v>43</v>
      </c>
      <c r="E267" s="1"/>
    </row>
    <row r="268">
      <c r="A268" s="1"/>
      <c r="B268" s="3" t="str">
        <f>IFERROR(__xludf.DUMMYFUNCTION("""COMPUTED_VALUE"""),"FS.BARMANUKI")</f>
        <v>FS.BARMANUKI</v>
      </c>
      <c r="C268" s="3" t="str">
        <f>IFERROR(__xludf.DUMMYFUNCTION("""COMPUTED_VALUE"""),"F4523041070")</f>
        <v>F4523041070</v>
      </c>
      <c r="D268" s="3">
        <f>IFERROR(__xludf.DUMMYFUNCTION("""COMPUTED_VALUE"""),81.0)</f>
        <v>81</v>
      </c>
      <c r="E268" s="1"/>
    </row>
    <row r="269">
      <c r="A269" s="1"/>
      <c r="B269" s="3" t="str">
        <f>IFERROR(__xludf.DUMMYFUNCTION("""COMPUTED_VALUE"""),"HERISIN")</f>
        <v>HERISIN</v>
      </c>
      <c r="C269" s="3" t="str">
        <f>IFERROR(__xludf.DUMMYFUNCTION("""COMPUTED_VALUE"""),"H5223040082")</f>
        <v>H5223040082</v>
      </c>
      <c r="D269" s="3">
        <f>IFERROR(__xludf.DUMMYFUNCTION("""COMPUTED_VALUE"""),73.0)</f>
        <v>73</v>
      </c>
      <c r="E269" s="1"/>
    </row>
    <row r="270">
      <c r="A270" s="1"/>
      <c r="B270" s="3" t="str">
        <f>IFERROR(__xludf.DUMMYFUNCTION("""COMPUTED_VALUE"""),"ABIYANTO")</f>
        <v>ABIYANTO</v>
      </c>
      <c r="C270" s="3" t="str">
        <f>IFERROR(__xludf.DUMMYFUNCTION("""COMPUTED_VALUE"""),"A7123045708")</f>
        <v>A7123045708</v>
      </c>
      <c r="D270" s="3">
        <f>IFERROR(__xludf.DUMMYFUNCTION("""COMPUTED_VALUE"""),54.0)</f>
        <v>54</v>
      </c>
      <c r="E270" s="1"/>
    </row>
    <row r="271">
      <c r="A271" s="1"/>
      <c r="B271" s="3" t="str">
        <f>IFERROR(__xludf.DUMMYFUNCTION("""COMPUTED_VALUE"""),"JIMMY FRANKLIN KEGEL")</f>
        <v>JIMMY FRANKLIN KEGEL</v>
      </c>
      <c r="C271" s="3" t="str">
        <f>IFERROR(__xludf.DUMMYFUNCTION("""COMPUTED_VALUE"""),"J9223045067")</f>
        <v>J9223045067</v>
      </c>
      <c r="D271" s="3">
        <f>IFERROR(__xludf.DUMMYFUNCTION("""COMPUTED_VALUE"""),33.0)</f>
        <v>33</v>
      </c>
      <c r="E271" s="1"/>
    </row>
    <row r="272">
      <c r="A272" s="1"/>
      <c r="B272" s="3" t="str">
        <f>IFERROR(__xludf.DUMMYFUNCTION("""COMPUTED_VALUE"""),"MARYAM")</f>
        <v>MARYAM</v>
      </c>
      <c r="C272" s="3" t="str">
        <f>IFERROR(__xludf.DUMMYFUNCTION("""COMPUTED_VALUE"""),"M7023041727")</f>
        <v>M7023041727</v>
      </c>
      <c r="D272" s="3">
        <f>IFERROR(__xludf.DUMMYFUNCTION("""COMPUTED_VALUE"""),56.0)</f>
        <v>56</v>
      </c>
      <c r="E272" s="1"/>
    </row>
    <row r="273">
      <c r="A273" s="1"/>
      <c r="B273" s="3" t="str">
        <f>IFERROR(__xludf.DUMMYFUNCTION("""COMPUTED_VALUE"""),"URAY ZUNIA KURNIAWATI")</f>
        <v>URAY ZUNIA KURNIAWATI</v>
      </c>
      <c r="C273" s="3" t="str">
        <f>IFERROR(__xludf.DUMMYFUNCTION("""COMPUTED_VALUE"""),"U7323047749")</f>
        <v>U7323047749</v>
      </c>
      <c r="D273" s="3">
        <f>IFERROR(__xludf.DUMMYFUNCTION("""COMPUTED_VALUE"""),52.0)</f>
        <v>52</v>
      </c>
      <c r="E273" s="1"/>
    </row>
    <row r="274">
      <c r="A274" s="1"/>
      <c r="B274" s="3" t="str">
        <f>IFERROR(__xludf.DUMMYFUNCTION("""COMPUTED_VALUE"""),"UTIN ANWAR SANIAH")</f>
        <v>UTIN ANWAR SANIAH</v>
      </c>
      <c r="C274" s="3" t="str">
        <f>IFERROR(__xludf.DUMMYFUNCTION("""COMPUTED_VALUE"""),"U3123042831")</f>
        <v>U3123042831</v>
      </c>
      <c r="D274" s="3">
        <f>IFERROR(__xludf.DUMMYFUNCTION("""COMPUTED_VALUE"""),94.0)</f>
        <v>94</v>
      </c>
      <c r="E274" s="1"/>
    </row>
    <row r="275">
      <c r="A275" s="1"/>
      <c r="B275" s="3" t="str">
        <f>IFERROR(__xludf.DUMMYFUNCTION("""COMPUTED_VALUE"""),"BAMBANG HARIANTO")</f>
        <v>BAMBANG HARIANTO</v>
      </c>
      <c r="C275" s="3" t="str">
        <f>IFERROR(__xludf.DUMMYFUNCTION("""COMPUTED_VALUE"""),"B9823041339")</f>
        <v>B9823041339</v>
      </c>
      <c r="D275" s="3">
        <f>IFERROR(__xludf.DUMMYFUNCTION("""COMPUTED_VALUE"""),27.0)</f>
        <v>27</v>
      </c>
      <c r="E275" s="1"/>
    </row>
    <row r="276">
      <c r="A276" s="1"/>
      <c r="B276" s="3" t="str">
        <f>IFERROR(__xludf.DUMMYFUNCTION("""COMPUTED_VALUE"""),"RADITYA SADEGA")</f>
        <v>RADITYA SADEGA</v>
      </c>
      <c r="C276" s="3" t="str">
        <f>IFERROR(__xludf.DUMMYFUNCTION("""COMPUTED_VALUE"""),"R1423045191")</f>
        <v>R1423045191</v>
      </c>
      <c r="D276" s="3">
        <f>IFERROR(__xludf.DUMMYFUNCTION("""COMPUTED_VALUE"""),11.0)</f>
        <v>11</v>
      </c>
      <c r="E276" s="1"/>
    </row>
    <row r="277">
      <c r="A277" s="1"/>
      <c r="B277" s="3" t="str">
        <f>IFERROR(__xludf.DUMMYFUNCTION("""COMPUTED_VALUE"""),"JANNA")</f>
        <v>JANNA</v>
      </c>
      <c r="C277" s="3" t="str">
        <f>IFERROR(__xludf.DUMMYFUNCTION("""COMPUTED_VALUE"""),"J9223040777")</f>
        <v>J9223040777</v>
      </c>
      <c r="D277" s="3">
        <f>IFERROR(__xludf.DUMMYFUNCTION("""COMPUTED_VALUE"""),33.0)</f>
        <v>33</v>
      </c>
      <c r="E277" s="1"/>
    </row>
    <row r="278">
      <c r="A278" s="1"/>
      <c r="B278" s="3" t="str">
        <f>IFERROR(__xludf.DUMMYFUNCTION("""COMPUTED_VALUE"""),"PALMY")</f>
        <v>PALMY</v>
      </c>
      <c r="C278" s="3" t="str">
        <f>IFERROR(__xludf.DUMMYFUNCTION("""COMPUTED_VALUE"""),"P8623040555")</f>
        <v>P8623040555</v>
      </c>
      <c r="D278" s="3">
        <f>IFERROR(__xludf.DUMMYFUNCTION("""COMPUTED_VALUE"""),39.0)</f>
        <v>39</v>
      </c>
      <c r="E278" s="1"/>
    </row>
    <row r="279">
      <c r="A279" s="1"/>
      <c r="B279" s="3" t="str">
        <f>IFERROR(__xludf.DUMMYFUNCTION("""COMPUTED_VALUE"""),"ARZACHEL")</f>
        <v>ARZACHEL</v>
      </c>
      <c r="C279" s="3" t="str">
        <f>IFERROR(__xludf.DUMMYFUNCTION("""COMPUTED_VALUE"""),"A1223045551")</f>
        <v>A1223045551</v>
      </c>
      <c r="D279" s="3">
        <f>IFERROR(__xludf.DUMMYFUNCTION("""COMPUTED_VALUE"""),14.0)</f>
        <v>14</v>
      </c>
      <c r="E279" s="1"/>
    </row>
    <row r="280">
      <c r="A280" s="1"/>
      <c r="B280" s="3" t="str">
        <f>IFERROR(__xludf.DUMMYFUNCTION("""COMPUTED_VALUE"""),"CHAIDANIAH")</f>
        <v>CHAIDANIAH</v>
      </c>
      <c r="C280" s="3" t="str">
        <f>IFERROR(__xludf.DUMMYFUNCTION("""COMPUTED_VALUE"""),"C5023047038")</f>
        <v>C5023047038</v>
      </c>
      <c r="D280" s="3">
        <f>IFERROR(__xludf.DUMMYFUNCTION("""COMPUTED_VALUE"""),76.0)</f>
        <v>76</v>
      </c>
      <c r="E280" s="1"/>
    </row>
    <row r="281">
      <c r="A281" s="1"/>
      <c r="B281" s="3" t="str">
        <f>IFERROR(__xludf.DUMMYFUNCTION("""COMPUTED_VALUE"""),"DERRICK CONNERY")</f>
        <v>DERRICK CONNERY</v>
      </c>
      <c r="C281" s="3" t="str">
        <f>IFERROR(__xludf.DUMMYFUNCTION("""COMPUTED_VALUE"""),"D9423041683")</f>
        <v>D9423041683</v>
      </c>
      <c r="D281" s="3">
        <f>IFERROR(__xludf.DUMMYFUNCTION("""COMPUTED_VALUE"""),31.0)</f>
        <v>31</v>
      </c>
      <c r="E281" s="1"/>
    </row>
    <row r="282">
      <c r="A282" s="1"/>
      <c r="B282" s="3" t="str">
        <f>IFERROR(__xludf.DUMMYFUNCTION("""COMPUTED_VALUE"""),"RIZKI MULYANTO")</f>
        <v>RIZKI MULYANTO</v>
      </c>
      <c r="C282" s="3" t="str">
        <f>IFERROR(__xludf.DUMMYFUNCTION("""COMPUTED_VALUE"""),"R9823046931")</f>
        <v>R9823046931</v>
      </c>
      <c r="D282" s="3">
        <f>IFERROR(__xludf.DUMMYFUNCTION("""COMPUTED_VALUE"""),28.0)</f>
        <v>28</v>
      </c>
      <c r="E282" s="1"/>
    </row>
    <row r="283">
      <c r="A283" s="1"/>
      <c r="B283" s="3" t="str">
        <f>IFERROR(__xludf.DUMMYFUNCTION("""COMPUTED_VALUE"""),"DEDE SUBANDI")</f>
        <v>DEDE SUBANDI</v>
      </c>
      <c r="C283" s="3" t="str">
        <f>IFERROR(__xludf.DUMMYFUNCTION("""COMPUTED_VALUE"""),"D8923047556")</f>
        <v>D8923047556</v>
      </c>
      <c r="D283" s="3">
        <f>IFERROR(__xludf.DUMMYFUNCTION("""COMPUTED_VALUE"""),36.0)</f>
        <v>36</v>
      </c>
      <c r="E283" s="1"/>
    </row>
    <row r="284">
      <c r="A284" s="1"/>
      <c r="B284" s="3" t="str">
        <f>IFERROR(__xludf.DUMMYFUNCTION("""COMPUTED_VALUE"""),"FACHRI ISNAINI")</f>
        <v>FACHRI ISNAINI</v>
      </c>
      <c r="C284" s="3" t="str">
        <f>IFERROR(__xludf.DUMMYFUNCTION("""COMPUTED_VALUE"""),"F0023049343")</f>
        <v>F0023049343</v>
      </c>
      <c r="D284" s="3">
        <f>IFERROR(__xludf.DUMMYFUNCTION("""COMPUTED_VALUE"""),26.0)</f>
        <v>26</v>
      </c>
      <c r="E284" s="1"/>
    </row>
    <row r="285">
      <c r="A285" s="1"/>
      <c r="B285" s="3" t="str">
        <f>IFERROR(__xludf.DUMMYFUNCTION("""COMPUTED_VALUE"""),"YUDHA PRATAMA")</f>
        <v>YUDHA PRATAMA</v>
      </c>
      <c r="C285" s="3" t="str">
        <f>IFERROR(__xludf.DUMMYFUNCTION("""COMPUTED_VALUE"""),"Y9423048900")</f>
        <v>Y9423048900</v>
      </c>
      <c r="D285" s="3">
        <f>IFERROR(__xludf.DUMMYFUNCTION("""COMPUTED_VALUE"""),32.0)</f>
        <v>32</v>
      </c>
      <c r="E285" s="1"/>
    </row>
    <row r="286">
      <c r="A286" s="1"/>
      <c r="B286" s="3" t="str">
        <f>IFERROR(__xludf.DUMMYFUNCTION("""COMPUTED_VALUE"""),"SAMMIRA")</f>
        <v>SAMMIRA</v>
      </c>
      <c r="C286" s="3" t="str">
        <f>IFERROR(__xludf.DUMMYFUNCTION("""COMPUTED_VALUE"""),"S9123044934")</f>
        <v>S9123044934</v>
      </c>
      <c r="D286" s="3">
        <f>IFERROR(__xludf.DUMMYFUNCTION("""COMPUTED_VALUE"""),35.0)</f>
        <v>35</v>
      </c>
      <c r="E286" s="1"/>
    </row>
    <row r="287">
      <c r="A287" s="1"/>
      <c r="B287" s="3" t="str">
        <f>IFERROR(__xludf.DUMMYFUNCTION("""COMPUTED_VALUE"""),"MOHD ANDILLA ADITYA NOVARIANDI")</f>
        <v>MOHD ANDILLA ADITYA NOVARIANDI</v>
      </c>
      <c r="C287" s="3" t="str">
        <f>IFERROR(__xludf.DUMMYFUNCTION("""COMPUTED_VALUE"""),"M8823040437")</f>
        <v>M8823040437</v>
      </c>
      <c r="D287" s="3">
        <f>IFERROR(__xludf.DUMMYFUNCTION("""COMPUTED_VALUE"""),37.0)</f>
        <v>37</v>
      </c>
      <c r="E287" s="1"/>
    </row>
    <row r="288">
      <c r="A288" s="1"/>
      <c r="B288" s="3" t="str">
        <f>IFERROR(__xludf.DUMMYFUNCTION("""COMPUTED_VALUE"""),"BANNDY ANGGARA")</f>
        <v>BANNDY ANGGARA</v>
      </c>
      <c r="C288" s="3" t="str">
        <f>IFERROR(__xludf.DUMMYFUNCTION("""COMPUTED_VALUE"""),"B0223045231")</f>
        <v>B0223045231</v>
      </c>
      <c r="D288" s="3">
        <f>IFERROR(__xludf.DUMMYFUNCTION("""COMPUTED_VALUE"""),23.0)</f>
        <v>23</v>
      </c>
      <c r="E288" s="1"/>
    </row>
    <row r="289">
      <c r="A289" s="1"/>
      <c r="B289" s="3" t="str">
        <f>IFERROR(__xludf.DUMMYFUNCTION("""COMPUTED_VALUE"""),"ROSMIYAH ATIKA SURI")</f>
        <v>ROSMIYAH ATIKA SURI</v>
      </c>
      <c r="C289" s="3" t="str">
        <f>IFERROR(__xludf.DUMMYFUNCTION("""COMPUTED_VALUE"""),"R0523044786")</f>
        <v>R0523044786</v>
      </c>
      <c r="D289" s="3">
        <f>IFERROR(__xludf.DUMMYFUNCTION("""COMPUTED_VALUE"""),21.0)</f>
        <v>21</v>
      </c>
      <c r="E289" s="1"/>
    </row>
    <row r="290">
      <c r="A290" s="1"/>
      <c r="B290" s="3" t="str">
        <f>IFERROR(__xludf.DUMMYFUNCTION("""COMPUTED_VALUE"""),"IHSAN ABDULLAH")</f>
        <v>IHSAN ABDULLAH</v>
      </c>
      <c r="C290" s="3" t="str">
        <f>IFERROR(__xludf.DUMMYFUNCTION("""COMPUTED_VALUE"""),"I0523049977")</f>
        <v>I0523049977</v>
      </c>
      <c r="D290" s="3">
        <f>IFERROR(__xludf.DUMMYFUNCTION("""COMPUTED_VALUE"""),20.0)</f>
        <v>20</v>
      </c>
      <c r="E290" s="1"/>
    </row>
    <row r="291">
      <c r="A291" s="1"/>
      <c r="B291" s="3" t="str">
        <f>IFERROR(__xludf.DUMMYFUNCTION("""COMPUTED_VALUE"""),"FAIZUL RAHMANTO")</f>
        <v>FAIZUL RAHMANTO</v>
      </c>
      <c r="C291" s="3" t="str">
        <f>IFERROR(__xludf.DUMMYFUNCTION("""COMPUTED_VALUE"""),"F1023045480")</f>
        <v>F1023045480</v>
      </c>
      <c r="D291" s="3">
        <f>IFERROR(__xludf.DUMMYFUNCTION("""COMPUTED_VALUE"""),15.0)</f>
        <v>15</v>
      </c>
      <c r="E291" s="1"/>
    </row>
    <row r="292">
      <c r="A292" s="1"/>
      <c r="B292" s="3" t="str">
        <f>IFERROR(__xludf.DUMMYFUNCTION("""COMPUTED_VALUE"""),"SURYANSYAH")</f>
        <v>SURYANSYAH</v>
      </c>
      <c r="C292" s="3" t="str">
        <f>IFERROR(__xludf.DUMMYFUNCTION("""COMPUTED_VALUE"""),"S0523046174")</f>
        <v>S0523046174</v>
      </c>
      <c r="D292" s="3">
        <f>IFERROR(__xludf.DUMMYFUNCTION("""COMPUTED_VALUE"""),20.0)</f>
        <v>20</v>
      </c>
      <c r="E292" s="1"/>
    </row>
    <row r="293">
      <c r="A293" s="1"/>
      <c r="B293" s="3" t="str">
        <f>IFERROR(__xludf.DUMMYFUNCTION("""COMPUTED_VALUE"""),"NUR MUHAMAD FIRMANSYAH")</f>
        <v>NUR MUHAMAD FIRMANSYAH</v>
      </c>
      <c r="C293" s="3" t="str">
        <f>IFERROR(__xludf.DUMMYFUNCTION("""COMPUTED_VALUE"""),"N9323049547")</f>
        <v>N9323049547</v>
      </c>
      <c r="D293" s="3">
        <f>IFERROR(__xludf.DUMMYFUNCTION("""COMPUTED_VALUE"""),32.0)</f>
        <v>32</v>
      </c>
      <c r="E293" s="1"/>
    </row>
    <row r="294">
      <c r="A294" s="1"/>
      <c r="B294" s="3" t="str">
        <f>IFERROR(__xludf.DUMMYFUNCTION("""COMPUTED_VALUE"""),"MIQHO OZORA MARSANSO")</f>
        <v>MIQHO OZORA MARSANSO</v>
      </c>
      <c r="C294" s="3" t="str">
        <f>IFERROR(__xludf.DUMMYFUNCTION("""COMPUTED_VALUE"""),"M0523043050")</f>
        <v>M0523043050</v>
      </c>
      <c r="D294" s="3">
        <f>IFERROR(__xludf.DUMMYFUNCTION("""COMPUTED_VALUE"""),21.0)</f>
        <v>21</v>
      </c>
      <c r="E294" s="1"/>
    </row>
    <row r="295">
      <c r="A295" s="1"/>
      <c r="B295" s="3" t="str">
        <f>IFERROR(__xludf.DUMMYFUNCTION("""COMPUTED_VALUE"""),"ADITHYA PRATAMA WAHYUDI")</f>
        <v>ADITHYA PRATAMA WAHYUDI</v>
      </c>
      <c r="C295" s="3" t="str">
        <f>IFERROR(__xludf.DUMMYFUNCTION("""COMPUTED_VALUE"""),"A0523043411")</f>
        <v>A0523043411</v>
      </c>
      <c r="D295" s="3">
        <f>IFERROR(__xludf.DUMMYFUNCTION("""COMPUTED_VALUE"""),20.0)</f>
        <v>20</v>
      </c>
      <c r="E295" s="1"/>
    </row>
    <row r="296">
      <c r="A296" s="1"/>
      <c r="B296" s="3" t="str">
        <f>IFERROR(__xludf.DUMMYFUNCTION("""COMPUTED_VALUE"""),"INTAN OKTAVIA FIANTI")</f>
        <v>INTAN OKTAVIA FIANTI</v>
      </c>
      <c r="C296" s="3" t="str">
        <f>IFERROR(__xludf.DUMMYFUNCTION("""COMPUTED_VALUE"""),"I9623046833")</f>
        <v>I9623046833</v>
      </c>
      <c r="D296" s="3">
        <f>IFERROR(__xludf.DUMMYFUNCTION("""COMPUTED_VALUE"""),29.0)</f>
        <v>29</v>
      </c>
      <c r="E296" s="1"/>
    </row>
    <row r="297">
      <c r="A297" s="1"/>
      <c r="B297" s="3" t="str">
        <f>IFERROR(__xludf.DUMMYFUNCTION("""COMPUTED_VALUE"""),"MUHAMMAD IQBAL FAHLEVI IBNU AHMAD")</f>
        <v>MUHAMMAD IQBAL FAHLEVI IBNU AHMAD</v>
      </c>
      <c r="C297" s="3" t="str">
        <f>IFERROR(__xludf.DUMMYFUNCTION("""COMPUTED_VALUE"""),"M0523043163")</f>
        <v>M0523043163</v>
      </c>
      <c r="D297" s="3">
        <f>IFERROR(__xludf.DUMMYFUNCTION("""COMPUTED_VALUE"""),21.0)</f>
        <v>21</v>
      </c>
      <c r="E297" s="1"/>
    </row>
    <row r="298">
      <c r="A298" s="1"/>
      <c r="B298" s="3" t="str">
        <f>IFERROR(__xludf.DUMMYFUNCTION("""COMPUTED_VALUE"""),"HENDRI 8112")</f>
        <v>HENDRI 8112</v>
      </c>
      <c r="C298" s="3" t="str">
        <f>IFERROR(__xludf.DUMMYFUNCTION("""COMPUTED_VALUE"""),"H8123048905")</f>
        <v>H8123048905</v>
      </c>
      <c r="D298" s="3">
        <f>IFERROR(__xludf.DUMMYFUNCTION("""COMPUTED_VALUE"""),44.0)</f>
        <v>44</v>
      </c>
      <c r="E298" s="1"/>
    </row>
    <row r="299">
      <c r="A299" s="1"/>
      <c r="B299" s="3" t="str">
        <f>IFERROR(__xludf.DUMMYFUNCTION("""COMPUTED_VALUE"""),"LIEM AI JONG")</f>
        <v>LIEM AI JONG</v>
      </c>
      <c r="C299" s="3" t="str">
        <f>IFERROR(__xludf.DUMMYFUNCTION("""COMPUTED_VALUE"""),"L5823040082")</f>
        <v>L5823040082</v>
      </c>
      <c r="D299" s="3">
        <f>IFERROR(__xludf.DUMMYFUNCTION("""COMPUTED_VALUE"""),67.0)</f>
        <v>67</v>
      </c>
      <c r="E299" s="1"/>
    </row>
    <row r="300">
      <c r="A300" s="1"/>
      <c r="B300" s="3" t="str">
        <f>IFERROR(__xludf.DUMMYFUNCTION("""COMPUTED_VALUE"""),"DHEA PUTRI KAMELIA")</f>
        <v>DHEA PUTRI KAMELIA</v>
      </c>
      <c r="C300" s="3" t="str">
        <f>IFERROR(__xludf.DUMMYFUNCTION("""COMPUTED_VALUE"""),"D9723041305")</f>
        <v>D9723041305</v>
      </c>
      <c r="D300" s="3">
        <f>IFERROR(__xludf.DUMMYFUNCTION("""COMPUTED_VALUE"""),29.0)</f>
        <v>29</v>
      </c>
      <c r="E300" s="1"/>
    </row>
    <row r="301">
      <c r="A301" s="1"/>
      <c r="B301" s="3" t="str">
        <f>IFERROR(__xludf.DUMMYFUNCTION("""COMPUTED_VALUE"""),"TRISYAH NINGSIH")</f>
        <v>TRISYAH NINGSIH</v>
      </c>
      <c r="C301" s="3" t="str">
        <f>IFERROR(__xludf.DUMMYFUNCTION("""COMPUTED_VALUE"""),"T8023042027")</f>
        <v>T8023042027</v>
      </c>
      <c r="D301" s="3">
        <f>IFERROR(__xludf.DUMMYFUNCTION("""COMPUTED_VALUE"""),45.0)</f>
        <v>45</v>
      </c>
      <c r="E301" s="1"/>
    </row>
    <row r="302">
      <c r="A302" s="1"/>
      <c r="B302" s="3" t="str">
        <f>IFERROR(__xludf.DUMMYFUNCTION("""COMPUTED_VALUE"""),"RAMA SYAHRUL F")</f>
        <v>RAMA SYAHRUL F</v>
      </c>
      <c r="C302" s="3" t="str">
        <f>IFERROR(__xludf.DUMMYFUNCTION("""COMPUTED_VALUE"""),"R0623044870")</f>
        <v>R0623044870</v>
      </c>
      <c r="D302" s="3">
        <f>IFERROR(__xludf.DUMMYFUNCTION("""COMPUTED_VALUE"""),19.0)</f>
        <v>19</v>
      </c>
      <c r="E302" s="1"/>
    </row>
    <row r="303">
      <c r="A303" s="1"/>
      <c r="B303" s="3" t="str">
        <f>IFERROR(__xludf.DUMMYFUNCTION("""COMPUTED_VALUE"""),"MARGARETHA YENNY YAP")</f>
        <v>MARGARETHA YENNY YAP</v>
      </c>
      <c r="C303" s="3" t="str">
        <f>IFERROR(__xludf.DUMMYFUNCTION("""COMPUTED_VALUE"""),"M6223043928")</f>
        <v>M6223043928</v>
      </c>
      <c r="D303" s="3">
        <f>IFERROR(__xludf.DUMMYFUNCTION("""COMPUTED_VALUE"""),64.0)</f>
        <v>64</v>
      </c>
      <c r="E303" s="1"/>
    </row>
    <row r="304">
      <c r="A304" s="1"/>
      <c r="B304" s="3" t="str">
        <f>IFERROR(__xludf.DUMMYFUNCTION("""COMPUTED_VALUE"""),"MUHAMMAD AULIA HARDADI")</f>
        <v>MUHAMMAD AULIA HARDADI</v>
      </c>
      <c r="C304" s="3" t="str">
        <f>IFERROR(__xludf.DUMMYFUNCTION("""COMPUTED_VALUE"""),"M8923045811")</f>
        <v>M8923045811</v>
      </c>
      <c r="D304" s="3">
        <f>IFERROR(__xludf.DUMMYFUNCTION("""COMPUTED_VALUE"""),36.0)</f>
        <v>36</v>
      </c>
      <c r="E304" s="1"/>
    </row>
    <row r="305">
      <c r="A305" s="1"/>
      <c r="B305" s="3" t="str">
        <f>IFERROR(__xludf.DUMMYFUNCTION("""COMPUTED_VALUE"""),"TIYA NURFAUZIAH")</f>
        <v>TIYA NURFAUZIAH</v>
      </c>
      <c r="C305" s="3" t="str">
        <f>IFERROR(__xludf.DUMMYFUNCTION("""COMPUTED_VALUE"""),"T9723046250")</f>
        <v>T9723046250</v>
      </c>
      <c r="D305" s="3">
        <f>IFERROR(__xludf.DUMMYFUNCTION("""COMPUTED_VALUE"""),28.0)</f>
        <v>28</v>
      </c>
      <c r="E305" s="1"/>
    </row>
    <row r="306">
      <c r="A306" s="1"/>
      <c r="B306" s="3" t="str">
        <f>IFERROR(__xludf.DUMMYFUNCTION("""COMPUTED_VALUE"""),"DEVIE GUSTANIA")</f>
        <v>DEVIE GUSTANIA</v>
      </c>
      <c r="C306" s="3" t="str">
        <f>IFERROR(__xludf.DUMMYFUNCTION("""COMPUTED_VALUE"""),"D2323047600")</f>
        <v>D2323047600</v>
      </c>
      <c r="D306" s="3">
        <f>IFERROR(__xludf.DUMMYFUNCTION("""COMPUTED_VALUE"""),2.0)</f>
        <v>2</v>
      </c>
      <c r="E306" s="1"/>
    </row>
    <row r="307">
      <c r="A307" s="1"/>
      <c r="B307" s="3" t="str">
        <f>IFERROR(__xludf.DUMMYFUNCTION("""COMPUTED_VALUE"""),"ANDETMAN")</f>
        <v>ANDETMAN</v>
      </c>
      <c r="C307" s="3" t="str">
        <f>IFERROR(__xludf.DUMMYFUNCTION("""COMPUTED_VALUE"""),"A5523045549")</f>
        <v>A5523045549</v>
      </c>
      <c r="D307" s="3">
        <f>IFERROR(__xludf.DUMMYFUNCTION("""COMPUTED_VALUE"""),71.0)</f>
        <v>71</v>
      </c>
      <c r="E307" s="1"/>
    </row>
    <row r="308">
      <c r="A308" s="1"/>
      <c r="B308" s="3" t="str">
        <f>IFERROR(__xludf.DUMMYFUNCTION("""COMPUTED_VALUE"""),"RESKY BINU")</f>
        <v>RESKY BINU</v>
      </c>
      <c r="C308" s="3" t="str">
        <f>IFERROR(__xludf.DUMMYFUNCTION("""COMPUTED_VALUE"""),"R2023046798")</f>
        <v>R2023046798</v>
      </c>
      <c r="D308" s="3">
        <f>IFERROR(__xludf.DUMMYFUNCTION("""COMPUTED_VALUE"""),6.0)</f>
        <v>6</v>
      </c>
      <c r="E308" s="1"/>
    </row>
    <row r="309">
      <c r="A309" s="1"/>
      <c r="B309" s="3" t="str">
        <f>IFERROR(__xludf.DUMMYFUNCTION("""COMPUTED_VALUE"""),"HENDRA PERDANA")</f>
        <v>HENDRA PERDANA</v>
      </c>
      <c r="C309" s="3" t="str">
        <f>IFERROR(__xludf.DUMMYFUNCTION("""COMPUTED_VALUE"""),"H8823042424")</f>
        <v>H8823042424</v>
      </c>
      <c r="D309" s="3">
        <f>IFERROR(__xludf.DUMMYFUNCTION("""COMPUTED_VALUE"""),37.0)</f>
        <v>37</v>
      </c>
      <c r="E309" s="1"/>
    </row>
    <row r="310">
      <c r="A310" s="1"/>
      <c r="B310" s="3" t="str">
        <f>IFERROR(__xludf.DUMMYFUNCTION("""COMPUTED_VALUE"""),"RENDY DARMAWAN")</f>
        <v>RENDY DARMAWAN</v>
      </c>
      <c r="C310" s="3" t="str">
        <f>IFERROR(__xludf.DUMMYFUNCTION("""COMPUTED_VALUE"""),"R0223041733")</f>
        <v>R0223041733</v>
      </c>
      <c r="D310" s="3">
        <f>IFERROR(__xludf.DUMMYFUNCTION("""COMPUTED_VALUE"""),23.0)</f>
        <v>23</v>
      </c>
      <c r="E310" s="1"/>
    </row>
    <row r="311">
      <c r="A311" s="1"/>
      <c r="B311" s="3" t="str">
        <f>IFERROR(__xludf.DUMMYFUNCTION("""COMPUTED_VALUE"""),"HALIJAH 6506")</f>
        <v>HALIJAH 6506</v>
      </c>
      <c r="C311" s="3" t="str">
        <f>IFERROR(__xludf.DUMMYFUNCTION("""COMPUTED_VALUE"""),"H6523040407")</f>
        <v>H6523040407</v>
      </c>
      <c r="D311" s="3">
        <f>IFERROR(__xludf.DUMMYFUNCTION("""COMPUTED_VALUE"""),61.0)</f>
        <v>61</v>
      </c>
      <c r="E311" s="1"/>
    </row>
    <row r="312">
      <c r="A312" s="1"/>
      <c r="B312" s="3" t="str">
        <f>IFERROR(__xludf.DUMMYFUNCTION("""COMPUTED_VALUE"""),"PUTERA ANGGARDA KIRANA")</f>
        <v>PUTERA ANGGARDA KIRANA</v>
      </c>
      <c r="C312" s="3" t="str">
        <f>IFERROR(__xludf.DUMMYFUNCTION("""COMPUTED_VALUE"""),"P9123046611")</f>
        <v>P9123046611</v>
      </c>
      <c r="D312" s="3">
        <f>IFERROR(__xludf.DUMMYFUNCTION("""COMPUTED_VALUE"""),34.0)</f>
        <v>34</v>
      </c>
      <c r="E312" s="1"/>
    </row>
    <row r="313">
      <c r="A313" s="1"/>
      <c r="B313" s="3" t="str">
        <f>IFERROR(__xludf.DUMMYFUNCTION("""COMPUTED_VALUE"""),"SYARIFAH IDA FITRIANA")</f>
        <v>SYARIFAH IDA FITRIANA</v>
      </c>
      <c r="C313" s="3" t="str">
        <f>IFERROR(__xludf.DUMMYFUNCTION("""COMPUTED_VALUE"""),"S7223042029")</f>
        <v>S7223042029</v>
      </c>
      <c r="D313" s="3">
        <f>IFERROR(__xludf.DUMMYFUNCTION("""COMPUTED_VALUE"""),53.0)</f>
        <v>53</v>
      </c>
      <c r="E313" s="1"/>
    </row>
    <row r="314">
      <c r="A314" s="1"/>
      <c r="B314" s="3" t="str">
        <f>IFERROR(__xludf.DUMMYFUNCTION("""COMPUTED_VALUE"""),"KARTIKA NINGTIAS")</f>
        <v>KARTIKA NINGTIAS</v>
      </c>
      <c r="C314" s="3" t="str">
        <f>IFERROR(__xludf.DUMMYFUNCTION("""COMPUTED_VALUE"""),"K6623046501")</f>
        <v>K6623046501</v>
      </c>
      <c r="D314" s="3">
        <f>IFERROR(__xludf.DUMMYFUNCTION("""COMPUTED_VALUE"""),60.0)</f>
        <v>60</v>
      </c>
      <c r="E314" s="1"/>
    </row>
    <row r="315">
      <c r="A315" s="1"/>
      <c r="B315" s="3" t="str">
        <f>IFERROR(__xludf.DUMMYFUNCTION("""COMPUTED_VALUE"""),"SALIM SUSANTO")</f>
        <v>SALIM SUSANTO</v>
      </c>
      <c r="C315" s="3" t="str">
        <f>IFERROR(__xludf.DUMMYFUNCTION("""COMPUTED_VALUE"""),"S6823049978")</f>
        <v>S6823049978</v>
      </c>
      <c r="D315" s="3">
        <f>IFERROR(__xludf.DUMMYFUNCTION("""COMPUTED_VALUE"""),57.0)</f>
        <v>57</v>
      </c>
      <c r="E315" s="1"/>
    </row>
    <row r="316">
      <c r="A316" s="1"/>
      <c r="B316" s="3" t="str">
        <f>IFERROR(__xludf.DUMMYFUNCTION("""COMPUTED_VALUE"""),"MURIANI")</f>
        <v>MURIANI</v>
      </c>
      <c r="C316" s="3" t="str">
        <f>IFERROR(__xludf.DUMMYFUNCTION("""COMPUTED_VALUE"""),"M7823049005")</f>
        <v>M7823049005</v>
      </c>
      <c r="D316" s="3">
        <f>IFERROR(__xludf.DUMMYFUNCTION("""COMPUTED_VALUE"""),47.0)</f>
        <v>47</v>
      </c>
      <c r="E316" s="1"/>
    </row>
    <row r="317">
      <c r="A317" s="1"/>
      <c r="B317" s="3" t="str">
        <f>IFERROR(__xludf.DUMMYFUNCTION("""COMPUTED_VALUE"""),"DAYANG NORMA")</f>
        <v>DAYANG NORMA</v>
      </c>
      <c r="C317" s="3" t="str">
        <f>IFERROR(__xludf.DUMMYFUNCTION("""COMPUTED_VALUE"""),"D5923045016")</f>
        <v>D5923045016</v>
      </c>
      <c r="D317" s="3">
        <f>IFERROR(__xludf.DUMMYFUNCTION("""COMPUTED_VALUE"""),67.0)</f>
        <v>67</v>
      </c>
      <c r="E317" s="1"/>
    </row>
    <row r="318">
      <c r="A318" s="1"/>
      <c r="B318" s="3" t="str">
        <f>IFERROR(__xludf.DUMMYFUNCTION("""COMPUTED_VALUE"""),"ERICK SUMARNO")</f>
        <v>ERICK SUMARNO</v>
      </c>
      <c r="C318" s="3" t="str">
        <f>IFERROR(__xludf.DUMMYFUNCTION("""COMPUTED_VALUE"""),"E2323045373")</f>
        <v>E2323045373</v>
      </c>
      <c r="D318" s="3">
        <f>IFERROR(__xludf.DUMMYFUNCTION("""COMPUTED_VALUE"""),3.0)</f>
        <v>3</v>
      </c>
      <c r="E318" s="1"/>
    </row>
    <row r="319">
      <c r="A319" s="1"/>
      <c r="B319" s="3" t="str">
        <f>IFERROR(__xludf.DUMMYFUNCTION("""COMPUTED_VALUE"""),"RUSNITAWATI")</f>
        <v>RUSNITAWATI</v>
      </c>
      <c r="C319" s="3" t="str">
        <f>IFERROR(__xludf.DUMMYFUNCTION("""COMPUTED_VALUE"""),"R6323045937")</f>
        <v>R6323045937</v>
      </c>
      <c r="D319" s="3">
        <f>IFERROR(__xludf.DUMMYFUNCTION("""COMPUTED_VALUE"""),63.0)</f>
        <v>63</v>
      </c>
      <c r="E319" s="1"/>
    </row>
    <row r="320">
      <c r="A320" s="1"/>
      <c r="B320" s="3" t="str">
        <f>IFERROR(__xludf.DUMMYFUNCTION("""COMPUTED_VALUE"""),"ANDY SETIAWAN")</f>
        <v>ANDY SETIAWAN</v>
      </c>
      <c r="C320" s="3" t="str">
        <f>IFERROR(__xludf.DUMMYFUNCTION("""COMPUTED_VALUE"""),"A8723049223")</f>
        <v>A8723049223</v>
      </c>
      <c r="D320" s="3">
        <f>IFERROR(__xludf.DUMMYFUNCTION("""COMPUTED_VALUE"""),38.0)</f>
        <v>38</v>
      </c>
      <c r="E320" s="1"/>
    </row>
    <row r="321">
      <c r="A321" s="1"/>
      <c r="B321" s="3" t="str">
        <f>IFERROR(__xludf.DUMMYFUNCTION("""COMPUTED_VALUE"""),"SUSILAWATI DYAH WULANDARI")</f>
        <v>SUSILAWATI DYAH WULANDARI</v>
      </c>
      <c r="C321" s="3" t="str">
        <f>IFERROR(__xludf.DUMMYFUNCTION("""COMPUTED_VALUE"""),"S8123045916")</f>
        <v>S8123045916</v>
      </c>
      <c r="D321" s="3">
        <f>IFERROR(__xludf.DUMMYFUNCTION("""COMPUTED_VALUE"""),45.0)</f>
        <v>45</v>
      </c>
      <c r="E321" s="1"/>
    </row>
    <row r="322">
      <c r="A322" s="1"/>
      <c r="B322" s="3" t="str">
        <f>IFERROR(__xludf.DUMMYFUNCTION("""COMPUTED_VALUE"""),"SY MAHMUD ALKAF")</f>
        <v>SY MAHMUD ALKAF</v>
      </c>
      <c r="C322" s="3" t="str">
        <f>IFERROR(__xludf.DUMMYFUNCTION("""COMPUTED_VALUE"""),"S6823041934")</f>
        <v>S6823041934</v>
      </c>
      <c r="D322" s="3">
        <f>IFERROR(__xludf.DUMMYFUNCTION("""COMPUTED_VALUE"""),58.0)</f>
        <v>58</v>
      </c>
      <c r="E322" s="1"/>
    </row>
    <row r="323">
      <c r="A323" s="1"/>
      <c r="B323" s="3" t="str">
        <f>IFERROR(__xludf.DUMMYFUNCTION("""COMPUTED_VALUE"""),"SILVIA 0207")</f>
        <v>SILVIA 0207</v>
      </c>
      <c r="C323" s="3" t="str">
        <f>IFERROR(__xludf.DUMMYFUNCTION("""COMPUTED_VALUE"""),"S0223048217")</f>
        <v>S0223048217</v>
      </c>
      <c r="D323" s="3">
        <f>IFERROR(__xludf.DUMMYFUNCTION("""COMPUTED_VALUE"""),23.0)</f>
        <v>23</v>
      </c>
      <c r="E323" s="1"/>
    </row>
    <row r="324">
      <c r="A324" s="1"/>
      <c r="B324" s="3" t="str">
        <f>IFERROR(__xludf.DUMMYFUNCTION("""COMPUTED_VALUE"""),"MASITA")</f>
        <v>MASITA</v>
      </c>
      <c r="C324" s="3" t="str">
        <f>IFERROR(__xludf.DUMMYFUNCTION("""COMPUTED_VALUE"""),"M6523041986")</f>
        <v>M6523041986</v>
      </c>
      <c r="D324" s="3">
        <f>IFERROR(__xludf.DUMMYFUNCTION("""COMPUTED_VALUE"""),60.0)</f>
        <v>60</v>
      </c>
      <c r="E324" s="1"/>
    </row>
    <row r="325">
      <c r="A325" s="1"/>
      <c r="B325" s="3" t="str">
        <f>IFERROR(__xludf.DUMMYFUNCTION("""COMPUTED_VALUE"""),"CHARLES BRYANT")</f>
        <v>CHARLES BRYANT</v>
      </c>
      <c r="C325" s="3" t="str">
        <f>IFERROR(__xludf.DUMMYFUNCTION("""COMPUTED_VALUE"""),"C0823040636")</f>
        <v>C0823040636</v>
      </c>
      <c r="D325" s="3">
        <f>IFERROR(__xludf.DUMMYFUNCTION("""COMPUTED_VALUE"""),17.0)</f>
        <v>17</v>
      </c>
      <c r="E325" s="1"/>
    </row>
    <row r="326">
      <c r="A326" s="1"/>
      <c r="B326" s="3" t="str">
        <f>IFERROR(__xludf.DUMMYFUNCTION("""COMPUTED_VALUE"""),"SUCI FADHILAH")</f>
        <v>SUCI FADHILAH</v>
      </c>
      <c r="C326" s="3" t="str">
        <f>IFERROR(__xludf.DUMMYFUNCTION("""COMPUTED_VALUE"""),"S9123042997")</f>
        <v>S9123042997</v>
      </c>
      <c r="D326" s="3">
        <f>IFERROR(__xludf.DUMMYFUNCTION("""COMPUTED_VALUE"""),35.0)</f>
        <v>35</v>
      </c>
      <c r="E326" s="1"/>
    </row>
    <row r="327">
      <c r="A327" s="1"/>
      <c r="B327" s="3" t="str">
        <f>IFERROR(__xludf.DUMMYFUNCTION("""COMPUTED_VALUE"""),"SUJIATI")</f>
        <v>SUJIATI</v>
      </c>
      <c r="C327" s="3" t="str">
        <f>IFERROR(__xludf.DUMMYFUNCTION("""COMPUTED_VALUE"""),"S6723040877")</f>
        <v>S6723040877</v>
      </c>
      <c r="D327" s="3">
        <f>IFERROR(__xludf.DUMMYFUNCTION("""COMPUTED_VALUE"""),59.0)</f>
        <v>59</v>
      </c>
      <c r="E327" s="1"/>
    </row>
    <row r="328">
      <c r="A328" s="1"/>
      <c r="B328" s="3" t="str">
        <f>IFERROR(__xludf.DUMMYFUNCTION("""COMPUTED_VALUE"""),"NURUL AZYYATI")</f>
        <v>NURUL AZYYATI</v>
      </c>
      <c r="C328" s="3" t="str">
        <f>IFERROR(__xludf.DUMMYFUNCTION("""COMPUTED_VALUE"""),"N9523056334")</f>
        <v>N9523056334</v>
      </c>
      <c r="D328" s="3">
        <f>IFERROR(__xludf.DUMMYFUNCTION("""COMPUTED_VALUE"""),30.0)</f>
        <v>30</v>
      </c>
      <c r="E328" s="1"/>
    </row>
    <row r="329">
      <c r="A329" s="1"/>
      <c r="B329" s="3" t="str">
        <f>IFERROR(__xludf.DUMMYFUNCTION("""COMPUTED_VALUE"""),"BUDI YANTO")</f>
        <v>BUDI YANTO</v>
      </c>
      <c r="C329" s="3" t="str">
        <f>IFERROR(__xludf.DUMMYFUNCTION("""COMPUTED_VALUE"""),"B6723058535")</f>
        <v>B6723058535</v>
      </c>
      <c r="D329" s="3">
        <f>IFERROR(__xludf.DUMMYFUNCTION("""COMPUTED_VALUE"""),58.0)</f>
        <v>58</v>
      </c>
      <c r="E329" s="1"/>
    </row>
    <row r="330">
      <c r="A330" s="1"/>
      <c r="B330" s="3" t="str">
        <f>IFERROR(__xludf.DUMMYFUNCTION("""COMPUTED_VALUE"""),"SYPRIANUS MEI")</f>
        <v>SYPRIANUS MEI</v>
      </c>
      <c r="C330" s="3" t="str">
        <f>IFERROR(__xludf.DUMMYFUNCTION("""COMPUTED_VALUE"""),"S7123053202")</f>
        <v>S7123053202</v>
      </c>
      <c r="D330" s="3">
        <f>IFERROR(__xludf.DUMMYFUNCTION("""COMPUTED_VALUE"""),54.0)</f>
        <v>54</v>
      </c>
      <c r="E330" s="1"/>
    </row>
    <row r="331">
      <c r="A331" s="1"/>
      <c r="B331" s="3" t="str">
        <f>IFERROR(__xludf.DUMMYFUNCTION("""COMPUTED_VALUE"""),"DINUL ERSHA AKBAR")</f>
        <v>DINUL ERSHA AKBAR</v>
      </c>
      <c r="C331" s="3" t="str">
        <f>IFERROR(__xludf.DUMMYFUNCTION("""COMPUTED_VALUE"""),"D8723056393")</f>
        <v>D8723056393</v>
      </c>
      <c r="D331" s="3">
        <f>IFERROR(__xludf.DUMMYFUNCTION("""COMPUTED_VALUE"""),38.0)</f>
        <v>38</v>
      </c>
      <c r="E331" s="1"/>
    </row>
    <row r="332">
      <c r="A332" s="1"/>
      <c r="B332" s="3" t="str">
        <f>IFERROR(__xludf.DUMMYFUNCTION("""COMPUTED_VALUE"""),"RORA FITRIANI")</f>
        <v>RORA FITRIANI</v>
      </c>
      <c r="C332" s="3" t="str">
        <f>IFERROR(__xludf.DUMMYFUNCTION("""COMPUTED_VALUE"""),"R8423057708")</f>
        <v>R8423057708</v>
      </c>
      <c r="D332" s="3">
        <f>IFERROR(__xludf.DUMMYFUNCTION("""COMPUTED_VALUE"""),41.0)</f>
        <v>41</v>
      </c>
      <c r="E332" s="1"/>
    </row>
    <row r="333">
      <c r="A333" s="1"/>
      <c r="B333" s="3" t="str">
        <f>IFERROR(__xludf.DUMMYFUNCTION("""COMPUTED_VALUE"""),"TRIES ANJAR SARI")</f>
        <v>TRIES ANJAR SARI</v>
      </c>
      <c r="C333" s="3" t="str">
        <f>IFERROR(__xludf.DUMMYFUNCTION("""COMPUTED_VALUE"""),"T9423056309")</f>
        <v>T9423056309</v>
      </c>
      <c r="D333" s="3">
        <f>IFERROR(__xludf.DUMMYFUNCTION("""COMPUTED_VALUE"""),32.0)</f>
        <v>32</v>
      </c>
      <c r="E333" s="1"/>
    </row>
    <row r="334">
      <c r="A334" s="1"/>
      <c r="B334" s="3" t="str">
        <f>IFERROR(__xludf.DUMMYFUNCTION("""COMPUTED_VALUE"""),"SATRIA MUTASATYA")</f>
        <v>SATRIA MUTASATYA</v>
      </c>
      <c r="C334" s="3" t="str">
        <f>IFERROR(__xludf.DUMMYFUNCTION("""COMPUTED_VALUE"""),"S0823055584")</f>
        <v>S0823055584</v>
      </c>
      <c r="D334" s="3">
        <f>IFERROR(__xludf.DUMMYFUNCTION("""COMPUTED_VALUE"""),18.0)</f>
        <v>18</v>
      </c>
      <c r="E334" s="1"/>
    </row>
    <row r="335">
      <c r="A335" s="1"/>
      <c r="B335" s="3" t="str">
        <f>IFERROR(__xludf.DUMMYFUNCTION("""COMPUTED_VALUE"""),"CINDY EKA PURNAMASARI")</f>
        <v>CINDY EKA PURNAMASARI</v>
      </c>
      <c r="C335" s="3" t="str">
        <f>IFERROR(__xludf.DUMMYFUNCTION("""COMPUTED_VALUE"""),"C9923052137")</f>
        <v>C9923052137</v>
      </c>
      <c r="D335" s="3">
        <f>IFERROR(__xludf.DUMMYFUNCTION("""COMPUTED_VALUE"""),26.0)</f>
        <v>26</v>
      </c>
      <c r="E335" s="1"/>
    </row>
    <row r="336">
      <c r="A336" s="1"/>
      <c r="B336" s="3" t="str">
        <f>IFERROR(__xludf.DUMMYFUNCTION("""COMPUTED_VALUE"""),"SUTINA BAKI")</f>
        <v>SUTINA BAKI</v>
      </c>
      <c r="C336" s="3" t="str">
        <f>IFERROR(__xludf.DUMMYFUNCTION("""COMPUTED_VALUE"""),"S4223058550")</f>
        <v>S4223058550</v>
      </c>
      <c r="D336" s="3">
        <f>IFERROR(__xludf.DUMMYFUNCTION("""COMPUTED_VALUE"""),84.0)</f>
        <v>84</v>
      </c>
      <c r="E336" s="1"/>
    </row>
    <row r="337">
      <c r="A337" s="1"/>
      <c r="B337" s="3" t="str">
        <f>IFERROR(__xludf.DUMMYFUNCTION("""COMPUTED_VALUE"""),"RANGGA ARNANTA PRATAMA")</f>
        <v>RANGGA ARNANTA PRATAMA</v>
      </c>
      <c r="C337" s="3" t="str">
        <f>IFERROR(__xludf.DUMMYFUNCTION("""COMPUTED_VALUE"""),"R0323059879")</f>
        <v>R0323059879</v>
      </c>
      <c r="D337" s="3">
        <f>IFERROR(__xludf.DUMMYFUNCTION("""COMPUTED_VALUE"""),22.0)</f>
        <v>22</v>
      </c>
      <c r="E337" s="1"/>
    </row>
    <row r="338">
      <c r="A338" s="1"/>
      <c r="B338" s="3" t="str">
        <f>IFERROR(__xludf.DUMMYFUNCTION("""COMPUTED_VALUE"""),"HARIYANDI")</f>
        <v>HARIYANDI</v>
      </c>
      <c r="C338" s="3" t="str">
        <f>IFERROR(__xludf.DUMMYFUNCTION("""COMPUTED_VALUE"""),"H9723057881")</f>
        <v>H9723057881</v>
      </c>
      <c r="D338" s="3">
        <f>IFERROR(__xludf.DUMMYFUNCTION("""COMPUTED_VALUE"""),29.0)</f>
        <v>29</v>
      </c>
      <c r="E338" s="1"/>
    </row>
    <row r="339">
      <c r="A339" s="1"/>
      <c r="B339" s="3" t="str">
        <f>IFERROR(__xludf.DUMMYFUNCTION("""COMPUTED_VALUE"""),"CORRIE ZULIAMITA OCTAVIANI")</f>
        <v>CORRIE ZULIAMITA OCTAVIANI</v>
      </c>
      <c r="C339" s="3" t="str">
        <f>IFERROR(__xludf.DUMMYFUNCTION("""COMPUTED_VALUE"""),"C0023056158")</f>
        <v>C0023056158</v>
      </c>
      <c r="D339" s="3">
        <f>IFERROR(__xludf.DUMMYFUNCTION("""COMPUTED_VALUE"""),25.0)</f>
        <v>25</v>
      </c>
      <c r="E339" s="1"/>
    </row>
    <row r="340">
      <c r="A340" s="1"/>
      <c r="B340" s="3" t="str">
        <f>IFERROR(__xludf.DUMMYFUNCTION("""COMPUTED_VALUE"""),"SUJANA")</f>
        <v>SUJANA</v>
      </c>
      <c r="C340" s="3" t="str">
        <f>IFERROR(__xludf.DUMMYFUNCTION("""COMPUTED_VALUE"""),"S0523055644")</f>
        <v>S0523055644</v>
      </c>
      <c r="D340" s="3">
        <f>IFERROR(__xludf.DUMMYFUNCTION("""COMPUTED_VALUE"""),21.0)</f>
        <v>21</v>
      </c>
      <c r="E340" s="1"/>
    </row>
    <row r="341">
      <c r="A341" s="1"/>
      <c r="B341" s="3" t="str">
        <f>IFERROR(__xludf.DUMMYFUNCTION("""COMPUTED_VALUE"""),"LASMI YULISTIANA")</f>
        <v>LASMI YULISTIANA</v>
      </c>
      <c r="C341" s="3" t="str">
        <f>IFERROR(__xludf.DUMMYFUNCTION("""COMPUTED_VALUE"""),"L7023051014")</f>
        <v>L7023051014</v>
      </c>
      <c r="D341" s="3">
        <f>IFERROR(__xludf.DUMMYFUNCTION("""COMPUTED_VALUE"""),55.0)</f>
        <v>55</v>
      </c>
      <c r="E341" s="1"/>
    </row>
    <row r="342">
      <c r="A342" s="1"/>
      <c r="B342" s="3" t="str">
        <f>IFERROR(__xludf.DUMMYFUNCTION("""COMPUTED_VALUE"""),"TJEN FUI LIN")</f>
        <v>TJEN FUI LIN</v>
      </c>
      <c r="C342" s="3" t="str">
        <f>IFERROR(__xludf.DUMMYFUNCTION("""COMPUTED_VALUE"""),"T6423055588")</f>
        <v>T6423055588</v>
      </c>
      <c r="D342" s="3">
        <f>IFERROR(__xludf.DUMMYFUNCTION("""COMPUTED_VALUE"""),61.0)</f>
        <v>61</v>
      </c>
      <c r="E342" s="1"/>
    </row>
    <row r="343">
      <c r="A343" s="1"/>
      <c r="B343" s="3" t="str">
        <f>IFERROR(__xludf.DUMMYFUNCTION("""COMPUTED_VALUE"""),"METTY YANNA JUWITA")</f>
        <v>METTY YANNA JUWITA</v>
      </c>
      <c r="C343" s="3" t="str">
        <f>IFERROR(__xludf.DUMMYFUNCTION("""COMPUTED_VALUE"""),"M8923055095")</f>
        <v>M8923055095</v>
      </c>
      <c r="D343" s="3">
        <f>IFERROR(__xludf.DUMMYFUNCTION("""COMPUTED_VALUE"""),36.0)</f>
        <v>36</v>
      </c>
      <c r="E343" s="1"/>
    </row>
    <row r="344">
      <c r="A344" s="1"/>
      <c r="B344" s="3" t="str">
        <f>IFERROR(__xludf.DUMMYFUNCTION("""COMPUTED_VALUE"""),"REZKA YUDHA DESSIRIHU NUR")</f>
        <v>REZKA YUDHA DESSIRIHU NUR</v>
      </c>
      <c r="C344" s="3" t="str">
        <f>IFERROR(__xludf.DUMMYFUNCTION("""COMPUTED_VALUE"""),"R8823056629")</f>
        <v>R8823056629</v>
      </c>
      <c r="D344" s="3">
        <f>IFERROR(__xludf.DUMMYFUNCTION("""COMPUTED_VALUE"""),37.0)</f>
        <v>37</v>
      </c>
      <c r="E344" s="1"/>
    </row>
    <row r="345">
      <c r="A345" s="1"/>
      <c r="B345" s="3" t="str">
        <f>IFERROR(__xludf.DUMMYFUNCTION("""COMPUTED_VALUE"""),"RISKI RUSYANDI")</f>
        <v>RISKI RUSYANDI</v>
      </c>
      <c r="C345" s="3" t="str">
        <f>IFERROR(__xludf.DUMMYFUNCTION("""COMPUTED_VALUE"""),"R0123050561")</f>
        <v>R0123050561</v>
      </c>
      <c r="D345" s="3">
        <f>IFERROR(__xludf.DUMMYFUNCTION("""COMPUTED_VALUE"""),24.0)</f>
        <v>24</v>
      </c>
      <c r="E345" s="1"/>
    </row>
    <row r="346">
      <c r="A346" s="1"/>
      <c r="B346" s="3" t="str">
        <f>IFERROR(__xludf.DUMMYFUNCTION("""COMPUTED_VALUE"""),"HARLICH SURYA")</f>
        <v>HARLICH SURYA</v>
      </c>
      <c r="C346" s="3" t="str">
        <f>IFERROR(__xludf.DUMMYFUNCTION("""COMPUTED_VALUE"""),"H0023052000")</f>
        <v>H0023052000</v>
      </c>
      <c r="D346" s="3">
        <f>IFERROR(__xludf.DUMMYFUNCTION("""COMPUTED_VALUE"""),25.0)</f>
        <v>25</v>
      </c>
      <c r="E346" s="1"/>
    </row>
    <row r="347">
      <c r="A347" s="1"/>
      <c r="B347" s="3" t="str">
        <f>IFERROR(__xludf.DUMMYFUNCTION("""COMPUTED_VALUE"""),"MALIYAH")</f>
        <v>MALIYAH</v>
      </c>
      <c r="C347" s="3" t="str">
        <f>IFERROR(__xludf.DUMMYFUNCTION("""COMPUTED_VALUE"""),"M6923050999")</f>
        <v>M6923050999</v>
      </c>
      <c r="D347" s="3">
        <f>IFERROR(__xludf.DUMMYFUNCTION("""COMPUTED_VALUE"""),57.0)</f>
        <v>57</v>
      </c>
      <c r="E347" s="1"/>
    </row>
    <row r="348">
      <c r="A348" s="1"/>
      <c r="B348" s="3" t="str">
        <f>IFERROR(__xludf.DUMMYFUNCTION("""COMPUTED_VALUE"""),"GUBRANI")</f>
        <v>GUBRANI</v>
      </c>
      <c r="C348" s="3" t="str">
        <f>IFERROR(__xludf.DUMMYFUNCTION("""COMPUTED_VALUE"""),"G8123059765")</f>
        <v>G8123059765</v>
      </c>
      <c r="D348" s="3">
        <f>IFERROR(__xludf.DUMMYFUNCTION("""COMPUTED_VALUE"""),45.0)</f>
        <v>45</v>
      </c>
      <c r="E348" s="1"/>
    </row>
    <row r="349">
      <c r="A349" s="1"/>
      <c r="B349" s="3" t="str">
        <f>IFERROR(__xludf.DUMMYFUNCTION("""COMPUTED_VALUE"""),"IKA YUSANTI")</f>
        <v>IKA YUSANTI</v>
      </c>
      <c r="C349" s="3" t="str">
        <f>IFERROR(__xludf.DUMMYFUNCTION("""COMPUTED_VALUE"""),"I7123058502")</f>
        <v>I7123058502</v>
      </c>
      <c r="D349" s="3">
        <f>IFERROR(__xludf.DUMMYFUNCTION("""COMPUTED_VALUE"""),54.0)</f>
        <v>54</v>
      </c>
      <c r="E349" s="1"/>
    </row>
    <row r="350">
      <c r="A350" s="1"/>
      <c r="B350" s="3" t="str">
        <f>IFERROR(__xludf.DUMMYFUNCTION("""COMPUTED_VALUE"""),"ELIZABETH AKU REMAJA TJANDRA")</f>
        <v>ELIZABETH AKU REMAJA TJANDRA</v>
      </c>
      <c r="C350" s="3" t="str">
        <f>IFERROR(__xludf.DUMMYFUNCTION("""COMPUTED_VALUE"""),"E0623057697")</f>
        <v>E0623057697</v>
      </c>
      <c r="D350" s="3">
        <f>IFERROR(__xludf.DUMMYFUNCTION("""COMPUTED_VALUE"""),19.0)</f>
        <v>19</v>
      </c>
      <c r="E350" s="1"/>
    </row>
    <row r="351">
      <c r="A351" s="1"/>
      <c r="B351" s="3" t="str">
        <f>IFERROR(__xludf.DUMMYFUNCTION("""COMPUTED_VALUE"""),"VERAYANA KURNIAWAN")</f>
        <v>VERAYANA KURNIAWAN</v>
      </c>
      <c r="C351" s="3" t="str">
        <f>IFERROR(__xludf.DUMMYFUNCTION("""COMPUTED_VALUE"""),"V6223056198")</f>
        <v>V6223056198</v>
      </c>
      <c r="D351" s="3">
        <f>IFERROR(__xludf.DUMMYFUNCTION("""COMPUTED_VALUE"""),64.0)</f>
        <v>64</v>
      </c>
      <c r="E351" s="1"/>
    </row>
    <row r="352">
      <c r="A352" s="1"/>
      <c r="B352" s="3" t="str">
        <f>IFERROR(__xludf.DUMMYFUNCTION("""COMPUTED_VALUE"""),"SAMTO")</f>
        <v>SAMTO</v>
      </c>
      <c r="C352" s="3" t="str">
        <f>IFERROR(__xludf.DUMMYFUNCTION("""COMPUTED_VALUE"""),"S5723058878")</f>
        <v>S5723058878</v>
      </c>
      <c r="D352" s="3">
        <f>IFERROR(__xludf.DUMMYFUNCTION("""COMPUTED_VALUE"""),68.0)</f>
        <v>68</v>
      </c>
      <c r="E352" s="1"/>
    </row>
    <row r="353">
      <c r="A353" s="1"/>
      <c r="B353" s="3" t="str">
        <f>IFERROR(__xludf.DUMMYFUNCTION("""COMPUTED_VALUE"""),"WIRA ADITYA")</f>
        <v>WIRA ADITYA</v>
      </c>
      <c r="C353" s="3" t="str">
        <f>IFERROR(__xludf.DUMMYFUNCTION("""COMPUTED_VALUE"""),"W9723056473")</f>
        <v>W9723056473</v>
      </c>
      <c r="D353" s="3">
        <f>IFERROR(__xludf.DUMMYFUNCTION("""COMPUTED_VALUE"""),28.0)</f>
        <v>28</v>
      </c>
      <c r="E353" s="1"/>
    </row>
    <row r="354">
      <c r="A354" s="1"/>
      <c r="B354" s="3" t="str">
        <f>IFERROR(__xludf.DUMMYFUNCTION("""COMPUTED_VALUE"""),"SUTRISNO")</f>
        <v>SUTRISNO</v>
      </c>
      <c r="C354" s="3" t="str">
        <f>IFERROR(__xludf.DUMMYFUNCTION("""COMPUTED_VALUE"""),"S6623051013")</f>
        <v>S6623051013</v>
      </c>
      <c r="D354" s="3">
        <f>IFERROR(__xludf.DUMMYFUNCTION("""COMPUTED_VALUE"""),59.0)</f>
        <v>59</v>
      </c>
      <c r="E354" s="1"/>
    </row>
    <row r="355">
      <c r="A355" s="1"/>
      <c r="B355" s="3" t="str">
        <f>IFERROR(__xludf.DUMMYFUNCTION("""COMPUTED_VALUE"""),"MOSES EXAUDO HUTABARAT")</f>
        <v>MOSES EXAUDO HUTABARAT</v>
      </c>
      <c r="C355" s="3" t="str">
        <f>IFERROR(__xludf.DUMMYFUNCTION("""COMPUTED_VALUE"""),"M0523052727")</f>
        <v>M0523052727</v>
      </c>
      <c r="D355" s="3">
        <f>IFERROR(__xludf.DUMMYFUNCTION("""COMPUTED_VALUE"""),21.0)</f>
        <v>21</v>
      </c>
      <c r="E355" s="1"/>
    </row>
    <row r="356">
      <c r="A356" s="1"/>
      <c r="B356" s="3" t="str">
        <f>IFERROR(__xludf.DUMMYFUNCTION("""COMPUTED_VALUE"""),"ANTON THEODORIES")</f>
        <v>ANTON THEODORIES</v>
      </c>
      <c r="C356" s="3" t="str">
        <f>IFERROR(__xludf.DUMMYFUNCTION("""COMPUTED_VALUE"""),"A8523051458")</f>
        <v>A8523051458</v>
      </c>
      <c r="D356" s="3">
        <f>IFERROR(__xludf.DUMMYFUNCTION("""COMPUTED_VALUE"""),40.0)</f>
        <v>40</v>
      </c>
      <c r="E356" s="1"/>
    </row>
    <row r="357">
      <c r="A357" s="1"/>
      <c r="B357" s="3" t="str">
        <f>IFERROR(__xludf.DUMMYFUNCTION("""COMPUTED_VALUE"""),"SYARIF MUHAMMAD FARID")</f>
        <v>SYARIF MUHAMMAD FARID</v>
      </c>
      <c r="C357" s="3" t="str">
        <f>IFERROR(__xludf.DUMMYFUNCTION("""COMPUTED_VALUE"""),"S7123050202")</f>
        <v>S7123050202</v>
      </c>
      <c r="D357" s="3">
        <f>IFERROR(__xludf.DUMMYFUNCTION("""COMPUTED_VALUE"""),55.0)</f>
        <v>55</v>
      </c>
      <c r="E357" s="1"/>
    </row>
    <row r="358">
      <c r="A358" s="1"/>
      <c r="B358" s="3" t="str">
        <f>IFERROR(__xludf.DUMMYFUNCTION("""COMPUTED_VALUE"""),"BAGUS RUSTANDI")</f>
        <v>BAGUS RUSTANDI</v>
      </c>
      <c r="C358" s="3" t="str">
        <f>IFERROR(__xludf.DUMMYFUNCTION("""COMPUTED_VALUE"""),"B0123055761")</f>
        <v>B0123055761</v>
      </c>
      <c r="D358" s="3">
        <f>IFERROR(__xludf.DUMMYFUNCTION("""COMPUTED_VALUE"""),24.0)</f>
        <v>24</v>
      </c>
      <c r="E358" s="1"/>
    </row>
    <row r="359">
      <c r="A359" s="1"/>
      <c r="B359" s="3" t="str">
        <f>IFERROR(__xludf.DUMMYFUNCTION("""COMPUTED_VALUE"""),"LOUISTEN LAMTIUR MARPAUNG")</f>
        <v>LOUISTEN LAMTIUR MARPAUNG</v>
      </c>
      <c r="C359" s="3" t="str">
        <f>IFERROR(__xludf.DUMMYFUNCTION("""COMPUTED_VALUE"""),"L0923055369")</f>
        <v>L0923055369</v>
      </c>
      <c r="D359" s="3">
        <f>IFERROR(__xludf.DUMMYFUNCTION("""COMPUTED_VALUE"""),16.0)</f>
        <v>16</v>
      </c>
      <c r="E359" s="1"/>
    </row>
    <row r="360">
      <c r="A360" s="1"/>
      <c r="B360" s="3" t="str">
        <f>IFERROR(__xludf.DUMMYFUNCTION("""COMPUTED_VALUE"""),"MUHAMMAD THARIQ FATHURRAHMAN")</f>
        <v>MUHAMMAD THARIQ FATHURRAHMAN</v>
      </c>
      <c r="C360" s="3" t="str">
        <f>IFERROR(__xludf.DUMMYFUNCTION("""COMPUTED_VALUE"""),"M0423052800")</f>
        <v>M0423052800</v>
      </c>
      <c r="D360" s="3">
        <f>IFERROR(__xludf.DUMMYFUNCTION("""COMPUTED_VALUE"""),22.0)</f>
        <v>22</v>
      </c>
      <c r="E360" s="1"/>
    </row>
    <row r="361">
      <c r="A361" s="1"/>
      <c r="B361" s="3" t="str">
        <f>IFERROR(__xludf.DUMMYFUNCTION("""COMPUTED_VALUE"""),"MAJIJAH")</f>
        <v>MAJIJAH</v>
      </c>
      <c r="C361" s="3" t="str">
        <f>IFERROR(__xludf.DUMMYFUNCTION("""COMPUTED_VALUE"""),"M0423052105")</f>
        <v>M0423052105</v>
      </c>
      <c r="D361" s="3">
        <f>IFERROR(__xludf.DUMMYFUNCTION("""COMPUTED_VALUE"""),22.0)</f>
        <v>22</v>
      </c>
      <c r="E361" s="1"/>
    </row>
    <row r="362">
      <c r="A362" s="1"/>
      <c r="B362" s="3" t="str">
        <f>IFERROR(__xludf.DUMMYFUNCTION("""COMPUTED_VALUE"""),"ISHAK")</f>
        <v>ISHAK</v>
      </c>
      <c r="C362" s="3" t="str">
        <f>IFERROR(__xludf.DUMMYFUNCTION("""COMPUTED_VALUE"""),"I6923052025")</f>
        <v>I6923052025</v>
      </c>
      <c r="D362" s="3">
        <f>IFERROR(__xludf.DUMMYFUNCTION("""COMPUTED_VALUE"""),56.0)</f>
        <v>56</v>
      </c>
      <c r="E362" s="1"/>
    </row>
    <row r="363">
      <c r="A363" s="1"/>
      <c r="B363" s="3" t="str">
        <f>IFERROR(__xludf.DUMMYFUNCTION("""COMPUTED_VALUE"""),"ALFAJRI ZIKRI")</f>
        <v>ALFAJRI ZIKRI</v>
      </c>
      <c r="C363" s="3" t="str">
        <f>IFERROR(__xludf.DUMMYFUNCTION("""COMPUTED_VALUE"""),"A9423054254")</f>
        <v>A9423054254</v>
      </c>
      <c r="D363" s="3">
        <f>IFERROR(__xludf.DUMMYFUNCTION("""COMPUTED_VALUE"""),31.0)</f>
        <v>31</v>
      </c>
      <c r="E363" s="1"/>
    </row>
    <row r="364">
      <c r="A364" s="1"/>
      <c r="B364" s="3" t="str">
        <f>IFERROR(__xludf.DUMMYFUNCTION("""COMPUTED_VALUE"""),"MOHAMMAD AFIF RIZKY")</f>
        <v>MOHAMMAD AFIF RIZKY</v>
      </c>
      <c r="C364" s="3" t="str">
        <f>IFERROR(__xludf.DUMMYFUNCTION("""COMPUTED_VALUE"""),"M9923059202")</f>
        <v>M9923059202</v>
      </c>
      <c r="D364" s="3">
        <f>IFERROR(__xludf.DUMMYFUNCTION("""COMPUTED_VALUE"""),27.0)</f>
        <v>27</v>
      </c>
      <c r="E364" s="1"/>
    </row>
    <row r="365">
      <c r="A365" s="1"/>
      <c r="B365" s="3" t="str">
        <f>IFERROR(__xludf.DUMMYFUNCTION("""COMPUTED_VALUE"""),"M. RAFLI SAPUTRA")</f>
        <v>M. RAFLI SAPUTRA</v>
      </c>
      <c r="C365" s="3" t="str">
        <f>IFERROR(__xludf.DUMMYFUNCTION("""COMPUTED_VALUE"""),"M0223057984")</f>
        <v>M0223057984</v>
      </c>
      <c r="D365" s="3">
        <f>IFERROR(__xludf.DUMMYFUNCTION("""COMPUTED_VALUE"""),24.0)</f>
        <v>24</v>
      </c>
      <c r="E365" s="1"/>
    </row>
    <row r="366">
      <c r="A366" s="1"/>
      <c r="B366" s="3" t="str">
        <f>IFERROR(__xludf.DUMMYFUNCTION("""COMPUTED_VALUE"""),"ZULPIAN KARNO")</f>
        <v>ZULPIAN KARNO</v>
      </c>
      <c r="C366" s="3" t="str">
        <f>IFERROR(__xludf.DUMMYFUNCTION("""COMPUTED_VALUE"""),"Z7723050355")</f>
        <v>Z7723050355</v>
      </c>
      <c r="D366" s="3">
        <f>IFERROR(__xludf.DUMMYFUNCTION("""COMPUTED_VALUE"""),49.0)</f>
        <v>49</v>
      </c>
      <c r="E366" s="1"/>
    </row>
    <row r="367">
      <c r="A367" s="1"/>
      <c r="B367" s="3" t="str">
        <f>IFERROR(__xludf.DUMMYFUNCTION("""COMPUTED_VALUE"""),"RITA LINARDI")</f>
        <v>RITA LINARDI</v>
      </c>
      <c r="C367" s="3" t="str">
        <f>IFERROR(__xludf.DUMMYFUNCTION("""COMPUTED_VALUE"""),"R8423050210")</f>
        <v>R8423050210</v>
      </c>
      <c r="D367" s="3">
        <f>IFERROR(__xludf.DUMMYFUNCTION("""COMPUTED_VALUE"""),42.0)</f>
        <v>42</v>
      </c>
      <c r="E367" s="1"/>
    </row>
    <row r="368">
      <c r="A368" s="1"/>
      <c r="B368" s="3" t="str">
        <f>IFERROR(__xludf.DUMMYFUNCTION("""COMPUTED_VALUE"""),"ANDREAS YOVIAN")</f>
        <v>ANDREAS YOVIAN</v>
      </c>
      <c r="C368" s="3" t="str">
        <f>IFERROR(__xludf.DUMMYFUNCTION("""COMPUTED_VALUE"""),"A9123056029")</f>
        <v>A9123056029</v>
      </c>
      <c r="D368" s="3">
        <f>IFERROR(__xludf.DUMMYFUNCTION("""COMPUTED_VALUE"""),35.0)</f>
        <v>35</v>
      </c>
      <c r="E368" s="1"/>
    </row>
    <row r="369">
      <c r="A369" s="1"/>
      <c r="B369" s="3" t="str">
        <f>IFERROR(__xludf.DUMMYFUNCTION("""COMPUTED_VALUE"""),"SURYANA")</f>
        <v>SURYANA</v>
      </c>
      <c r="C369" s="3" t="str">
        <f>IFERROR(__xludf.DUMMYFUNCTION("""COMPUTED_VALUE"""),"S7723054038")</f>
        <v>S7723054038</v>
      </c>
      <c r="D369" s="3">
        <f>IFERROR(__xludf.DUMMYFUNCTION("""COMPUTED_VALUE"""),49.0)</f>
        <v>49</v>
      </c>
      <c r="E369" s="1"/>
    </row>
    <row r="370">
      <c r="A370" s="1"/>
      <c r="B370" s="3" t="str">
        <f>IFERROR(__xludf.DUMMYFUNCTION("""COMPUTED_VALUE"""),"RAHMAT WIDYANTO")</f>
        <v>RAHMAT WIDYANTO</v>
      </c>
      <c r="C370" s="3" t="str">
        <f>IFERROR(__xludf.DUMMYFUNCTION("""COMPUTED_VALUE"""),"R9223057555")</f>
        <v>R9223057555</v>
      </c>
      <c r="D370" s="3">
        <f>IFERROR(__xludf.DUMMYFUNCTION("""COMPUTED_VALUE"""),34.0)</f>
        <v>34</v>
      </c>
      <c r="E370" s="1"/>
    </row>
    <row r="371">
      <c r="A371" s="1"/>
      <c r="B371" s="3" t="str">
        <f>IFERROR(__xludf.DUMMYFUNCTION("""COMPUTED_VALUE"""),"MUHAMMAD GISBAN ABRAR")</f>
        <v>MUHAMMAD GISBAN ABRAR</v>
      </c>
      <c r="C371" s="3" t="str">
        <f>IFERROR(__xludf.DUMMYFUNCTION("""COMPUTED_VALUE"""),"M9423052117")</f>
        <v>M9423052117</v>
      </c>
      <c r="D371" s="3">
        <f>IFERROR(__xludf.DUMMYFUNCTION("""COMPUTED_VALUE"""),32.0)</f>
        <v>32</v>
      </c>
      <c r="E371" s="1"/>
    </row>
    <row r="372">
      <c r="A372" s="1"/>
      <c r="B372" s="3" t="str">
        <f>IFERROR(__xludf.DUMMYFUNCTION("""COMPUTED_VALUE"""),"ASSAKINAH")</f>
        <v>ASSAKINAH</v>
      </c>
      <c r="C372" s="3" t="str">
        <f>IFERROR(__xludf.DUMMYFUNCTION("""COMPUTED_VALUE"""),"A9323059833")</f>
        <v>A9323059833</v>
      </c>
      <c r="D372" s="3">
        <f>IFERROR(__xludf.DUMMYFUNCTION("""COMPUTED_VALUE"""),32.0)</f>
        <v>32</v>
      </c>
      <c r="E372" s="1"/>
    </row>
    <row r="373">
      <c r="A373" s="1"/>
      <c r="B373" s="3" t="str">
        <f>IFERROR(__xludf.DUMMYFUNCTION("""COMPUTED_VALUE"""),"VISELLA ZAHARA NURJANNAH")</f>
        <v>VISELLA ZAHARA NURJANNAH</v>
      </c>
      <c r="C373" s="3" t="str">
        <f>IFERROR(__xludf.DUMMYFUNCTION("""COMPUTED_VALUE"""),"V0623057984")</f>
        <v>V0623057984</v>
      </c>
      <c r="D373" s="3">
        <f>IFERROR(__xludf.DUMMYFUNCTION("""COMPUTED_VALUE"""),20.0)</f>
        <v>20</v>
      </c>
      <c r="E373" s="1"/>
    </row>
    <row r="374">
      <c r="A374" s="1"/>
      <c r="B374" s="3" t="str">
        <f>IFERROR(__xludf.DUMMYFUNCTION("""COMPUTED_VALUE"""),"MUHAMAD REVI AFRIAN")</f>
        <v>MUHAMAD REVI AFRIAN</v>
      </c>
      <c r="C374" s="3" t="str">
        <f>IFERROR(__xludf.DUMMYFUNCTION("""COMPUTED_VALUE"""),"M9923057240")</f>
        <v>M9923057240</v>
      </c>
      <c r="D374" s="3">
        <f>IFERROR(__xludf.DUMMYFUNCTION("""COMPUTED_VALUE"""),27.0)</f>
        <v>27</v>
      </c>
      <c r="E374" s="1"/>
    </row>
    <row r="375">
      <c r="A375" s="1"/>
      <c r="B375" s="3" t="str">
        <f>IFERROR(__xludf.DUMMYFUNCTION("""COMPUTED_VALUE"""),"ANAK AGUNG RAHAYU SARASWATI")</f>
        <v>ANAK AGUNG RAHAYU SARASWATI</v>
      </c>
      <c r="C375" s="3" t="str">
        <f>IFERROR(__xludf.DUMMYFUNCTION("""COMPUTED_VALUE"""),"A7623051179")</f>
        <v>A7623051179</v>
      </c>
      <c r="D375" s="3">
        <f>IFERROR(__xludf.DUMMYFUNCTION("""COMPUTED_VALUE"""),49.0)</f>
        <v>49</v>
      </c>
      <c r="E375" s="1"/>
    </row>
    <row r="376">
      <c r="A376" s="1"/>
      <c r="B376" s="3" t="str">
        <f>IFERROR(__xludf.DUMMYFUNCTION("""COMPUTED_VALUE"""),"ADITYA HENDRA PRAMANA")</f>
        <v>ADITYA HENDRA PRAMANA</v>
      </c>
      <c r="C376" s="3" t="str">
        <f>IFERROR(__xludf.DUMMYFUNCTION("""COMPUTED_VALUE"""),"A9023053360")</f>
        <v>A9023053360</v>
      </c>
      <c r="D376" s="3">
        <f>IFERROR(__xludf.DUMMYFUNCTION("""COMPUTED_VALUE"""),35.0)</f>
        <v>35</v>
      </c>
      <c r="E376" s="1"/>
    </row>
    <row r="377">
      <c r="A377" s="1"/>
      <c r="B377" s="3" t="str">
        <f>IFERROR(__xludf.DUMMYFUNCTION("""COMPUTED_VALUE"""),"ERNIWATI")</f>
        <v>ERNIWATI</v>
      </c>
      <c r="C377" s="3" t="str">
        <f>IFERROR(__xludf.DUMMYFUNCTION("""COMPUTED_VALUE"""),"E8423058989")</f>
        <v>E8423058989</v>
      </c>
      <c r="D377" s="3">
        <f>IFERROR(__xludf.DUMMYFUNCTION("""COMPUTED_VALUE"""),41.0)</f>
        <v>41</v>
      </c>
      <c r="E377" s="1"/>
    </row>
    <row r="378">
      <c r="A378" s="1"/>
      <c r="B378" s="3" t="str">
        <f>IFERROR(__xludf.DUMMYFUNCTION("""COMPUTED_VALUE"""),"RYAN REYNALDI")</f>
        <v>RYAN REYNALDI</v>
      </c>
      <c r="C378" s="3" t="str">
        <f>IFERROR(__xludf.DUMMYFUNCTION("""COMPUTED_VALUE"""),"R9823059662")</f>
        <v>R9823059662</v>
      </c>
      <c r="D378" s="3">
        <f>IFERROR(__xludf.DUMMYFUNCTION("""COMPUTED_VALUE"""),28.0)</f>
        <v>28</v>
      </c>
      <c r="E378" s="1"/>
    </row>
    <row r="379">
      <c r="A379" s="1"/>
      <c r="B379" s="3" t="str">
        <f>IFERROR(__xludf.DUMMYFUNCTION("""COMPUTED_VALUE"""),"HERLINA AGUSTININGSIH, ST")</f>
        <v>HERLINA AGUSTININGSIH, ST</v>
      </c>
      <c r="C379" s="3" t="str">
        <f>IFERROR(__xludf.DUMMYFUNCTION("""COMPUTED_VALUE"""),"H8523051399")</f>
        <v>H8523051399</v>
      </c>
      <c r="D379" s="3">
        <f>IFERROR(__xludf.DUMMYFUNCTION("""COMPUTED_VALUE"""),40.0)</f>
        <v>40</v>
      </c>
      <c r="E379" s="1"/>
    </row>
    <row r="380">
      <c r="A380" s="1"/>
      <c r="B380" s="3" t="str">
        <f>IFERROR(__xludf.DUMMYFUNCTION("""COMPUTED_VALUE"""),"MUHAMMAD SUTAN ZE PONTIVA SYAMSUAR")</f>
        <v>MUHAMMAD SUTAN ZE PONTIVA SYAMSUAR</v>
      </c>
      <c r="C380" s="3" t="str">
        <f>IFERROR(__xludf.DUMMYFUNCTION("""COMPUTED_VALUE"""),"M0123053299")</f>
        <v>M0123053299</v>
      </c>
      <c r="D380" s="3">
        <f>IFERROR(__xludf.DUMMYFUNCTION("""COMPUTED_VALUE"""),25.0)</f>
        <v>25</v>
      </c>
      <c r="E380" s="1"/>
    </row>
    <row r="381">
      <c r="A381" s="1"/>
      <c r="B381" s="3" t="str">
        <f>IFERROR(__xludf.DUMMYFUNCTION("""COMPUTED_VALUE"""),"KARTIKAWATI")</f>
        <v>KARTIKAWATI</v>
      </c>
      <c r="C381" s="3" t="str">
        <f>IFERROR(__xludf.DUMMYFUNCTION("""COMPUTED_VALUE"""),"K6323053440")</f>
        <v>K6323053440</v>
      </c>
      <c r="D381" s="3">
        <f>IFERROR(__xludf.DUMMYFUNCTION("""COMPUTED_VALUE"""),63.0)</f>
        <v>63</v>
      </c>
      <c r="E381" s="1"/>
    </row>
    <row r="382">
      <c r="A382" s="1"/>
      <c r="B382" s="3" t="str">
        <f>IFERROR(__xludf.DUMMYFUNCTION("""COMPUTED_VALUE"""),"VERA FEBRIYANTI")</f>
        <v>VERA FEBRIYANTI</v>
      </c>
      <c r="C382" s="3" t="str">
        <f>IFERROR(__xludf.DUMMYFUNCTION("""COMPUTED_VALUE"""),"V8723053440")</f>
        <v>V8723053440</v>
      </c>
      <c r="D382" s="3">
        <f>IFERROR(__xludf.DUMMYFUNCTION("""COMPUTED_VALUE"""),39.0)</f>
        <v>39</v>
      </c>
      <c r="E382" s="1"/>
    </row>
    <row r="383">
      <c r="A383" s="1"/>
      <c r="B383" s="3" t="str">
        <f>IFERROR(__xludf.DUMMYFUNCTION("""COMPUTED_VALUE"""),"DIAN FARADILLAH")</f>
        <v>DIAN FARADILLAH</v>
      </c>
      <c r="C383" s="3" t="str">
        <f>IFERROR(__xludf.DUMMYFUNCTION("""COMPUTED_VALUE"""),"D8123056601")</f>
        <v>D8123056601</v>
      </c>
      <c r="D383" s="3">
        <f>IFERROR(__xludf.DUMMYFUNCTION("""COMPUTED_VALUE"""),45.0)</f>
        <v>45</v>
      </c>
      <c r="E383" s="1"/>
    </row>
    <row r="384">
      <c r="A384" s="1"/>
      <c r="B384" s="3" t="str">
        <f>IFERROR(__xludf.DUMMYFUNCTION("""COMPUTED_VALUE"""),"MASNING")</f>
        <v>MASNING</v>
      </c>
      <c r="C384" s="3" t="str">
        <f>IFERROR(__xludf.DUMMYFUNCTION("""COMPUTED_VALUE"""),"M7423051868")</f>
        <v>M7423051868</v>
      </c>
      <c r="D384" s="3">
        <f>IFERROR(__xludf.DUMMYFUNCTION("""COMPUTED_VALUE"""),51.0)</f>
        <v>51</v>
      </c>
      <c r="E384" s="1"/>
    </row>
    <row r="385">
      <c r="A385" s="1"/>
      <c r="B385" s="3" t="str">
        <f>IFERROR(__xludf.DUMMYFUNCTION("""COMPUTED_VALUE"""),"DEDDY FEBRIYADI")</f>
        <v>DEDDY FEBRIYADI</v>
      </c>
      <c r="C385" s="3" t="str">
        <f>IFERROR(__xludf.DUMMYFUNCTION("""COMPUTED_VALUE"""),"D8723050777")</f>
        <v>D8723050777</v>
      </c>
      <c r="D385" s="3">
        <f>IFERROR(__xludf.DUMMYFUNCTION("""COMPUTED_VALUE"""),39.0)</f>
        <v>39</v>
      </c>
      <c r="E385" s="1"/>
    </row>
    <row r="386">
      <c r="A386" s="1"/>
      <c r="B386" s="3" t="str">
        <f>IFERROR(__xludf.DUMMYFUNCTION("""COMPUTED_VALUE"""),"SELVIA ANANDA ANUGRAH")</f>
        <v>SELVIA ANANDA ANUGRAH</v>
      </c>
      <c r="C386" s="3" t="str">
        <f>IFERROR(__xludf.DUMMYFUNCTION("""COMPUTED_VALUE"""),"S0123054453")</f>
        <v>S0123054453</v>
      </c>
      <c r="D386" s="3">
        <f>IFERROR(__xludf.DUMMYFUNCTION("""COMPUTED_VALUE"""),24.0)</f>
        <v>24</v>
      </c>
      <c r="E386" s="1"/>
    </row>
    <row r="387">
      <c r="A387" s="1"/>
      <c r="B387" s="3" t="str">
        <f>IFERROR(__xludf.DUMMYFUNCTION("""COMPUTED_VALUE"""),"MARYADI")</f>
        <v>MARYADI</v>
      </c>
      <c r="C387" s="3" t="str">
        <f>IFERROR(__xludf.DUMMYFUNCTION("""COMPUTED_VALUE"""),"M7123059777")</f>
        <v>M7123059777</v>
      </c>
      <c r="D387" s="3">
        <f>IFERROR(__xludf.DUMMYFUNCTION("""COMPUTED_VALUE"""),55.0)</f>
        <v>55</v>
      </c>
      <c r="E387" s="1"/>
    </row>
    <row r="388">
      <c r="A388" s="1"/>
      <c r="B388" s="3" t="str">
        <f>IFERROR(__xludf.DUMMYFUNCTION("""COMPUTED_VALUE"""),"JULITA")</f>
        <v>JULITA</v>
      </c>
      <c r="C388" s="3" t="str">
        <f>IFERROR(__xludf.DUMMYFUNCTION("""COMPUTED_VALUE"""),"J7923057700")</f>
        <v>J7923057700</v>
      </c>
      <c r="D388" s="3">
        <f>IFERROR(__xludf.DUMMYFUNCTION("""COMPUTED_VALUE"""),46.0)</f>
        <v>46</v>
      </c>
      <c r="E388" s="1"/>
    </row>
    <row r="389">
      <c r="A389" s="1"/>
      <c r="B389" s="3" t="str">
        <f>IFERROR(__xludf.DUMMYFUNCTION("""COMPUTED_VALUE"""),"ZAINUDDIN ARRASYID")</f>
        <v>ZAINUDDIN ARRASYID</v>
      </c>
      <c r="C389" s="3" t="str">
        <f>IFERROR(__xludf.DUMMYFUNCTION("""COMPUTED_VALUE"""),"Z0323052845")</f>
        <v>Z0323052845</v>
      </c>
      <c r="D389" s="3">
        <f>IFERROR(__xludf.DUMMYFUNCTION("""COMPUTED_VALUE"""),23.0)</f>
        <v>23</v>
      </c>
      <c r="E389" s="1"/>
    </row>
    <row r="390">
      <c r="A390" s="1"/>
      <c r="B390" s="3" t="str">
        <f>IFERROR(__xludf.DUMMYFUNCTION("""COMPUTED_VALUE"""),"DIKI FIRMANSYAH")</f>
        <v>DIKI FIRMANSYAH</v>
      </c>
      <c r="C390" s="3" t="str">
        <f>IFERROR(__xludf.DUMMYFUNCTION("""COMPUTED_VALUE"""),"D0223058533")</f>
        <v>D0223058533</v>
      </c>
      <c r="D390" s="3">
        <f>IFERROR(__xludf.DUMMYFUNCTION("""COMPUTED_VALUE"""),24.0)</f>
        <v>24</v>
      </c>
      <c r="E390" s="1"/>
    </row>
    <row r="391">
      <c r="A391" s="1"/>
      <c r="B391" s="3" t="str">
        <f>IFERROR(__xludf.DUMMYFUNCTION("""COMPUTED_VALUE"""),"STEFEN")</f>
        <v>STEFEN</v>
      </c>
      <c r="C391" s="3" t="str">
        <f>IFERROR(__xludf.DUMMYFUNCTION("""COMPUTED_VALUE"""),"S0023059651")</f>
        <v>S0023059651</v>
      </c>
      <c r="D391" s="3">
        <f>IFERROR(__xludf.DUMMYFUNCTION("""COMPUTED_VALUE"""),25.0)</f>
        <v>25</v>
      </c>
      <c r="E391" s="1"/>
    </row>
    <row r="392">
      <c r="A392" s="1"/>
      <c r="B392" s="3" t="str">
        <f>IFERROR(__xludf.DUMMYFUNCTION("""COMPUTED_VALUE"""),"HERTY NURSIANA")</f>
        <v>HERTY NURSIANA</v>
      </c>
      <c r="C392" s="3" t="str">
        <f>IFERROR(__xludf.DUMMYFUNCTION("""COMPUTED_VALUE"""),"H7123054822")</f>
        <v>H7123054822</v>
      </c>
      <c r="D392" s="3">
        <f>IFERROR(__xludf.DUMMYFUNCTION("""COMPUTED_VALUE"""),54.0)</f>
        <v>54</v>
      </c>
      <c r="E392" s="1"/>
    </row>
    <row r="393">
      <c r="A393" s="1"/>
      <c r="B393" s="3" t="str">
        <f>IFERROR(__xludf.DUMMYFUNCTION("""COMPUTED_VALUE"""),"MUJIONO")</f>
        <v>MUJIONO</v>
      </c>
      <c r="C393" s="3" t="str">
        <f>IFERROR(__xludf.DUMMYFUNCTION("""COMPUTED_VALUE"""),"M6623059922")</f>
        <v>M6623059922</v>
      </c>
      <c r="D393" s="3">
        <f>IFERROR(__xludf.DUMMYFUNCTION("""COMPUTED_VALUE"""),60.0)</f>
        <v>60</v>
      </c>
      <c r="E393" s="1"/>
    </row>
    <row r="394">
      <c r="A394" s="1"/>
      <c r="B394" s="3" t="str">
        <f>IFERROR(__xludf.DUMMYFUNCTION("""COMPUTED_VALUE"""),"M.RIDWANSYAH")</f>
        <v>M.RIDWANSYAH</v>
      </c>
      <c r="C394" s="3" t="str">
        <f>IFERROR(__xludf.DUMMYFUNCTION("""COMPUTED_VALUE"""),"M9423059656")</f>
        <v>M9423059656</v>
      </c>
      <c r="D394" s="3">
        <f>IFERROR(__xludf.DUMMYFUNCTION("""COMPUTED_VALUE"""),32.0)</f>
        <v>32</v>
      </c>
      <c r="E394" s="1"/>
    </row>
    <row r="395">
      <c r="A395" s="1"/>
      <c r="B395" s="3" t="str">
        <f>IFERROR(__xludf.DUMMYFUNCTION("""COMPUTED_VALUE"""),"ABBIYU KAFIE AL AZZAM")</f>
        <v>ABBIYU KAFIE AL AZZAM</v>
      </c>
      <c r="C395" s="3" t="str">
        <f>IFERROR(__xludf.DUMMYFUNCTION("""COMPUTED_VALUE"""),"A1423056701")</f>
        <v>A1423056701</v>
      </c>
      <c r="D395" s="3">
        <f>IFERROR(__xludf.DUMMYFUNCTION("""COMPUTED_VALUE"""),11.0)</f>
        <v>11</v>
      </c>
      <c r="E395" s="1"/>
    </row>
    <row r="396">
      <c r="A396" s="1"/>
      <c r="B396" s="3" t="str">
        <f>IFERROR(__xludf.DUMMYFUNCTION("""COMPUTED_VALUE"""),"FERRY SAPTAWAN")</f>
        <v>FERRY SAPTAWAN</v>
      </c>
      <c r="C396" s="3" t="str">
        <f>IFERROR(__xludf.DUMMYFUNCTION("""COMPUTED_VALUE"""),"F9923050199")</f>
        <v>F9923050199</v>
      </c>
      <c r="D396" s="3">
        <f>IFERROR(__xludf.DUMMYFUNCTION("""COMPUTED_VALUE"""),26.0)</f>
        <v>26</v>
      </c>
      <c r="E396" s="1"/>
    </row>
    <row r="397">
      <c r="A397" s="1"/>
      <c r="B397" s="3" t="str">
        <f>IFERROR(__xludf.DUMMYFUNCTION("""COMPUTED_VALUE"""),"DRG. WEYA HARSIWI KUTIBA")</f>
        <v>DRG. WEYA HARSIWI KUTIBA</v>
      </c>
      <c r="C397" s="3" t="str">
        <f>IFERROR(__xludf.DUMMYFUNCTION("""COMPUTED_VALUE"""),"D9723056299")</f>
        <v>D9723056299</v>
      </c>
      <c r="D397" s="3">
        <f>IFERROR(__xludf.DUMMYFUNCTION("""COMPUTED_VALUE"""),29.0)</f>
        <v>29</v>
      </c>
      <c r="E397" s="1"/>
    </row>
    <row r="398">
      <c r="A398" s="1"/>
      <c r="B398" s="3" t="str">
        <f>IFERROR(__xludf.DUMMYFUNCTION("""COMPUTED_VALUE"""),"DANIEL JUNIARDY SUTANTO")</f>
        <v>DANIEL JUNIARDY SUTANTO</v>
      </c>
      <c r="C398" s="3" t="str">
        <f>IFERROR(__xludf.DUMMYFUNCTION("""COMPUTED_VALUE"""),"D9323052240")</f>
        <v>D9323052240</v>
      </c>
      <c r="D398" s="3">
        <f>IFERROR(__xludf.DUMMYFUNCTION("""COMPUTED_VALUE"""),33.0)</f>
        <v>33</v>
      </c>
      <c r="E398" s="1"/>
    </row>
    <row r="399">
      <c r="A399" s="1"/>
      <c r="B399" s="3" t="str">
        <f>IFERROR(__xludf.DUMMYFUNCTION("""COMPUTED_VALUE"""),"SUDIRMO")</f>
        <v>SUDIRMO</v>
      </c>
      <c r="C399" s="3" t="str">
        <f>IFERROR(__xludf.DUMMYFUNCTION("""COMPUTED_VALUE"""),"S8523058504")</f>
        <v>S8523058504</v>
      </c>
      <c r="D399" s="3">
        <f>IFERROR(__xludf.DUMMYFUNCTION("""COMPUTED_VALUE"""),41.0)</f>
        <v>41</v>
      </c>
      <c r="E399" s="1"/>
    </row>
    <row r="400">
      <c r="A400" s="1"/>
      <c r="B400" s="3" t="str">
        <f>IFERROR(__xludf.DUMMYFUNCTION("""COMPUTED_VALUE"""),"AFRYANDI CHRISTIANTO NG")</f>
        <v>AFRYANDI CHRISTIANTO NG</v>
      </c>
      <c r="C400" s="3" t="str">
        <f>IFERROR(__xludf.DUMMYFUNCTION("""COMPUTED_VALUE"""),"A9223058978")</f>
        <v>A9223058978</v>
      </c>
      <c r="D400" s="3">
        <f>IFERROR(__xludf.DUMMYFUNCTION("""COMPUTED_VALUE"""),34.0)</f>
        <v>34</v>
      </c>
      <c r="E400" s="1"/>
    </row>
    <row r="401">
      <c r="A401" s="1"/>
      <c r="B401" s="3" t="str">
        <f>IFERROR(__xludf.DUMMYFUNCTION("""COMPUTED_VALUE"""),"JENNI ABHIDYA")</f>
        <v>JENNI ABHIDYA</v>
      </c>
      <c r="C401" s="3" t="str">
        <f>IFERROR(__xludf.DUMMYFUNCTION("""COMPUTED_VALUE"""),"J8423053616")</f>
        <v>J8423053616</v>
      </c>
      <c r="D401" s="3">
        <f>IFERROR(__xludf.DUMMYFUNCTION("""COMPUTED_VALUE"""),42.0)</f>
        <v>42</v>
      </c>
      <c r="E401" s="1"/>
    </row>
    <row r="402">
      <c r="A402" s="1"/>
      <c r="B402" s="3" t="str">
        <f>IFERROR(__xludf.DUMMYFUNCTION("""COMPUTED_VALUE"""),"SIGIT MUNDIARTO")</f>
        <v>SIGIT MUNDIARTO</v>
      </c>
      <c r="C402" s="3" t="str">
        <f>IFERROR(__xludf.DUMMYFUNCTION("""COMPUTED_VALUE"""),"S7323058545")</f>
        <v>S7323058545</v>
      </c>
      <c r="D402" s="3">
        <f>IFERROR(__xludf.DUMMYFUNCTION("""COMPUTED_VALUE"""),52.0)</f>
        <v>52</v>
      </c>
      <c r="E402" s="1"/>
    </row>
    <row r="403">
      <c r="A403" s="1"/>
      <c r="B403" s="3" t="str">
        <f>IFERROR(__xludf.DUMMYFUNCTION("""COMPUTED_VALUE"""),"NELLSON JONATHAN")</f>
        <v>NELLSON JONATHAN</v>
      </c>
      <c r="C403" s="3" t="str">
        <f>IFERROR(__xludf.DUMMYFUNCTION("""COMPUTED_VALUE"""),"N0223053840")</f>
        <v>N0223053840</v>
      </c>
      <c r="D403" s="3">
        <f>IFERROR(__xludf.DUMMYFUNCTION("""COMPUTED_VALUE"""),24.0)</f>
        <v>24</v>
      </c>
      <c r="E403" s="1"/>
    </row>
    <row r="404">
      <c r="A404" s="1"/>
      <c r="B404" s="3" t="str">
        <f>IFERROR(__xludf.DUMMYFUNCTION("""COMPUTED_VALUE"""),"TOMTOWI ADNAN")</f>
        <v>TOMTOWI ADNAN</v>
      </c>
      <c r="C404" s="3" t="str">
        <f>IFERROR(__xludf.DUMMYFUNCTION("""COMPUTED_VALUE"""),"T9323053863")</f>
        <v>T9323053863</v>
      </c>
      <c r="D404" s="3">
        <f>IFERROR(__xludf.DUMMYFUNCTION("""COMPUTED_VALUE"""),33.0)</f>
        <v>33</v>
      </c>
      <c r="E404" s="1"/>
    </row>
    <row r="405">
      <c r="A405" s="1"/>
      <c r="B405" s="3" t="str">
        <f>IFERROR(__xludf.DUMMYFUNCTION("""COMPUTED_VALUE"""),"SAIFUL BAHRI")</f>
        <v>SAIFUL BAHRI</v>
      </c>
      <c r="C405" s="3" t="str">
        <f>IFERROR(__xludf.DUMMYFUNCTION("""COMPUTED_VALUE"""),"S9123052011")</f>
        <v>S9123052011</v>
      </c>
      <c r="D405" s="3">
        <f>IFERROR(__xludf.DUMMYFUNCTION("""COMPUTED_VALUE"""),35.0)</f>
        <v>35</v>
      </c>
      <c r="E405" s="1"/>
    </row>
    <row r="406">
      <c r="A406" s="1"/>
      <c r="B406" s="3" t="str">
        <f>IFERROR(__xludf.DUMMYFUNCTION("""COMPUTED_VALUE"""),"ALI 5009")</f>
        <v>ALI 5009</v>
      </c>
      <c r="C406" s="3" t="str">
        <f>IFERROR(__xludf.DUMMYFUNCTION("""COMPUTED_VALUE"""),"A5023055901")</f>
        <v>A5023055901</v>
      </c>
      <c r="D406" s="3">
        <f>IFERROR(__xludf.DUMMYFUNCTION("""COMPUTED_VALUE"""),75.0)</f>
        <v>75</v>
      </c>
      <c r="E406" s="1"/>
    </row>
    <row r="407">
      <c r="A407" s="1"/>
      <c r="B407" s="3" t="str">
        <f>IFERROR(__xludf.DUMMYFUNCTION("""COMPUTED_VALUE"""),"LUSILA TRI LESTARI")</f>
        <v>LUSILA TRI LESTARI</v>
      </c>
      <c r="C407" s="3" t="str">
        <f>IFERROR(__xludf.DUMMYFUNCTION("""COMPUTED_VALUE"""),"L7023067298")</f>
        <v>L7023067298</v>
      </c>
      <c r="D407" s="3">
        <f>IFERROR(__xludf.DUMMYFUNCTION("""COMPUTED_VALUE"""),55.0)</f>
        <v>55</v>
      </c>
      <c r="E407" s="1"/>
    </row>
    <row r="408">
      <c r="A408" s="1"/>
      <c r="B408" s="3" t="str">
        <f>IFERROR(__xludf.DUMMYFUNCTION("""COMPUTED_VALUE"""),"MAHASENA NUSANTARA")</f>
        <v>MAHASENA NUSANTARA</v>
      </c>
      <c r="C408" s="3" t="str">
        <f>IFERROR(__xludf.DUMMYFUNCTION("""COMPUTED_VALUE"""),"M1023062227")</f>
        <v>M1023062227</v>
      </c>
      <c r="D408" s="3">
        <f>IFERROR(__xludf.DUMMYFUNCTION("""COMPUTED_VALUE"""),15.0)</f>
        <v>15</v>
      </c>
      <c r="E408" s="1"/>
    </row>
    <row r="409">
      <c r="A409" s="1"/>
      <c r="B409" s="3" t="str">
        <f>IFERROR(__xludf.DUMMYFUNCTION("""COMPUTED_VALUE"""),"ALBERT NICODEMUS SINUKABAN")</f>
        <v>ALBERT NICODEMUS SINUKABAN</v>
      </c>
      <c r="C409" s="3" t="str">
        <f>IFERROR(__xludf.DUMMYFUNCTION("""COMPUTED_VALUE"""),"A0223069001")</f>
        <v>A0223069001</v>
      </c>
      <c r="D409" s="3">
        <f>IFERROR(__xludf.DUMMYFUNCTION("""COMPUTED_VALUE"""),24.0)</f>
        <v>24</v>
      </c>
      <c r="E409" s="1"/>
    </row>
    <row r="410">
      <c r="A410" s="1"/>
      <c r="B410" s="3" t="str">
        <f>IFERROR(__xludf.DUMMYFUNCTION("""COMPUTED_VALUE"""),"ERNAWATI")</f>
        <v>ERNAWATI</v>
      </c>
      <c r="C410" s="3" t="str">
        <f>IFERROR(__xludf.DUMMYFUNCTION("""COMPUTED_VALUE"""),"E6223064552")</f>
        <v>E6223064552</v>
      </c>
      <c r="D410" s="3">
        <f>IFERROR(__xludf.DUMMYFUNCTION("""COMPUTED_VALUE"""),63.0)</f>
        <v>63</v>
      </c>
      <c r="E410" s="1"/>
    </row>
    <row r="411">
      <c r="A411" s="1"/>
      <c r="B411" s="3" t="str">
        <f>IFERROR(__xludf.DUMMYFUNCTION("""COMPUTED_VALUE"""),"SULHA")</f>
        <v>SULHA</v>
      </c>
      <c r="C411" s="3" t="str">
        <f>IFERROR(__xludf.DUMMYFUNCTION("""COMPUTED_VALUE"""),"S6223061369")</f>
        <v>S6223061369</v>
      </c>
      <c r="D411" s="3">
        <f>IFERROR(__xludf.DUMMYFUNCTION("""COMPUTED_VALUE"""),63.0)</f>
        <v>63</v>
      </c>
      <c r="E411" s="1"/>
    </row>
    <row r="412">
      <c r="A412" s="1"/>
      <c r="B412" s="3" t="str">
        <f>IFERROR(__xludf.DUMMYFUNCTION("""COMPUTED_VALUE"""),"ERNA6605")</f>
        <v>ERNA6605</v>
      </c>
      <c r="C412" s="3" t="str">
        <f>IFERROR(__xludf.DUMMYFUNCTION("""COMPUTED_VALUE"""),"E6623066150")</f>
        <v>E6623066150</v>
      </c>
      <c r="D412" s="3">
        <f>IFERROR(__xludf.DUMMYFUNCTION("""COMPUTED_VALUE"""),60.0)</f>
        <v>60</v>
      </c>
      <c r="E412" s="1"/>
    </row>
    <row r="413">
      <c r="A413" s="1"/>
      <c r="B413" s="3" t="str">
        <f>IFERROR(__xludf.DUMMYFUNCTION("""COMPUTED_VALUE"""),"ERNA8804")</f>
        <v>ERNA8804</v>
      </c>
      <c r="C413" s="3" t="str">
        <f>IFERROR(__xludf.DUMMYFUNCTION("""COMPUTED_VALUE"""),"E8823061262")</f>
        <v>E8823061262</v>
      </c>
      <c r="D413" s="3">
        <f>IFERROR(__xludf.DUMMYFUNCTION("""COMPUTED_VALUE"""),38.0)</f>
        <v>38</v>
      </c>
      <c r="E413" s="1"/>
    </row>
    <row r="414">
      <c r="A414" s="1"/>
      <c r="B414" s="3" t="str">
        <f>IFERROR(__xludf.DUMMYFUNCTION("""COMPUTED_VALUE"""),"RITA EVIANTI")</f>
        <v>RITA EVIANTI</v>
      </c>
      <c r="C414" s="3" t="str">
        <f>IFERROR(__xludf.DUMMYFUNCTION("""COMPUTED_VALUE"""),"R6823060715")</f>
        <v>R6823060715</v>
      </c>
      <c r="D414" s="3">
        <f>IFERROR(__xludf.DUMMYFUNCTION("""COMPUTED_VALUE"""),57.0)</f>
        <v>57</v>
      </c>
      <c r="E414" s="1"/>
    </row>
    <row r="415">
      <c r="A415" s="1"/>
      <c r="B415" s="3" t="str">
        <f>IFERROR(__xludf.DUMMYFUNCTION("""COMPUTED_VALUE"""),"ALPUTRALAW")</f>
        <v>ALPUTRALAW</v>
      </c>
      <c r="C415" s="3" t="str">
        <f>IFERROR(__xludf.DUMMYFUNCTION("""COMPUTED_VALUE"""),"A9323069998")</f>
        <v>A9323069998</v>
      </c>
      <c r="D415" s="3">
        <f>IFERROR(__xludf.DUMMYFUNCTION("""COMPUTED_VALUE"""),33.0)</f>
        <v>33</v>
      </c>
      <c r="E415" s="1"/>
    </row>
    <row r="416">
      <c r="A416" s="1"/>
      <c r="B416" s="3" t="str">
        <f>IFERROR(__xludf.DUMMYFUNCTION("""COMPUTED_VALUE"""),"UTI MUHAMMAD RIFQI HAFIZH")</f>
        <v>UTI MUHAMMAD RIFQI HAFIZH</v>
      </c>
      <c r="C416" s="3" t="str">
        <f>IFERROR(__xludf.DUMMYFUNCTION("""COMPUTED_VALUE"""),"U0423067597")</f>
        <v>U0423067597</v>
      </c>
      <c r="D416" s="3">
        <f>IFERROR(__xludf.DUMMYFUNCTION("""COMPUTED_VALUE"""),21.0)</f>
        <v>21</v>
      </c>
      <c r="E416" s="1"/>
    </row>
    <row r="417">
      <c r="A417" s="1"/>
      <c r="B417" s="3" t="str">
        <f>IFERROR(__xludf.DUMMYFUNCTION("""COMPUTED_VALUE"""),"ADITIYANO FIRMANSYAH")</f>
        <v>ADITIYANO FIRMANSYAH</v>
      </c>
      <c r="C417" s="3" t="str">
        <f>IFERROR(__xludf.DUMMYFUNCTION("""COMPUTED_VALUE"""),"A0423066158")</f>
        <v>A0423066158</v>
      </c>
      <c r="D417" s="3">
        <f>IFERROR(__xludf.DUMMYFUNCTION("""COMPUTED_VALUE"""),21.0)</f>
        <v>21</v>
      </c>
      <c r="E417" s="1"/>
    </row>
    <row r="418">
      <c r="A418" s="1"/>
      <c r="B418" s="3" t="str">
        <f>IFERROR(__xludf.DUMMYFUNCTION("""COMPUTED_VALUE"""),"BENEDIKTUS DAVI NAWILIS")</f>
        <v>BENEDIKTUS DAVI NAWILIS</v>
      </c>
      <c r="C418" s="3" t="str">
        <f>IFERROR(__xludf.DUMMYFUNCTION("""COMPUTED_VALUE"""),"B0523064333")</f>
        <v>B0523064333</v>
      </c>
      <c r="D418" s="3">
        <f>IFERROR(__xludf.DUMMYFUNCTION("""COMPUTED_VALUE"""),20.0)</f>
        <v>20</v>
      </c>
      <c r="E418" s="1"/>
    </row>
    <row r="419">
      <c r="A419" s="1"/>
      <c r="B419" s="3" t="str">
        <f>IFERROR(__xludf.DUMMYFUNCTION("""COMPUTED_VALUE"""),"RICKI KURNIAWAN")</f>
        <v>RICKI KURNIAWAN</v>
      </c>
      <c r="C419" s="3" t="str">
        <f>IFERROR(__xludf.DUMMYFUNCTION("""COMPUTED_VALUE"""),"R9223060601")</f>
        <v>R9223060601</v>
      </c>
      <c r="D419" s="3">
        <f>IFERROR(__xludf.DUMMYFUNCTION("""COMPUTED_VALUE"""),34.0)</f>
        <v>34</v>
      </c>
      <c r="E419" s="1"/>
    </row>
    <row r="420">
      <c r="A420" s="1"/>
      <c r="B420" s="3" t="str">
        <f>IFERROR(__xludf.DUMMYFUNCTION("""COMPUTED_VALUE"""),"U.TITIEN FADIAH")</f>
        <v>U.TITIEN FADIAH</v>
      </c>
      <c r="C420" s="3" t="str">
        <f>IFERROR(__xludf.DUMMYFUNCTION("""COMPUTED_VALUE"""),"U5323066024")</f>
        <v>U5323066024</v>
      </c>
      <c r="D420" s="3">
        <f>IFERROR(__xludf.DUMMYFUNCTION("""COMPUTED_VALUE"""),73.0)</f>
        <v>73</v>
      </c>
      <c r="E420" s="1"/>
    </row>
    <row r="421">
      <c r="A421" s="1"/>
      <c r="B421" s="3" t="str">
        <f>IFERROR(__xludf.DUMMYFUNCTION("""COMPUTED_VALUE"""),"ELIDA SEPTRIANI SIMANGUNSONG")</f>
        <v>ELIDA SEPTRIANI SIMANGUNSONG</v>
      </c>
      <c r="C421" s="3" t="str">
        <f>IFERROR(__xludf.DUMMYFUNCTION("""COMPUTED_VALUE"""),"E8923062696")</f>
        <v>E8923062696</v>
      </c>
      <c r="D421" s="3">
        <f>IFERROR(__xludf.DUMMYFUNCTION("""COMPUTED_VALUE"""),36.0)</f>
        <v>36</v>
      </c>
      <c r="E421" s="1"/>
    </row>
    <row r="422">
      <c r="A422" s="1"/>
      <c r="B422" s="3" t="str">
        <f>IFERROR(__xludf.DUMMYFUNCTION("""COMPUTED_VALUE"""),"IIS ARISBAYA")</f>
        <v>IIS ARISBAYA</v>
      </c>
      <c r="C422" s="3" t="str">
        <f>IFERROR(__xludf.DUMMYFUNCTION("""COMPUTED_VALUE"""),"I7023065388")</f>
        <v>I7023065388</v>
      </c>
      <c r="D422" s="3">
        <f>IFERROR(__xludf.DUMMYFUNCTION("""COMPUTED_VALUE"""),55.0)</f>
        <v>55</v>
      </c>
      <c r="E422" s="1"/>
    </row>
    <row r="423">
      <c r="A423" s="1"/>
      <c r="B423" s="3" t="str">
        <f>IFERROR(__xludf.DUMMYFUNCTION("""COMPUTED_VALUE"""),"NOPILIUS SALIM")</f>
        <v>NOPILIUS SALIM</v>
      </c>
      <c r="C423" s="3" t="str">
        <f>IFERROR(__xludf.DUMMYFUNCTION("""COMPUTED_VALUE"""),"N9323064777")</f>
        <v>N9323064777</v>
      </c>
      <c r="D423" s="3">
        <f>IFERROR(__xludf.DUMMYFUNCTION("""COMPUTED_VALUE"""),32.0)</f>
        <v>32</v>
      </c>
      <c r="E423" s="1"/>
    </row>
    <row r="424">
      <c r="A424" s="1"/>
      <c r="B424" s="3" t="str">
        <f>IFERROR(__xludf.DUMMYFUNCTION("""COMPUTED_VALUE"""),"I MADE TEJA SUTRESNA")</f>
        <v>I MADE TEJA SUTRESNA</v>
      </c>
      <c r="C424" s="3" t="str">
        <f>IFERROR(__xludf.DUMMYFUNCTION("""COMPUTED_VALUE"""),"I8923069521")</f>
        <v>I8923069521</v>
      </c>
      <c r="D424" s="3">
        <f>IFERROR(__xludf.DUMMYFUNCTION("""COMPUTED_VALUE"""),37.0)</f>
        <v>37</v>
      </c>
      <c r="E424" s="1"/>
    </row>
    <row r="425">
      <c r="A425" s="1"/>
      <c r="B425" s="3" t="str">
        <f>IFERROR(__xludf.DUMMYFUNCTION("""COMPUTED_VALUE"""),"LO HWA KUI")</f>
        <v>LO HWA KUI</v>
      </c>
      <c r="C425" s="3" t="str">
        <f>IFERROR(__xludf.DUMMYFUNCTION("""COMPUTED_VALUE"""),"L7923065510")</f>
        <v>L7923065510</v>
      </c>
      <c r="D425" s="3">
        <f>IFERROR(__xludf.DUMMYFUNCTION("""COMPUTED_VALUE"""),46.0)</f>
        <v>46</v>
      </c>
      <c r="E425" s="1"/>
    </row>
    <row r="426">
      <c r="A426" s="1"/>
      <c r="B426" s="3" t="str">
        <f>IFERROR(__xludf.DUMMYFUNCTION("""COMPUTED_VALUE"""),"NASRANI")</f>
        <v>NASRANI</v>
      </c>
      <c r="C426" s="3" t="str">
        <f>IFERROR(__xludf.DUMMYFUNCTION("""COMPUTED_VALUE"""),"N8723062132")</f>
        <v>N8723062132</v>
      </c>
      <c r="D426" s="3">
        <f>IFERROR(__xludf.DUMMYFUNCTION("""COMPUTED_VALUE"""),38.0)</f>
        <v>38</v>
      </c>
      <c r="E426" s="1"/>
    </row>
    <row r="427">
      <c r="A427" s="1"/>
      <c r="B427" s="3" t="str">
        <f>IFERROR(__xludf.DUMMYFUNCTION("""COMPUTED_VALUE"""),"FATIMAH M YUSUF")</f>
        <v>FATIMAH M YUSUF</v>
      </c>
      <c r="C427" s="3" t="str">
        <f>IFERROR(__xludf.DUMMYFUNCTION("""COMPUTED_VALUE"""),"F5023065308")</f>
        <v>F5023065308</v>
      </c>
      <c r="D427" s="3">
        <f>IFERROR(__xludf.DUMMYFUNCTION("""COMPUTED_VALUE"""),76.0)</f>
        <v>76</v>
      </c>
      <c r="E427" s="1"/>
    </row>
    <row r="428">
      <c r="A428" s="1"/>
      <c r="B428" s="3" t="str">
        <f>IFERROR(__xludf.DUMMYFUNCTION("""COMPUTED_VALUE"""),"WELLY KENT SEN")</f>
        <v>WELLY KENT SEN</v>
      </c>
      <c r="C428" s="3" t="str">
        <f>IFERROR(__xludf.DUMMYFUNCTION("""COMPUTED_VALUE"""),"W9423067338")</f>
        <v>W9423067338</v>
      </c>
      <c r="D428" s="3">
        <f>IFERROR(__xludf.DUMMYFUNCTION("""COMPUTED_VALUE"""),31.0)</f>
        <v>31</v>
      </c>
      <c r="E428" s="1"/>
    </row>
    <row r="429">
      <c r="A429" s="1"/>
      <c r="B429" s="3" t="str">
        <f>IFERROR(__xludf.DUMMYFUNCTION("""COMPUTED_VALUE"""),"LIN FON DJUNG")</f>
        <v>LIN FON DJUNG</v>
      </c>
      <c r="C429" s="3" t="str">
        <f>IFERROR(__xludf.DUMMYFUNCTION("""COMPUTED_VALUE"""),"L5823062329")</f>
        <v>L5823062329</v>
      </c>
      <c r="D429" s="3">
        <f>IFERROR(__xludf.DUMMYFUNCTION("""COMPUTED_VALUE"""),67.0)</f>
        <v>67</v>
      </c>
      <c r="E429" s="1"/>
    </row>
    <row r="430">
      <c r="A430" s="1"/>
      <c r="B430" s="3" t="str">
        <f>IFERROR(__xludf.DUMMYFUNCTION("""COMPUTED_VALUE"""),"ALFIN SIMANTIAR")</f>
        <v>ALFIN SIMANTIAR</v>
      </c>
      <c r="C430" s="3" t="str">
        <f>IFERROR(__xludf.DUMMYFUNCTION("""COMPUTED_VALUE"""),"A9323067821")</f>
        <v>A9323067821</v>
      </c>
      <c r="D430" s="3">
        <f>IFERROR(__xludf.DUMMYFUNCTION("""COMPUTED_VALUE"""),32.0)</f>
        <v>32</v>
      </c>
      <c r="E430" s="1"/>
    </row>
    <row r="431">
      <c r="A431" s="1"/>
      <c r="B431" s="3" t="str">
        <f>IFERROR(__xludf.DUMMYFUNCTION("""COMPUTED_VALUE"""),"MUHAMMAD AGUNG ZULFI")</f>
        <v>MUHAMMAD AGUNG ZULFI</v>
      </c>
      <c r="C431" s="3" t="str">
        <f>IFERROR(__xludf.DUMMYFUNCTION("""COMPUTED_VALUE"""),"M9023060146")</f>
        <v>M9023060146</v>
      </c>
      <c r="D431" s="3">
        <f>IFERROR(__xludf.DUMMYFUNCTION("""COMPUTED_VALUE"""),36.0)</f>
        <v>36</v>
      </c>
      <c r="E431" s="1"/>
    </row>
    <row r="432">
      <c r="A432" s="1"/>
      <c r="B432" s="3" t="str">
        <f>IFERROR(__xludf.DUMMYFUNCTION("""COMPUTED_VALUE"""),"DIAH SANTI")</f>
        <v>DIAH SANTI</v>
      </c>
      <c r="C432" s="3" t="str">
        <f>IFERROR(__xludf.DUMMYFUNCTION("""COMPUTED_VALUE"""),"D6323060292")</f>
        <v>D6323060292</v>
      </c>
      <c r="D432" s="3">
        <f>IFERROR(__xludf.DUMMYFUNCTION("""COMPUTED_VALUE"""),63.0)</f>
        <v>63</v>
      </c>
      <c r="E432" s="1"/>
    </row>
    <row r="433">
      <c r="A433" s="1"/>
      <c r="B433" s="3" t="str">
        <f>IFERROR(__xludf.DUMMYFUNCTION("""COMPUTED_VALUE"""),"RYALDI")</f>
        <v>RYALDI</v>
      </c>
      <c r="C433" s="3" t="str">
        <f>IFERROR(__xludf.DUMMYFUNCTION("""COMPUTED_VALUE"""),"R9623068078")</f>
        <v>R9623068078</v>
      </c>
      <c r="D433" s="3">
        <f>IFERROR(__xludf.DUMMYFUNCTION("""COMPUTED_VALUE"""),29.0)</f>
        <v>29</v>
      </c>
      <c r="E433" s="1"/>
    </row>
    <row r="434">
      <c r="A434" s="1"/>
      <c r="B434" s="3" t="str">
        <f>IFERROR(__xludf.DUMMYFUNCTION("""COMPUTED_VALUE"""),"RIZKA MAYA SALSABILA")</f>
        <v>RIZKA MAYA SALSABILA</v>
      </c>
      <c r="C434" s="3" t="str">
        <f>IFERROR(__xludf.DUMMYFUNCTION("""COMPUTED_VALUE"""),"R0023064561")</f>
        <v>R0023064561</v>
      </c>
      <c r="D434" s="3">
        <f>IFERROR(__xludf.DUMMYFUNCTION("""COMPUTED_VALUE"""),26.0)</f>
        <v>26</v>
      </c>
      <c r="E434" s="1"/>
    </row>
    <row r="435">
      <c r="A435" s="1"/>
      <c r="B435" s="3" t="str">
        <f>IFERROR(__xludf.DUMMYFUNCTION("""COMPUTED_VALUE"""),"ENCEP AHMAD BAHTIAR")</f>
        <v>ENCEP AHMAD BAHTIAR</v>
      </c>
      <c r="C435" s="3" t="str">
        <f>IFERROR(__xludf.DUMMYFUNCTION("""COMPUTED_VALUE"""),"E7823069993")</f>
        <v>E7823069993</v>
      </c>
      <c r="D435" s="3">
        <f>IFERROR(__xludf.DUMMYFUNCTION("""COMPUTED_VALUE"""),47.0)</f>
        <v>47</v>
      </c>
      <c r="E435" s="1"/>
    </row>
    <row r="436">
      <c r="A436" s="1"/>
      <c r="B436" s="3" t="str">
        <f>IFERROR(__xludf.DUMMYFUNCTION("""COMPUTED_VALUE"""),"FREDY TRISNANDI")</f>
        <v>FREDY TRISNANDI</v>
      </c>
      <c r="C436" s="3" t="str">
        <f>IFERROR(__xludf.DUMMYFUNCTION("""COMPUTED_VALUE"""),"F8823066948")</f>
        <v>F8823066948</v>
      </c>
      <c r="D436" s="3">
        <f>IFERROR(__xludf.DUMMYFUNCTION("""COMPUTED_VALUE"""),37.0)</f>
        <v>37</v>
      </c>
      <c r="E436" s="1"/>
    </row>
    <row r="437">
      <c r="A437" s="1"/>
      <c r="B437" s="3" t="str">
        <f>IFERROR(__xludf.DUMMYFUNCTION("""COMPUTED_VALUE"""),"ALDI RANDY RUDO")</f>
        <v>ALDI RANDY RUDO</v>
      </c>
      <c r="C437" s="3" t="str">
        <f>IFERROR(__xludf.DUMMYFUNCTION("""COMPUTED_VALUE"""),"A9223062020")</f>
        <v>A9223062020</v>
      </c>
      <c r="D437" s="3">
        <f>IFERROR(__xludf.DUMMYFUNCTION("""COMPUTED_VALUE"""),34.0)</f>
        <v>34</v>
      </c>
      <c r="E437" s="1"/>
    </row>
    <row r="438">
      <c r="A438" s="1"/>
      <c r="B438" s="3" t="str">
        <f>IFERROR(__xludf.DUMMYFUNCTION("""COMPUTED_VALUE"""),"UTIN ZUBAIDAH")</f>
        <v>UTIN ZUBAIDAH</v>
      </c>
      <c r="C438" s="3" t="str">
        <f>IFERROR(__xludf.DUMMYFUNCTION("""COMPUTED_VALUE"""),"U4623065128")</f>
        <v>U4623065128</v>
      </c>
      <c r="D438" s="3">
        <f>IFERROR(__xludf.DUMMYFUNCTION("""COMPUTED_VALUE"""),80.0)</f>
        <v>80</v>
      </c>
      <c r="E438" s="1"/>
    </row>
    <row r="439">
      <c r="A439" s="1"/>
      <c r="B439" s="3" t="str">
        <f>IFERROR(__xludf.DUMMYFUNCTION("""COMPUTED_VALUE"""),"SYARONI")</f>
        <v>SYARONI</v>
      </c>
      <c r="C439" s="3" t="str">
        <f>IFERROR(__xludf.DUMMYFUNCTION("""COMPUTED_VALUE"""),"S8023065758")</f>
        <v>S8023065758</v>
      </c>
      <c r="D439" s="3">
        <f>IFERROR(__xludf.DUMMYFUNCTION("""COMPUTED_VALUE"""),46.0)</f>
        <v>46</v>
      </c>
      <c r="E439" s="1"/>
    </row>
    <row r="440">
      <c r="A440" s="1"/>
      <c r="B440" s="3" t="str">
        <f>IFERROR(__xludf.DUMMYFUNCTION("""COMPUTED_VALUE"""),"SUKMAWAN")</f>
        <v>SUKMAWAN</v>
      </c>
      <c r="C440" s="3" t="str">
        <f>IFERROR(__xludf.DUMMYFUNCTION("""COMPUTED_VALUE"""),"S8623067744")</f>
        <v>S8623067744</v>
      </c>
      <c r="D440" s="3">
        <f>IFERROR(__xludf.DUMMYFUNCTION("""COMPUTED_VALUE"""),40.0)</f>
        <v>40</v>
      </c>
      <c r="E440" s="1"/>
    </row>
    <row r="441">
      <c r="A441" s="1"/>
      <c r="B441" s="3" t="str">
        <f>IFERROR(__xludf.DUMMYFUNCTION("""COMPUTED_VALUE"""),"AZZAH LUTFIA AFIFI")</f>
        <v>AZZAH LUTFIA AFIFI</v>
      </c>
      <c r="C441" s="3" t="str">
        <f>IFERROR(__xludf.DUMMYFUNCTION("""COMPUTED_VALUE"""),"A0523068956")</f>
        <v>A0523068956</v>
      </c>
      <c r="D441" s="3">
        <f>IFERROR(__xludf.DUMMYFUNCTION("""COMPUTED_VALUE"""),20.0)</f>
        <v>20</v>
      </c>
      <c r="E441" s="1"/>
    </row>
    <row r="442">
      <c r="A442" s="1"/>
      <c r="B442" s="3" t="str">
        <f>IFERROR(__xludf.DUMMYFUNCTION("""COMPUTED_VALUE"""),"ADITYA PRAYOGI")</f>
        <v>ADITYA PRAYOGI</v>
      </c>
      <c r="C442" s="3" t="str">
        <f>IFERROR(__xludf.DUMMYFUNCTION("""COMPUTED_VALUE"""),"A9723063838")</f>
        <v>A9723063838</v>
      </c>
      <c r="D442" s="3">
        <f>IFERROR(__xludf.DUMMYFUNCTION("""COMPUTED_VALUE"""),29.0)</f>
        <v>29</v>
      </c>
      <c r="E442" s="1"/>
    </row>
    <row r="443">
      <c r="A443" s="1"/>
      <c r="B443" s="3" t="str">
        <f>IFERROR(__xludf.DUMMYFUNCTION("""COMPUTED_VALUE"""),"VICHO ELEKSIUS DO VANTU")</f>
        <v>VICHO ELEKSIUS DO VANTU</v>
      </c>
      <c r="C443" s="3" t="str">
        <f>IFERROR(__xludf.DUMMYFUNCTION("""COMPUTED_VALUE"""),"V0523064606")</f>
        <v>V0523064606</v>
      </c>
      <c r="D443" s="3">
        <f>IFERROR(__xludf.DUMMYFUNCTION("""COMPUTED_VALUE"""),20.0)</f>
        <v>20</v>
      </c>
      <c r="E443" s="1"/>
    </row>
    <row r="444">
      <c r="A444" s="1"/>
      <c r="B444" s="3" t="str">
        <f>IFERROR(__xludf.DUMMYFUNCTION("""COMPUTED_VALUE"""),"IPRAN SAYIT MATARAM")</f>
        <v>IPRAN SAYIT MATARAM</v>
      </c>
      <c r="C444" s="3" t="str">
        <f>IFERROR(__xludf.DUMMYFUNCTION("""COMPUTED_VALUE"""),"I9323065250")</f>
        <v>I9323065250</v>
      </c>
      <c r="D444" s="3">
        <f>IFERROR(__xludf.DUMMYFUNCTION("""COMPUTED_VALUE"""),33.0)</f>
        <v>33</v>
      </c>
      <c r="E444" s="1"/>
    </row>
    <row r="445">
      <c r="A445" s="1"/>
      <c r="B445" s="3" t="str">
        <f>IFERROR(__xludf.DUMMYFUNCTION("""COMPUTED_VALUE"""),"FAIZAL HRH")</f>
        <v>FAIZAL HRH</v>
      </c>
      <c r="C445" s="3" t="str">
        <f>IFERROR(__xludf.DUMMYFUNCTION("""COMPUTED_VALUE"""),"F8923061386")</f>
        <v>F8923061386</v>
      </c>
      <c r="D445" s="3">
        <f>IFERROR(__xludf.DUMMYFUNCTION("""COMPUTED_VALUE"""),37.0)</f>
        <v>37</v>
      </c>
      <c r="E445" s="1"/>
    </row>
    <row r="446">
      <c r="A446" s="1"/>
      <c r="B446" s="3" t="str">
        <f>IFERROR(__xludf.DUMMYFUNCTION("""COMPUTED_VALUE"""),"MUHAMMAD KENZO ZAIN")</f>
        <v>MUHAMMAD KENZO ZAIN</v>
      </c>
      <c r="C446" s="3" t="str">
        <f>IFERROR(__xludf.DUMMYFUNCTION("""COMPUTED_VALUE"""),"M1123069542")</f>
        <v>M1123069542</v>
      </c>
      <c r="D446" s="3">
        <f>IFERROR(__xludf.DUMMYFUNCTION("""COMPUTED_VALUE"""),14.0)</f>
        <v>14</v>
      </c>
      <c r="E446" s="1"/>
    </row>
    <row r="447">
      <c r="A447" s="1"/>
      <c r="B447" s="3" t="str">
        <f>IFERROR(__xludf.DUMMYFUNCTION("""COMPUTED_VALUE"""),"WAHIDRIANTO")</f>
        <v>WAHIDRIANTO</v>
      </c>
      <c r="C447" s="3" t="str">
        <f>IFERROR(__xludf.DUMMYFUNCTION("""COMPUTED_VALUE"""),"W9023063336")</f>
        <v>W9023063336</v>
      </c>
      <c r="D447" s="3">
        <f>IFERROR(__xludf.DUMMYFUNCTION("""COMPUTED_VALUE"""),36.0)</f>
        <v>36</v>
      </c>
      <c r="E447" s="1"/>
    </row>
    <row r="448">
      <c r="A448" s="1"/>
      <c r="B448" s="3" t="str">
        <f>IFERROR(__xludf.DUMMYFUNCTION("""COMPUTED_VALUE"""),"TIO JAU PHENG")</f>
        <v>TIO JAU PHENG</v>
      </c>
      <c r="C448" s="3" t="str">
        <f>IFERROR(__xludf.DUMMYFUNCTION("""COMPUTED_VALUE"""),"T4623066555")</f>
        <v>T4623066555</v>
      </c>
      <c r="D448" s="3">
        <f>IFERROR(__xludf.DUMMYFUNCTION("""COMPUTED_VALUE"""),79.0)</f>
        <v>79</v>
      </c>
      <c r="E448" s="1"/>
    </row>
    <row r="449">
      <c r="A449" s="1"/>
      <c r="B449" s="3" t="str">
        <f>IFERROR(__xludf.DUMMYFUNCTION("""COMPUTED_VALUE"""),"R.M. KOKO MAFAZA YUGO")</f>
        <v>R.M. KOKO MAFAZA YUGO</v>
      </c>
      <c r="C449" s="3" t="str">
        <f>IFERROR(__xludf.DUMMYFUNCTION("""COMPUTED_VALUE"""),"R9923065389")</f>
        <v>R9923065389</v>
      </c>
      <c r="D449" s="3">
        <f>IFERROR(__xludf.DUMMYFUNCTION("""COMPUTED_VALUE"""),26.0)</f>
        <v>26</v>
      </c>
      <c r="E449" s="1"/>
    </row>
    <row r="450">
      <c r="A450" s="1"/>
      <c r="B450" s="3" t="str">
        <f>IFERROR(__xludf.DUMMYFUNCTION("""COMPUTED_VALUE"""),"HENDRA EDISON")</f>
        <v>HENDRA EDISON</v>
      </c>
      <c r="C450" s="3" t="str">
        <f>IFERROR(__xludf.DUMMYFUNCTION("""COMPUTED_VALUE"""),"H0023065728")</f>
        <v>H0023065728</v>
      </c>
      <c r="D450" s="3">
        <f>IFERROR(__xludf.DUMMYFUNCTION("""COMPUTED_VALUE"""),25.0)</f>
        <v>25</v>
      </c>
      <c r="E450" s="1"/>
    </row>
    <row r="451">
      <c r="A451" s="1"/>
      <c r="B451" s="3" t="str">
        <f>IFERROR(__xludf.DUMMYFUNCTION("""COMPUTED_VALUE"""),"SITI AISYAH")</f>
        <v>SITI AISYAH</v>
      </c>
      <c r="C451" s="3" t="str">
        <f>IFERROR(__xludf.DUMMYFUNCTION("""COMPUTED_VALUE"""),"S9823065220")</f>
        <v>S9823065220</v>
      </c>
      <c r="D451" s="3">
        <f>IFERROR(__xludf.DUMMYFUNCTION("""COMPUTED_VALUE"""),28.0)</f>
        <v>28</v>
      </c>
      <c r="E451" s="1"/>
    </row>
    <row r="452">
      <c r="A452" s="1"/>
      <c r="B452" s="3" t="str">
        <f>IFERROR(__xludf.DUMMYFUNCTION("""COMPUTED_VALUE"""),"NADIA AYUNI PUTRI")</f>
        <v>NADIA AYUNI PUTRI</v>
      </c>
      <c r="C452" s="3" t="str">
        <f>IFERROR(__xludf.DUMMYFUNCTION("""COMPUTED_VALUE"""),"N9223062600")</f>
        <v>N9223062600</v>
      </c>
      <c r="D452" s="3">
        <f>IFERROR(__xludf.DUMMYFUNCTION("""COMPUTED_VALUE"""),34.0)</f>
        <v>34</v>
      </c>
      <c r="E452" s="1"/>
    </row>
    <row r="453">
      <c r="A453" s="1"/>
      <c r="B453" s="3" t="str">
        <f>IFERROR(__xludf.DUMMYFUNCTION("""COMPUTED_VALUE"""),"GUSTI ALFI ANUGRAH")</f>
        <v>GUSTI ALFI ANUGRAH</v>
      </c>
      <c r="C453" s="3" t="str">
        <f>IFERROR(__xludf.DUMMYFUNCTION("""COMPUTED_VALUE"""),"G9923061404")</f>
        <v>G9923061404</v>
      </c>
      <c r="D453" s="3">
        <f>IFERROR(__xludf.DUMMYFUNCTION("""COMPUTED_VALUE"""),26.0)</f>
        <v>26</v>
      </c>
      <c r="E453" s="1"/>
    </row>
    <row r="454">
      <c r="A454" s="1"/>
      <c r="B454" s="3" t="str">
        <f>IFERROR(__xludf.DUMMYFUNCTION("""COMPUTED_VALUE"""),"WENARDY CHIONDA")</f>
        <v>WENARDY CHIONDA</v>
      </c>
      <c r="C454" s="3" t="str">
        <f>IFERROR(__xludf.DUMMYFUNCTION("""COMPUTED_VALUE"""),"W9823064942")</f>
        <v>W9823064942</v>
      </c>
      <c r="D454" s="3">
        <f>IFERROR(__xludf.DUMMYFUNCTION("""COMPUTED_VALUE"""),28.0)</f>
        <v>28</v>
      </c>
      <c r="E454" s="1"/>
    </row>
    <row r="455">
      <c r="A455" s="1"/>
      <c r="B455" s="3" t="str">
        <f>IFERROR(__xludf.DUMMYFUNCTION("""COMPUTED_VALUE"""),"SALSABELLA")</f>
        <v>SALSABELLA</v>
      </c>
      <c r="C455" s="3" t="str">
        <f>IFERROR(__xludf.DUMMYFUNCTION("""COMPUTED_VALUE"""),"S9823069696")</f>
        <v>S9823069696</v>
      </c>
      <c r="D455" s="3">
        <f>IFERROR(__xludf.DUMMYFUNCTION("""COMPUTED_VALUE"""),28.0)</f>
        <v>28</v>
      </c>
      <c r="E455" s="1"/>
    </row>
    <row r="456">
      <c r="A456" s="1"/>
      <c r="B456" s="3" t="str">
        <f>IFERROR(__xludf.DUMMYFUNCTION("""COMPUTED_VALUE"""),"SILVINA PUTRI")</f>
        <v>SILVINA PUTRI</v>
      </c>
      <c r="C456" s="3" t="str">
        <f>IFERROR(__xludf.DUMMYFUNCTION("""COMPUTED_VALUE"""),"S0923067854")</f>
        <v>S0923067854</v>
      </c>
      <c r="D456" s="3">
        <f>IFERROR(__xludf.DUMMYFUNCTION("""COMPUTED_VALUE"""),16.0)</f>
        <v>16</v>
      </c>
      <c r="E456" s="1"/>
    </row>
    <row r="457">
      <c r="A457" s="1"/>
      <c r="B457" s="3" t="str">
        <f>IFERROR(__xludf.DUMMYFUNCTION("""COMPUTED_VALUE"""),"HERLITA YULIANA")</f>
        <v>HERLITA YULIANA</v>
      </c>
      <c r="C457" s="3" t="str">
        <f>IFERROR(__xludf.DUMMYFUNCTION("""COMPUTED_VALUE"""),"H7423069338")</f>
        <v>H7423069338</v>
      </c>
      <c r="D457" s="3">
        <f>IFERROR(__xludf.DUMMYFUNCTION("""COMPUTED_VALUE"""),51.0)</f>
        <v>51</v>
      </c>
      <c r="E457" s="1"/>
    </row>
    <row r="458">
      <c r="A458" s="1"/>
      <c r="B458" s="3" t="str">
        <f>IFERROR(__xludf.DUMMYFUNCTION("""COMPUTED_VALUE"""),"ROSITA")</f>
        <v>ROSITA</v>
      </c>
      <c r="C458" s="3" t="str">
        <f>IFERROR(__xludf.DUMMYFUNCTION("""COMPUTED_VALUE"""),"R6223060242")</f>
        <v>R6223060242</v>
      </c>
      <c r="D458" s="3">
        <f>IFERROR(__xludf.DUMMYFUNCTION("""COMPUTED_VALUE"""),63.0)</f>
        <v>63</v>
      </c>
      <c r="E458" s="1"/>
    </row>
    <row r="459">
      <c r="A459" s="1"/>
      <c r="B459" s="3" t="str">
        <f>IFERROR(__xludf.DUMMYFUNCTION("""COMPUTED_VALUE"""),"LITA AMELIA")</f>
        <v>LITA AMELIA</v>
      </c>
      <c r="C459" s="3" t="str">
        <f>IFERROR(__xludf.DUMMYFUNCTION("""COMPUTED_VALUE"""),"L9423069956")</f>
        <v>L9423069956</v>
      </c>
      <c r="D459" s="3">
        <f>IFERROR(__xludf.DUMMYFUNCTION("""COMPUTED_VALUE"""),31.0)</f>
        <v>31</v>
      </c>
      <c r="E459" s="1"/>
    </row>
    <row r="460">
      <c r="A460" s="1"/>
      <c r="B460" s="3" t="str">
        <f>IFERROR(__xludf.DUMMYFUNCTION("""COMPUTED_VALUE"""),"HARRY PERMANA KAMANDAKA")</f>
        <v>HARRY PERMANA KAMANDAKA</v>
      </c>
      <c r="C460" s="3" t="str">
        <f>IFERROR(__xludf.DUMMYFUNCTION("""COMPUTED_VALUE"""),"H9123068005")</f>
        <v>H9123068005</v>
      </c>
      <c r="D460" s="3">
        <f>IFERROR(__xludf.DUMMYFUNCTION("""COMPUTED_VALUE"""),34.0)</f>
        <v>34</v>
      </c>
      <c r="E460" s="1"/>
    </row>
    <row r="461">
      <c r="A461" s="1"/>
      <c r="B461" s="3" t="str">
        <f>IFERROR(__xludf.DUMMYFUNCTION("""COMPUTED_VALUE"""),"NURHAYATI 62")</f>
        <v>NURHAYATI 62</v>
      </c>
      <c r="C461" s="3" t="str">
        <f>IFERROR(__xludf.DUMMYFUNCTION("""COMPUTED_VALUE"""),"N6223068700")</f>
        <v>N6223068700</v>
      </c>
      <c r="D461" s="3">
        <f>IFERROR(__xludf.DUMMYFUNCTION("""COMPUTED_VALUE"""),63.0)</f>
        <v>63</v>
      </c>
      <c r="E461" s="1"/>
    </row>
    <row r="462">
      <c r="A462" s="1"/>
      <c r="B462" s="3" t="str">
        <f>IFERROR(__xludf.DUMMYFUNCTION("""COMPUTED_VALUE"""),"NUR HAYATI 5212")</f>
        <v>NUR HAYATI 5212</v>
      </c>
      <c r="C462" s="3" t="str">
        <f>IFERROR(__xludf.DUMMYFUNCTION("""COMPUTED_VALUE"""),"N5223065524")</f>
        <v>N5223065524</v>
      </c>
      <c r="D462" s="3">
        <f>IFERROR(__xludf.DUMMYFUNCTION("""COMPUTED_VALUE"""),73.0)</f>
        <v>73</v>
      </c>
      <c r="E462" s="1"/>
    </row>
    <row r="463">
      <c r="A463" s="1"/>
      <c r="B463" s="3" t="str">
        <f>IFERROR(__xludf.DUMMYFUNCTION("""COMPUTED_VALUE"""),"WULANDARI GANI")</f>
        <v>WULANDARI GANI</v>
      </c>
      <c r="C463" s="3" t="str">
        <f>IFERROR(__xludf.DUMMYFUNCTION("""COMPUTED_VALUE"""),"W9523060011")</f>
        <v>W9523060011</v>
      </c>
      <c r="D463" s="3">
        <f>IFERROR(__xludf.DUMMYFUNCTION("""COMPUTED_VALUE"""),30.0)</f>
        <v>30</v>
      </c>
      <c r="E463" s="1"/>
    </row>
    <row r="464">
      <c r="A464" s="1"/>
      <c r="B464" s="3" t="str">
        <f>IFERROR(__xludf.DUMMYFUNCTION("""COMPUTED_VALUE"""),"ALVIN ROSANDY")</f>
        <v>ALVIN ROSANDY</v>
      </c>
      <c r="C464" s="3" t="str">
        <f>IFERROR(__xludf.DUMMYFUNCTION("""COMPUTED_VALUE"""),"A9423065183")</f>
        <v>A9423065183</v>
      </c>
      <c r="D464" s="3">
        <f>IFERROR(__xludf.DUMMYFUNCTION("""COMPUTED_VALUE"""),32.0)</f>
        <v>32</v>
      </c>
      <c r="E464" s="1"/>
    </row>
    <row r="465">
      <c r="A465" s="1"/>
      <c r="B465" s="3" t="str">
        <f>IFERROR(__xludf.DUMMYFUNCTION("""COMPUTED_VALUE"""),"SISKA AYU RIYANTI")</f>
        <v>SISKA AYU RIYANTI</v>
      </c>
      <c r="C465" s="3" t="str">
        <f>IFERROR(__xludf.DUMMYFUNCTION("""COMPUTED_VALUE"""),"S9223062300")</f>
        <v>S9223062300</v>
      </c>
      <c r="D465" s="3">
        <f>IFERROR(__xludf.DUMMYFUNCTION("""COMPUTED_VALUE"""),33.0)</f>
        <v>33</v>
      </c>
      <c r="E465" s="1"/>
    </row>
    <row r="466">
      <c r="A466" s="1"/>
      <c r="B466" s="3" t="str">
        <f>IFERROR(__xludf.DUMMYFUNCTION("""COMPUTED_VALUE"""),"RUDY HUMALA LUMBAN RAJA")</f>
        <v>RUDY HUMALA LUMBAN RAJA</v>
      </c>
      <c r="C466" s="3" t="str">
        <f>IFERROR(__xludf.DUMMYFUNCTION("""COMPUTED_VALUE"""),"R7623060675")</f>
        <v>R7623060675</v>
      </c>
      <c r="D466" s="3">
        <f>IFERROR(__xludf.DUMMYFUNCTION("""COMPUTED_VALUE"""),50.0)</f>
        <v>50</v>
      </c>
      <c r="E466" s="1"/>
    </row>
    <row r="467">
      <c r="A467" s="1"/>
      <c r="B467" s="3" t="str">
        <f>IFERROR(__xludf.DUMMYFUNCTION("""COMPUTED_VALUE"""),"DINA SYAFRIDA")</f>
        <v>DINA SYAFRIDA</v>
      </c>
      <c r="C467" s="3" t="str">
        <f>IFERROR(__xludf.DUMMYFUNCTION("""COMPUTED_VALUE"""),"D8023066873")</f>
        <v>D8023066873</v>
      </c>
      <c r="D467" s="3">
        <f>IFERROR(__xludf.DUMMYFUNCTION("""COMPUTED_VALUE"""),46.0)</f>
        <v>46</v>
      </c>
      <c r="E467" s="1"/>
    </row>
    <row r="468">
      <c r="A468" s="1"/>
      <c r="B468" s="3" t="str">
        <f>IFERROR(__xludf.DUMMYFUNCTION("""COMPUTED_VALUE"""),"WACHIED SETIYO POETRA")</f>
        <v>WACHIED SETIYO POETRA</v>
      </c>
      <c r="C468" s="3" t="str">
        <f>IFERROR(__xludf.DUMMYFUNCTION("""COMPUTED_VALUE"""),"W9123066982")</f>
        <v>W9123066982</v>
      </c>
      <c r="D468" s="3">
        <f>IFERROR(__xludf.DUMMYFUNCTION("""COMPUTED_VALUE"""),34.0)</f>
        <v>34</v>
      </c>
      <c r="E468" s="1"/>
    </row>
    <row r="469">
      <c r="A469" s="1"/>
      <c r="B469" s="3" t="str">
        <f>IFERROR(__xludf.DUMMYFUNCTION("""COMPUTED_VALUE"""),"LUQMAN ABDULHAKIM")</f>
        <v>LUQMAN ABDULHAKIM</v>
      </c>
      <c r="C469" s="3" t="str">
        <f>IFERROR(__xludf.DUMMYFUNCTION("""COMPUTED_VALUE"""),"L1423066180")</f>
        <v>L1423066180</v>
      </c>
      <c r="D469" s="3">
        <f>IFERROR(__xludf.DUMMYFUNCTION("""COMPUTED_VALUE"""),12.0)</f>
        <v>12</v>
      </c>
      <c r="E469" s="1"/>
    </row>
    <row r="470">
      <c r="A470" s="1"/>
      <c r="B470" s="3" t="str">
        <f>IFERROR(__xludf.DUMMYFUNCTION("""COMPUTED_VALUE"""),"IWAN SETIAWAN0505")</f>
        <v>IWAN SETIAWAN0505</v>
      </c>
      <c r="C470" s="3" t="str">
        <f>IFERROR(__xludf.DUMMYFUNCTION("""COMPUTED_VALUE"""),"I0523068702")</f>
        <v>I0523068702</v>
      </c>
      <c r="D470" s="3">
        <f>IFERROR(__xludf.DUMMYFUNCTION("""COMPUTED_VALUE"""),21.0)</f>
        <v>21</v>
      </c>
      <c r="E470" s="1"/>
    </row>
    <row r="471">
      <c r="A471" s="1"/>
      <c r="B471" s="3" t="str">
        <f>IFERROR(__xludf.DUMMYFUNCTION("""COMPUTED_VALUE"""),"SUWANDI PUTRA LUSLIM")</f>
        <v>SUWANDI PUTRA LUSLIM</v>
      </c>
      <c r="C471" s="3" t="str">
        <f>IFERROR(__xludf.DUMMYFUNCTION("""COMPUTED_VALUE"""),"S9123068899")</f>
        <v>S9123068899</v>
      </c>
      <c r="D471" s="3">
        <f>IFERROR(__xludf.DUMMYFUNCTION("""COMPUTED_VALUE"""),34.0)</f>
        <v>34</v>
      </c>
      <c r="E471" s="1"/>
    </row>
    <row r="472">
      <c r="A472" s="1"/>
      <c r="B472" s="3" t="str">
        <f>IFERROR(__xludf.DUMMYFUNCTION("""COMPUTED_VALUE"""),"SITI NURBAYA")</f>
        <v>SITI NURBAYA</v>
      </c>
      <c r="C472" s="3" t="str">
        <f>IFERROR(__xludf.DUMMYFUNCTION("""COMPUTED_VALUE"""),"S7323061995")</f>
        <v>S7323061995</v>
      </c>
      <c r="D472" s="3">
        <f>IFERROR(__xludf.DUMMYFUNCTION("""COMPUTED_VALUE"""),52.0)</f>
        <v>52</v>
      </c>
      <c r="E472" s="1"/>
    </row>
    <row r="473">
      <c r="A473" s="1"/>
      <c r="B473" s="3" t="str">
        <f>IFERROR(__xludf.DUMMYFUNCTION("""COMPUTED_VALUE"""),"JOKO AKBAR")</f>
        <v>JOKO AKBAR</v>
      </c>
      <c r="C473" s="3" t="str">
        <f>IFERROR(__xludf.DUMMYFUNCTION("""COMPUTED_VALUE"""),"J9423062216")</f>
        <v>J9423062216</v>
      </c>
      <c r="D473" s="3">
        <f>IFERROR(__xludf.DUMMYFUNCTION("""COMPUTED_VALUE"""),32.0)</f>
        <v>32</v>
      </c>
      <c r="E473" s="1"/>
    </row>
    <row r="474">
      <c r="A474" s="1"/>
      <c r="B474" s="3" t="str">
        <f>IFERROR(__xludf.DUMMYFUNCTION("""COMPUTED_VALUE"""),"NABILLA ARUM SEPTIRANI")</f>
        <v>NABILLA ARUM SEPTIRANI</v>
      </c>
      <c r="C474" s="3" t="str">
        <f>IFERROR(__xludf.DUMMYFUNCTION("""COMPUTED_VALUE"""),"N9523069353")</f>
        <v>N9523069353</v>
      </c>
      <c r="D474" s="3">
        <f>IFERROR(__xludf.DUMMYFUNCTION("""COMPUTED_VALUE"""),30.0)</f>
        <v>30</v>
      </c>
      <c r="E474" s="1"/>
    </row>
    <row r="475">
      <c r="A475" s="1"/>
      <c r="B475" s="3" t="str">
        <f>IFERROR(__xludf.DUMMYFUNCTION("""COMPUTED_VALUE"""),"RONY PRATAMA")</f>
        <v>RONY PRATAMA</v>
      </c>
      <c r="C475" s="3" t="str">
        <f>IFERROR(__xludf.DUMMYFUNCTION("""COMPUTED_VALUE"""),"R9423060619")</f>
        <v>R9423060619</v>
      </c>
      <c r="D475" s="3">
        <f>IFERROR(__xludf.DUMMYFUNCTION("""COMPUTED_VALUE"""),31.0)</f>
        <v>31</v>
      </c>
      <c r="E475" s="1"/>
    </row>
    <row r="476">
      <c r="A476" s="1"/>
      <c r="B476" s="3" t="str">
        <f>IFERROR(__xludf.DUMMYFUNCTION("""COMPUTED_VALUE"""),"MUHAMMAD FALATEHAN")</f>
        <v>MUHAMMAD FALATEHAN</v>
      </c>
      <c r="C476" s="3" t="str">
        <f>IFERROR(__xludf.DUMMYFUNCTION("""COMPUTED_VALUE"""),"M0623062755")</f>
        <v>M0623062755</v>
      </c>
      <c r="D476" s="3">
        <f>IFERROR(__xludf.DUMMYFUNCTION("""COMPUTED_VALUE"""),20.0)</f>
        <v>20</v>
      </c>
      <c r="E476" s="1"/>
    </row>
    <row r="477">
      <c r="A477" s="1"/>
      <c r="B477" s="3" t="str">
        <f>IFERROR(__xludf.DUMMYFUNCTION("""COMPUTED_VALUE"""),"YEPI ROHIMAN")</f>
        <v>YEPI ROHIMAN</v>
      </c>
      <c r="C477" s="3" t="str">
        <f>IFERROR(__xludf.DUMMYFUNCTION("""COMPUTED_VALUE"""),"Y9123064783")</f>
        <v>Y9123064783</v>
      </c>
      <c r="D477" s="3">
        <f>IFERROR(__xludf.DUMMYFUNCTION("""COMPUTED_VALUE"""),35.0)</f>
        <v>35</v>
      </c>
      <c r="E477" s="1"/>
    </row>
    <row r="478">
      <c r="A478" s="1"/>
      <c r="B478" s="3" t="str">
        <f>IFERROR(__xludf.DUMMYFUNCTION("""COMPUTED_VALUE"""),"ISTIQAMAH")</f>
        <v>ISTIQAMAH</v>
      </c>
      <c r="C478" s="3" t="str">
        <f>IFERROR(__xludf.DUMMYFUNCTION("""COMPUTED_VALUE"""),"I8423066633")</f>
        <v>I8423066633</v>
      </c>
      <c r="D478" s="3">
        <f>IFERROR(__xludf.DUMMYFUNCTION("""COMPUTED_VALUE"""),41.0)</f>
        <v>41</v>
      </c>
      <c r="E478" s="1"/>
    </row>
    <row r="479">
      <c r="A479" s="1"/>
      <c r="B479" s="3" t="str">
        <f>IFERROR(__xludf.DUMMYFUNCTION("""COMPUTED_VALUE"""),"ALFI ZIKRIL RAKHMADI")</f>
        <v>ALFI ZIKRIL RAKHMADI</v>
      </c>
      <c r="C479" s="3" t="str">
        <f>IFERROR(__xludf.DUMMYFUNCTION("""COMPUTED_VALUE"""),"A0523069035")</f>
        <v>A0523069035</v>
      </c>
      <c r="D479" s="3">
        <f>IFERROR(__xludf.DUMMYFUNCTION("""COMPUTED_VALUE"""),21.0)</f>
        <v>21</v>
      </c>
      <c r="E479" s="1"/>
    </row>
    <row r="480">
      <c r="A480" s="1"/>
      <c r="B480" s="3" t="str">
        <f>IFERROR(__xludf.DUMMYFUNCTION("""COMPUTED_VALUE"""),"ANUGRAH DESWARI")</f>
        <v>ANUGRAH DESWARI</v>
      </c>
      <c r="C480" s="3" t="str">
        <f>IFERROR(__xludf.DUMMYFUNCTION("""COMPUTED_VALUE"""),"A9323060943")</f>
        <v>A9323060943</v>
      </c>
      <c r="D480" s="3">
        <f>IFERROR(__xludf.DUMMYFUNCTION("""COMPUTED_VALUE"""),32.0)</f>
        <v>32</v>
      </c>
      <c r="E480" s="1"/>
    </row>
    <row r="481">
      <c r="A481" s="1"/>
      <c r="B481" s="3" t="str">
        <f>IFERROR(__xludf.DUMMYFUNCTION("""COMPUTED_VALUE"""),"MUNAWAR FUADI")</f>
        <v>MUNAWAR FUADI</v>
      </c>
      <c r="C481" s="3" t="str">
        <f>IFERROR(__xludf.DUMMYFUNCTION("""COMPUTED_VALUE"""),"M8023069480")</f>
        <v>M8023069480</v>
      </c>
      <c r="D481" s="3">
        <f>IFERROR(__xludf.DUMMYFUNCTION("""COMPUTED_VALUE"""),46.0)</f>
        <v>46</v>
      </c>
      <c r="E481" s="1"/>
    </row>
    <row r="482">
      <c r="A482" s="1"/>
      <c r="B482" s="3" t="str">
        <f>IFERROR(__xludf.DUMMYFUNCTION("""COMPUTED_VALUE"""),"NADYA FIRDASARI")</f>
        <v>NADYA FIRDASARI</v>
      </c>
      <c r="C482" s="3" t="str">
        <f>IFERROR(__xludf.DUMMYFUNCTION("""COMPUTED_VALUE"""),"N1023066868")</f>
        <v>N1023066868</v>
      </c>
      <c r="D482" s="3">
        <f>IFERROR(__xludf.DUMMYFUNCTION("""COMPUTED_VALUE"""),16.0)</f>
        <v>16</v>
      </c>
      <c r="E482" s="1"/>
    </row>
    <row r="483">
      <c r="A483" s="1"/>
      <c r="B483" s="3" t="str">
        <f>IFERROR(__xludf.DUMMYFUNCTION("""COMPUTED_VALUE"""),"PARAMITHA AFI")</f>
        <v>PARAMITHA AFI</v>
      </c>
      <c r="C483" s="3" t="str">
        <f>IFERROR(__xludf.DUMMYFUNCTION("""COMPUTED_VALUE"""),"P9423061035")</f>
        <v>P9423061035</v>
      </c>
      <c r="D483" s="3">
        <f>IFERROR(__xludf.DUMMYFUNCTION("""COMPUTED_VALUE"""),32.0)</f>
        <v>32</v>
      </c>
      <c r="E483" s="1"/>
    </row>
    <row r="484">
      <c r="A484" s="1"/>
      <c r="B484" s="3" t="str">
        <f>IFERROR(__xludf.DUMMYFUNCTION("""COMPUTED_VALUE"""),"MUHAMMAD ALDO N'DITI")</f>
        <v>MUHAMMAD ALDO N'DITI</v>
      </c>
      <c r="C484" s="3" t="str">
        <f>IFERROR(__xludf.DUMMYFUNCTION("""COMPUTED_VALUE"""),"M9723060071")</f>
        <v>M9723060071</v>
      </c>
      <c r="D484" s="3">
        <f>IFERROR(__xludf.DUMMYFUNCTION("""COMPUTED_VALUE"""),28.0)</f>
        <v>28</v>
      </c>
      <c r="E484" s="1"/>
    </row>
    <row r="485">
      <c r="A485" s="1"/>
      <c r="B485" s="3" t="str">
        <f>IFERROR(__xludf.DUMMYFUNCTION("""COMPUTED_VALUE"""),"SYARIF ZULFAN ADHA")</f>
        <v>SYARIF ZULFAN ADHA</v>
      </c>
      <c r="C485" s="3" t="str">
        <f>IFERROR(__xludf.DUMMYFUNCTION("""COMPUTED_VALUE"""),"S9823066329")</f>
        <v>S9823066329</v>
      </c>
      <c r="D485" s="3">
        <f>IFERROR(__xludf.DUMMYFUNCTION("""COMPUTED_VALUE"""),28.0)</f>
        <v>28</v>
      </c>
      <c r="E485" s="1"/>
    </row>
    <row r="486">
      <c r="A486" s="1"/>
      <c r="B486" s="3" t="str">
        <f>IFERROR(__xludf.DUMMYFUNCTION("""COMPUTED_VALUE"""),"ANDI KHALISA SULTAN")</f>
        <v>ANDI KHALISA SULTAN</v>
      </c>
      <c r="C486" s="3" t="str">
        <f>IFERROR(__xludf.DUMMYFUNCTION("""COMPUTED_VALUE"""),"A0423061046")</f>
        <v>A0423061046</v>
      </c>
      <c r="D486" s="3">
        <f>IFERROR(__xludf.DUMMYFUNCTION("""COMPUTED_VALUE"""),21.0)</f>
        <v>21</v>
      </c>
      <c r="E486" s="1"/>
    </row>
    <row r="487">
      <c r="A487" s="1"/>
      <c r="B487" s="3" t="str">
        <f>IFERROR(__xludf.DUMMYFUNCTION("""COMPUTED_VALUE"""),"SUPARNO")</f>
        <v>SUPARNO</v>
      </c>
      <c r="C487" s="3" t="str">
        <f>IFERROR(__xludf.DUMMYFUNCTION("""COMPUTED_VALUE"""),"S6523066234")</f>
        <v>S6523066234</v>
      </c>
      <c r="D487" s="3">
        <f>IFERROR(__xludf.DUMMYFUNCTION("""COMPUTED_VALUE"""),60.0)</f>
        <v>60</v>
      </c>
      <c r="E487" s="1"/>
    </row>
    <row r="488">
      <c r="A488" s="1"/>
      <c r="B488" s="3" t="str">
        <f>IFERROR(__xludf.DUMMYFUNCTION("""COMPUTED_VALUE"""),"DIAN PRAHARSA")</f>
        <v>DIAN PRAHARSA</v>
      </c>
      <c r="C488" s="3" t="str">
        <f>IFERROR(__xludf.DUMMYFUNCTION("""COMPUTED_VALUE"""),"D8423065166")</f>
        <v>D8423065166</v>
      </c>
      <c r="D488" s="3">
        <f>IFERROR(__xludf.DUMMYFUNCTION("""COMPUTED_VALUE"""),41.0)</f>
        <v>41</v>
      </c>
      <c r="E488" s="1"/>
    </row>
    <row r="489">
      <c r="A489" s="1"/>
      <c r="B489" s="3" t="str">
        <f>IFERROR(__xludf.DUMMYFUNCTION("""COMPUTED_VALUE"""),"PASKALIS NIKO SAPUTRA")</f>
        <v>PASKALIS NIKO SAPUTRA</v>
      </c>
      <c r="C489" s="3" t="str">
        <f>IFERROR(__xludf.DUMMYFUNCTION("""COMPUTED_VALUE"""),"P9623063588")</f>
        <v>P9623063588</v>
      </c>
      <c r="D489" s="3">
        <f>IFERROR(__xludf.DUMMYFUNCTION("""COMPUTED_VALUE"""),30.0)</f>
        <v>30</v>
      </c>
      <c r="E489" s="1"/>
    </row>
    <row r="490">
      <c r="A490" s="1"/>
      <c r="B490" s="3" t="str">
        <f>IFERROR(__xludf.DUMMYFUNCTION("""COMPUTED_VALUE"""),"BERLINSON")</f>
        <v>BERLINSON</v>
      </c>
      <c r="C490" s="3" t="str">
        <f>IFERROR(__xludf.DUMMYFUNCTION("""COMPUTED_VALUE"""),"B6023061946")</f>
        <v>B6023061946</v>
      </c>
      <c r="D490" s="3">
        <f>IFERROR(__xludf.DUMMYFUNCTION("""COMPUTED_VALUE"""),66.0)</f>
        <v>66</v>
      </c>
      <c r="E490" s="1"/>
    </row>
    <row r="491">
      <c r="A491" s="1"/>
      <c r="B491" s="3" t="str">
        <f>IFERROR(__xludf.DUMMYFUNCTION("""COMPUTED_VALUE"""),"HENDY GUNTUR SAPUTRA")</f>
        <v>HENDY GUNTUR SAPUTRA</v>
      </c>
      <c r="C491" s="3" t="str">
        <f>IFERROR(__xludf.DUMMYFUNCTION("""COMPUTED_VALUE"""),"H9323072147")</f>
        <v>H9323072147</v>
      </c>
      <c r="D491" s="3">
        <f>IFERROR(__xludf.DUMMYFUNCTION("""COMPUTED_VALUE"""),33.0)</f>
        <v>33</v>
      </c>
      <c r="E491" s="1"/>
    </row>
    <row r="492">
      <c r="A492" s="1"/>
      <c r="B492" s="3" t="str">
        <f>IFERROR(__xludf.DUMMYFUNCTION("""COMPUTED_VALUE"""),"MUHAMMAD ILMAM FAQIH")</f>
        <v>MUHAMMAD ILMAM FAQIH</v>
      </c>
      <c r="C492" s="3" t="str">
        <f>IFERROR(__xludf.DUMMYFUNCTION("""COMPUTED_VALUE"""),"M9523071888")</f>
        <v>M9523071888</v>
      </c>
      <c r="D492" s="3">
        <f>IFERROR(__xludf.DUMMYFUNCTION("""COMPUTED_VALUE"""),30.0)</f>
        <v>30</v>
      </c>
      <c r="E492" s="1"/>
    </row>
    <row r="493">
      <c r="A493" s="1"/>
      <c r="B493" s="3" t="str">
        <f>IFERROR(__xludf.DUMMYFUNCTION("""COMPUTED_VALUE"""),"DEDI HALIM")</f>
        <v>DEDI HALIM</v>
      </c>
      <c r="C493" s="3" t="str">
        <f>IFERROR(__xludf.DUMMYFUNCTION("""COMPUTED_VALUE"""),"D8023070180")</f>
        <v>D8023070180</v>
      </c>
      <c r="D493" s="3">
        <f>IFERROR(__xludf.DUMMYFUNCTION("""COMPUTED_VALUE"""),46.0)</f>
        <v>46</v>
      </c>
      <c r="E493" s="1"/>
    </row>
    <row r="494">
      <c r="A494" s="1"/>
      <c r="B494" s="3" t="str">
        <f>IFERROR(__xludf.DUMMYFUNCTION("""COMPUTED_VALUE"""),"FIRDASIAH")</f>
        <v>FIRDASIAH</v>
      </c>
      <c r="C494" s="3" t="str">
        <f>IFERROR(__xludf.DUMMYFUNCTION("""COMPUTED_VALUE"""),"F7323076334")</f>
        <v>F7323076334</v>
      </c>
      <c r="D494" s="3">
        <f>IFERROR(__xludf.DUMMYFUNCTION("""COMPUTED_VALUE"""),52.0)</f>
        <v>52</v>
      </c>
      <c r="E494" s="1"/>
    </row>
    <row r="495">
      <c r="A495" s="1"/>
      <c r="B495" s="3" t="str">
        <f>IFERROR(__xludf.DUMMYFUNCTION("""COMPUTED_VALUE"""),"JUSTIN EUGENE NATHANIEL")</f>
        <v>JUSTIN EUGENE NATHANIEL</v>
      </c>
      <c r="C495" s="3" t="str">
        <f>IFERROR(__xludf.DUMMYFUNCTION("""COMPUTED_VALUE"""),"J0623073744")</f>
        <v>J0623073744</v>
      </c>
      <c r="D495" s="3">
        <f>IFERROR(__xludf.DUMMYFUNCTION("""COMPUTED_VALUE"""),19.0)</f>
        <v>19</v>
      </c>
      <c r="E495" s="1"/>
    </row>
    <row r="496">
      <c r="A496" s="1"/>
      <c r="B496" s="3" t="str">
        <f>IFERROR(__xludf.DUMMYFUNCTION("""COMPUTED_VALUE"""),"NUGRAHA KWARTAMA")</f>
        <v>NUGRAHA KWARTAMA</v>
      </c>
      <c r="C496" s="3" t="str">
        <f>IFERROR(__xludf.DUMMYFUNCTION("""COMPUTED_VALUE"""),"N8723073000")</f>
        <v>N8723073000</v>
      </c>
      <c r="D496" s="3">
        <f>IFERROR(__xludf.DUMMYFUNCTION("""COMPUTED_VALUE"""),38.0)</f>
        <v>38</v>
      </c>
      <c r="E496" s="1"/>
    </row>
    <row r="497">
      <c r="A497" s="1"/>
      <c r="B497" s="3" t="str">
        <f>IFERROR(__xludf.DUMMYFUNCTION("""COMPUTED_VALUE"""),"LITTA CHRISTINA PATTIPEILOHY")</f>
        <v>LITTA CHRISTINA PATTIPEILOHY</v>
      </c>
      <c r="C497" s="3" t="str">
        <f>IFERROR(__xludf.DUMMYFUNCTION("""COMPUTED_VALUE"""),"L8923073313")</f>
        <v>L8923073313</v>
      </c>
      <c r="D497" s="3">
        <f>IFERROR(__xludf.DUMMYFUNCTION("""COMPUTED_VALUE"""),37.0)</f>
        <v>37</v>
      </c>
      <c r="E497" s="1"/>
    </row>
    <row r="498">
      <c r="A498" s="1"/>
      <c r="B498" s="3" t="str">
        <f>IFERROR(__xludf.DUMMYFUNCTION("""COMPUTED_VALUE"""),"MULYANI")</f>
        <v>MULYANI</v>
      </c>
      <c r="C498" s="3" t="str">
        <f>IFERROR(__xludf.DUMMYFUNCTION("""COMPUTED_VALUE"""),"M6823070309")</f>
        <v>M6823070309</v>
      </c>
      <c r="D498" s="3">
        <f>IFERROR(__xludf.DUMMYFUNCTION("""COMPUTED_VALUE"""),57.0)</f>
        <v>57</v>
      </c>
      <c r="E498" s="1"/>
    </row>
    <row r="499">
      <c r="A499" s="1"/>
      <c r="B499" s="3" t="str">
        <f>IFERROR(__xludf.DUMMYFUNCTION("""COMPUTED_VALUE"""),"FIKRI")</f>
        <v>FIKRI</v>
      </c>
      <c r="C499" s="3" t="str">
        <f>IFERROR(__xludf.DUMMYFUNCTION("""COMPUTED_VALUE"""),"F9823079796")</f>
        <v>F9823079796</v>
      </c>
      <c r="D499" s="3">
        <f>IFERROR(__xludf.DUMMYFUNCTION("""COMPUTED_VALUE"""),28.0)</f>
        <v>28</v>
      </c>
      <c r="E499" s="1"/>
    </row>
    <row r="500">
      <c r="A500" s="1"/>
      <c r="B500" s="3" t="str">
        <f>IFERROR(__xludf.DUMMYFUNCTION("""COMPUTED_VALUE"""),"AI LIE")</f>
        <v>AI LIE</v>
      </c>
      <c r="C500" s="3" t="str">
        <f>IFERROR(__xludf.DUMMYFUNCTION("""COMPUTED_VALUE"""),"A6523075669")</f>
        <v>A6523075669</v>
      </c>
      <c r="D500" s="3">
        <f>IFERROR(__xludf.DUMMYFUNCTION("""COMPUTED_VALUE"""),60.0)</f>
        <v>60</v>
      </c>
      <c r="E500" s="1"/>
    </row>
    <row r="501">
      <c r="A501" s="1"/>
      <c r="B501" s="3" t="str">
        <f>IFERROR(__xludf.DUMMYFUNCTION("""COMPUTED_VALUE"""),"SUPRIATIN")</f>
        <v>SUPRIATIN</v>
      </c>
      <c r="C501" s="3" t="str">
        <f>IFERROR(__xludf.DUMMYFUNCTION("""COMPUTED_VALUE"""),"S7023074396")</f>
        <v>S7023074396</v>
      </c>
      <c r="D501" s="3">
        <f>IFERROR(__xludf.DUMMYFUNCTION("""COMPUTED_VALUE"""),55.0)</f>
        <v>55</v>
      </c>
      <c r="E501" s="1"/>
    </row>
    <row r="502">
      <c r="A502" s="1"/>
      <c r="B502" s="3" t="str">
        <f>IFERROR(__xludf.DUMMYFUNCTION("""COMPUTED_VALUE"""),"DINDA PUSVITA")</f>
        <v>DINDA PUSVITA</v>
      </c>
      <c r="C502" s="3" t="str">
        <f>IFERROR(__xludf.DUMMYFUNCTION("""COMPUTED_VALUE"""),"D0123070800")</f>
        <v>D0123070800</v>
      </c>
      <c r="D502" s="3">
        <f>IFERROR(__xludf.DUMMYFUNCTION("""COMPUTED_VALUE"""),25.0)</f>
        <v>25</v>
      </c>
      <c r="E502" s="1"/>
    </row>
    <row r="503">
      <c r="A503" s="1"/>
      <c r="B503" s="3" t="str">
        <f>IFERROR(__xludf.DUMMYFUNCTION("""COMPUTED_VALUE"""),"JUANITA MAULIDYA")</f>
        <v>JUANITA MAULIDYA</v>
      </c>
      <c r="C503" s="3" t="str">
        <f>IFERROR(__xludf.DUMMYFUNCTION("""COMPUTED_VALUE"""),"J7223074484")</f>
        <v>J7223074484</v>
      </c>
      <c r="D503" s="3">
        <f>IFERROR(__xludf.DUMMYFUNCTION("""COMPUTED_VALUE"""),54.0)</f>
        <v>54</v>
      </c>
      <c r="E503" s="1"/>
    </row>
    <row r="504">
      <c r="A504" s="1"/>
      <c r="B504" s="3" t="str">
        <f>IFERROR(__xludf.DUMMYFUNCTION("""COMPUTED_VALUE"""),"JULSENT")</f>
        <v>JULSENT</v>
      </c>
      <c r="C504" s="3" t="str">
        <f>IFERROR(__xludf.DUMMYFUNCTION("""COMPUTED_VALUE"""),"J9523076006")</f>
        <v>J9523076006</v>
      </c>
      <c r="D504" s="3">
        <f>IFERROR(__xludf.DUMMYFUNCTION("""COMPUTED_VALUE"""),30.0)</f>
        <v>30</v>
      </c>
      <c r="E504" s="1"/>
    </row>
    <row r="505">
      <c r="A505" s="1"/>
      <c r="B505" s="3" t="str">
        <f>IFERROR(__xludf.DUMMYFUNCTION("""COMPUTED_VALUE"""),"LENA YOVITA")</f>
        <v>LENA YOVITA</v>
      </c>
      <c r="C505" s="3" t="str">
        <f>IFERROR(__xludf.DUMMYFUNCTION("""COMPUTED_VALUE"""),"L7223073992")</f>
        <v>L7223073992</v>
      </c>
      <c r="D505" s="3">
        <f>IFERROR(__xludf.DUMMYFUNCTION("""COMPUTED_VALUE"""),54.0)</f>
        <v>54</v>
      </c>
      <c r="E505" s="1"/>
    </row>
    <row r="506">
      <c r="A506" s="1"/>
      <c r="B506" s="3" t="str">
        <f>IFERROR(__xludf.DUMMYFUNCTION("""COMPUTED_VALUE"""),"SARLESBURY MONCAL S.SOA")</f>
        <v>SARLESBURY MONCAL S.SOA</v>
      </c>
      <c r="C506" s="3" t="str">
        <f>IFERROR(__xludf.DUMMYFUNCTION("""COMPUTED_VALUE"""),"S8023071119")</f>
        <v>S8023071119</v>
      </c>
      <c r="D506" s="3">
        <f>IFERROR(__xludf.DUMMYFUNCTION("""COMPUTED_VALUE"""),45.0)</f>
        <v>45</v>
      </c>
      <c r="E506" s="1"/>
    </row>
    <row r="507">
      <c r="A507" s="1"/>
      <c r="B507" s="3" t="str">
        <f>IFERROR(__xludf.DUMMYFUNCTION("""COMPUTED_VALUE"""),"JASMIN CHAIRYAH")</f>
        <v>JASMIN CHAIRYAH</v>
      </c>
      <c r="C507" s="3" t="str">
        <f>IFERROR(__xludf.DUMMYFUNCTION("""COMPUTED_VALUE"""),"J9223078684")</f>
        <v>J9223078684</v>
      </c>
      <c r="D507" s="3">
        <f>IFERROR(__xludf.DUMMYFUNCTION("""COMPUTED_VALUE"""),33.0)</f>
        <v>33</v>
      </c>
      <c r="E507" s="1"/>
    </row>
    <row r="508">
      <c r="A508" s="1"/>
      <c r="B508" s="3" t="str">
        <f>IFERROR(__xludf.DUMMYFUNCTION("""COMPUTED_VALUE"""),"NABIL FATHIR MAHENDRA")</f>
        <v>NABIL FATHIR MAHENDRA</v>
      </c>
      <c r="C508" s="3" t="str">
        <f>IFERROR(__xludf.DUMMYFUNCTION("""COMPUTED_VALUE"""),"N0923071899")</f>
        <v>N0923071899</v>
      </c>
      <c r="D508" s="3">
        <f>IFERROR(__xludf.DUMMYFUNCTION("""COMPUTED_VALUE"""),16.0)</f>
        <v>16</v>
      </c>
      <c r="E508" s="1"/>
    </row>
    <row r="509">
      <c r="A509" s="1"/>
      <c r="B509" s="3" t="str">
        <f>IFERROR(__xludf.DUMMYFUNCTION("""COMPUTED_VALUE"""),"FUJI TULUS RANDELA")</f>
        <v>FUJI TULUS RANDELA</v>
      </c>
      <c r="C509" s="3" t="str">
        <f>IFERROR(__xludf.DUMMYFUNCTION("""COMPUTED_VALUE"""),"F8723077536")</f>
        <v>F8723077536</v>
      </c>
      <c r="D509" s="3">
        <f>IFERROR(__xludf.DUMMYFUNCTION("""COMPUTED_VALUE"""),39.0)</f>
        <v>39</v>
      </c>
      <c r="E509" s="1"/>
    </row>
    <row r="510">
      <c r="A510" s="1"/>
      <c r="B510" s="3" t="str">
        <f>IFERROR(__xludf.DUMMYFUNCTION("""COMPUTED_VALUE"""),"WAHONO 6001")</f>
        <v>WAHONO 6001</v>
      </c>
      <c r="C510" s="3" t="str">
        <f>IFERROR(__xludf.DUMMYFUNCTION("""COMPUTED_VALUE"""),"W6023073645")</f>
        <v>W6023073645</v>
      </c>
      <c r="D510" s="3">
        <f>IFERROR(__xludf.DUMMYFUNCTION("""COMPUTED_VALUE"""),66.0)</f>
        <v>66</v>
      </c>
      <c r="E510" s="1"/>
    </row>
    <row r="511">
      <c r="A511" s="1"/>
      <c r="B511" s="3" t="str">
        <f>IFERROR(__xludf.DUMMYFUNCTION("""COMPUTED_VALUE"""),"ANGGI KUSUMA")</f>
        <v>ANGGI KUSUMA</v>
      </c>
      <c r="C511" s="3" t="str">
        <f>IFERROR(__xludf.DUMMYFUNCTION("""COMPUTED_VALUE"""),"A8823073845")</f>
        <v>A8823073845</v>
      </c>
      <c r="D511" s="3">
        <f>IFERROR(__xludf.DUMMYFUNCTION("""COMPUTED_VALUE"""),38.0)</f>
        <v>38</v>
      </c>
      <c r="E511" s="1"/>
    </row>
    <row r="512">
      <c r="A512" s="1"/>
      <c r="B512" s="3" t="str">
        <f>IFERROR(__xludf.DUMMYFUNCTION("""COMPUTED_VALUE"""),"URAI TOBY ABDILLAH")</f>
        <v>URAI TOBY ABDILLAH</v>
      </c>
      <c r="C512" s="3" t="str">
        <f>IFERROR(__xludf.DUMMYFUNCTION("""COMPUTED_VALUE"""),"U1223076211")</f>
        <v>U1223076211</v>
      </c>
      <c r="D512" s="3">
        <f>IFERROR(__xludf.DUMMYFUNCTION("""COMPUTED_VALUE"""),13.0)</f>
        <v>13</v>
      </c>
      <c r="E512" s="1"/>
    </row>
    <row r="513">
      <c r="A513" s="1"/>
      <c r="B513" s="3" t="str">
        <f>IFERROR(__xludf.DUMMYFUNCTION("""COMPUTED_VALUE"""),"MUHAMMAD RAVI MAULANA")</f>
        <v>MUHAMMAD RAVI MAULANA</v>
      </c>
      <c r="C513" s="3" t="str">
        <f>IFERROR(__xludf.DUMMYFUNCTION("""COMPUTED_VALUE"""),"M0323079100")</f>
        <v>M0323079100</v>
      </c>
      <c r="D513" s="3">
        <f>IFERROR(__xludf.DUMMYFUNCTION("""COMPUTED_VALUE"""),23.0)</f>
        <v>23</v>
      </c>
      <c r="E513" s="1"/>
    </row>
    <row r="514">
      <c r="A514" s="1"/>
      <c r="B514" s="3" t="str">
        <f>IFERROR(__xludf.DUMMYFUNCTION("""COMPUTED_VALUE"""),"PUTRI SEPTIANI")</f>
        <v>PUTRI SEPTIANI</v>
      </c>
      <c r="C514" s="3" t="str">
        <f>IFERROR(__xludf.DUMMYFUNCTION("""COMPUTED_VALUE"""),"P0323077573")</f>
        <v>P0323077573</v>
      </c>
      <c r="D514" s="3">
        <f>IFERROR(__xludf.DUMMYFUNCTION("""COMPUTED_VALUE"""),22.0)</f>
        <v>22</v>
      </c>
      <c r="E514" s="1"/>
    </row>
    <row r="515">
      <c r="A515" s="1"/>
      <c r="B515" s="3" t="str">
        <f>IFERROR(__xludf.DUMMYFUNCTION("""COMPUTED_VALUE"""),"BARIZ NABHAN PUTRA HARDYAN")</f>
        <v>BARIZ NABHAN PUTRA HARDYAN</v>
      </c>
      <c r="C515" s="3" t="str">
        <f>IFERROR(__xludf.DUMMYFUNCTION("""COMPUTED_VALUE"""),"B0623075121")</f>
        <v>B0623075121</v>
      </c>
      <c r="D515" s="3">
        <f>IFERROR(__xludf.DUMMYFUNCTION("""COMPUTED_VALUE"""),20.0)</f>
        <v>20</v>
      </c>
      <c r="E515" s="1"/>
    </row>
    <row r="516">
      <c r="A516" s="1"/>
      <c r="B516" s="3" t="str">
        <f>IFERROR(__xludf.DUMMYFUNCTION("""COMPUTED_VALUE"""),"LIU YULIANTI")</f>
        <v>LIU YULIANTI</v>
      </c>
      <c r="C516" s="3" t="str">
        <f>IFERROR(__xludf.DUMMYFUNCTION("""COMPUTED_VALUE"""),"L8623076060")</f>
        <v>L8623076060</v>
      </c>
      <c r="D516" s="3">
        <f>IFERROR(__xludf.DUMMYFUNCTION("""COMPUTED_VALUE"""),40.0)</f>
        <v>40</v>
      </c>
      <c r="E516" s="1"/>
    </row>
    <row r="517">
      <c r="A517" s="1"/>
      <c r="B517" s="3" t="str">
        <f>IFERROR(__xludf.DUMMYFUNCTION("""COMPUTED_VALUE"""),"RIRZKI AMANDA")</f>
        <v>RIRZKI AMANDA</v>
      </c>
      <c r="C517" s="3" t="str">
        <f>IFERROR(__xludf.DUMMYFUNCTION("""COMPUTED_VALUE"""),"R9023070027")</f>
        <v>R9023070027</v>
      </c>
      <c r="D517" s="3">
        <f>IFERROR(__xludf.DUMMYFUNCTION("""COMPUTED_VALUE"""),36.0)</f>
        <v>36</v>
      </c>
      <c r="E517" s="1"/>
    </row>
    <row r="518">
      <c r="A518" s="1"/>
      <c r="B518" s="3" t="str">
        <f>IFERROR(__xludf.DUMMYFUNCTION("""COMPUTED_VALUE"""),"RIZTIO NOVAN PRATOMO")</f>
        <v>RIZTIO NOVAN PRATOMO</v>
      </c>
      <c r="C518" s="3" t="str">
        <f>IFERROR(__xludf.DUMMYFUNCTION("""COMPUTED_VALUE"""),"R9123077213")</f>
        <v>R9123077213</v>
      </c>
      <c r="D518" s="3">
        <f>IFERROR(__xludf.DUMMYFUNCTION("""COMPUTED_VALUE"""),34.0)</f>
        <v>34</v>
      </c>
      <c r="E518" s="1"/>
    </row>
    <row r="519">
      <c r="A519" s="1"/>
      <c r="B519" s="3" t="str">
        <f>IFERROR(__xludf.DUMMYFUNCTION("""COMPUTED_VALUE"""),"MOSES AHIE")</f>
        <v>MOSES AHIE</v>
      </c>
      <c r="C519" s="3" t="str">
        <f>IFERROR(__xludf.DUMMYFUNCTION("""COMPUTED_VALUE"""),"M5623071188")</f>
        <v>M5623071188</v>
      </c>
      <c r="D519" s="3">
        <f>IFERROR(__xludf.DUMMYFUNCTION("""COMPUTED_VALUE"""),70.0)</f>
        <v>70</v>
      </c>
      <c r="E519" s="1"/>
    </row>
    <row r="520">
      <c r="A520" s="1"/>
      <c r="B520" s="3" t="str">
        <f>IFERROR(__xludf.DUMMYFUNCTION("""COMPUTED_VALUE"""),"DEWI ARTIKA")</f>
        <v>DEWI ARTIKA</v>
      </c>
      <c r="C520" s="3" t="str">
        <f>IFERROR(__xludf.DUMMYFUNCTION("""COMPUTED_VALUE"""),"D7923079767")</f>
        <v>D7923079767</v>
      </c>
      <c r="D520" s="3">
        <f>IFERROR(__xludf.DUMMYFUNCTION("""COMPUTED_VALUE"""),46.0)</f>
        <v>46</v>
      </c>
      <c r="E520" s="1"/>
    </row>
    <row r="521">
      <c r="A521" s="1"/>
      <c r="B521" s="3" t="str">
        <f>IFERROR(__xludf.DUMMYFUNCTION("""COMPUTED_VALUE"""),"AGATHA ARCADIA")</f>
        <v>AGATHA ARCADIA</v>
      </c>
      <c r="C521" s="3" t="str">
        <f>IFERROR(__xludf.DUMMYFUNCTION("""COMPUTED_VALUE"""),"A0623071437")</f>
        <v>A0623071437</v>
      </c>
      <c r="D521" s="3">
        <f>IFERROR(__xludf.DUMMYFUNCTION("""COMPUTED_VALUE"""),20.0)</f>
        <v>20</v>
      </c>
      <c r="E521" s="1"/>
    </row>
    <row r="522">
      <c r="A522" s="1"/>
      <c r="B522" s="3" t="str">
        <f>IFERROR(__xludf.DUMMYFUNCTION("""COMPUTED_VALUE"""),"TETI AISYAH")</f>
        <v>TETI AISYAH</v>
      </c>
      <c r="C522" s="3" t="str">
        <f>IFERROR(__xludf.DUMMYFUNCTION("""COMPUTED_VALUE"""),"T7623079709")</f>
        <v>T7623079709</v>
      </c>
      <c r="D522" s="3">
        <f>IFERROR(__xludf.DUMMYFUNCTION("""COMPUTED_VALUE"""),49.0)</f>
        <v>49</v>
      </c>
      <c r="E522" s="1"/>
    </row>
    <row r="523">
      <c r="A523" s="1"/>
      <c r="B523" s="3" t="str">
        <f>IFERROR(__xludf.DUMMYFUNCTION("""COMPUTED_VALUE"""),"FATMAWATI SYAM")</f>
        <v>FATMAWATI SYAM</v>
      </c>
      <c r="C523" s="3" t="str">
        <f>IFERROR(__xludf.DUMMYFUNCTION("""COMPUTED_VALUE"""),"F6923072692")</f>
        <v>F6923072692</v>
      </c>
      <c r="D523" s="3">
        <f>IFERROR(__xludf.DUMMYFUNCTION("""COMPUTED_VALUE"""),57.0)</f>
        <v>57</v>
      </c>
      <c r="E523" s="1"/>
    </row>
    <row r="524">
      <c r="A524" s="1"/>
      <c r="B524" s="3" t="str">
        <f>IFERROR(__xludf.DUMMYFUNCTION("""COMPUTED_VALUE"""),"NABILA ANGGRAINI")</f>
        <v>NABILA ANGGRAINI</v>
      </c>
      <c r="C524" s="3" t="str">
        <f>IFERROR(__xludf.DUMMYFUNCTION("""COMPUTED_VALUE"""),"N0623079242")</f>
        <v>N0623079242</v>
      </c>
      <c r="D524" s="3">
        <f>IFERROR(__xludf.DUMMYFUNCTION("""COMPUTED_VALUE"""),20.0)</f>
        <v>20</v>
      </c>
      <c r="E524" s="1"/>
    </row>
    <row r="525">
      <c r="A525" s="1"/>
      <c r="B525" s="3" t="str">
        <f>IFERROR(__xludf.DUMMYFUNCTION("""COMPUTED_VALUE"""),"VICTOR 8811")</f>
        <v>VICTOR 8811</v>
      </c>
      <c r="C525" s="3" t="str">
        <f>IFERROR(__xludf.DUMMYFUNCTION("""COMPUTED_VALUE"""),"V8823076160")</f>
        <v>V8823076160</v>
      </c>
      <c r="D525" s="3">
        <f>IFERROR(__xludf.DUMMYFUNCTION("""COMPUTED_VALUE"""),37.0)</f>
        <v>37</v>
      </c>
      <c r="E525" s="1"/>
    </row>
    <row r="526">
      <c r="A526" s="1"/>
      <c r="B526" s="3" t="str">
        <f>IFERROR(__xludf.DUMMYFUNCTION("""COMPUTED_VALUE"""),"VICTOR 9012")</f>
        <v>VICTOR 9012</v>
      </c>
      <c r="C526" s="3" t="str">
        <f>IFERROR(__xludf.DUMMYFUNCTION("""COMPUTED_VALUE"""),"V9023079008")</f>
        <v>V9023079008</v>
      </c>
      <c r="D526" s="3">
        <f>IFERROR(__xludf.DUMMYFUNCTION("""COMPUTED_VALUE"""),35.0)</f>
        <v>35</v>
      </c>
      <c r="E526" s="1"/>
    </row>
    <row r="527">
      <c r="A527" s="1"/>
      <c r="B527" s="3" t="str">
        <f>IFERROR(__xludf.DUMMYFUNCTION("""COMPUTED_VALUE"""),"YULIANTI 7911")</f>
        <v>YULIANTI 7911</v>
      </c>
      <c r="C527" s="3" t="str">
        <f>IFERROR(__xludf.DUMMYFUNCTION("""COMPUTED_VALUE"""),"Y7923075184")</f>
        <v>Y7923075184</v>
      </c>
      <c r="D527" s="3">
        <f>IFERROR(__xludf.DUMMYFUNCTION("""COMPUTED_VALUE"""),46.0)</f>
        <v>46</v>
      </c>
      <c r="E527" s="1"/>
    </row>
    <row r="528">
      <c r="A528" s="1"/>
      <c r="B528" s="3" t="str">
        <f>IFERROR(__xludf.DUMMYFUNCTION("""COMPUTED_VALUE"""),"MITA SARINIDA")</f>
        <v>MITA SARINIDA</v>
      </c>
      <c r="C528" s="3" t="str">
        <f>IFERROR(__xludf.DUMMYFUNCTION("""COMPUTED_VALUE"""),"M0123077390")</f>
        <v>M0123077390</v>
      </c>
      <c r="D528" s="3">
        <f>IFERROR(__xludf.DUMMYFUNCTION("""COMPUTED_VALUE"""),24.0)</f>
        <v>24</v>
      </c>
      <c r="E528" s="1"/>
    </row>
    <row r="529">
      <c r="A529" s="1"/>
      <c r="B529" s="3" t="str">
        <f>IFERROR(__xludf.DUMMYFUNCTION("""COMPUTED_VALUE"""),"LINA")</f>
        <v>LINA</v>
      </c>
      <c r="C529" s="3" t="str">
        <f>IFERROR(__xludf.DUMMYFUNCTION("""COMPUTED_VALUE"""),"L7423071918")</f>
        <v>L7423071918</v>
      </c>
      <c r="D529" s="3">
        <f>IFERROR(__xludf.DUMMYFUNCTION("""COMPUTED_VALUE"""),52.0)</f>
        <v>52</v>
      </c>
      <c r="E529" s="1"/>
    </row>
    <row r="530">
      <c r="A530" s="1"/>
      <c r="B530" s="3" t="str">
        <f>IFERROR(__xludf.DUMMYFUNCTION("""COMPUTED_VALUE"""),"APRIANA")</f>
        <v>APRIANA</v>
      </c>
      <c r="C530" s="3" t="str">
        <f>IFERROR(__xludf.DUMMYFUNCTION("""COMPUTED_VALUE"""),"A9023072233")</f>
        <v>A9023072233</v>
      </c>
      <c r="D530" s="3">
        <f>IFERROR(__xludf.DUMMYFUNCTION("""COMPUTED_VALUE"""),36.0)</f>
        <v>36</v>
      </c>
      <c r="E530" s="1"/>
    </row>
    <row r="531">
      <c r="A531" s="1"/>
      <c r="B531" s="3" t="str">
        <f>IFERROR(__xludf.DUMMYFUNCTION("""COMPUTED_VALUE"""),"MUHAMAD ICHFAN FIRDIANSYAH")</f>
        <v>MUHAMAD ICHFAN FIRDIANSYAH</v>
      </c>
      <c r="C531" s="3" t="str">
        <f>IFERROR(__xludf.DUMMYFUNCTION("""COMPUTED_VALUE"""),"M9023071522")</f>
        <v>M9023071522</v>
      </c>
      <c r="D531" s="3">
        <f>IFERROR(__xludf.DUMMYFUNCTION("""COMPUTED_VALUE"""),36.0)</f>
        <v>36</v>
      </c>
      <c r="E531" s="1"/>
    </row>
    <row r="532">
      <c r="A532" s="1"/>
      <c r="B532" s="3" t="str">
        <f>IFERROR(__xludf.DUMMYFUNCTION("""COMPUTED_VALUE"""),"ANDI WIJAYA")</f>
        <v>ANDI WIJAYA</v>
      </c>
      <c r="C532" s="3" t="str">
        <f>IFERROR(__xludf.DUMMYFUNCTION("""COMPUTED_VALUE"""),"A0023072560")</f>
        <v>A0023072560</v>
      </c>
      <c r="D532" s="3">
        <f>IFERROR(__xludf.DUMMYFUNCTION("""COMPUTED_VALUE"""),26.0)</f>
        <v>26</v>
      </c>
      <c r="E532" s="1"/>
    </row>
    <row r="533">
      <c r="A533" s="1"/>
      <c r="B533" s="3" t="str">
        <f>IFERROR(__xludf.DUMMYFUNCTION("""COMPUTED_VALUE"""),"TANTU WRESPATI")</f>
        <v>TANTU WRESPATI</v>
      </c>
      <c r="C533" s="3" t="str">
        <f>IFERROR(__xludf.DUMMYFUNCTION("""COMPUTED_VALUE"""),"T9023072707")</f>
        <v>T9023072707</v>
      </c>
      <c r="D533" s="3">
        <f>IFERROR(__xludf.DUMMYFUNCTION("""COMPUTED_VALUE"""),36.0)</f>
        <v>36</v>
      </c>
      <c r="E533" s="1"/>
    </row>
    <row r="534">
      <c r="A534" s="1"/>
      <c r="B534" s="3" t="str">
        <f>IFERROR(__xludf.DUMMYFUNCTION("""COMPUTED_VALUE"""),"TJEN DJAU TJUNG")</f>
        <v>TJEN DJAU TJUNG</v>
      </c>
      <c r="C534" s="3" t="str">
        <f>IFERROR(__xludf.DUMMYFUNCTION("""COMPUTED_VALUE"""),"T6023073452")</f>
        <v>T6023073452</v>
      </c>
      <c r="D534" s="3">
        <f>IFERROR(__xludf.DUMMYFUNCTION("""COMPUTED_VALUE"""),65.0)</f>
        <v>65</v>
      </c>
      <c r="E534" s="1"/>
    </row>
    <row r="535">
      <c r="A535" s="1"/>
      <c r="B535" s="3" t="str">
        <f>IFERROR(__xludf.DUMMYFUNCTION("""COMPUTED_VALUE"""),"LUCKY HARTANTI")</f>
        <v>LUCKY HARTANTI</v>
      </c>
      <c r="C535" s="3" t="str">
        <f>IFERROR(__xludf.DUMMYFUNCTION("""COMPUTED_VALUE"""),"L7523073884")</f>
        <v>L7523073884</v>
      </c>
      <c r="D535" s="3">
        <f>IFERROR(__xludf.DUMMYFUNCTION("""COMPUTED_VALUE"""),51.0)</f>
        <v>51</v>
      </c>
      <c r="E535" s="1"/>
    </row>
    <row r="536">
      <c r="A536" s="1"/>
      <c r="B536" s="3" t="str">
        <f>IFERROR(__xludf.DUMMYFUNCTION("""COMPUTED_VALUE"""),"RIO RAMADHAN PUTRA")</f>
        <v>RIO RAMADHAN PUTRA</v>
      </c>
      <c r="C536" s="3" t="str">
        <f>IFERROR(__xludf.DUMMYFUNCTION("""COMPUTED_VALUE"""),"R9223073339")</f>
        <v>R9223073339</v>
      </c>
      <c r="D536" s="3">
        <f>IFERROR(__xludf.DUMMYFUNCTION("""COMPUTED_VALUE"""),33.0)</f>
        <v>33</v>
      </c>
      <c r="E536" s="1"/>
    </row>
    <row r="537">
      <c r="A537" s="1"/>
      <c r="B537" s="3" t="str">
        <f>IFERROR(__xludf.DUMMYFUNCTION("""COMPUTED_VALUE"""),"JOHAN")</f>
        <v>JOHAN</v>
      </c>
      <c r="C537" s="3" t="str">
        <f>IFERROR(__xludf.DUMMYFUNCTION("""COMPUTED_VALUE"""),"J8923077991")</f>
        <v>J8923077991</v>
      </c>
      <c r="D537" s="3">
        <f>IFERROR(__xludf.DUMMYFUNCTION("""COMPUTED_VALUE"""),37.0)</f>
        <v>37</v>
      </c>
      <c r="E537" s="1"/>
    </row>
    <row r="538">
      <c r="A538" s="1"/>
      <c r="B538" s="3" t="str">
        <f>IFERROR(__xludf.DUMMYFUNCTION("""COMPUTED_VALUE"""),"FELIKS ARMANTO")</f>
        <v>FELIKS ARMANTO</v>
      </c>
      <c r="C538" s="3" t="str">
        <f>IFERROR(__xludf.DUMMYFUNCTION("""COMPUTED_VALUE"""),"F9923076881")</f>
        <v>F9923076881</v>
      </c>
      <c r="D538" s="3">
        <f>IFERROR(__xludf.DUMMYFUNCTION("""COMPUTED_VALUE"""),27.0)</f>
        <v>27</v>
      </c>
      <c r="E538" s="1"/>
    </row>
    <row r="539">
      <c r="A539" s="1"/>
      <c r="B539" s="3" t="str">
        <f>IFERROR(__xludf.DUMMYFUNCTION("""COMPUTED_VALUE"""),"IBNU SUWITO")</f>
        <v>IBNU SUWITO</v>
      </c>
      <c r="C539" s="3" t="str">
        <f>IFERROR(__xludf.DUMMYFUNCTION("""COMPUTED_VALUE"""),"I7523072598")</f>
        <v>I7523072598</v>
      </c>
      <c r="D539" s="3">
        <f>IFERROR(__xludf.DUMMYFUNCTION("""COMPUTED_VALUE"""),50.0)</f>
        <v>50</v>
      </c>
      <c r="E539" s="1"/>
    </row>
    <row r="540">
      <c r="A540" s="1"/>
      <c r="B540" s="3" t="str">
        <f>IFERROR(__xludf.DUMMYFUNCTION("""COMPUTED_VALUE"""),"HAURA NINDIA NAZIHAH")</f>
        <v>HAURA NINDIA NAZIHAH</v>
      </c>
      <c r="C540" s="3" t="str">
        <f>IFERROR(__xludf.DUMMYFUNCTION("""COMPUTED_VALUE"""),"H0923076882")</f>
        <v>H0923076882</v>
      </c>
      <c r="D540" s="3">
        <f>IFERROR(__xludf.DUMMYFUNCTION("""COMPUTED_VALUE"""),17.0)</f>
        <v>17</v>
      </c>
      <c r="E540" s="1"/>
    </row>
    <row r="541">
      <c r="A541" s="1"/>
      <c r="B541" s="3" t="str">
        <f>IFERROR(__xludf.DUMMYFUNCTION("""COMPUTED_VALUE"""),"NOVEL BANGUN KUSWANDI")</f>
        <v>NOVEL BANGUN KUSWANDI</v>
      </c>
      <c r="C541" s="3" t="str">
        <f>IFERROR(__xludf.DUMMYFUNCTION("""COMPUTED_VALUE"""),"N8523070146")</f>
        <v>N8523070146</v>
      </c>
      <c r="D541" s="3">
        <f>IFERROR(__xludf.DUMMYFUNCTION("""COMPUTED_VALUE"""),41.0)</f>
        <v>41</v>
      </c>
      <c r="E541" s="1"/>
    </row>
    <row r="542">
      <c r="A542" s="1"/>
      <c r="B542" s="3" t="str">
        <f>IFERROR(__xludf.DUMMYFUNCTION("""COMPUTED_VALUE"""),"RIA ANANDA")</f>
        <v>RIA ANANDA</v>
      </c>
      <c r="C542" s="3" t="str">
        <f>IFERROR(__xludf.DUMMYFUNCTION("""COMPUTED_VALUE"""),"R9423073528")</f>
        <v>R9423073528</v>
      </c>
      <c r="D542" s="3">
        <f>IFERROR(__xludf.DUMMYFUNCTION("""COMPUTED_VALUE"""),32.0)</f>
        <v>32</v>
      </c>
      <c r="E542" s="1"/>
    </row>
    <row r="543">
      <c r="A543" s="1"/>
      <c r="B543" s="3" t="str">
        <f>IFERROR(__xludf.DUMMYFUNCTION("""COMPUTED_VALUE"""),"LEONARDO")</f>
        <v>LEONARDO</v>
      </c>
      <c r="C543" s="3" t="str">
        <f>IFERROR(__xludf.DUMMYFUNCTION("""COMPUTED_VALUE"""),"L8723079900")</f>
        <v>L8723079900</v>
      </c>
      <c r="D543" s="3">
        <f>IFERROR(__xludf.DUMMYFUNCTION("""COMPUTED_VALUE"""),38.0)</f>
        <v>38</v>
      </c>
      <c r="E543" s="1"/>
    </row>
    <row r="544">
      <c r="A544" s="1"/>
      <c r="B544" s="3" t="str">
        <f>IFERROR(__xludf.DUMMYFUNCTION("""COMPUTED_VALUE"""),"PIKI RAMDANI")</f>
        <v>PIKI RAMDANI</v>
      </c>
      <c r="C544" s="3" t="str">
        <f>IFERROR(__xludf.DUMMYFUNCTION("""COMPUTED_VALUE"""),"P9323071126")</f>
        <v>P9323071126</v>
      </c>
      <c r="D544" s="3">
        <f>IFERROR(__xludf.DUMMYFUNCTION("""COMPUTED_VALUE"""),33.0)</f>
        <v>33</v>
      </c>
      <c r="E544" s="1"/>
    </row>
    <row r="545">
      <c r="A545" s="1"/>
      <c r="B545" s="3" t="str">
        <f>IFERROR(__xludf.DUMMYFUNCTION("""COMPUTED_VALUE"""),"KI DHARMAWAN")</f>
        <v>KI DHARMAWAN</v>
      </c>
      <c r="C545" s="3" t="str">
        <f>IFERROR(__xludf.DUMMYFUNCTION("""COMPUTED_VALUE"""),"K9823072535")</f>
        <v>K9823072535</v>
      </c>
      <c r="D545" s="3">
        <f>IFERROR(__xludf.DUMMYFUNCTION("""COMPUTED_VALUE"""),28.0)</f>
        <v>28</v>
      </c>
      <c r="E545" s="1"/>
    </row>
    <row r="546">
      <c r="A546" s="1"/>
      <c r="B546" s="3" t="str">
        <f>IFERROR(__xludf.DUMMYFUNCTION("""COMPUTED_VALUE"""),"YOUNG BRILLIAN THEHAWIJAYA")</f>
        <v>YOUNG BRILLIAN THEHAWIJAYA</v>
      </c>
      <c r="C546" s="3" t="str">
        <f>IFERROR(__xludf.DUMMYFUNCTION("""COMPUTED_VALUE"""),"Y0623078833")</f>
        <v>Y0623078833</v>
      </c>
      <c r="D546" s="3">
        <f>IFERROR(__xludf.DUMMYFUNCTION("""COMPUTED_VALUE"""),19.0)</f>
        <v>19</v>
      </c>
      <c r="E546" s="1"/>
    </row>
    <row r="547">
      <c r="A547" s="1"/>
      <c r="B547" s="3" t="str">
        <f>IFERROR(__xludf.DUMMYFUNCTION("""COMPUTED_VALUE"""),"IDA HIDAYATI")</f>
        <v>IDA HIDAYATI</v>
      </c>
      <c r="C547" s="3" t="str">
        <f>IFERROR(__xludf.DUMMYFUNCTION("""COMPUTED_VALUE"""),"I6823070922")</f>
        <v>I6823070922</v>
      </c>
      <c r="D547" s="3">
        <f>IFERROR(__xludf.DUMMYFUNCTION("""COMPUTED_VALUE"""),57.0)</f>
        <v>57</v>
      </c>
      <c r="E547" s="1"/>
    </row>
    <row r="548">
      <c r="A548" s="1"/>
      <c r="B548" s="3" t="str">
        <f>IFERROR(__xludf.DUMMYFUNCTION("""COMPUTED_VALUE"""),"BANYU GIFTKHAN MAYLEKA")</f>
        <v>BANYU GIFTKHAN MAYLEKA</v>
      </c>
      <c r="C548" s="3" t="str">
        <f>IFERROR(__xludf.DUMMYFUNCTION("""COMPUTED_VALUE"""),"B0823070540")</f>
        <v>B0823070540</v>
      </c>
      <c r="D548" s="3">
        <f>IFERROR(__xludf.DUMMYFUNCTION("""COMPUTED_VALUE"""),18.0)</f>
        <v>18</v>
      </c>
      <c r="E548" s="1"/>
    </row>
    <row r="549">
      <c r="A549" s="1"/>
      <c r="B549" s="3" t="str">
        <f>IFERROR(__xludf.DUMMYFUNCTION("""COMPUTED_VALUE"""),"DAFFA RIZKY PRATAMA")</f>
        <v>DAFFA RIZKY PRATAMA</v>
      </c>
      <c r="C549" s="3" t="str">
        <f>IFERROR(__xludf.DUMMYFUNCTION("""COMPUTED_VALUE"""),"D0423074113")</f>
        <v>D0423074113</v>
      </c>
      <c r="D549" s="3">
        <f>IFERROR(__xludf.DUMMYFUNCTION("""COMPUTED_VALUE"""),21.0)</f>
        <v>21</v>
      </c>
      <c r="E549" s="1"/>
    </row>
    <row r="550">
      <c r="A550" s="1"/>
      <c r="B550" s="3" t="str">
        <f>IFERROR(__xludf.DUMMYFUNCTION("""COMPUTED_VALUE"""),"SUSNAWATI")</f>
        <v>SUSNAWATI</v>
      </c>
      <c r="C550" s="3" t="str">
        <f>IFERROR(__xludf.DUMMYFUNCTION("""COMPUTED_VALUE"""),"S7823077140")</f>
        <v>S7823077140</v>
      </c>
      <c r="D550" s="3">
        <f>IFERROR(__xludf.DUMMYFUNCTION("""COMPUTED_VALUE"""),47.0)</f>
        <v>47</v>
      </c>
      <c r="E550" s="1"/>
    </row>
    <row r="551">
      <c r="A551" s="1"/>
      <c r="B551" s="3" t="str">
        <f>IFERROR(__xludf.DUMMYFUNCTION("""COMPUTED_VALUE"""),"RUTIANA")</f>
        <v>RUTIANA</v>
      </c>
      <c r="C551" s="3" t="str">
        <f>IFERROR(__xludf.DUMMYFUNCTION("""COMPUTED_VALUE"""),"R6823075669")</f>
        <v>R6823075669</v>
      </c>
      <c r="D551" s="3">
        <f>IFERROR(__xludf.DUMMYFUNCTION("""COMPUTED_VALUE"""),57.0)</f>
        <v>57</v>
      </c>
      <c r="E551" s="1"/>
    </row>
    <row r="552">
      <c r="A552" s="1"/>
      <c r="B552" s="3" t="str">
        <f>IFERROR(__xludf.DUMMYFUNCTION("""COMPUTED_VALUE"""),"NOVI INDRAWAN")</f>
        <v>NOVI INDRAWAN</v>
      </c>
      <c r="C552" s="3" t="str">
        <f>IFERROR(__xludf.DUMMYFUNCTION("""COMPUTED_VALUE"""),"N8923079631")</f>
        <v>N8923079631</v>
      </c>
      <c r="D552" s="3">
        <f>IFERROR(__xludf.DUMMYFUNCTION("""COMPUTED_VALUE"""),36.0)</f>
        <v>36</v>
      </c>
      <c r="E552" s="1"/>
    </row>
    <row r="553">
      <c r="A553" s="1"/>
      <c r="B553" s="3" t="str">
        <f>IFERROR(__xludf.DUMMYFUNCTION("""COMPUTED_VALUE"""),"BONAVENTURA VITO CINTA KARUNIA")</f>
        <v>BONAVENTURA VITO CINTA KARUNIA</v>
      </c>
      <c r="C553" s="3" t="str">
        <f>IFERROR(__xludf.DUMMYFUNCTION("""COMPUTED_VALUE"""),"B0323075177")</f>
        <v>B0323075177</v>
      </c>
      <c r="D553" s="3">
        <f>IFERROR(__xludf.DUMMYFUNCTION("""COMPUTED_VALUE"""),23.0)</f>
        <v>23</v>
      </c>
      <c r="E553" s="1"/>
    </row>
    <row r="554">
      <c r="A554" s="1"/>
      <c r="B554" s="3" t="str">
        <f>IFERROR(__xludf.DUMMYFUNCTION("""COMPUTED_VALUE"""),"ANDAR SETIAWAN")</f>
        <v>ANDAR SETIAWAN</v>
      </c>
      <c r="C554" s="3" t="str">
        <f>IFERROR(__xludf.DUMMYFUNCTION("""COMPUTED_VALUE"""),"A8823075452")</f>
        <v>A8823075452</v>
      </c>
      <c r="D554" s="3">
        <f>IFERROR(__xludf.DUMMYFUNCTION("""COMPUTED_VALUE"""),38.0)</f>
        <v>38</v>
      </c>
      <c r="E554" s="1"/>
    </row>
    <row r="555">
      <c r="A555" s="1"/>
      <c r="B555" s="3" t="str">
        <f>IFERROR(__xludf.DUMMYFUNCTION("""COMPUTED_VALUE"""),"PUTRA MANCHERIGAU CHENDIKIA FERNANDES")</f>
        <v>PUTRA MANCHERIGAU CHENDIKIA FERNANDES</v>
      </c>
      <c r="C555" s="3" t="str">
        <f>IFERROR(__xludf.DUMMYFUNCTION("""COMPUTED_VALUE"""),"P0623074406")</f>
        <v>P0623074406</v>
      </c>
      <c r="D555" s="3">
        <f>IFERROR(__xludf.DUMMYFUNCTION("""COMPUTED_VALUE"""),20.0)</f>
        <v>20</v>
      </c>
      <c r="E555" s="1"/>
    </row>
    <row r="556">
      <c r="A556" s="1"/>
      <c r="B556" s="3" t="str">
        <f>IFERROR(__xludf.DUMMYFUNCTION("""COMPUTED_VALUE"""),"AULIA RAHMAH PUTRI ADISHA")</f>
        <v>AULIA RAHMAH PUTRI ADISHA</v>
      </c>
      <c r="C556" s="3" t="str">
        <f>IFERROR(__xludf.DUMMYFUNCTION("""COMPUTED_VALUE"""),"A1123072881")</f>
        <v>A1123072881</v>
      </c>
      <c r="D556" s="3">
        <f>IFERROR(__xludf.DUMMYFUNCTION("""COMPUTED_VALUE"""),14.0)</f>
        <v>14</v>
      </c>
      <c r="E556" s="1"/>
    </row>
    <row r="557">
      <c r="A557" s="1"/>
      <c r="B557" s="3" t="str">
        <f>IFERROR(__xludf.DUMMYFUNCTION("""COMPUTED_VALUE"""),"DINA SITEPU")</f>
        <v>DINA SITEPU</v>
      </c>
      <c r="C557" s="3" t="str">
        <f>IFERROR(__xludf.DUMMYFUNCTION("""COMPUTED_VALUE"""),"D6723078440")</f>
        <v>D6723078440</v>
      </c>
      <c r="D557" s="3">
        <f>IFERROR(__xludf.DUMMYFUNCTION("""COMPUTED_VALUE"""),59.0)</f>
        <v>59</v>
      </c>
      <c r="E557" s="1"/>
    </row>
    <row r="558">
      <c r="A558" s="1"/>
      <c r="B558" s="3" t="str">
        <f>IFERROR(__xludf.DUMMYFUNCTION("""COMPUTED_VALUE"""),"DORA CHAROLINA")</f>
        <v>DORA CHAROLINA</v>
      </c>
      <c r="C558" s="3" t="str">
        <f>IFERROR(__xludf.DUMMYFUNCTION("""COMPUTED_VALUE"""),"D8223070123")</f>
        <v>D8223070123</v>
      </c>
      <c r="D558" s="3">
        <f>IFERROR(__xludf.DUMMYFUNCTION("""COMPUTED_VALUE"""),44.0)</f>
        <v>44</v>
      </c>
      <c r="E558" s="1"/>
    </row>
    <row r="559">
      <c r="A559" s="1"/>
      <c r="B559" s="3" t="str">
        <f>IFERROR(__xludf.DUMMYFUNCTION("""COMPUTED_VALUE"""),"RITA SUSANTI VIDYA")</f>
        <v>RITA SUSANTI VIDYA</v>
      </c>
      <c r="C559" s="3" t="str">
        <f>IFERROR(__xludf.DUMMYFUNCTION("""COMPUTED_VALUE"""),"R7823075558")</f>
        <v>R7823075558</v>
      </c>
      <c r="D559" s="3">
        <f>IFERROR(__xludf.DUMMYFUNCTION("""COMPUTED_VALUE"""),47.0)</f>
        <v>47</v>
      </c>
      <c r="E559" s="1"/>
    </row>
    <row r="560">
      <c r="A560" s="1"/>
      <c r="B560" s="3" t="str">
        <f>IFERROR(__xludf.DUMMYFUNCTION("""COMPUTED_VALUE"""),"EMYLIA")</f>
        <v>EMYLIA</v>
      </c>
      <c r="C560" s="3" t="str">
        <f>IFERROR(__xludf.DUMMYFUNCTION("""COMPUTED_VALUE"""),"E9523075183")</f>
        <v>E9523075183</v>
      </c>
      <c r="D560" s="3">
        <f>IFERROR(__xludf.DUMMYFUNCTION("""COMPUTED_VALUE"""),30.0)</f>
        <v>30</v>
      </c>
      <c r="E560" s="1"/>
    </row>
    <row r="561">
      <c r="A561" s="1"/>
      <c r="B561" s="3" t="str">
        <f>IFERROR(__xludf.DUMMYFUNCTION("""COMPUTED_VALUE"""),"AGUNG WIYANTO")</f>
        <v>AGUNG WIYANTO</v>
      </c>
      <c r="C561" s="3" t="str">
        <f>IFERROR(__xludf.DUMMYFUNCTION("""COMPUTED_VALUE"""),"A9823072922")</f>
        <v>A9823072922</v>
      </c>
      <c r="D561" s="3">
        <f>IFERROR(__xludf.DUMMYFUNCTION("""COMPUTED_VALUE"""),27.0)</f>
        <v>27</v>
      </c>
      <c r="E561" s="1"/>
    </row>
    <row r="562">
      <c r="A562" s="1"/>
      <c r="B562" s="3" t="str">
        <f>IFERROR(__xludf.DUMMYFUNCTION("""COMPUTED_VALUE"""),"MURZANI NUR")</f>
        <v>MURZANI NUR</v>
      </c>
      <c r="C562" s="3" t="str">
        <f>IFERROR(__xludf.DUMMYFUNCTION("""COMPUTED_VALUE"""),"M6223071870")</f>
        <v>M6223071870</v>
      </c>
      <c r="D562" s="3">
        <f>IFERROR(__xludf.DUMMYFUNCTION("""COMPUTED_VALUE"""),64.0)</f>
        <v>64</v>
      </c>
      <c r="E562" s="1"/>
    </row>
    <row r="563">
      <c r="A563" s="1"/>
      <c r="B563" s="3" t="str">
        <f>IFERROR(__xludf.DUMMYFUNCTION("""COMPUTED_VALUE"""),"YUDI ANGGA PRATAMA")</f>
        <v>YUDI ANGGA PRATAMA</v>
      </c>
      <c r="C563" s="3" t="str">
        <f>IFERROR(__xludf.DUMMYFUNCTION("""COMPUTED_VALUE"""),"Y9723077258")</f>
        <v>Y9723077258</v>
      </c>
      <c r="D563" s="3">
        <f>IFERROR(__xludf.DUMMYFUNCTION("""COMPUTED_VALUE"""),29.0)</f>
        <v>29</v>
      </c>
      <c r="E563" s="1"/>
    </row>
    <row r="564">
      <c r="A564" s="1"/>
      <c r="B564" s="3" t="str">
        <f>IFERROR(__xludf.DUMMYFUNCTION("""COMPUTED_VALUE"""),"LILI SUHANA")</f>
        <v>LILI SUHANA</v>
      </c>
      <c r="C564" s="3" t="str">
        <f>IFERROR(__xludf.DUMMYFUNCTION("""COMPUTED_VALUE"""),"L8123072518")</f>
        <v>L8123072518</v>
      </c>
      <c r="D564" s="3">
        <f>IFERROR(__xludf.DUMMYFUNCTION("""COMPUTED_VALUE"""),45.0)</f>
        <v>45</v>
      </c>
      <c r="E564" s="1"/>
    </row>
    <row r="565">
      <c r="A565" s="1"/>
      <c r="B565" s="3" t="str">
        <f>IFERROR(__xludf.DUMMYFUNCTION("""COMPUTED_VALUE"""),"HARINI")</f>
        <v>HARINI</v>
      </c>
      <c r="C565" s="3" t="str">
        <f>IFERROR(__xludf.DUMMYFUNCTION("""COMPUTED_VALUE"""),"H7023078732")</f>
        <v>H7023078732</v>
      </c>
      <c r="D565" s="3">
        <f>IFERROR(__xludf.DUMMYFUNCTION("""COMPUTED_VALUE"""),55.0)</f>
        <v>55</v>
      </c>
      <c r="E565" s="1"/>
    </row>
    <row r="566">
      <c r="A566" s="1"/>
      <c r="B566" s="3" t="str">
        <f>IFERROR(__xludf.DUMMYFUNCTION("""COMPUTED_VALUE"""),"MUHAMMAD TAUFIK KAMIL")</f>
        <v>MUHAMMAD TAUFIK KAMIL</v>
      </c>
      <c r="C566" s="3" t="str">
        <f>IFERROR(__xludf.DUMMYFUNCTION("""COMPUTED_VALUE"""),"M0623074204")</f>
        <v>M0623074204</v>
      </c>
      <c r="D566" s="3">
        <f>IFERROR(__xludf.DUMMYFUNCTION("""COMPUTED_VALUE"""),20.0)</f>
        <v>20</v>
      </c>
      <c r="E566" s="1"/>
    </row>
    <row r="567">
      <c r="A567" s="1"/>
      <c r="B567" s="3" t="str">
        <f>IFERROR(__xludf.DUMMYFUNCTION("""COMPUTED_VALUE"""),"ANGGA FRATAMA,S.STP")</f>
        <v>ANGGA FRATAMA,S.STP</v>
      </c>
      <c r="C567" s="3" t="str">
        <f>IFERROR(__xludf.DUMMYFUNCTION("""COMPUTED_VALUE"""),"A8623077979")</f>
        <v>A8623077979</v>
      </c>
      <c r="D567" s="3">
        <f>IFERROR(__xludf.DUMMYFUNCTION("""COMPUTED_VALUE"""),39.0)</f>
        <v>39</v>
      </c>
      <c r="E567" s="1"/>
    </row>
    <row r="568">
      <c r="A568" s="1"/>
      <c r="B568" s="3" t="str">
        <f>IFERROR(__xludf.DUMMYFUNCTION("""COMPUTED_VALUE"""),"ANDREW WILLARD HWANGSU")</f>
        <v>ANDREW WILLARD HWANGSU</v>
      </c>
      <c r="C568" s="3" t="str">
        <f>IFERROR(__xludf.DUMMYFUNCTION("""COMPUTED_VALUE"""),"A0423074795")</f>
        <v>A0423074795</v>
      </c>
      <c r="D568" s="3">
        <f>IFERROR(__xludf.DUMMYFUNCTION("""COMPUTED_VALUE"""),21.0)</f>
        <v>21</v>
      </c>
      <c r="E568" s="1"/>
    </row>
    <row r="569">
      <c r="A569" s="1"/>
      <c r="B569" s="3" t="str">
        <f>IFERROR(__xludf.DUMMYFUNCTION("""COMPUTED_VALUE"""),"INDRIANI BUDI KURNIAWATI")</f>
        <v>INDRIANI BUDI KURNIAWATI</v>
      </c>
      <c r="C569" s="3" t="str">
        <f>IFERROR(__xludf.DUMMYFUNCTION("""COMPUTED_VALUE"""),"I8023078956")</f>
        <v>I8023078956</v>
      </c>
      <c r="D569" s="3">
        <f>IFERROR(__xludf.DUMMYFUNCTION("""COMPUTED_VALUE"""),46.0)</f>
        <v>46</v>
      </c>
      <c r="E569" s="1"/>
    </row>
    <row r="570">
      <c r="A570" s="1"/>
      <c r="B570" s="3" t="str">
        <f>IFERROR(__xludf.DUMMYFUNCTION("""COMPUTED_VALUE"""),"GABRIEL PRASTIO")</f>
        <v>GABRIEL PRASTIO</v>
      </c>
      <c r="C570" s="3" t="str">
        <f>IFERROR(__xludf.DUMMYFUNCTION("""COMPUTED_VALUE"""),"G1423079647")</f>
        <v>G1423079647</v>
      </c>
      <c r="D570" s="3">
        <f>IFERROR(__xludf.DUMMYFUNCTION("""COMPUTED_VALUE"""),12.0)</f>
        <v>12</v>
      </c>
      <c r="E570" s="1"/>
    </row>
    <row r="571">
      <c r="A571" s="1"/>
      <c r="B571" s="3" t="str">
        <f>IFERROR(__xludf.DUMMYFUNCTION("""COMPUTED_VALUE"""),"KHALIL ABRAR")</f>
        <v>KHALIL ABRAR</v>
      </c>
      <c r="C571" s="3" t="str">
        <f>IFERROR(__xludf.DUMMYFUNCTION("""COMPUTED_VALUE"""),"K0723071442")</f>
        <v>K0723071442</v>
      </c>
      <c r="D571" s="3">
        <f>IFERROR(__xludf.DUMMYFUNCTION("""COMPUTED_VALUE"""),18.0)</f>
        <v>18</v>
      </c>
      <c r="E571" s="1"/>
    </row>
    <row r="572">
      <c r="A572" s="1"/>
      <c r="B572" s="3" t="str">
        <f>IFERROR(__xludf.DUMMYFUNCTION("""COMPUTED_VALUE"""),"HAPPY HENDRAWAN")</f>
        <v>HAPPY HENDRAWAN</v>
      </c>
      <c r="C572" s="3" t="str">
        <f>IFERROR(__xludf.DUMMYFUNCTION("""COMPUTED_VALUE"""),"H6823047357")</f>
        <v>H6823047357</v>
      </c>
      <c r="D572" s="3">
        <f>IFERROR(__xludf.DUMMYFUNCTION("""COMPUTED_VALUE"""),57.0)</f>
        <v>57</v>
      </c>
      <c r="E572" s="1"/>
    </row>
    <row r="573">
      <c r="A573" s="1"/>
      <c r="B573" s="3" t="str">
        <f>IFERROR(__xludf.DUMMYFUNCTION("""COMPUTED_VALUE"""),"VIBRYA AQUANA")</f>
        <v>VIBRYA AQUANA</v>
      </c>
      <c r="C573" s="3" t="str">
        <f>IFERROR(__xludf.DUMMYFUNCTION("""COMPUTED_VALUE"""),"V7923087686")</f>
        <v>V7923087686</v>
      </c>
      <c r="D573" s="3">
        <f>IFERROR(__xludf.DUMMYFUNCTION("""COMPUTED_VALUE"""),47.0)</f>
        <v>47</v>
      </c>
      <c r="E573" s="1"/>
    </row>
    <row r="574">
      <c r="A574" s="1"/>
      <c r="B574" s="3" t="str">
        <f>IFERROR(__xludf.DUMMYFUNCTION("""COMPUTED_VALUE"""),"RIZKI SUBARKAH")</f>
        <v>RIZKI SUBARKAH</v>
      </c>
      <c r="C574" s="3" t="str">
        <f>IFERROR(__xludf.DUMMYFUNCTION("""COMPUTED_VALUE"""),"R9323047327")</f>
        <v>R9323047327</v>
      </c>
      <c r="D574" s="3">
        <f>IFERROR(__xludf.DUMMYFUNCTION("""COMPUTED_VALUE"""),33.0)</f>
        <v>33</v>
      </c>
      <c r="E574" s="1"/>
    </row>
    <row r="575">
      <c r="A575" s="1"/>
      <c r="B575" s="3" t="str">
        <f>IFERROR(__xludf.DUMMYFUNCTION("""COMPUTED_VALUE"""),"ARY FAHRIANSYAH")</f>
        <v>ARY FAHRIANSYAH</v>
      </c>
      <c r="C575" s="3" t="str">
        <f>IFERROR(__xludf.DUMMYFUNCTION("""COMPUTED_VALUE"""),"A8623080507")</f>
        <v>A8623080507</v>
      </c>
      <c r="D575" s="3">
        <f>IFERROR(__xludf.DUMMYFUNCTION("""COMPUTED_VALUE"""),39.0)</f>
        <v>39</v>
      </c>
      <c r="E575" s="1"/>
    </row>
    <row r="576">
      <c r="A576" s="1"/>
      <c r="B576" s="3" t="str">
        <f>IFERROR(__xludf.DUMMYFUNCTION("""COMPUTED_VALUE"""),"USDEKAWATI")</f>
        <v>USDEKAWATI</v>
      </c>
      <c r="C576" s="3" t="str">
        <f>IFERROR(__xludf.DUMMYFUNCTION("""COMPUTED_VALUE"""),"U7623081979")</f>
        <v>U7623081979</v>
      </c>
      <c r="D576" s="3">
        <f>IFERROR(__xludf.DUMMYFUNCTION("""COMPUTED_VALUE"""),49.0)</f>
        <v>49</v>
      </c>
      <c r="E576" s="1"/>
    </row>
    <row r="577">
      <c r="A577" s="1"/>
      <c r="B577" s="3" t="str">
        <f>IFERROR(__xludf.DUMMYFUNCTION("""COMPUTED_VALUE"""),"CERI NATASYA JANITRA")</f>
        <v>CERI NATASYA JANITRA</v>
      </c>
      <c r="C577" s="3" t="str">
        <f>IFERROR(__xludf.DUMMYFUNCTION("""COMPUTED_VALUE"""),"C0023089336")</f>
        <v>C0023089336</v>
      </c>
      <c r="D577" s="3">
        <f>IFERROR(__xludf.DUMMYFUNCTION("""COMPUTED_VALUE"""),25.0)</f>
        <v>25</v>
      </c>
      <c r="E577" s="1"/>
    </row>
    <row r="578">
      <c r="A578" s="1"/>
      <c r="B578" s="3" t="str">
        <f>IFERROR(__xludf.DUMMYFUNCTION("""COMPUTED_VALUE"""),"DICKY KRISTIAN")</f>
        <v>DICKY KRISTIAN</v>
      </c>
      <c r="C578" s="3" t="str">
        <f>IFERROR(__xludf.DUMMYFUNCTION("""COMPUTED_VALUE"""),"D9923082332")</f>
        <v>D9923082332</v>
      </c>
      <c r="D578" s="3">
        <f>IFERROR(__xludf.DUMMYFUNCTION("""COMPUTED_VALUE"""),27.0)</f>
        <v>27</v>
      </c>
      <c r="E578" s="1"/>
    </row>
    <row r="579">
      <c r="A579" s="1"/>
      <c r="B579" s="3" t="str">
        <f>IFERROR(__xludf.DUMMYFUNCTION("""COMPUTED_VALUE"""),"SURYATI")</f>
        <v>SURYATI</v>
      </c>
      <c r="C579" s="3" t="str">
        <f>IFERROR(__xludf.DUMMYFUNCTION("""COMPUTED_VALUE"""),"S7323083657")</f>
        <v>S7323083657</v>
      </c>
      <c r="D579" s="3">
        <f>IFERROR(__xludf.DUMMYFUNCTION("""COMPUTED_VALUE"""),-948.0)</f>
        <v>-948</v>
      </c>
      <c r="E579" s="1"/>
    </row>
    <row r="580">
      <c r="A580" s="1"/>
      <c r="B580" s="3" t="str">
        <f>IFERROR(__xludf.DUMMYFUNCTION("""COMPUTED_VALUE"""),"RAMADHAN 0510")</f>
        <v>RAMADHAN 0510</v>
      </c>
      <c r="C580" s="3" t="str">
        <f>IFERROR(__xludf.DUMMYFUNCTION("""COMPUTED_VALUE"""),"R0523089185")</f>
        <v>R0523089185</v>
      </c>
      <c r="D580" s="3">
        <f>IFERROR(__xludf.DUMMYFUNCTION("""COMPUTED_VALUE"""),20.0)</f>
        <v>20</v>
      </c>
      <c r="E580" s="1"/>
    </row>
    <row r="581">
      <c r="A581" s="1"/>
      <c r="B581" s="3" t="str">
        <f>IFERROR(__xludf.DUMMYFUNCTION("""COMPUTED_VALUE"""),"ROLA BINTANG KURNIA")</f>
        <v>ROLA BINTANG KURNIA</v>
      </c>
      <c r="C581" s="3" t="str">
        <f>IFERROR(__xludf.DUMMYFUNCTION("""COMPUTED_VALUE"""),"R9623087823")</f>
        <v>R9623087823</v>
      </c>
      <c r="D581" s="3">
        <f>IFERROR(__xludf.DUMMYFUNCTION("""COMPUTED_VALUE"""),29.0)</f>
        <v>29</v>
      </c>
      <c r="E581" s="1"/>
    </row>
    <row r="582">
      <c r="A582" s="1"/>
      <c r="B582" s="3" t="str">
        <f>IFERROR(__xludf.DUMMYFUNCTION("""COMPUTED_VALUE"""),"REZZA SETYA ALARY")</f>
        <v>REZZA SETYA ALARY</v>
      </c>
      <c r="C582" s="3" t="str">
        <f>IFERROR(__xludf.DUMMYFUNCTION("""COMPUTED_VALUE"""),"R9323089780")</f>
        <v>R9323089780</v>
      </c>
      <c r="D582" s="3">
        <f>IFERROR(__xludf.DUMMYFUNCTION("""COMPUTED_VALUE"""),32.0)</f>
        <v>32</v>
      </c>
      <c r="E582" s="1"/>
    </row>
    <row r="583">
      <c r="A583" s="1"/>
      <c r="B583" s="3" t="str">
        <f>IFERROR(__xludf.DUMMYFUNCTION("""COMPUTED_VALUE"""),"M. RAZIQ HANAN")</f>
        <v>M. RAZIQ HANAN</v>
      </c>
      <c r="C583" s="3" t="str">
        <f>IFERROR(__xludf.DUMMYFUNCTION("""COMPUTED_VALUE"""),"M1323086565")</f>
        <v>M1323086565</v>
      </c>
      <c r="D583" s="3">
        <f>IFERROR(__xludf.DUMMYFUNCTION("""COMPUTED_VALUE"""),12.0)</f>
        <v>12</v>
      </c>
      <c r="E583" s="1"/>
    </row>
    <row r="584">
      <c r="A584" s="1"/>
      <c r="B584" s="3" t="str">
        <f>IFERROR(__xludf.DUMMYFUNCTION("""COMPUTED_VALUE"""),"ERWIN DJUNG")</f>
        <v>ERWIN DJUNG</v>
      </c>
      <c r="C584" s="3" t="str">
        <f>IFERROR(__xludf.DUMMYFUNCTION("""COMPUTED_VALUE"""),"E6223083788")</f>
        <v>E6223083788</v>
      </c>
      <c r="D584" s="3">
        <f>IFERROR(__xludf.DUMMYFUNCTION("""COMPUTED_VALUE"""),64.0)</f>
        <v>64</v>
      </c>
      <c r="E584" s="1"/>
    </row>
    <row r="585">
      <c r="A585" s="1"/>
      <c r="B585" s="3" t="str">
        <f>IFERROR(__xludf.DUMMYFUNCTION("""COMPUTED_VALUE"""),"POSMA MAS HERLINA")</f>
        <v>POSMA MAS HERLINA</v>
      </c>
      <c r="C585" s="3" t="str">
        <f>IFERROR(__xludf.DUMMYFUNCTION("""COMPUTED_VALUE"""),"P6223084907")</f>
        <v>P6223084907</v>
      </c>
      <c r="D585" s="3">
        <f>IFERROR(__xludf.DUMMYFUNCTION("""COMPUTED_VALUE"""),63.0)</f>
        <v>63</v>
      </c>
      <c r="E585" s="1"/>
    </row>
    <row r="586">
      <c r="A586" s="1"/>
      <c r="B586" s="3" t="str">
        <f>IFERROR(__xludf.DUMMYFUNCTION("""COMPUTED_VALUE"""),"MEGA SHINTIAWATI")</f>
        <v>MEGA SHINTIAWATI</v>
      </c>
      <c r="C586" s="3" t="str">
        <f>IFERROR(__xludf.DUMMYFUNCTION("""COMPUTED_VALUE"""),"M9523087439")</f>
        <v>M9523087439</v>
      </c>
      <c r="D586" s="3">
        <f>IFERROR(__xludf.DUMMYFUNCTION("""COMPUTED_VALUE"""),30.0)</f>
        <v>30</v>
      </c>
      <c r="E586" s="1"/>
    </row>
    <row r="587">
      <c r="A587" s="1"/>
      <c r="B587" s="3" t="str">
        <f>IFERROR(__xludf.DUMMYFUNCTION("""COMPUTED_VALUE"""),"PRAYOKO TANGESTU TANTRA")</f>
        <v>PRAYOKO TANGESTU TANTRA</v>
      </c>
      <c r="C587" s="3" t="str">
        <f>IFERROR(__xludf.DUMMYFUNCTION("""COMPUTED_VALUE"""),"P9723086797")</f>
        <v>P9723086797</v>
      </c>
      <c r="D587" s="3">
        <f>IFERROR(__xludf.DUMMYFUNCTION("""COMPUTED_VALUE"""),29.0)</f>
        <v>29</v>
      </c>
      <c r="E587" s="1"/>
    </row>
    <row r="588">
      <c r="A588" s="1"/>
      <c r="B588" s="3" t="str">
        <f>IFERROR(__xludf.DUMMYFUNCTION("""COMPUTED_VALUE"""),"ISMURHADI RIZKI")</f>
        <v>ISMURHADI RIZKI</v>
      </c>
      <c r="C588" s="3" t="str">
        <f>IFERROR(__xludf.DUMMYFUNCTION("""COMPUTED_VALUE"""),"I9423084523")</f>
        <v>I9423084523</v>
      </c>
      <c r="D588" s="3">
        <f>IFERROR(__xludf.DUMMYFUNCTION("""COMPUTED_VALUE"""),32.0)</f>
        <v>32</v>
      </c>
      <c r="E588" s="1"/>
    </row>
    <row r="589">
      <c r="A589" s="1"/>
      <c r="B589" s="3" t="str">
        <f>IFERROR(__xludf.DUMMYFUNCTION("""COMPUTED_VALUE"""),"ERIC MEINARD TAMPUBOLON")</f>
        <v>ERIC MEINARD TAMPUBOLON</v>
      </c>
      <c r="C589" s="3" t="str">
        <f>IFERROR(__xludf.DUMMYFUNCTION("""COMPUTED_VALUE"""),"E8423086861")</f>
        <v>E8423086861</v>
      </c>
      <c r="D589" s="3">
        <f>IFERROR(__xludf.DUMMYFUNCTION("""COMPUTED_VALUE"""),42.0)</f>
        <v>42</v>
      </c>
      <c r="E589" s="1"/>
    </row>
    <row r="590">
      <c r="A590" s="1"/>
      <c r="B590" s="3" t="str">
        <f>IFERROR(__xludf.DUMMYFUNCTION("""COMPUTED_VALUE"""),"HENDRIATY S")</f>
        <v>HENDRIATY S</v>
      </c>
      <c r="C590" s="3" t="str">
        <f>IFERROR(__xludf.DUMMYFUNCTION("""COMPUTED_VALUE"""),"H5923089099")</f>
        <v>H5923089099</v>
      </c>
      <c r="D590" s="3">
        <f>IFERROR(__xludf.DUMMYFUNCTION("""COMPUTED_VALUE"""),67.0)</f>
        <v>67</v>
      </c>
      <c r="E590" s="1"/>
    </row>
    <row r="591">
      <c r="A591" s="1"/>
      <c r="B591" s="3" t="str">
        <f>IFERROR(__xludf.DUMMYFUNCTION("""COMPUTED_VALUE"""),"LILIS ANDRIYANI")</f>
        <v>LILIS ANDRIYANI</v>
      </c>
      <c r="C591" s="3" t="str">
        <f>IFERROR(__xludf.DUMMYFUNCTION("""COMPUTED_VALUE"""),"L7423084255")</f>
        <v>L7423084255</v>
      </c>
      <c r="D591" s="3">
        <f>IFERROR(__xludf.DUMMYFUNCTION("""COMPUTED_VALUE"""),51.0)</f>
        <v>51</v>
      </c>
      <c r="E591" s="1"/>
    </row>
    <row r="592">
      <c r="A592" s="1"/>
      <c r="B592" s="3" t="str">
        <f>IFERROR(__xludf.DUMMYFUNCTION("""COMPUTED_VALUE"""),"MUHAMMAD LUTFI TRI DARMAWAN")</f>
        <v>MUHAMMAD LUTFI TRI DARMAWAN</v>
      </c>
      <c r="C592" s="3" t="str">
        <f>IFERROR(__xludf.DUMMYFUNCTION("""COMPUTED_VALUE"""),"M9323084088")</f>
        <v>M9323084088</v>
      </c>
      <c r="D592" s="3">
        <f>IFERROR(__xludf.DUMMYFUNCTION("""COMPUTED_VALUE"""),32.0)</f>
        <v>32</v>
      </c>
      <c r="E592" s="1"/>
    </row>
    <row r="593">
      <c r="A593" s="1"/>
      <c r="B593" s="3" t="str">
        <f>IFERROR(__xludf.DUMMYFUNCTION("""COMPUTED_VALUE"""),"BUDI KURNIAWAN")</f>
        <v>BUDI KURNIAWAN</v>
      </c>
      <c r="C593" s="3" t="str">
        <f>IFERROR(__xludf.DUMMYFUNCTION("""COMPUTED_VALUE"""),"B7623087756")</f>
        <v>B7623087756</v>
      </c>
      <c r="D593" s="3">
        <f>IFERROR(__xludf.DUMMYFUNCTION("""COMPUTED_VALUE"""),50.0)</f>
        <v>50</v>
      </c>
      <c r="E593" s="1"/>
    </row>
    <row r="594">
      <c r="A594" s="1"/>
      <c r="B594" s="3" t="str">
        <f>IFERROR(__xludf.DUMMYFUNCTION("""COMPUTED_VALUE"""),"LYDIA GRACE")</f>
        <v>LYDIA GRACE</v>
      </c>
      <c r="C594" s="3" t="str">
        <f>IFERROR(__xludf.DUMMYFUNCTION("""COMPUTED_VALUE"""),"L7823080350")</f>
        <v>L7823080350</v>
      </c>
      <c r="D594" s="3">
        <f>IFERROR(__xludf.DUMMYFUNCTION("""COMPUTED_VALUE"""),48.0)</f>
        <v>48</v>
      </c>
      <c r="E594" s="1"/>
    </row>
    <row r="595">
      <c r="A595" s="1"/>
      <c r="B595" s="3" t="str">
        <f>IFERROR(__xludf.DUMMYFUNCTION("""COMPUTED_VALUE"""),"HENDRIK")</f>
        <v>HENDRIK</v>
      </c>
      <c r="C595" s="3" t="str">
        <f>IFERROR(__xludf.DUMMYFUNCTION("""COMPUTED_VALUE"""),"H7823085883")</f>
        <v>H7823085883</v>
      </c>
      <c r="D595" s="3">
        <f>IFERROR(__xludf.DUMMYFUNCTION("""COMPUTED_VALUE"""),47.0)</f>
        <v>47</v>
      </c>
      <c r="E595" s="1"/>
    </row>
    <row r="596">
      <c r="A596" s="1"/>
      <c r="B596" s="3" t="str">
        <f>IFERROR(__xludf.DUMMYFUNCTION("""COMPUTED_VALUE"""),"HENDRA BONG")</f>
        <v>HENDRA BONG</v>
      </c>
      <c r="C596" s="3" t="str">
        <f>IFERROR(__xludf.DUMMYFUNCTION("""COMPUTED_VALUE"""),"H8623081986")</f>
        <v>H8623081986</v>
      </c>
      <c r="D596" s="3">
        <f>IFERROR(__xludf.DUMMYFUNCTION("""COMPUTED_VALUE"""),39.0)</f>
        <v>39</v>
      </c>
      <c r="E596" s="1"/>
    </row>
    <row r="597">
      <c r="A597" s="1"/>
      <c r="B597" s="3" t="str">
        <f>IFERROR(__xludf.DUMMYFUNCTION("""COMPUTED_VALUE"""),"UTI MUHAMAD MAHRUS PRIMADI")</f>
        <v>UTI MUHAMAD MAHRUS PRIMADI</v>
      </c>
      <c r="C597" s="3" t="str">
        <f>IFERROR(__xludf.DUMMYFUNCTION("""COMPUTED_VALUE"""),"U0223089500")</f>
        <v>U0223089500</v>
      </c>
      <c r="D597" s="3">
        <f>IFERROR(__xludf.DUMMYFUNCTION("""COMPUTED_VALUE"""),23.0)</f>
        <v>23</v>
      </c>
      <c r="E597" s="1"/>
    </row>
    <row r="598">
      <c r="A598" s="1"/>
      <c r="B598" s="3" t="str">
        <f>IFERROR(__xludf.DUMMYFUNCTION("""COMPUTED_VALUE"""),"ROSMA WARDHANI")</f>
        <v>ROSMA WARDHANI</v>
      </c>
      <c r="C598" s="3" t="str">
        <f>IFERROR(__xludf.DUMMYFUNCTION("""COMPUTED_VALUE"""),"R8623085811")</f>
        <v>R8623085811</v>
      </c>
      <c r="D598" s="3">
        <f>IFERROR(__xludf.DUMMYFUNCTION("""COMPUTED_VALUE"""),40.0)</f>
        <v>40</v>
      </c>
      <c r="E598" s="1"/>
    </row>
    <row r="599">
      <c r="A599" s="1"/>
      <c r="B599" s="3" t="str">
        <f>IFERROR(__xludf.DUMMYFUNCTION("""COMPUTED_VALUE"""),"TEMMI")</f>
        <v>TEMMI</v>
      </c>
      <c r="C599" s="3" t="str">
        <f>IFERROR(__xludf.DUMMYFUNCTION("""COMPUTED_VALUE"""),"T9323082998")</f>
        <v>T9323082998</v>
      </c>
      <c r="D599" s="3">
        <f>IFERROR(__xludf.DUMMYFUNCTION("""COMPUTED_VALUE"""),32.0)</f>
        <v>32</v>
      </c>
      <c r="E599" s="1"/>
    </row>
    <row r="600">
      <c r="A600" s="1"/>
      <c r="B600" s="3" t="str">
        <f>IFERROR(__xludf.DUMMYFUNCTION("""COMPUTED_VALUE"""),"BAYUAJI HERLAMBANG")</f>
        <v>BAYUAJI HERLAMBANG</v>
      </c>
      <c r="C600" s="3" t="str">
        <f>IFERROR(__xludf.DUMMYFUNCTION("""COMPUTED_VALUE"""),"B9723088521")</f>
        <v>B9723088521</v>
      </c>
      <c r="D600" s="3">
        <f>IFERROR(__xludf.DUMMYFUNCTION("""COMPUTED_VALUE"""),28.0)</f>
        <v>28</v>
      </c>
      <c r="E600" s="1"/>
    </row>
    <row r="601">
      <c r="A601" s="1"/>
      <c r="B601" s="3" t="str">
        <f>IFERROR(__xludf.DUMMYFUNCTION("""COMPUTED_VALUE"""),"DEVI SUSANTI")</f>
        <v>DEVI SUSANTI</v>
      </c>
      <c r="C601" s="3" t="str">
        <f>IFERROR(__xludf.DUMMYFUNCTION("""COMPUTED_VALUE"""),"D9123086880")</f>
        <v>D9123086880</v>
      </c>
      <c r="D601" s="3">
        <f>IFERROR(__xludf.DUMMYFUNCTION("""COMPUTED_VALUE"""),34.0)</f>
        <v>34</v>
      </c>
      <c r="E601" s="1"/>
    </row>
    <row r="602">
      <c r="A602" s="1"/>
      <c r="B602" s="3" t="str">
        <f>IFERROR(__xludf.DUMMYFUNCTION("""COMPUTED_VALUE"""),"DIDIT CINDARBUMI TZ")</f>
        <v>DIDIT CINDARBUMI TZ</v>
      </c>
      <c r="C602" s="3" t="str">
        <f>IFERROR(__xludf.DUMMYFUNCTION("""COMPUTED_VALUE"""),"D7323087570")</f>
        <v>D7323087570</v>
      </c>
      <c r="D602" s="3">
        <f>IFERROR(__xludf.DUMMYFUNCTION("""COMPUTED_VALUE"""),52.0)</f>
        <v>52</v>
      </c>
      <c r="E602" s="1"/>
    </row>
    <row r="603">
      <c r="A603" s="1"/>
      <c r="B603" s="3" t="str">
        <f>IFERROR(__xludf.DUMMYFUNCTION("""COMPUTED_VALUE"""),"CHARLES JERICHO PANGESTU")</f>
        <v>CHARLES JERICHO PANGESTU</v>
      </c>
      <c r="C603" s="3" t="str">
        <f>IFERROR(__xludf.DUMMYFUNCTION("""COMPUTED_VALUE"""),"C0623081570")</f>
        <v>C0623081570</v>
      </c>
      <c r="D603" s="3">
        <f>IFERROR(__xludf.DUMMYFUNCTION("""COMPUTED_VALUE"""),19.0)</f>
        <v>19</v>
      </c>
      <c r="E603" s="1"/>
    </row>
    <row r="604">
      <c r="A604" s="1"/>
      <c r="B604" s="3" t="str">
        <f>IFERROR(__xludf.DUMMYFUNCTION("""COMPUTED_VALUE"""),"WILLY FERDIAN")</f>
        <v>WILLY FERDIAN</v>
      </c>
      <c r="C604" s="3" t="str">
        <f>IFERROR(__xludf.DUMMYFUNCTION("""COMPUTED_VALUE"""),"W8423086646")</f>
        <v>W8423086646</v>
      </c>
      <c r="D604" s="3">
        <f>IFERROR(__xludf.DUMMYFUNCTION("""COMPUTED_VALUE"""),42.0)</f>
        <v>42</v>
      </c>
      <c r="E604" s="1"/>
    </row>
    <row r="605">
      <c r="A605" s="1"/>
      <c r="B605" s="3" t="str">
        <f>IFERROR(__xludf.DUMMYFUNCTION("""COMPUTED_VALUE"""),"MOHAMMAD BAHY AZKA ADIVA")</f>
        <v>MOHAMMAD BAHY AZKA ADIVA</v>
      </c>
      <c r="C605" s="3" t="str">
        <f>IFERROR(__xludf.DUMMYFUNCTION("""COMPUTED_VALUE"""),"M1123086337")</f>
        <v>M1123086337</v>
      </c>
      <c r="D605" s="3">
        <f>IFERROR(__xludf.DUMMYFUNCTION("""COMPUTED_VALUE"""),15.0)</f>
        <v>15</v>
      </c>
      <c r="E605" s="1"/>
    </row>
    <row r="606">
      <c r="A606" s="1"/>
      <c r="B606" s="3" t="str">
        <f>IFERROR(__xludf.DUMMYFUNCTION("""COMPUTED_VALUE"""),"CAHYO FITRIWATI")</f>
        <v>CAHYO FITRIWATI</v>
      </c>
      <c r="C606" s="3" t="str">
        <f>IFERROR(__xludf.DUMMYFUNCTION("""COMPUTED_VALUE"""),"C9423084401")</f>
        <v>C9423084401</v>
      </c>
      <c r="D606" s="3">
        <f>IFERROR(__xludf.DUMMYFUNCTION("""COMPUTED_VALUE"""),32.0)</f>
        <v>32</v>
      </c>
      <c r="E606" s="1"/>
    </row>
    <row r="607">
      <c r="A607" s="1"/>
      <c r="B607" s="3" t="str">
        <f>IFERROR(__xludf.DUMMYFUNCTION("""COMPUTED_VALUE"""),"ARIEF ADI PURWOKO")</f>
        <v>ARIEF ADI PURWOKO</v>
      </c>
      <c r="C607" s="3" t="str">
        <f>IFERROR(__xludf.DUMMYFUNCTION("""COMPUTED_VALUE"""),"A8623089993")</f>
        <v>A8623089993</v>
      </c>
      <c r="D607" s="3">
        <f>IFERROR(__xludf.DUMMYFUNCTION("""COMPUTED_VALUE"""),40.0)</f>
        <v>40</v>
      </c>
      <c r="E607" s="1"/>
    </row>
    <row r="608">
      <c r="A608" s="1"/>
      <c r="B608" s="3" t="str">
        <f>IFERROR(__xludf.DUMMYFUNCTION("""COMPUTED_VALUE"""),"WINDY EKA PUSPITA")</f>
        <v>WINDY EKA PUSPITA</v>
      </c>
      <c r="C608" s="3" t="str">
        <f>IFERROR(__xludf.DUMMYFUNCTION("""COMPUTED_VALUE"""),"W7823082225")</f>
        <v>W7823082225</v>
      </c>
      <c r="D608" s="3">
        <f>IFERROR(__xludf.DUMMYFUNCTION("""COMPUTED_VALUE"""),47.0)</f>
        <v>47</v>
      </c>
      <c r="E608" s="1"/>
    </row>
    <row r="609">
      <c r="A609" s="1"/>
      <c r="B609" s="3" t="str">
        <f>IFERROR(__xludf.DUMMYFUNCTION("""COMPUTED_VALUE"""),"MERY TRI LESTARI")</f>
        <v>MERY TRI LESTARI</v>
      </c>
      <c r="C609" s="3" t="str">
        <f>IFERROR(__xludf.DUMMYFUNCTION("""COMPUTED_VALUE"""),"M8823080700")</f>
        <v>M8823080700</v>
      </c>
      <c r="D609" s="3">
        <f>IFERROR(__xludf.DUMMYFUNCTION("""COMPUTED_VALUE"""),38.0)</f>
        <v>38</v>
      </c>
      <c r="E609" s="1"/>
    </row>
    <row r="610">
      <c r="A610" s="1"/>
      <c r="B610" s="3" t="str">
        <f>IFERROR(__xludf.DUMMYFUNCTION("""COMPUTED_VALUE"""),"RAHAYU")</f>
        <v>RAHAYU</v>
      </c>
      <c r="C610" s="3" t="str">
        <f>IFERROR(__xludf.DUMMYFUNCTION("""COMPUTED_VALUE"""),"R8923084389")</f>
        <v>R8923084389</v>
      </c>
      <c r="D610" s="3">
        <f>IFERROR(__xludf.DUMMYFUNCTION("""COMPUTED_VALUE"""),37.0)</f>
        <v>37</v>
      </c>
      <c r="E610" s="1"/>
    </row>
    <row r="611">
      <c r="A611" s="1"/>
      <c r="B611" s="3" t="str">
        <f>IFERROR(__xludf.DUMMYFUNCTION("""COMPUTED_VALUE"""),"RIZALDI")</f>
        <v>RIZALDI</v>
      </c>
      <c r="C611" s="3" t="str">
        <f>IFERROR(__xludf.DUMMYFUNCTION("""COMPUTED_VALUE"""),"R8023089939")</f>
        <v>R8023089939</v>
      </c>
      <c r="D611" s="3">
        <f>IFERROR(__xludf.DUMMYFUNCTION("""COMPUTED_VALUE"""),45.0)</f>
        <v>45</v>
      </c>
      <c r="E611" s="1"/>
    </row>
    <row r="612">
      <c r="A612" s="1"/>
      <c r="B612" s="3" t="str">
        <f>IFERROR(__xludf.DUMMYFUNCTION("""COMPUTED_VALUE"""),"ROFEAH")</f>
        <v>ROFEAH</v>
      </c>
      <c r="C612" s="3" t="str">
        <f>IFERROR(__xludf.DUMMYFUNCTION("""COMPUTED_VALUE"""),"R7623086269")</f>
        <v>R7623086269</v>
      </c>
      <c r="D612" s="3">
        <f>IFERROR(__xludf.DUMMYFUNCTION("""COMPUTED_VALUE"""),50.0)</f>
        <v>50</v>
      </c>
      <c r="E612" s="1"/>
    </row>
    <row r="613">
      <c r="A613" s="1"/>
      <c r="B613" s="3" t="str">
        <f>IFERROR(__xludf.DUMMYFUNCTION("""COMPUTED_VALUE"""),"SYARIF RAIHAN RAFISKI")</f>
        <v>SYARIF RAIHAN RAFISKI</v>
      </c>
      <c r="C613" s="3" t="str">
        <f>IFERROR(__xludf.DUMMYFUNCTION("""COMPUTED_VALUE"""),"S1223087980")</f>
        <v>S1223087980</v>
      </c>
      <c r="D613" s="3">
        <f>IFERROR(__xludf.DUMMYFUNCTION("""COMPUTED_VALUE"""),14.0)</f>
        <v>14</v>
      </c>
      <c r="E613" s="1"/>
    </row>
    <row r="614">
      <c r="A614" s="1"/>
      <c r="B614" s="3" t="str">
        <f>IFERROR(__xludf.DUMMYFUNCTION("""COMPUTED_VALUE"""),"DAMASUS JEKI KURNIAWAN")</f>
        <v>DAMASUS JEKI KURNIAWAN</v>
      </c>
      <c r="C614" s="3" t="str">
        <f>IFERROR(__xludf.DUMMYFUNCTION("""COMPUTED_VALUE"""),"D0023081150")</f>
        <v>D0023081150</v>
      </c>
      <c r="D614" s="3">
        <f>IFERROR(__xludf.DUMMYFUNCTION("""COMPUTED_VALUE"""),25.0)</f>
        <v>25</v>
      </c>
      <c r="E614" s="1"/>
    </row>
    <row r="615">
      <c r="A615" s="1"/>
      <c r="B615" s="3" t="str">
        <f>IFERROR(__xludf.DUMMYFUNCTION("""COMPUTED_VALUE"""),"EVI YULIANTI")</f>
        <v>EVI YULIANTI</v>
      </c>
      <c r="C615" s="3" t="str">
        <f>IFERROR(__xludf.DUMMYFUNCTION("""COMPUTED_VALUE"""),"E8123086210")</f>
        <v>E8123086210</v>
      </c>
      <c r="D615" s="3">
        <f>IFERROR(__xludf.DUMMYFUNCTION("""COMPUTED_VALUE"""),45.0)</f>
        <v>45</v>
      </c>
      <c r="E615" s="1"/>
    </row>
    <row r="616">
      <c r="A616" s="1"/>
      <c r="B616" s="3" t="str">
        <f>IFERROR(__xludf.DUMMYFUNCTION("""COMPUTED_VALUE"""),"DEWI SURATININGSIH")</f>
        <v>DEWI SURATININGSIH</v>
      </c>
      <c r="C616" s="3" t="str">
        <f>IFERROR(__xludf.DUMMYFUNCTION("""COMPUTED_VALUE"""),"D8623084543")</f>
        <v>D8623084543</v>
      </c>
      <c r="D616" s="3">
        <f>IFERROR(__xludf.DUMMYFUNCTION("""COMPUTED_VALUE"""),39.0)</f>
        <v>39</v>
      </c>
      <c r="E616" s="1"/>
    </row>
    <row r="617">
      <c r="A617" s="1"/>
      <c r="B617" s="3" t="str">
        <f>IFERROR(__xludf.DUMMYFUNCTION("""COMPUTED_VALUE"""),"FRANSISKUS WAWAS")</f>
        <v>FRANSISKUS WAWAS</v>
      </c>
      <c r="C617" s="3" t="str">
        <f>IFERROR(__xludf.DUMMYFUNCTION("""COMPUTED_VALUE"""),"F6923081022")</f>
        <v>F6923081022</v>
      </c>
      <c r="D617" s="3">
        <f>IFERROR(__xludf.DUMMYFUNCTION("""COMPUTED_VALUE"""),57.0)</f>
        <v>57</v>
      </c>
      <c r="E617" s="1"/>
    </row>
    <row r="618">
      <c r="A618" s="1"/>
      <c r="B618" s="3" t="str">
        <f>IFERROR(__xludf.DUMMYFUNCTION("""COMPUTED_VALUE"""),"ARDIANSYAH PUTRA")</f>
        <v>ARDIANSYAH PUTRA</v>
      </c>
      <c r="C618" s="3" t="str">
        <f>IFERROR(__xludf.DUMMYFUNCTION("""COMPUTED_VALUE"""),"A9523089058")</f>
        <v>A9523089058</v>
      </c>
      <c r="D618" s="3">
        <f>IFERROR(__xludf.DUMMYFUNCTION("""COMPUTED_VALUE"""),31.0)</f>
        <v>31</v>
      </c>
      <c r="E618" s="1"/>
    </row>
    <row r="619">
      <c r="A619" s="1"/>
      <c r="B619" s="3" t="str">
        <f>IFERROR(__xludf.DUMMYFUNCTION("""COMPUTED_VALUE"""),"MILA KARTIKA SARI")</f>
        <v>MILA KARTIKA SARI</v>
      </c>
      <c r="C619" s="3" t="str">
        <f>IFERROR(__xludf.DUMMYFUNCTION("""COMPUTED_VALUE"""),"M8123084021")</f>
        <v>M8123084021</v>
      </c>
      <c r="D619" s="3">
        <f>IFERROR(__xludf.DUMMYFUNCTION("""COMPUTED_VALUE"""),45.0)</f>
        <v>45</v>
      </c>
      <c r="E619" s="1"/>
    </row>
    <row r="620">
      <c r="A620" s="1"/>
      <c r="B620" s="3" t="str">
        <f>IFERROR(__xludf.DUMMYFUNCTION("""COMPUTED_VALUE"""),"YANUAR PRATAMA")</f>
        <v>YANUAR PRATAMA</v>
      </c>
      <c r="C620" s="3" t="str">
        <f>IFERROR(__xludf.DUMMYFUNCTION("""COMPUTED_VALUE"""),"Y9123082005")</f>
        <v>Y9123082005</v>
      </c>
      <c r="D620" s="3">
        <f>IFERROR(__xludf.DUMMYFUNCTION("""COMPUTED_VALUE"""),35.0)</f>
        <v>35</v>
      </c>
      <c r="E620" s="1"/>
    </row>
    <row r="621">
      <c r="A621" s="1"/>
      <c r="B621" s="3" t="str">
        <f>IFERROR(__xludf.DUMMYFUNCTION("""COMPUTED_VALUE"""),"ARYA FARREL GANDHI SAVAGAS")</f>
        <v>ARYA FARREL GANDHI SAVAGAS</v>
      </c>
      <c r="C621" s="3" t="str">
        <f>IFERROR(__xludf.DUMMYFUNCTION("""COMPUTED_VALUE"""),"A0723083784")</f>
        <v>A0723083784</v>
      </c>
      <c r="D621" s="3">
        <f>IFERROR(__xludf.DUMMYFUNCTION("""COMPUTED_VALUE"""),19.0)</f>
        <v>19</v>
      </c>
      <c r="E621" s="1"/>
    </row>
    <row r="622">
      <c r="A622" s="1"/>
      <c r="B622" s="3" t="str">
        <f>IFERROR(__xludf.DUMMYFUNCTION("""COMPUTED_VALUE"""),"EKO YULI PRIANTO")</f>
        <v>EKO YULI PRIANTO</v>
      </c>
      <c r="C622" s="3" t="str">
        <f>IFERROR(__xludf.DUMMYFUNCTION("""COMPUTED_VALUE"""),"E8523084694")</f>
        <v>E8523084694</v>
      </c>
      <c r="D622" s="3">
        <f>IFERROR(__xludf.DUMMYFUNCTION("""COMPUTED_VALUE"""),40.0)</f>
        <v>40</v>
      </c>
      <c r="E622" s="1"/>
    </row>
    <row r="623">
      <c r="A623" s="1"/>
      <c r="B623" s="3" t="str">
        <f>IFERROR(__xludf.DUMMYFUNCTION("""COMPUTED_VALUE"""),"FRIKANTI SIREGAR")</f>
        <v>FRIKANTI SIREGAR</v>
      </c>
      <c r="C623" s="3" t="str">
        <f>IFERROR(__xludf.DUMMYFUNCTION("""COMPUTED_VALUE"""),"F7023084258")</f>
        <v>F7023084258</v>
      </c>
      <c r="D623" s="3">
        <f>IFERROR(__xludf.DUMMYFUNCTION("""COMPUTED_VALUE"""),56.0)</f>
        <v>56</v>
      </c>
      <c r="E623" s="1"/>
    </row>
    <row r="624">
      <c r="A624" s="1"/>
      <c r="B624" s="3" t="str">
        <f>IFERROR(__xludf.DUMMYFUNCTION("""COMPUTED_VALUE"""),"MUHAMMAD AZRIEL PASHA RYVEL")</f>
        <v>MUHAMMAD AZRIEL PASHA RYVEL</v>
      </c>
      <c r="C624" s="3" t="str">
        <f>IFERROR(__xludf.DUMMYFUNCTION("""COMPUTED_VALUE"""),"M0623082859")</f>
        <v>M0623082859</v>
      </c>
      <c r="D624" s="3">
        <f>IFERROR(__xludf.DUMMYFUNCTION("""COMPUTED_VALUE"""),19.0)</f>
        <v>19</v>
      </c>
      <c r="E624" s="1"/>
    </row>
    <row r="625">
      <c r="A625" s="1"/>
      <c r="B625" s="3" t="str">
        <f>IFERROR(__xludf.DUMMYFUNCTION("""COMPUTED_VALUE"""),"RICKY VALENT")</f>
        <v>RICKY VALENT</v>
      </c>
      <c r="C625" s="3" t="str">
        <f>IFERROR(__xludf.DUMMYFUNCTION("""COMPUTED_VALUE"""),"R0123085464")</f>
        <v>R0123085464</v>
      </c>
      <c r="D625" s="3">
        <f>IFERROR(__xludf.DUMMYFUNCTION("""COMPUTED_VALUE"""),25.0)</f>
        <v>25</v>
      </c>
      <c r="E625" s="1"/>
    </row>
    <row r="626">
      <c r="A626" s="1"/>
      <c r="B626" s="3" t="str">
        <f>IFERROR(__xludf.DUMMYFUNCTION("""COMPUTED_VALUE"""),"MUKHLIS")</f>
        <v>MUKHLIS</v>
      </c>
      <c r="C626" s="3" t="str">
        <f>IFERROR(__xludf.DUMMYFUNCTION("""COMPUTED_VALUE"""),"M9423083585")</f>
        <v>M9423083585</v>
      </c>
      <c r="D626" s="3">
        <f>IFERROR(__xludf.DUMMYFUNCTION("""COMPUTED_VALUE"""),32.0)</f>
        <v>32</v>
      </c>
      <c r="E626" s="1"/>
    </row>
    <row r="627">
      <c r="A627" s="1"/>
      <c r="B627" s="3" t="str">
        <f>IFERROR(__xludf.DUMMYFUNCTION("""COMPUTED_VALUE"""),"JIMMY ALVINDO SULIANTO")</f>
        <v>JIMMY ALVINDO SULIANTO</v>
      </c>
      <c r="C627" s="3" t="str">
        <f>IFERROR(__xludf.DUMMYFUNCTION("""COMPUTED_VALUE"""),"J9523088191")</f>
        <v>J9523088191</v>
      </c>
      <c r="D627" s="3">
        <f>IFERROR(__xludf.DUMMYFUNCTION("""COMPUTED_VALUE"""),30.0)</f>
        <v>30</v>
      </c>
      <c r="E627" s="1"/>
    </row>
    <row r="628">
      <c r="A628" s="1"/>
      <c r="B628" s="3" t="str">
        <f>IFERROR(__xludf.DUMMYFUNCTION("""COMPUTED_VALUE"""),"ALDO PUTRA DERMAWAN")</f>
        <v>ALDO PUTRA DERMAWAN</v>
      </c>
      <c r="C628" s="3" t="str">
        <f>IFERROR(__xludf.DUMMYFUNCTION("""COMPUTED_VALUE"""),"A1423086916")</f>
        <v>A1423086916</v>
      </c>
      <c r="D628" s="3">
        <f>IFERROR(__xludf.DUMMYFUNCTION("""COMPUTED_VALUE"""),11.0)</f>
        <v>11</v>
      </c>
      <c r="E628" s="1"/>
    </row>
    <row r="629">
      <c r="A629" s="1"/>
      <c r="B629" s="3" t="str">
        <f>IFERROR(__xludf.DUMMYFUNCTION("""COMPUTED_VALUE"""),"SUNANDAR")</f>
        <v>SUNANDAR</v>
      </c>
      <c r="C629" s="3" t="str">
        <f>IFERROR(__xludf.DUMMYFUNCTION("""COMPUTED_VALUE"""),"S7123082154")</f>
        <v>S7123082154</v>
      </c>
      <c r="D629" s="3">
        <f>IFERROR(__xludf.DUMMYFUNCTION("""COMPUTED_VALUE"""),54.0)</f>
        <v>54</v>
      </c>
      <c r="E629" s="1"/>
    </row>
    <row r="630">
      <c r="A630" s="1"/>
      <c r="B630" s="3" t="str">
        <f>IFERROR(__xludf.DUMMYFUNCTION("""COMPUTED_VALUE"""),"MONA DEWANTI")</f>
        <v>MONA DEWANTI</v>
      </c>
      <c r="C630" s="3" t="str">
        <f>IFERROR(__xludf.DUMMYFUNCTION("""COMPUTED_VALUE"""),"M0223089059")</f>
        <v>M0223089059</v>
      </c>
      <c r="D630" s="3">
        <f>IFERROR(__xludf.DUMMYFUNCTION("""COMPUTED_VALUE"""),23.0)</f>
        <v>23</v>
      </c>
      <c r="E630" s="1"/>
    </row>
    <row r="631">
      <c r="A631" s="1"/>
      <c r="B631" s="3" t="str">
        <f>IFERROR(__xludf.DUMMYFUNCTION("""COMPUTED_VALUE"""),"WARSONO")</f>
        <v>WARSONO</v>
      </c>
      <c r="C631" s="3" t="str">
        <f>IFERROR(__xludf.DUMMYFUNCTION("""COMPUTED_VALUE"""),"W2323080567")</f>
        <v>W2323080567</v>
      </c>
      <c r="D631" s="3">
        <f>IFERROR(__xludf.DUMMYFUNCTION("""COMPUTED_VALUE"""),2.0)</f>
        <v>2</v>
      </c>
      <c r="E631" s="1"/>
    </row>
    <row r="632">
      <c r="A632" s="1"/>
      <c r="B632" s="3" t="str">
        <f>IFERROR(__xludf.DUMMYFUNCTION("""COMPUTED_VALUE"""),"HANDY")</f>
        <v>HANDY</v>
      </c>
      <c r="C632" s="3" t="str">
        <f>IFERROR(__xludf.DUMMYFUNCTION("""COMPUTED_VALUE"""),"H8723086555")</f>
        <v>H8723086555</v>
      </c>
      <c r="D632" s="3">
        <f>IFERROR(__xludf.DUMMYFUNCTION("""COMPUTED_VALUE"""),38.0)</f>
        <v>38</v>
      </c>
      <c r="E632" s="1"/>
    </row>
    <row r="633">
      <c r="A633" s="1"/>
      <c r="B633" s="3" t="str">
        <f>IFERROR(__xludf.DUMMYFUNCTION("""COMPUTED_VALUE"""),"EDI CAHYONO")</f>
        <v>EDI CAHYONO</v>
      </c>
      <c r="C633" s="3" t="str">
        <f>IFERROR(__xludf.DUMMYFUNCTION("""COMPUTED_VALUE"""),"E7623081888")</f>
        <v>E7623081888</v>
      </c>
      <c r="D633" s="3">
        <f>IFERROR(__xludf.DUMMYFUNCTION("""COMPUTED_VALUE"""),50.0)</f>
        <v>50</v>
      </c>
      <c r="E633" s="1"/>
    </row>
    <row r="634">
      <c r="A634" s="1"/>
      <c r="B634" s="3" t="str">
        <f>IFERROR(__xludf.DUMMYFUNCTION("""COMPUTED_VALUE"""),"WITA DAMAYANTI")</f>
        <v>WITA DAMAYANTI</v>
      </c>
      <c r="C634" s="3" t="str">
        <f>IFERROR(__xludf.DUMMYFUNCTION("""COMPUTED_VALUE"""),"W0623083242")</f>
        <v>W0623083242</v>
      </c>
      <c r="D634" s="3">
        <f>IFERROR(__xludf.DUMMYFUNCTION("""COMPUTED_VALUE"""),20.0)</f>
        <v>20</v>
      </c>
      <c r="E634" s="1"/>
    </row>
    <row r="635">
      <c r="A635" s="1"/>
      <c r="B635" s="3" t="str">
        <f>IFERROR(__xludf.DUMMYFUNCTION("""COMPUTED_VALUE"""),"ENDIH SUPANDIH")</f>
        <v>ENDIH SUPANDIH</v>
      </c>
      <c r="C635" s="3" t="str">
        <f>IFERROR(__xludf.DUMMYFUNCTION("""COMPUTED_VALUE"""),"E7523087500")</f>
        <v>E7523087500</v>
      </c>
      <c r="D635" s="3">
        <f>IFERROR(__xludf.DUMMYFUNCTION("""COMPUTED_VALUE"""),50.0)</f>
        <v>50</v>
      </c>
      <c r="E635" s="1"/>
    </row>
    <row r="636">
      <c r="A636" s="1"/>
      <c r="B636" s="3" t="str">
        <f>IFERROR(__xludf.DUMMYFUNCTION("""COMPUTED_VALUE"""),"TUNIAH")</f>
        <v>TUNIAH</v>
      </c>
      <c r="C636" s="3" t="str">
        <f>IFERROR(__xludf.DUMMYFUNCTION("""COMPUTED_VALUE"""),"T7023085170")</f>
        <v>T7023085170</v>
      </c>
      <c r="D636" s="3">
        <f>IFERROR(__xludf.DUMMYFUNCTION("""COMPUTED_VALUE"""),55.0)</f>
        <v>55</v>
      </c>
      <c r="E636" s="1"/>
    </row>
    <row r="637">
      <c r="A637" s="1"/>
      <c r="B637" s="3" t="str">
        <f>IFERROR(__xludf.DUMMYFUNCTION("""COMPUTED_VALUE"""),"JULINA LIAUW")</f>
        <v>JULINA LIAUW</v>
      </c>
      <c r="C637" s="3" t="str">
        <f>IFERROR(__xludf.DUMMYFUNCTION("""COMPUTED_VALUE"""),"J8323083267")</f>
        <v>J8323083267</v>
      </c>
      <c r="D637" s="3">
        <f>IFERROR(__xludf.DUMMYFUNCTION("""COMPUTED_VALUE"""),42.0)</f>
        <v>42</v>
      </c>
      <c r="E637" s="1"/>
    </row>
    <row r="638">
      <c r="A638" s="1"/>
      <c r="B638" s="3" t="str">
        <f>IFERROR(__xludf.DUMMYFUNCTION("""COMPUTED_VALUE"""),"JOAQUIN FERDINAND")</f>
        <v>JOAQUIN FERDINAND</v>
      </c>
      <c r="C638" s="3" t="str">
        <f>IFERROR(__xludf.DUMMYFUNCTION("""COMPUTED_VALUE"""),"J0723085998")</f>
        <v>J0723085998</v>
      </c>
      <c r="D638" s="3">
        <f>IFERROR(__xludf.DUMMYFUNCTION("""COMPUTED_VALUE"""),18.0)</f>
        <v>18</v>
      </c>
      <c r="E638" s="1"/>
    </row>
    <row r="639">
      <c r="A639" s="1"/>
      <c r="B639" s="3" t="str">
        <f>IFERROR(__xludf.DUMMYFUNCTION("""COMPUTED_VALUE"""),"SATRIYADI")</f>
        <v>SATRIYADI</v>
      </c>
      <c r="C639" s="3" t="str">
        <f>IFERROR(__xludf.DUMMYFUNCTION("""COMPUTED_VALUE"""),"S7623085562")</f>
        <v>S7623085562</v>
      </c>
      <c r="D639" s="3">
        <f>IFERROR(__xludf.DUMMYFUNCTION("""COMPUTED_VALUE"""),49.0)</f>
        <v>49</v>
      </c>
      <c r="E639" s="1"/>
    </row>
    <row r="640">
      <c r="A640" s="1"/>
      <c r="B640" s="3" t="str">
        <f>IFERROR(__xludf.DUMMYFUNCTION("""COMPUTED_VALUE"""),"ALEXANDER YANSENS")</f>
        <v>ALEXANDER YANSENS</v>
      </c>
      <c r="C640" s="3" t="str">
        <f>IFERROR(__xludf.DUMMYFUNCTION("""COMPUTED_VALUE"""),"A5823084577")</f>
        <v>A5823084577</v>
      </c>
      <c r="D640" s="3">
        <f>IFERROR(__xludf.DUMMYFUNCTION("""COMPUTED_VALUE"""),68.0)</f>
        <v>68</v>
      </c>
      <c r="E640" s="1"/>
    </row>
    <row r="641">
      <c r="A641" s="1"/>
      <c r="B641" s="3" t="str">
        <f>IFERROR(__xludf.DUMMYFUNCTION("""COMPUTED_VALUE"""),"LISA RAYANI SUJANA")</f>
        <v>LISA RAYANI SUJANA</v>
      </c>
      <c r="C641" s="3" t="str">
        <f>IFERROR(__xludf.DUMMYFUNCTION("""COMPUTED_VALUE"""),"L9523086667")</f>
        <v>L9523086667</v>
      </c>
      <c r="D641" s="3">
        <f>IFERROR(__xludf.DUMMYFUNCTION("""COMPUTED_VALUE"""),30.0)</f>
        <v>30</v>
      </c>
      <c r="E641" s="1"/>
    </row>
    <row r="642">
      <c r="A642" s="1"/>
      <c r="B642" s="3" t="str">
        <f>IFERROR(__xludf.DUMMYFUNCTION("""COMPUTED_VALUE"""),"ADITYA MULYA HAMIDZAN")</f>
        <v>ADITYA MULYA HAMIDZAN</v>
      </c>
      <c r="C642" s="3" t="str">
        <f>IFERROR(__xludf.DUMMYFUNCTION("""COMPUTED_VALUE"""),"A1423081427")</f>
        <v>A1423081427</v>
      </c>
      <c r="D642" s="3">
        <f>IFERROR(__xludf.DUMMYFUNCTION("""COMPUTED_VALUE"""),11.0)</f>
        <v>11</v>
      </c>
      <c r="E642" s="1"/>
    </row>
    <row r="643">
      <c r="A643" s="1"/>
      <c r="B643" s="3" t="str">
        <f>IFERROR(__xludf.DUMMYFUNCTION("""COMPUTED_VALUE"""),"SAMUELSON GILBERT SINAGA")</f>
        <v>SAMUELSON GILBERT SINAGA</v>
      </c>
      <c r="C643" s="3" t="str">
        <f>IFERROR(__xludf.DUMMYFUNCTION("""COMPUTED_VALUE"""),"S0323081644")</f>
        <v>S0323081644</v>
      </c>
      <c r="D643" s="3">
        <f>IFERROR(__xludf.DUMMYFUNCTION("""COMPUTED_VALUE"""),22.0)</f>
        <v>22</v>
      </c>
      <c r="E643" s="1"/>
    </row>
    <row r="644">
      <c r="A644" s="1"/>
      <c r="B644" s="3" t="str">
        <f>IFERROR(__xludf.DUMMYFUNCTION("""COMPUTED_VALUE"""),"MUHAMMAD RAIHAN")</f>
        <v>MUHAMMAD RAIHAN</v>
      </c>
      <c r="C644" s="3" t="str">
        <f>IFERROR(__xludf.DUMMYFUNCTION("""COMPUTED_VALUE"""),"M9723088679")</f>
        <v>M9723088679</v>
      </c>
      <c r="D644" s="3">
        <f>IFERROR(__xludf.DUMMYFUNCTION("""COMPUTED_VALUE"""),28.0)</f>
        <v>28</v>
      </c>
      <c r="E644" s="1"/>
    </row>
    <row r="645">
      <c r="A645" s="1"/>
      <c r="B645" s="3" t="str">
        <f>IFERROR(__xludf.DUMMYFUNCTION("""COMPUTED_VALUE"""),"FIKRI AKIFA PERMANA")</f>
        <v>FIKRI AKIFA PERMANA</v>
      </c>
      <c r="C645" s="3" t="str">
        <f>IFERROR(__xludf.DUMMYFUNCTION("""COMPUTED_VALUE"""),"F0423083055")</f>
        <v>F0423083055</v>
      </c>
      <c r="D645" s="3">
        <f>IFERROR(__xludf.DUMMYFUNCTION("""COMPUTED_VALUE"""),21.0)</f>
        <v>21</v>
      </c>
      <c r="E645" s="1"/>
    </row>
    <row r="646">
      <c r="A646" s="1"/>
      <c r="B646" s="3" t="str">
        <f>IFERROR(__xludf.DUMMYFUNCTION("""COMPUTED_VALUE"""),"ANGGA WIYONO")</f>
        <v>ANGGA WIYONO</v>
      </c>
      <c r="C646" s="3" t="str">
        <f>IFERROR(__xludf.DUMMYFUNCTION("""COMPUTED_VALUE"""),"A9523086008")</f>
        <v>A9523086008</v>
      </c>
      <c r="D646" s="3">
        <f>IFERROR(__xludf.DUMMYFUNCTION("""COMPUTED_VALUE"""),30.0)</f>
        <v>30</v>
      </c>
      <c r="E646" s="1"/>
    </row>
    <row r="647">
      <c r="A647" s="1"/>
      <c r="B647" s="3" t="str">
        <f>IFERROR(__xludf.DUMMYFUNCTION("""COMPUTED_VALUE"""),"LUHUR FARAYTODI")</f>
        <v>LUHUR FARAYTODI</v>
      </c>
      <c r="C647" s="3" t="str">
        <f>IFERROR(__xludf.DUMMYFUNCTION("""COMPUTED_VALUE"""),"L7923085495")</f>
        <v>L7923085495</v>
      </c>
      <c r="D647" s="3">
        <f>IFERROR(__xludf.DUMMYFUNCTION("""COMPUTED_VALUE"""),46.0)</f>
        <v>46</v>
      </c>
      <c r="E647" s="1"/>
    </row>
    <row r="648">
      <c r="A648" s="1"/>
      <c r="B648" s="3" t="str">
        <f>IFERROR(__xludf.DUMMYFUNCTION("""COMPUTED_VALUE"""),"NAZWA ATHAYA RAMADHANI")</f>
        <v>NAZWA ATHAYA RAMADHANI</v>
      </c>
      <c r="C648" s="3" t="str">
        <f>IFERROR(__xludf.DUMMYFUNCTION("""COMPUTED_VALUE"""),"N0623082779")</f>
        <v>N0623082779</v>
      </c>
      <c r="D648" s="3">
        <f>IFERROR(__xludf.DUMMYFUNCTION("""COMPUTED_VALUE"""),19.0)</f>
        <v>19</v>
      </c>
      <c r="E648" s="1"/>
    </row>
    <row r="649">
      <c r="A649" s="1"/>
      <c r="B649" s="3" t="str">
        <f>IFERROR(__xludf.DUMMYFUNCTION("""COMPUTED_VALUE"""),"YOSEVIN EVI")</f>
        <v>YOSEVIN EVI</v>
      </c>
      <c r="C649" s="3" t="str">
        <f>IFERROR(__xludf.DUMMYFUNCTION("""COMPUTED_VALUE"""),"Y7423082591")</f>
        <v>Y7423082591</v>
      </c>
      <c r="D649" s="3">
        <f>IFERROR(__xludf.DUMMYFUNCTION("""COMPUTED_VALUE"""),52.0)</f>
        <v>52</v>
      </c>
      <c r="E649" s="1"/>
    </row>
    <row r="650">
      <c r="A650" s="1"/>
      <c r="B650" s="3" t="str">
        <f>IFERROR(__xludf.DUMMYFUNCTION("""COMPUTED_VALUE"""),"SUMADI PHUANTINUS")</f>
        <v>SUMADI PHUANTINUS</v>
      </c>
      <c r="C650" s="3" t="str">
        <f>IFERROR(__xludf.DUMMYFUNCTION("""COMPUTED_VALUE"""),"S7123080288")</f>
        <v>S7123080288</v>
      </c>
      <c r="D650" s="3">
        <f>IFERROR(__xludf.DUMMYFUNCTION("""COMPUTED_VALUE"""),55.0)</f>
        <v>55</v>
      </c>
      <c r="E650" s="1"/>
    </row>
    <row r="651">
      <c r="A651" s="1"/>
      <c r="B651" s="3" t="str">
        <f>IFERROR(__xludf.DUMMYFUNCTION("""COMPUTED_VALUE"""),"ANDRY SUSANTO")</f>
        <v>ANDRY SUSANTO</v>
      </c>
      <c r="C651" s="3" t="str">
        <f>IFERROR(__xludf.DUMMYFUNCTION("""COMPUTED_VALUE"""),"A8223089383")</f>
        <v>A8223089383</v>
      </c>
      <c r="D651" s="3">
        <f>IFERROR(__xludf.DUMMYFUNCTION("""COMPUTED_VALUE"""),43.0)</f>
        <v>43</v>
      </c>
      <c r="E651" s="1"/>
    </row>
    <row r="652">
      <c r="A652" s="1"/>
      <c r="B652" s="3" t="str">
        <f>IFERROR(__xludf.DUMMYFUNCTION("""COMPUTED_VALUE"""),"CUT NASRULI AZARIA")</f>
        <v>CUT NASRULI AZARIA</v>
      </c>
      <c r="C652" s="3" t="str">
        <f>IFERROR(__xludf.DUMMYFUNCTION("""COMPUTED_VALUE"""),"C9423082008")</f>
        <v>C9423082008</v>
      </c>
      <c r="D652" s="3">
        <f>IFERROR(__xludf.DUMMYFUNCTION("""COMPUTED_VALUE"""),31.0)</f>
        <v>31</v>
      </c>
      <c r="E652" s="1"/>
    </row>
    <row r="653">
      <c r="A653" s="1"/>
      <c r="B653" s="3" t="str">
        <f>IFERROR(__xludf.DUMMYFUNCTION("""COMPUTED_VALUE"""),"MEIGA FITRIANTI")</f>
        <v>MEIGA FITRIANTI</v>
      </c>
      <c r="C653" s="3" t="str">
        <f>IFERROR(__xludf.DUMMYFUNCTION("""COMPUTED_VALUE"""),"M8823080525")</f>
        <v>M8823080525</v>
      </c>
      <c r="D653" s="3">
        <f>IFERROR(__xludf.DUMMYFUNCTION("""COMPUTED_VALUE"""),38.0)</f>
        <v>38</v>
      </c>
      <c r="E653" s="1"/>
    </row>
    <row r="654">
      <c r="A654" s="1"/>
      <c r="B654" s="3" t="str">
        <f>IFERROR(__xludf.DUMMYFUNCTION("""COMPUTED_VALUE"""),"RAMLI HAJAR.")</f>
        <v>RAMLI HAJAR.</v>
      </c>
      <c r="C654" s="3" t="str">
        <f>IFERROR(__xludf.DUMMYFUNCTION("""COMPUTED_VALUE"""),"R6923083243")</f>
        <v>R6923083243</v>
      </c>
      <c r="D654" s="3">
        <f>IFERROR(__xludf.DUMMYFUNCTION("""COMPUTED_VALUE"""),56.0)</f>
        <v>56</v>
      </c>
      <c r="E654" s="1"/>
    </row>
    <row r="655">
      <c r="A655" s="1"/>
      <c r="B655" s="3" t="str">
        <f>IFERROR(__xludf.DUMMYFUNCTION("""COMPUTED_VALUE"""),"ADIKA RAMADHANI")</f>
        <v>ADIKA RAMADHANI</v>
      </c>
      <c r="C655" s="3" t="str">
        <f>IFERROR(__xludf.DUMMYFUNCTION("""COMPUTED_VALUE"""),"A1023089919")</f>
        <v>A1023089919</v>
      </c>
      <c r="D655" s="3">
        <f>IFERROR(__xludf.DUMMYFUNCTION("""COMPUTED_VALUE"""),15.0)</f>
        <v>15</v>
      </c>
      <c r="E655" s="1"/>
    </row>
    <row r="656">
      <c r="A656" s="1"/>
      <c r="B656" s="3" t="str">
        <f>IFERROR(__xludf.DUMMYFUNCTION("""COMPUTED_VALUE"""),"ELMO RIALDY ARWANDA")</f>
        <v>ELMO RIALDY ARWANDA</v>
      </c>
      <c r="C656" s="3" t="str">
        <f>IFERROR(__xludf.DUMMYFUNCTION("""COMPUTED_VALUE"""),"E9923089144")</f>
        <v>E9923089144</v>
      </c>
      <c r="D656" s="3">
        <f>IFERROR(__xludf.DUMMYFUNCTION("""COMPUTED_VALUE"""),26.0)</f>
        <v>26</v>
      </c>
      <c r="E656" s="1"/>
    </row>
    <row r="657">
      <c r="A657" s="1"/>
      <c r="B657" s="3" t="str">
        <f>IFERROR(__xludf.DUMMYFUNCTION("""COMPUTED_VALUE"""),"TRI WIBOWO 8009")</f>
        <v>TRI WIBOWO 8009</v>
      </c>
      <c r="C657" s="3" t="str">
        <f>IFERROR(__xludf.DUMMYFUNCTION("""COMPUTED_VALUE"""),"T8023087071")</f>
        <v>T8023087071</v>
      </c>
      <c r="D657" s="3">
        <f>IFERROR(__xludf.DUMMYFUNCTION("""COMPUTED_VALUE"""),45.0)</f>
        <v>45</v>
      </c>
      <c r="E657" s="1"/>
    </row>
    <row r="658">
      <c r="A658" s="1"/>
      <c r="B658" s="3" t="str">
        <f>IFERROR(__xludf.DUMMYFUNCTION("""COMPUTED_VALUE"""),"PORNOMO SUGANDA")</f>
        <v>PORNOMO SUGANDA</v>
      </c>
      <c r="C658" s="3" t="str">
        <f>IFERROR(__xludf.DUMMYFUNCTION("""COMPUTED_VALUE"""),"P6323085737")</f>
        <v>P6323085737</v>
      </c>
      <c r="D658" s="3">
        <f>IFERROR(__xludf.DUMMYFUNCTION("""COMPUTED_VALUE"""),62.0)</f>
        <v>62</v>
      </c>
      <c r="E658" s="1"/>
    </row>
    <row r="659">
      <c r="A659" s="1"/>
      <c r="B659" s="3" t="str">
        <f>IFERROR(__xludf.DUMMYFUNCTION("""COMPUTED_VALUE"""),"RESTI TRI YULIANINGSIH")</f>
        <v>RESTI TRI YULIANINGSIH</v>
      </c>
      <c r="C659" s="3" t="str">
        <f>IFERROR(__xludf.DUMMYFUNCTION("""COMPUTED_VALUE"""),"R9023080345")</f>
        <v>R9023080345</v>
      </c>
      <c r="D659" s="3">
        <f>IFERROR(__xludf.DUMMYFUNCTION("""COMPUTED_VALUE"""),35.0)</f>
        <v>35</v>
      </c>
      <c r="E659" s="1"/>
    </row>
    <row r="660">
      <c r="A660" s="1"/>
      <c r="B660" s="3" t="str">
        <f>IFERROR(__xludf.DUMMYFUNCTION("""COMPUTED_VALUE"""),"SYAHNIARTI")</f>
        <v>SYAHNIARTI</v>
      </c>
      <c r="C660" s="3" t="str">
        <f>IFERROR(__xludf.DUMMYFUNCTION("""COMPUTED_VALUE"""),"S6623087536")</f>
        <v>S6623087536</v>
      </c>
      <c r="D660" s="3">
        <f>IFERROR(__xludf.DUMMYFUNCTION("""COMPUTED_VALUE"""),59.0)</f>
        <v>59</v>
      </c>
      <c r="E660" s="1"/>
    </row>
    <row r="661">
      <c r="A661" s="1"/>
      <c r="B661" s="3" t="str">
        <f>IFERROR(__xludf.DUMMYFUNCTION("""COMPUTED_VALUE"""),"ALWIS ASIDIQ")</f>
        <v>ALWIS ASIDIQ</v>
      </c>
      <c r="C661" s="3" t="str">
        <f>IFERROR(__xludf.DUMMYFUNCTION("""COMPUTED_VALUE"""),"A9523087885")</f>
        <v>A9523087885</v>
      </c>
      <c r="D661" s="3">
        <f>IFERROR(__xludf.DUMMYFUNCTION("""COMPUTED_VALUE"""),30.0)</f>
        <v>30</v>
      </c>
      <c r="E661" s="1"/>
    </row>
    <row r="662">
      <c r="A662" s="1"/>
      <c r="B662" s="3" t="str">
        <f>IFERROR(__xludf.DUMMYFUNCTION("""COMPUTED_VALUE"""),"RAMDHALITA")</f>
        <v>RAMDHALITA</v>
      </c>
      <c r="C662" s="3" t="str">
        <f>IFERROR(__xludf.DUMMYFUNCTION("""COMPUTED_VALUE"""),"R7123082320")</f>
        <v>R7123082320</v>
      </c>
      <c r="D662" s="3">
        <f>IFERROR(__xludf.DUMMYFUNCTION("""COMPUTED_VALUE"""),54.0)</f>
        <v>54</v>
      </c>
      <c r="E662" s="1"/>
    </row>
    <row r="663">
      <c r="A663" s="1"/>
      <c r="B663" s="3" t="str">
        <f>IFERROR(__xludf.DUMMYFUNCTION("""COMPUTED_VALUE"""),"ELIS PIRUS")</f>
        <v>ELIS PIRUS</v>
      </c>
      <c r="C663" s="3" t="str">
        <f>IFERROR(__xludf.DUMMYFUNCTION("""COMPUTED_VALUE"""),"E6423082492")</f>
        <v>E6423082492</v>
      </c>
      <c r="D663" s="3">
        <f>IFERROR(__xludf.DUMMYFUNCTION("""COMPUTED_VALUE"""),61.0)</f>
        <v>61</v>
      </c>
      <c r="E663" s="1"/>
    </row>
    <row r="664">
      <c r="A664" s="1"/>
      <c r="B664" s="3" t="str">
        <f>IFERROR(__xludf.DUMMYFUNCTION("""COMPUTED_VALUE"""),"ADI BAGUS JUNIYANTO")</f>
        <v>ADI BAGUS JUNIYANTO</v>
      </c>
      <c r="C664" s="3" t="str">
        <f>IFERROR(__xludf.DUMMYFUNCTION("""COMPUTED_VALUE"""),"A0523081876")</f>
        <v>A0523081876</v>
      </c>
      <c r="D664" s="3">
        <f>IFERROR(__xludf.DUMMYFUNCTION("""COMPUTED_VALUE"""),21.0)</f>
        <v>21</v>
      </c>
      <c r="E664" s="1"/>
    </row>
    <row r="665">
      <c r="A665" s="1"/>
      <c r="B665" s="3" t="str">
        <f>IFERROR(__xludf.DUMMYFUNCTION("""COMPUTED_VALUE"""),"NELI")</f>
        <v>NELI</v>
      </c>
      <c r="C665" s="3" t="str">
        <f>IFERROR(__xludf.DUMMYFUNCTION("""COMPUTED_VALUE"""),"N8923098328")</f>
        <v>N8923098328</v>
      </c>
      <c r="D665" s="3">
        <f>IFERROR(__xludf.DUMMYFUNCTION("""COMPUTED_VALUE"""),36.0)</f>
        <v>36</v>
      </c>
      <c r="E665" s="1"/>
    </row>
    <row r="666">
      <c r="A666" s="1"/>
      <c r="B666" s="3" t="str">
        <f>IFERROR(__xludf.DUMMYFUNCTION("""COMPUTED_VALUE"""),"MUHAMMAD ARIF MANTIKO")</f>
        <v>MUHAMMAD ARIF MANTIKO</v>
      </c>
      <c r="C666" s="3" t="str">
        <f>IFERROR(__xludf.DUMMYFUNCTION("""COMPUTED_VALUE"""),"M9523097776")</f>
        <v>M9523097776</v>
      </c>
      <c r="D666" s="3">
        <f>IFERROR(__xludf.DUMMYFUNCTION("""COMPUTED_VALUE"""),30.0)</f>
        <v>30</v>
      </c>
      <c r="E666" s="1"/>
    </row>
    <row r="667">
      <c r="A667" s="1"/>
      <c r="B667" s="3" t="str">
        <f>IFERROR(__xludf.DUMMYFUNCTION("""COMPUTED_VALUE"""),"MASRIL")</f>
        <v>MASRIL</v>
      </c>
      <c r="C667" s="3" t="str">
        <f>IFERROR(__xludf.DUMMYFUNCTION("""COMPUTED_VALUE"""),"M5823090064")</f>
        <v>M5823090064</v>
      </c>
      <c r="D667" s="3">
        <f>IFERROR(__xludf.DUMMYFUNCTION("""COMPUTED_VALUE"""),68.0)</f>
        <v>68</v>
      </c>
      <c r="E667" s="1"/>
    </row>
    <row r="668">
      <c r="A668" s="1"/>
      <c r="B668" s="3" t="str">
        <f>IFERROR(__xludf.DUMMYFUNCTION("""COMPUTED_VALUE"""),"JIMIATI")</f>
        <v>JIMIATI</v>
      </c>
      <c r="C668" s="3" t="str">
        <f>IFERROR(__xludf.DUMMYFUNCTION("""COMPUTED_VALUE"""),"J8823092700")</f>
        <v>J8823092700</v>
      </c>
      <c r="D668" s="3">
        <f>IFERROR(__xludf.DUMMYFUNCTION("""COMPUTED_VALUE"""),38.0)</f>
        <v>38</v>
      </c>
      <c r="E668" s="1"/>
    </row>
    <row r="669">
      <c r="A669" s="1"/>
      <c r="B669" s="3" t="str">
        <f>IFERROR(__xludf.DUMMYFUNCTION("""COMPUTED_VALUE"""),"GRACIO WYATT LIM")</f>
        <v>GRACIO WYATT LIM</v>
      </c>
      <c r="C669" s="3" t="str">
        <f>IFERROR(__xludf.DUMMYFUNCTION("""COMPUTED_VALUE"""),"G1223092700")</f>
        <v>G1223092700</v>
      </c>
      <c r="D669" s="3">
        <f>IFERROR(__xludf.DUMMYFUNCTION("""COMPUTED_VALUE"""),13.0)</f>
        <v>13</v>
      </c>
      <c r="E669" s="1"/>
    </row>
    <row r="670">
      <c r="A670" s="1"/>
      <c r="B670" s="3" t="str">
        <f>IFERROR(__xludf.DUMMYFUNCTION("""COMPUTED_VALUE"""),"GALIH AULIA AKBAR")</f>
        <v>GALIH AULIA AKBAR</v>
      </c>
      <c r="C670" s="3" t="str">
        <f>IFERROR(__xludf.DUMMYFUNCTION("""COMPUTED_VALUE"""),"G8423095758")</f>
        <v>G8423095758</v>
      </c>
      <c r="D670" s="3">
        <f>IFERROR(__xludf.DUMMYFUNCTION("""COMPUTED_VALUE"""),41.0)</f>
        <v>41</v>
      </c>
      <c r="E670" s="1"/>
    </row>
    <row r="671">
      <c r="A671" s="1"/>
      <c r="B671" s="3" t="str">
        <f>IFERROR(__xludf.DUMMYFUNCTION("""COMPUTED_VALUE"""),"ARIS SOEPONO")</f>
        <v>ARIS SOEPONO</v>
      </c>
      <c r="C671" s="3" t="str">
        <f>IFERROR(__xludf.DUMMYFUNCTION("""COMPUTED_VALUE"""),"A5323096683")</f>
        <v>A5323096683</v>
      </c>
      <c r="D671" s="3">
        <f>IFERROR(__xludf.DUMMYFUNCTION("""COMPUTED_VALUE"""),73.0)</f>
        <v>73</v>
      </c>
      <c r="E671" s="1"/>
    </row>
    <row r="672">
      <c r="A672" s="1"/>
      <c r="B672" s="3" t="str">
        <f>IFERROR(__xludf.DUMMYFUNCTION("""COMPUTED_VALUE"""),"SUGIONO")</f>
        <v>SUGIONO</v>
      </c>
      <c r="C672" s="3" t="str">
        <f>IFERROR(__xludf.DUMMYFUNCTION("""COMPUTED_VALUE"""),"S7323093066")</f>
        <v>S7323093066</v>
      </c>
      <c r="D672" s="3">
        <f>IFERROR(__xludf.DUMMYFUNCTION("""COMPUTED_VALUE"""),53.0)</f>
        <v>53</v>
      </c>
      <c r="E672" s="1"/>
    </row>
    <row r="673">
      <c r="A673" s="1"/>
      <c r="B673" s="3" t="str">
        <f>IFERROR(__xludf.DUMMYFUNCTION("""COMPUTED_VALUE"""),"BRYAN HARLAN SIBARANI")</f>
        <v>BRYAN HARLAN SIBARANI</v>
      </c>
      <c r="C673" s="3" t="str">
        <f>IFERROR(__xludf.DUMMYFUNCTION("""COMPUTED_VALUE"""),"B8823098707")</f>
        <v>B8823098707</v>
      </c>
      <c r="D673" s="3">
        <f>IFERROR(__xludf.DUMMYFUNCTION("""COMPUTED_VALUE"""),37.0)</f>
        <v>37</v>
      </c>
      <c r="E673" s="1"/>
    </row>
    <row r="674">
      <c r="A674" s="1"/>
      <c r="B674" s="3" t="str">
        <f>IFERROR(__xludf.DUMMYFUNCTION("""COMPUTED_VALUE"""),"MARETHA AMRAYNI")</f>
        <v>MARETHA AMRAYNI</v>
      </c>
      <c r="C674" s="3" t="str">
        <f>IFERROR(__xludf.DUMMYFUNCTION("""COMPUTED_VALUE"""),"M8423098883")</f>
        <v>M8423098883</v>
      </c>
      <c r="D674" s="3">
        <f>IFERROR(__xludf.DUMMYFUNCTION("""COMPUTED_VALUE"""),42.0)</f>
        <v>42</v>
      </c>
      <c r="E674" s="1"/>
    </row>
    <row r="675">
      <c r="A675" s="1"/>
      <c r="B675" s="3" t="str">
        <f>IFERROR(__xludf.DUMMYFUNCTION("""COMPUTED_VALUE"""),"ANJAS PRAHARA INDIRWAN")</f>
        <v>ANJAS PRAHARA INDIRWAN</v>
      </c>
      <c r="C675" s="3" t="str">
        <f>IFERROR(__xludf.DUMMYFUNCTION("""COMPUTED_VALUE"""),"A9523097561")</f>
        <v>A9523097561</v>
      </c>
      <c r="D675" s="3">
        <f>IFERROR(__xludf.DUMMYFUNCTION("""COMPUTED_VALUE"""),30.0)</f>
        <v>30</v>
      </c>
      <c r="E675" s="1"/>
    </row>
    <row r="676">
      <c r="A676" s="1"/>
      <c r="B676" s="3" t="str">
        <f>IFERROR(__xludf.DUMMYFUNCTION("""COMPUTED_VALUE"""),"BEATRIX HERJANTO")</f>
        <v>BEATRIX HERJANTO</v>
      </c>
      <c r="C676" s="3" t="str">
        <f>IFERROR(__xludf.DUMMYFUNCTION("""COMPUTED_VALUE"""),"B8723099133")</f>
        <v>B8723099133</v>
      </c>
      <c r="D676" s="3">
        <f>IFERROR(__xludf.DUMMYFUNCTION("""COMPUTED_VALUE"""),38.0)</f>
        <v>38</v>
      </c>
      <c r="E676" s="1"/>
    </row>
    <row r="677">
      <c r="A677" s="1"/>
      <c r="B677" s="3" t="str">
        <f>IFERROR(__xludf.DUMMYFUNCTION("""COMPUTED_VALUE"""),"MEIDI8605")</f>
        <v>MEIDI8605</v>
      </c>
      <c r="C677" s="3" t="str">
        <f>IFERROR(__xludf.DUMMYFUNCTION("""COMPUTED_VALUE"""),"M8623099966")</f>
        <v>M8623099966</v>
      </c>
      <c r="D677" s="3">
        <f>IFERROR(__xludf.DUMMYFUNCTION("""COMPUTED_VALUE"""),40.0)</f>
        <v>40</v>
      </c>
      <c r="E677" s="1"/>
    </row>
    <row r="678">
      <c r="A678" s="1"/>
      <c r="B678" s="3" t="str">
        <f>IFERROR(__xludf.DUMMYFUNCTION("""COMPUTED_VALUE"""),"RUSMINIARTI")</f>
        <v>RUSMINIARTI</v>
      </c>
      <c r="C678" s="3" t="str">
        <f>IFERROR(__xludf.DUMMYFUNCTION("""COMPUTED_VALUE"""),"R5823090638")</f>
        <v>R5823090638</v>
      </c>
      <c r="D678" s="3">
        <f>IFERROR(__xludf.DUMMYFUNCTION("""COMPUTED_VALUE"""),67.0)</f>
        <v>67</v>
      </c>
      <c r="E678" s="1"/>
    </row>
    <row r="679">
      <c r="A679" s="1"/>
      <c r="B679" s="3" t="str">
        <f>IFERROR(__xludf.DUMMYFUNCTION("""COMPUTED_VALUE"""),"ILHAM NURHADI")</f>
        <v>ILHAM NURHADI</v>
      </c>
      <c r="C679" s="3" t="str">
        <f>IFERROR(__xludf.DUMMYFUNCTION("""COMPUTED_VALUE"""),"I9723093534")</f>
        <v>I9723093534</v>
      </c>
      <c r="D679" s="3">
        <f>IFERROR(__xludf.DUMMYFUNCTION("""COMPUTED_VALUE"""),28.0)</f>
        <v>28</v>
      </c>
      <c r="E679" s="1"/>
    </row>
    <row r="680">
      <c r="A680" s="1"/>
      <c r="B680" s="3" t="str">
        <f>IFERROR(__xludf.DUMMYFUNCTION("""COMPUTED_VALUE"""),"TUPARNO")</f>
        <v>TUPARNO</v>
      </c>
      <c r="C680" s="3" t="str">
        <f>IFERROR(__xludf.DUMMYFUNCTION("""COMPUTED_VALUE"""),"T7823097698")</f>
        <v>T7823097698</v>
      </c>
      <c r="D680" s="3">
        <f>IFERROR(__xludf.DUMMYFUNCTION("""COMPUTED_VALUE"""),47.0)</f>
        <v>47</v>
      </c>
      <c r="E680" s="1"/>
    </row>
    <row r="681">
      <c r="A681" s="1"/>
      <c r="B681" s="3" t="str">
        <f>IFERROR(__xludf.DUMMYFUNCTION("""COMPUTED_VALUE"""),"SERGIO OREZA SILVATORA")</f>
        <v>SERGIO OREZA SILVATORA</v>
      </c>
      <c r="C681" s="3" t="str">
        <f>IFERROR(__xludf.DUMMYFUNCTION("""COMPUTED_VALUE"""),"S9823096202")</f>
        <v>S9823096202</v>
      </c>
      <c r="D681" s="3">
        <f>IFERROR(__xludf.DUMMYFUNCTION("""COMPUTED_VALUE"""),28.0)</f>
        <v>28</v>
      </c>
      <c r="E681" s="1"/>
    </row>
    <row r="682">
      <c r="A682" s="1"/>
      <c r="B682" s="3" t="str">
        <f>IFERROR(__xludf.DUMMYFUNCTION("""COMPUTED_VALUE"""),"MASNILAWATI")</f>
        <v>MASNILAWATI</v>
      </c>
      <c r="C682" s="3" t="str">
        <f>IFERROR(__xludf.DUMMYFUNCTION("""COMPUTED_VALUE"""),"M6023095851")</f>
        <v>M6023095851</v>
      </c>
      <c r="D682" s="3">
        <f>IFERROR(__xludf.DUMMYFUNCTION("""COMPUTED_VALUE"""),65.0)</f>
        <v>65</v>
      </c>
      <c r="E682" s="1"/>
    </row>
    <row r="683">
      <c r="A683" s="1"/>
      <c r="B683" s="3" t="str">
        <f>IFERROR(__xludf.DUMMYFUNCTION("""COMPUTED_VALUE"""),"CHARLESSIUS IWALDO LENDY")</f>
        <v>CHARLESSIUS IWALDO LENDY</v>
      </c>
      <c r="C683" s="3" t="str">
        <f>IFERROR(__xludf.DUMMYFUNCTION("""COMPUTED_VALUE"""),"C9323093223")</f>
        <v>C9323093223</v>
      </c>
      <c r="D683" s="3">
        <f>IFERROR(__xludf.DUMMYFUNCTION("""COMPUTED_VALUE"""),32.0)</f>
        <v>32</v>
      </c>
      <c r="E683" s="1"/>
    </row>
    <row r="684">
      <c r="A684" s="1"/>
      <c r="B684" s="3" t="str">
        <f>IFERROR(__xludf.DUMMYFUNCTION("""COMPUTED_VALUE"""),"CENSEN HUANG")</f>
        <v>CENSEN HUANG</v>
      </c>
      <c r="C684" s="3" t="str">
        <f>IFERROR(__xludf.DUMMYFUNCTION("""COMPUTED_VALUE"""),"C0823099272")</f>
        <v>C0823099272</v>
      </c>
      <c r="D684" s="3">
        <f>IFERROR(__xludf.DUMMYFUNCTION("""COMPUTED_VALUE"""),18.0)</f>
        <v>18</v>
      </c>
      <c r="E684" s="1"/>
    </row>
    <row r="685">
      <c r="A685" s="1"/>
      <c r="B685" s="3" t="str">
        <f>IFERROR(__xludf.DUMMYFUNCTION("""COMPUTED_VALUE"""),"MUHAMMAD ALWI ERLANGGA MUFHTI")</f>
        <v>MUHAMMAD ALWI ERLANGGA MUFHTI</v>
      </c>
      <c r="C685" s="3" t="str">
        <f>IFERROR(__xludf.DUMMYFUNCTION("""COMPUTED_VALUE"""),"M0923093242")</f>
        <v>M0923093242</v>
      </c>
      <c r="D685" s="3">
        <f>IFERROR(__xludf.DUMMYFUNCTION("""COMPUTED_VALUE"""),16.0)</f>
        <v>16</v>
      </c>
      <c r="E685" s="1"/>
    </row>
    <row r="686">
      <c r="A686" s="1"/>
      <c r="B686" s="3" t="str">
        <f>IFERROR(__xludf.DUMMYFUNCTION("""COMPUTED_VALUE"""),"MARIANA")</f>
        <v>MARIANA</v>
      </c>
      <c r="C686" s="3" t="str">
        <f>IFERROR(__xludf.DUMMYFUNCTION("""COMPUTED_VALUE"""),"M8923092828")</f>
        <v>M8923092828</v>
      </c>
      <c r="D686" s="3">
        <f>IFERROR(__xludf.DUMMYFUNCTION("""COMPUTED_VALUE"""),36.0)</f>
        <v>36</v>
      </c>
      <c r="E686" s="1"/>
    </row>
    <row r="687">
      <c r="A687" s="1"/>
      <c r="B687" s="3" t="str">
        <f>IFERROR(__xludf.DUMMYFUNCTION("""COMPUTED_VALUE"""),"VALENCIA TANAPUTRA")</f>
        <v>VALENCIA TANAPUTRA</v>
      </c>
      <c r="C687" s="3" t="str">
        <f>IFERROR(__xludf.DUMMYFUNCTION("""COMPUTED_VALUE"""),"V8723094887")</f>
        <v>V8723094887</v>
      </c>
      <c r="D687" s="3">
        <f>IFERROR(__xludf.DUMMYFUNCTION("""COMPUTED_VALUE"""),39.0)</f>
        <v>39</v>
      </c>
      <c r="E687" s="1"/>
    </row>
    <row r="688">
      <c r="A688" s="1"/>
      <c r="B688" s="3" t="str">
        <f>IFERROR(__xludf.DUMMYFUNCTION("""COMPUTED_VALUE"""),"ERIC BRAYN CHRISTIAN NIKIJULUW")</f>
        <v>ERIC BRAYN CHRISTIAN NIKIJULUW</v>
      </c>
      <c r="C688" s="3" t="str">
        <f>IFERROR(__xludf.DUMMYFUNCTION("""COMPUTED_VALUE"""),"E9323099575")</f>
        <v>E9323099575</v>
      </c>
      <c r="D688" s="3">
        <f>IFERROR(__xludf.DUMMYFUNCTION("""COMPUTED_VALUE"""),33.0)</f>
        <v>33</v>
      </c>
      <c r="E688" s="1"/>
    </row>
    <row r="689">
      <c r="A689" s="1"/>
      <c r="B689" s="3" t="str">
        <f>IFERROR(__xludf.DUMMYFUNCTION("""COMPUTED_VALUE"""),"AGUS NURHUDA")</f>
        <v>AGUS NURHUDA</v>
      </c>
      <c r="C689" s="3" t="str">
        <f>IFERROR(__xludf.DUMMYFUNCTION("""COMPUTED_VALUE"""),"A9723097220")</f>
        <v>A9723097220</v>
      </c>
      <c r="D689" s="3">
        <f>IFERROR(__xludf.DUMMYFUNCTION("""COMPUTED_VALUE"""),28.0)</f>
        <v>28</v>
      </c>
      <c r="E689" s="1"/>
    </row>
    <row r="690">
      <c r="A690" s="1"/>
      <c r="B690" s="3" t="str">
        <f>IFERROR(__xludf.DUMMYFUNCTION("""COMPUTED_VALUE"""),"IND DHARMAWAN S")</f>
        <v>IND DHARMAWAN S</v>
      </c>
      <c r="C690" s="3" t="str">
        <f>IFERROR(__xludf.DUMMYFUNCTION("""COMPUTED_VALUE"""),"I9623090262")</f>
        <v>I9623090262</v>
      </c>
      <c r="D690" s="3">
        <f>IFERROR(__xludf.DUMMYFUNCTION("""COMPUTED_VALUE"""),30.0)</f>
        <v>30</v>
      </c>
      <c r="E690" s="1"/>
    </row>
    <row r="691">
      <c r="A691" s="1"/>
      <c r="B691" s="3" t="str">
        <f>IFERROR(__xludf.DUMMYFUNCTION("""COMPUTED_VALUE"""),"HERMANSYAH LIMAS")</f>
        <v>HERMANSYAH LIMAS</v>
      </c>
      <c r="C691" s="3" t="str">
        <f>IFERROR(__xludf.DUMMYFUNCTION("""COMPUTED_VALUE"""),"H6723092819")</f>
        <v>H6723092819</v>
      </c>
      <c r="D691" s="3">
        <f>IFERROR(__xludf.DUMMYFUNCTION("""COMPUTED_VALUE"""),59.0)</f>
        <v>59</v>
      </c>
      <c r="E691" s="1"/>
    </row>
    <row r="692">
      <c r="A692" s="1"/>
      <c r="B692" s="3" t="str">
        <f>IFERROR(__xludf.DUMMYFUNCTION("""COMPUTED_VALUE"""),"YUSNITA")</f>
        <v>YUSNITA</v>
      </c>
      <c r="C692" s="3" t="str">
        <f>IFERROR(__xludf.DUMMYFUNCTION("""COMPUTED_VALUE"""),"Y9623098888")</f>
        <v>Y9623098888</v>
      </c>
      <c r="D692" s="3">
        <f>IFERROR(__xludf.DUMMYFUNCTION("""COMPUTED_VALUE"""),29.0)</f>
        <v>29</v>
      </c>
      <c r="E692" s="1"/>
    </row>
    <row r="693">
      <c r="A693" s="1"/>
      <c r="B693" s="3" t="str">
        <f>IFERROR(__xludf.DUMMYFUNCTION("""COMPUTED_VALUE"""),"TEGUH SETIAWAN")</f>
        <v>TEGUH SETIAWAN</v>
      </c>
      <c r="C693" s="3" t="str">
        <f>IFERROR(__xludf.DUMMYFUNCTION("""COMPUTED_VALUE"""),"T9523093955")</f>
        <v>T9523093955</v>
      </c>
      <c r="D693" s="3">
        <f>IFERROR(__xludf.DUMMYFUNCTION("""COMPUTED_VALUE"""),31.0)</f>
        <v>31</v>
      </c>
      <c r="E693" s="1"/>
    </row>
    <row r="694">
      <c r="A694" s="1"/>
      <c r="B694" s="3" t="str">
        <f>IFERROR(__xludf.DUMMYFUNCTION("""COMPUTED_VALUE"""),"DARWIS")</f>
        <v>DARWIS</v>
      </c>
      <c r="C694" s="3" t="str">
        <f>IFERROR(__xludf.DUMMYFUNCTION("""COMPUTED_VALUE"""),"D4923097226")</f>
        <v>D4923097226</v>
      </c>
      <c r="D694" s="3">
        <f>IFERROR(__xludf.DUMMYFUNCTION("""COMPUTED_VALUE"""),77.0)</f>
        <v>77</v>
      </c>
      <c r="E694" s="1"/>
    </row>
    <row r="695">
      <c r="A695" s="1"/>
      <c r="B695" s="3" t="str">
        <f>IFERROR(__xludf.DUMMYFUNCTION("""COMPUTED_VALUE"""),"RIZKY WARITS ISSYAFHADI")</f>
        <v>RIZKY WARITS ISSYAFHADI</v>
      </c>
      <c r="C695" s="3" t="str">
        <f>IFERROR(__xludf.DUMMYFUNCTION("""COMPUTED_VALUE"""),"R9723098009")</f>
        <v>R9723098009</v>
      </c>
      <c r="D695" s="3">
        <f>IFERROR(__xludf.DUMMYFUNCTION("""COMPUTED_VALUE"""),28.0)</f>
        <v>28</v>
      </c>
      <c r="E695" s="1"/>
    </row>
    <row r="696">
      <c r="A696" s="1"/>
      <c r="B696" s="3" t="str">
        <f>IFERROR(__xludf.DUMMYFUNCTION("""COMPUTED_VALUE"""),"AGNES")</f>
        <v>AGNES</v>
      </c>
      <c r="C696" s="3" t="str">
        <f>IFERROR(__xludf.DUMMYFUNCTION("""COMPUTED_VALUE"""),"A6223091012")</f>
        <v>A6223091012</v>
      </c>
      <c r="D696" s="3">
        <f>IFERROR(__xludf.DUMMYFUNCTION("""COMPUTED_VALUE"""),64.0)</f>
        <v>64</v>
      </c>
      <c r="E696" s="1"/>
    </row>
    <row r="697">
      <c r="A697" s="1"/>
      <c r="B697" s="3" t="str">
        <f>IFERROR(__xludf.DUMMYFUNCTION("""COMPUTED_VALUE"""),"ARDIKMO VERNANDES")</f>
        <v>ARDIKMO VERNANDES</v>
      </c>
      <c r="C697" s="3" t="str">
        <f>IFERROR(__xludf.DUMMYFUNCTION("""COMPUTED_VALUE"""),"A0423095145")</f>
        <v>A0423095145</v>
      </c>
      <c r="D697" s="3">
        <f>IFERROR(__xludf.DUMMYFUNCTION("""COMPUTED_VALUE"""),21.0)</f>
        <v>21</v>
      </c>
      <c r="E697" s="1"/>
    </row>
    <row r="698">
      <c r="A698" s="1"/>
      <c r="B698" s="3" t="str">
        <f>IFERROR(__xludf.DUMMYFUNCTION("""COMPUTED_VALUE"""),"TENGKU NURUL RIZKIYANTI")</f>
        <v>TENGKU NURUL RIZKIYANTI</v>
      </c>
      <c r="C698" s="3" t="str">
        <f>IFERROR(__xludf.DUMMYFUNCTION("""COMPUTED_VALUE"""),"T9223098358")</f>
        <v>T9223098358</v>
      </c>
      <c r="D698" s="3">
        <f>IFERROR(__xludf.DUMMYFUNCTION("""COMPUTED_VALUE"""),33.0)</f>
        <v>33</v>
      </c>
      <c r="E698" s="1"/>
    </row>
    <row r="699">
      <c r="A699" s="1"/>
      <c r="B699" s="3" t="str">
        <f>IFERROR(__xludf.DUMMYFUNCTION("""COMPUTED_VALUE"""),"SUGEMIATI")</f>
        <v>SUGEMIATI</v>
      </c>
      <c r="C699" s="3" t="str">
        <f>IFERROR(__xludf.DUMMYFUNCTION("""COMPUTED_VALUE"""),"S6823098597")</f>
        <v>S6823098597</v>
      </c>
      <c r="D699" s="3">
        <f>IFERROR(__xludf.DUMMYFUNCTION("""COMPUTED_VALUE"""),57.0)</f>
        <v>57</v>
      </c>
      <c r="E699" s="1"/>
    </row>
    <row r="700">
      <c r="A700" s="1"/>
      <c r="B700" s="3" t="str">
        <f>IFERROR(__xludf.DUMMYFUNCTION("""COMPUTED_VALUE"""),"LILY 7506")</f>
        <v>LILY 7506</v>
      </c>
      <c r="C700" s="3" t="str">
        <f>IFERROR(__xludf.DUMMYFUNCTION("""COMPUTED_VALUE"""),"L7523093321")</f>
        <v>L7523093321</v>
      </c>
      <c r="D700" s="3">
        <f>IFERROR(__xludf.DUMMYFUNCTION("""COMPUTED_VALUE"""),51.0)</f>
        <v>51</v>
      </c>
      <c r="E700" s="1"/>
    </row>
    <row r="701">
      <c r="A701" s="1"/>
      <c r="B701" s="3" t="str">
        <f>IFERROR(__xludf.DUMMYFUNCTION("""COMPUTED_VALUE"""),"WAHYUDINATA")</f>
        <v>WAHYUDINATA</v>
      </c>
      <c r="C701" s="3" t="str">
        <f>IFERROR(__xludf.DUMMYFUNCTION("""COMPUTED_VALUE"""),"W8823098732")</f>
        <v>W8823098732</v>
      </c>
      <c r="D701" s="3">
        <f>IFERROR(__xludf.DUMMYFUNCTION("""COMPUTED_VALUE"""),37.0)</f>
        <v>37</v>
      </c>
      <c r="E701" s="1"/>
    </row>
    <row r="702">
      <c r="A702" s="1"/>
      <c r="B702" s="3" t="str">
        <f>IFERROR(__xludf.DUMMYFUNCTION("""COMPUTED_VALUE"""),"TUNJUNG KUNTO NUGROHO")</f>
        <v>TUNJUNG KUNTO NUGROHO</v>
      </c>
      <c r="C702" s="3" t="str">
        <f>IFERROR(__xludf.DUMMYFUNCTION("""COMPUTED_VALUE"""),"T9423098983")</f>
        <v>T9423098983</v>
      </c>
      <c r="D702" s="3">
        <f>IFERROR(__xludf.DUMMYFUNCTION("""COMPUTED_VALUE"""),32.0)</f>
        <v>32</v>
      </c>
      <c r="E702" s="1"/>
    </row>
    <row r="703">
      <c r="A703" s="1"/>
      <c r="B703" s="3" t="str">
        <f>IFERROR(__xludf.DUMMYFUNCTION("""COMPUTED_VALUE"""),"MUHAMMAD LUTHFI ILHAM")</f>
        <v>MUHAMMAD LUTHFI ILHAM</v>
      </c>
      <c r="C703" s="3" t="str">
        <f>IFERROR(__xludf.DUMMYFUNCTION("""COMPUTED_VALUE"""),"M0023093159")</f>
        <v>M0023093159</v>
      </c>
      <c r="D703" s="3">
        <f>IFERROR(__xludf.DUMMYFUNCTION("""COMPUTED_VALUE"""),26.0)</f>
        <v>26</v>
      </c>
      <c r="E703" s="1"/>
    </row>
    <row r="704">
      <c r="A704" s="1"/>
      <c r="B704" s="3" t="str">
        <f>IFERROR(__xludf.DUMMYFUNCTION("""COMPUTED_VALUE"""),"MARGIE NASTITI")</f>
        <v>MARGIE NASTITI</v>
      </c>
      <c r="C704" s="3" t="str">
        <f>IFERROR(__xludf.DUMMYFUNCTION("""COMPUTED_VALUE"""),"M9523093913")</f>
        <v>M9523093913</v>
      </c>
      <c r="D704" s="3">
        <f>IFERROR(__xludf.DUMMYFUNCTION("""COMPUTED_VALUE"""),31.0)</f>
        <v>31</v>
      </c>
      <c r="E704" s="1"/>
    </row>
    <row r="705">
      <c r="A705" s="1"/>
      <c r="B705" s="3" t="str">
        <f>IFERROR(__xludf.DUMMYFUNCTION("""COMPUTED_VALUE"""),"HERI SARMAN")</f>
        <v>HERI SARMAN</v>
      </c>
      <c r="C705" s="3" t="str">
        <f>IFERROR(__xludf.DUMMYFUNCTION("""COMPUTED_VALUE"""),"H0123093969")</f>
        <v>H0123093969</v>
      </c>
      <c r="D705" s="3">
        <f>IFERROR(__xludf.DUMMYFUNCTION("""COMPUTED_VALUE"""),24.0)</f>
        <v>24</v>
      </c>
      <c r="E705" s="1"/>
    </row>
    <row r="706">
      <c r="A706" s="1"/>
      <c r="B706" s="3" t="str">
        <f>IFERROR(__xludf.DUMMYFUNCTION("""COMPUTED_VALUE"""),"ATHALLA NAWAF AR RASYID")</f>
        <v>ATHALLA NAWAF AR RASYID</v>
      </c>
      <c r="C706" s="3" t="str">
        <f>IFERROR(__xludf.DUMMYFUNCTION("""COMPUTED_VALUE"""),"A0923094762")</f>
        <v>A0923094762</v>
      </c>
      <c r="D706" s="3">
        <f>IFERROR(__xludf.DUMMYFUNCTION("""COMPUTED_VALUE"""),16.0)</f>
        <v>16</v>
      </c>
      <c r="E706" s="1"/>
    </row>
    <row r="707">
      <c r="A707" s="1"/>
      <c r="B707" s="3" t="str">
        <f>IFERROR(__xludf.DUMMYFUNCTION("""COMPUTED_VALUE"""),"TRI LASTUTI")</f>
        <v>TRI LASTUTI</v>
      </c>
      <c r="C707" s="3" t="str">
        <f>IFERROR(__xludf.DUMMYFUNCTION("""COMPUTED_VALUE"""),"T7423095388")</f>
        <v>T7423095388</v>
      </c>
      <c r="D707" s="3">
        <f>IFERROR(__xludf.DUMMYFUNCTION("""COMPUTED_VALUE"""),52.0)</f>
        <v>52</v>
      </c>
      <c r="E707" s="1"/>
    </row>
    <row r="708">
      <c r="A708" s="1"/>
      <c r="B708" s="3" t="str">
        <f>IFERROR(__xludf.DUMMYFUNCTION("""COMPUTED_VALUE"""),"SETYO KUNCORO")</f>
        <v>SETYO KUNCORO</v>
      </c>
      <c r="C708" s="3" t="str">
        <f>IFERROR(__xludf.DUMMYFUNCTION("""COMPUTED_VALUE"""),"S8223090985")</f>
        <v>S8223090985</v>
      </c>
      <c r="D708" s="3">
        <f>IFERROR(__xludf.DUMMYFUNCTION("""COMPUTED_VALUE"""),44.0)</f>
        <v>44</v>
      </c>
      <c r="E708" s="1"/>
    </row>
    <row r="709">
      <c r="A709" s="1"/>
      <c r="B709" s="3" t="str">
        <f>IFERROR(__xludf.DUMMYFUNCTION("""COMPUTED_VALUE"""),"TIKA UTAMI SUNDARI")</f>
        <v>TIKA UTAMI SUNDARI</v>
      </c>
      <c r="C709" s="3" t="str">
        <f>IFERROR(__xludf.DUMMYFUNCTION("""COMPUTED_VALUE"""),"T9223095055")</f>
        <v>T9223095055</v>
      </c>
      <c r="D709" s="3">
        <f>IFERROR(__xludf.DUMMYFUNCTION("""COMPUTED_VALUE"""),34.0)</f>
        <v>34</v>
      </c>
      <c r="E709" s="1"/>
    </row>
    <row r="710">
      <c r="A710" s="1"/>
      <c r="B710" s="3" t="str">
        <f>IFERROR(__xludf.DUMMYFUNCTION("""COMPUTED_VALUE"""),"NOFI IRAWAN")</f>
        <v>NOFI IRAWAN</v>
      </c>
      <c r="C710" s="3" t="str">
        <f>IFERROR(__xludf.DUMMYFUNCTION("""COMPUTED_VALUE"""),"N8823098877")</f>
        <v>N8823098877</v>
      </c>
      <c r="D710" s="3">
        <f>IFERROR(__xludf.DUMMYFUNCTION("""COMPUTED_VALUE"""),37.0)</f>
        <v>37</v>
      </c>
      <c r="E710" s="1"/>
    </row>
    <row r="711">
      <c r="A711" s="1"/>
      <c r="B711" s="3" t="str">
        <f>IFERROR(__xludf.DUMMYFUNCTION("""COMPUTED_VALUE"""),"DEDDY FAISAL")</f>
        <v>DEDDY FAISAL</v>
      </c>
      <c r="C711" s="3" t="str">
        <f>IFERROR(__xludf.DUMMYFUNCTION("""COMPUTED_VALUE"""),"D9623095215")</f>
        <v>D9623095215</v>
      </c>
      <c r="D711" s="3">
        <f>IFERROR(__xludf.DUMMYFUNCTION("""COMPUTED_VALUE"""),29.0)</f>
        <v>29</v>
      </c>
      <c r="E711" s="1"/>
    </row>
    <row r="712">
      <c r="A712" s="1"/>
      <c r="B712" s="3" t="str">
        <f>IFERROR(__xludf.DUMMYFUNCTION("""COMPUTED_VALUE"""),"NUR IHZA SATRIO")</f>
        <v>NUR IHZA SATRIO</v>
      </c>
      <c r="C712" s="3" t="str">
        <f>IFERROR(__xludf.DUMMYFUNCTION("""COMPUTED_VALUE"""),"N9923097667")</f>
        <v>N9923097667</v>
      </c>
      <c r="D712" s="3">
        <f>IFERROR(__xludf.DUMMYFUNCTION("""COMPUTED_VALUE"""),27.0)</f>
        <v>27</v>
      </c>
      <c r="E712" s="1"/>
    </row>
    <row r="713">
      <c r="A713" s="1"/>
      <c r="B713" s="3" t="str">
        <f>IFERROR(__xludf.DUMMYFUNCTION("""COMPUTED_VALUE"""),"DAVID CEN")</f>
        <v>DAVID CEN</v>
      </c>
      <c r="C713" s="3" t="str">
        <f>IFERROR(__xludf.DUMMYFUNCTION("""COMPUTED_VALUE"""),"D9223092989")</f>
        <v>D9223092989</v>
      </c>
      <c r="D713" s="3">
        <f>IFERROR(__xludf.DUMMYFUNCTION("""COMPUTED_VALUE"""),34.0)</f>
        <v>34</v>
      </c>
      <c r="E713" s="1"/>
    </row>
    <row r="714">
      <c r="A714" s="1"/>
      <c r="B714" s="3" t="str">
        <f>IFERROR(__xludf.DUMMYFUNCTION("""COMPUTED_VALUE"""),"AJI SETIAWAN")</f>
        <v>AJI SETIAWAN</v>
      </c>
      <c r="C714" s="3" t="str">
        <f>IFERROR(__xludf.DUMMYFUNCTION("""COMPUTED_VALUE"""),"A9923094980")</f>
        <v>A9923094980</v>
      </c>
      <c r="D714" s="3">
        <f>IFERROR(__xludf.DUMMYFUNCTION("""COMPUTED_VALUE"""),27.0)</f>
        <v>27</v>
      </c>
      <c r="E714" s="1"/>
    </row>
    <row r="715">
      <c r="A715" s="1"/>
      <c r="B715" s="3" t="str">
        <f>IFERROR(__xludf.DUMMYFUNCTION("""COMPUTED_VALUE"""),"KUSMINAH")</f>
        <v>KUSMINAH</v>
      </c>
      <c r="C715" s="3" t="str">
        <f>IFERROR(__xludf.DUMMYFUNCTION("""COMPUTED_VALUE"""),"K6623093064")</f>
        <v>K6623093064</v>
      </c>
      <c r="D715" s="3">
        <f>IFERROR(__xludf.DUMMYFUNCTION("""COMPUTED_VALUE"""),60.0)</f>
        <v>60</v>
      </c>
      <c r="E715" s="1"/>
    </row>
    <row r="716">
      <c r="A716" s="1"/>
      <c r="B716" s="3" t="str">
        <f>IFERROR(__xludf.DUMMYFUNCTION("""COMPUTED_VALUE"""),"SINATRYA NALADINDA")</f>
        <v>SINATRYA NALADINDA</v>
      </c>
      <c r="C716" s="3" t="str">
        <f>IFERROR(__xludf.DUMMYFUNCTION("""COMPUTED_VALUE"""),"S9823098544")</f>
        <v>S9823098544</v>
      </c>
      <c r="D716" s="3">
        <f>IFERROR(__xludf.DUMMYFUNCTION("""COMPUTED_VALUE"""),28.0)</f>
        <v>28</v>
      </c>
      <c r="E716" s="1"/>
    </row>
    <row r="717">
      <c r="A717" s="1"/>
      <c r="B717" s="3" t="str">
        <f>IFERROR(__xludf.DUMMYFUNCTION("""COMPUTED_VALUE"""),"LESTARI KHAIRINIDYA")</f>
        <v>LESTARI KHAIRINIDYA</v>
      </c>
      <c r="C717" s="3" t="str">
        <f>IFERROR(__xludf.DUMMYFUNCTION("""COMPUTED_VALUE"""),"L9823099943")</f>
        <v>L9823099943</v>
      </c>
      <c r="D717" s="3">
        <f>IFERROR(__xludf.DUMMYFUNCTION("""COMPUTED_VALUE"""),27.0)</f>
        <v>27</v>
      </c>
      <c r="E717" s="1"/>
    </row>
    <row r="718">
      <c r="A718" s="1"/>
      <c r="B718" s="3" t="str">
        <f>IFERROR(__xludf.DUMMYFUNCTION("""COMPUTED_VALUE"""),"SYARIF SALEH")</f>
        <v>SYARIF SALEH</v>
      </c>
      <c r="C718" s="3" t="str">
        <f>IFERROR(__xludf.DUMMYFUNCTION("""COMPUTED_VALUE"""),"S5423093112")</f>
        <v>S5423093112</v>
      </c>
      <c r="D718" s="3">
        <f>IFERROR(__xludf.DUMMYFUNCTION("""COMPUTED_VALUE"""),71.0)</f>
        <v>71</v>
      </c>
      <c r="E718" s="1"/>
    </row>
    <row r="719">
      <c r="A719" s="1"/>
      <c r="B719" s="3" t="str">
        <f>IFERROR(__xludf.DUMMYFUNCTION("""COMPUTED_VALUE"""),"JODY COMMANDO")</f>
        <v>JODY COMMANDO</v>
      </c>
      <c r="C719" s="3" t="str">
        <f>IFERROR(__xludf.DUMMYFUNCTION("""COMPUTED_VALUE"""),"J9923095656")</f>
        <v>J9923095656</v>
      </c>
      <c r="D719" s="3">
        <f>IFERROR(__xludf.DUMMYFUNCTION("""COMPUTED_VALUE"""),26.0)</f>
        <v>26</v>
      </c>
      <c r="E719" s="1"/>
    </row>
    <row r="720">
      <c r="A720" s="1"/>
      <c r="B720" s="3" t="str">
        <f>IFERROR(__xludf.DUMMYFUNCTION("""COMPUTED_VALUE"""),"FITRIANDI")</f>
        <v>FITRIANDI</v>
      </c>
      <c r="C720" s="3" t="str">
        <f>IFERROR(__xludf.DUMMYFUNCTION("""COMPUTED_VALUE"""),"F9723093943")</f>
        <v>F9723093943</v>
      </c>
      <c r="D720" s="3">
        <f>IFERROR(__xludf.DUMMYFUNCTION("""COMPUTED_VALUE"""),29.0)</f>
        <v>29</v>
      </c>
      <c r="E720" s="1"/>
    </row>
    <row r="721">
      <c r="A721" s="1"/>
      <c r="B721" s="3" t="str">
        <f>IFERROR(__xludf.DUMMYFUNCTION("""COMPUTED_VALUE"""),"NURHAYATI 50")</f>
        <v>NURHAYATI 50</v>
      </c>
      <c r="C721" s="3" t="str">
        <f>IFERROR(__xludf.DUMMYFUNCTION("""COMPUTED_VALUE"""),"N5023097111")</f>
        <v>N5023097111</v>
      </c>
      <c r="D721" s="3">
        <f>IFERROR(__xludf.DUMMYFUNCTION("""COMPUTED_VALUE"""),76.0)</f>
        <v>76</v>
      </c>
      <c r="E721" s="1"/>
    </row>
    <row r="722">
      <c r="A722" s="1"/>
      <c r="B722" s="3" t="str">
        <f>IFERROR(__xludf.DUMMYFUNCTION("""COMPUTED_VALUE"""),"NUR APRIANI")</f>
        <v>NUR APRIANI</v>
      </c>
      <c r="C722" s="3" t="str">
        <f>IFERROR(__xludf.DUMMYFUNCTION("""COMPUTED_VALUE"""),"N8023098374")</f>
        <v>N8023098374</v>
      </c>
      <c r="D722" s="3">
        <f>IFERROR(__xludf.DUMMYFUNCTION("""COMPUTED_VALUE"""),46.0)</f>
        <v>46</v>
      </c>
      <c r="E722" s="1"/>
    </row>
    <row r="723">
      <c r="A723" s="1"/>
      <c r="B723" s="3" t="str">
        <f>IFERROR(__xludf.DUMMYFUNCTION("""COMPUTED_VALUE"""),"FERRYS GUNAWAN")</f>
        <v>FERRYS GUNAWAN</v>
      </c>
      <c r="C723" s="3" t="str">
        <f>IFERROR(__xludf.DUMMYFUNCTION("""COMPUTED_VALUE"""),"F9523096097")</f>
        <v>F9523096097</v>
      </c>
      <c r="D723" s="3">
        <f>IFERROR(__xludf.DUMMYFUNCTION("""COMPUTED_VALUE"""),31.0)</f>
        <v>31</v>
      </c>
      <c r="E723" s="1"/>
    </row>
    <row r="724">
      <c r="A724" s="1"/>
      <c r="B724" s="3" t="str">
        <f>IFERROR(__xludf.DUMMYFUNCTION("""COMPUTED_VALUE"""),"FIQKY RAVINDA KUMARA")</f>
        <v>FIQKY RAVINDA KUMARA</v>
      </c>
      <c r="C724" s="3" t="str">
        <f>IFERROR(__xludf.DUMMYFUNCTION("""COMPUTED_VALUE"""),"F9523092709")</f>
        <v>F9523092709</v>
      </c>
      <c r="D724" s="3">
        <f>IFERROR(__xludf.DUMMYFUNCTION("""COMPUTED_VALUE"""),30.0)</f>
        <v>30</v>
      </c>
      <c r="E724" s="1"/>
    </row>
    <row r="725">
      <c r="A725" s="1"/>
      <c r="B725" s="3" t="str">
        <f>IFERROR(__xludf.DUMMYFUNCTION("""COMPUTED_VALUE"""),"VENDY DJUNAIDI")</f>
        <v>VENDY DJUNAIDI</v>
      </c>
      <c r="C725" s="3" t="str">
        <f>IFERROR(__xludf.DUMMYFUNCTION("""COMPUTED_VALUE"""),"V9223092255")</f>
        <v>V9223092255</v>
      </c>
      <c r="D725" s="3">
        <f>IFERROR(__xludf.DUMMYFUNCTION("""COMPUTED_VALUE"""),33.0)</f>
        <v>33</v>
      </c>
      <c r="E725" s="1"/>
    </row>
    <row r="726">
      <c r="A726" s="1"/>
      <c r="B726" s="3" t="str">
        <f>IFERROR(__xludf.DUMMYFUNCTION("""COMPUTED_VALUE"""),"SRI WANGI")</f>
        <v>SRI WANGI</v>
      </c>
      <c r="C726" s="3" t="str">
        <f>IFERROR(__xludf.DUMMYFUNCTION("""COMPUTED_VALUE"""),"S7023095677")</f>
        <v>S7023095677</v>
      </c>
      <c r="D726" s="3">
        <f>IFERROR(__xludf.DUMMYFUNCTION("""COMPUTED_VALUE"""),56.0)</f>
        <v>56</v>
      </c>
      <c r="E726" s="1"/>
    </row>
    <row r="727">
      <c r="A727" s="1"/>
      <c r="B727" s="3" t="str">
        <f>IFERROR(__xludf.DUMMYFUNCTION("""COMPUTED_VALUE"""),"RIDWAN")</f>
        <v>RIDWAN</v>
      </c>
      <c r="C727" s="3" t="str">
        <f>IFERROR(__xludf.DUMMYFUNCTION("""COMPUTED_VALUE"""),"R7523099000")</f>
        <v>R7523099000</v>
      </c>
      <c r="D727" s="3">
        <f>IFERROR(__xludf.DUMMYFUNCTION("""COMPUTED_VALUE"""),50.0)</f>
        <v>50</v>
      </c>
      <c r="E727" s="1"/>
    </row>
    <row r="728">
      <c r="A728" s="1"/>
      <c r="B728" s="3" t="str">
        <f>IFERROR(__xludf.DUMMYFUNCTION("""COMPUTED_VALUE"""),"URAY JUWITA")</f>
        <v>URAY JUWITA</v>
      </c>
      <c r="C728" s="3" t="str">
        <f>IFERROR(__xludf.DUMMYFUNCTION("""COMPUTED_VALUE"""),"U8923098245")</f>
        <v>U8923098245</v>
      </c>
      <c r="D728" s="3">
        <f>IFERROR(__xludf.DUMMYFUNCTION("""COMPUTED_VALUE"""),37.0)</f>
        <v>37</v>
      </c>
      <c r="E728" s="1"/>
    </row>
    <row r="729">
      <c r="A729" s="1"/>
      <c r="B729" s="3" t="str">
        <f>IFERROR(__xludf.DUMMYFUNCTION("""COMPUTED_VALUE"""),"UPIK KALSUM")</f>
        <v>UPIK KALSUM</v>
      </c>
      <c r="C729" s="3" t="str">
        <f>IFERROR(__xludf.DUMMYFUNCTION("""COMPUTED_VALUE"""),"U7023099220")</f>
        <v>U7023099220</v>
      </c>
      <c r="D729" s="3">
        <f>IFERROR(__xludf.DUMMYFUNCTION("""COMPUTED_VALUE"""),55.0)</f>
        <v>55</v>
      </c>
      <c r="E729" s="1"/>
    </row>
    <row r="730">
      <c r="A730" s="1"/>
      <c r="B730" s="3" t="str">
        <f>IFERROR(__xludf.DUMMYFUNCTION("""COMPUTED_VALUE"""),"KRISTIAN BUDIMAN")</f>
        <v>KRISTIAN BUDIMAN</v>
      </c>
      <c r="C730" s="3" t="str">
        <f>IFERROR(__xludf.DUMMYFUNCTION("""COMPUTED_VALUE"""),"K9523099116")</f>
        <v>K9523099116</v>
      </c>
      <c r="D730" s="3">
        <f>IFERROR(__xludf.DUMMYFUNCTION("""COMPUTED_VALUE"""),31.0)</f>
        <v>31</v>
      </c>
      <c r="E730" s="1"/>
    </row>
    <row r="731">
      <c r="A731" s="1"/>
      <c r="B731" s="3" t="str">
        <f>IFERROR(__xludf.DUMMYFUNCTION("""COMPUTED_VALUE"""),"WULANJANI ENDAH ASTUTI")</f>
        <v>WULANJANI ENDAH ASTUTI</v>
      </c>
      <c r="C731" s="3" t="str">
        <f>IFERROR(__xludf.DUMMYFUNCTION("""COMPUTED_VALUE"""),"W9723090206")</f>
        <v>W9723090206</v>
      </c>
      <c r="D731" s="3">
        <f>IFERROR(__xludf.DUMMYFUNCTION("""COMPUTED_VALUE"""),29.0)</f>
        <v>29</v>
      </c>
      <c r="E731" s="1"/>
    </row>
    <row r="732">
      <c r="A732" s="1"/>
      <c r="B732" s="3" t="str">
        <f>IFERROR(__xludf.DUMMYFUNCTION("""COMPUTED_VALUE"""),"MUHAMMAD MARZOUQ")</f>
        <v>MUHAMMAD MARZOUQ</v>
      </c>
      <c r="C732" s="3" t="str">
        <f>IFERROR(__xludf.DUMMYFUNCTION("""COMPUTED_VALUE"""),"M1423101862")</f>
        <v>M1423101862</v>
      </c>
      <c r="D732" s="3">
        <f>IFERROR(__xludf.DUMMYFUNCTION("""COMPUTED_VALUE"""),11.0)</f>
        <v>11</v>
      </c>
      <c r="E732" s="1"/>
    </row>
    <row r="733">
      <c r="A733" s="1"/>
      <c r="B733" s="3" t="str">
        <f>IFERROR(__xludf.DUMMYFUNCTION("""COMPUTED_VALUE"""),"RONAL")</f>
        <v>RONAL</v>
      </c>
      <c r="C733" s="3" t="str">
        <f>IFERROR(__xludf.DUMMYFUNCTION("""COMPUTED_VALUE"""),"R9923108940")</f>
        <v>R9923108940</v>
      </c>
      <c r="D733" s="3">
        <f>IFERROR(__xludf.DUMMYFUNCTION("""COMPUTED_VALUE"""),26.0)</f>
        <v>26</v>
      </c>
      <c r="E733" s="1"/>
    </row>
    <row r="734">
      <c r="A734" s="1"/>
      <c r="B734" s="3" t="str">
        <f>IFERROR(__xludf.DUMMYFUNCTION("""COMPUTED_VALUE"""),"NS. DEBBY HATMALYAKIN, M. KEP")</f>
        <v>NS. DEBBY HATMALYAKIN, M. KEP</v>
      </c>
      <c r="C734" s="3" t="str">
        <f>IFERROR(__xludf.DUMMYFUNCTION("""COMPUTED_VALUE"""),"N9323100143")</f>
        <v>N9323100143</v>
      </c>
      <c r="D734" s="3">
        <f>IFERROR(__xludf.DUMMYFUNCTION("""COMPUTED_VALUE"""),33.0)</f>
        <v>33</v>
      </c>
      <c r="E734" s="1"/>
    </row>
    <row r="735">
      <c r="A735" s="1"/>
      <c r="B735" s="3" t="str">
        <f>IFERROR(__xludf.DUMMYFUNCTION("""COMPUTED_VALUE"""),"YALQA RIZQI AZK")</f>
        <v>YALQA RIZQI AZK</v>
      </c>
      <c r="C735" s="3" t="str">
        <f>IFERROR(__xludf.DUMMYFUNCTION("""COMPUTED_VALUE"""),"Y0023104309")</f>
        <v>Y0023104309</v>
      </c>
      <c r="D735" s="3">
        <f>IFERROR(__xludf.DUMMYFUNCTION("""COMPUTED_VALUE"""),26.0)</f>
        <v>26</v>
      </c>
      <c r="E735" s="1"/>
    </row>
    <row r="736">
      <c r="A736" s="1"/>
      <c r="B736" s="3" t="str">
        <f>IFERROR(__xludf.DUMMYFUNCTION("""COMPUTED_VALUE"""),"WELLY TRIPUTRA")</f>
        <v>WELLY TRIPUTRA</v>
      </c>
      <c r="C736" s="3" t="str">
        <f>IFERROR(__xludf.DUMMYFUNCTION("""COMPUTED_VALUE"""),"W0023100956")</f>
        <v>W0023100956</v>
      </c>
      <c r="D736" s="3">
        <f>IFERROR(__xludf.DUMMYFUNCTION("""COMPUTED_VALUE"""),26.0)</f>
        <v>26</v>
      </c>
      <c r="E736" s="1"/>
    </row>
    <row r="737">
      <c r="A737" s="1"/>
      <c r="B737" s="3" t="str">
        <f>IFERROR(__xludf.DUMMYFUNCTION("""COMPUTED_VALUE"""),"HIDAYATI")</f>
        <v>HIDAYATI</v>
      </c>
      <c r="C737" s="3" t="str">
        <f>IFERROR(__xludf.DUMMYFUNCTION("""COMPUTED_VALUE"""),"H7623100909")</f>
        <v>H7623100909</v>
      </c>
      <c r="D737" s="3">
        <f>IFERROR(__xludf.DUMMYFUNCTION("""COMPUTED_VALUE"""),49.0)</f>
        <v>49</v>
      </c>
      <c r="E737" s="1"/>
    </row>
    <row r="738">
      <c r="A738" s="1"/>
      <c r="B738" s="3" t="str">
        <f>IFERROR(__xludf.DUMMYFUNCTION("""COMPUTED_VALUE"""),"ADHIT RAMADHAN")</f>
        <v>ADHIT RAMADHAN</v>
      </c>
      <c r="C738" s="3" t="str">
        <f>IFERROR(__xludf.DUMMYFUNCTION("""COMPUTED_VALUE"""),"A0123101")</f>
        <v>A0123101</v>
      </c>
      <c r="D738" s="3">
        <f>IFERROR(__xludf.DUMMYFUNCTION("""COMPUTED_VALUE"""),24.0)</f>
        <v>24</v>
      </c>
      <c r="E738" s="1"/>
    </row>
    <row r="739">
      <c r="A739" s="1"/>
      <c r="B739" s="3" t="str">
        <f>IFERROR(__xludf.DUMMYFUNCTION("""COMPUTED_VALUE"""),"FARIDA 43")</f>
        <v>FARIDA 43</v>
      </c>
      <c r="C739" s="3" t="str">
        <f>IFERROR(__xludf.DUMMYFUNCTION("""COMPUTED_VALUE"""),"F8023109464")</f>
        <v>F8023109464</v>
      </c>
      <c r="D739" s="3">
        <f>IFERROR(__xludf.DUMMYFUNCTION("""COMPUTED_VALUE"""),46.0)</f>
        <v>46</v>
      </c>
      <c r="E739" s="1"/>
    </row>
    <row r="740">
      <c r="A740" s="1"/>
      <c r="B740" s="3" t="str">
        <f>IFERROR(__xludf.DUMMYFUNCTION("""COMPUTED_VALUE"""),"MOH. YASIN")</f>
        <v>MOH. YASIN</v>
      </c>
      <c r="C740" s="3" t="str">
        <f>IFERROR(__xludf.DUMMYFUNCTION("""COMPUTED_VALUE"""),"M5723105002")</f>
        <v>M5723105002</v>
      </c>
      <c r="D740" s="3">
        <f>IFERROR(__xludf.DUMMYFUNCTION("""COMPUTED_VALUE"""),68.0)</f>
        <v>68</v>
      </c>
      <c r="E740" s="1"/>
    </row>
    <row r="741">
      <c r="A741" s="1"/>
      <c r="B741" s="3" t="str">
        <f>IFERROR(__xludf.DUMMYFUNCTION("""COMPUTED_VALUE"""),"GALIH SENI RUPAWAN")</f>
        <v>GALIH SENI RUPAWAN</v>
      </c>
      <c r="C741" s="3" t="str">
        <f>IFERROR(__xludf.DUMMYFUNCTION("""COMPUTED_VALUE"""),"G9423106584")</f>
        <v>G9423106584</v>
      </c>
      <c r="D741" s="3">
        <f>IFERROR(__xludf.DUMMYFUNCTION("""COMPUTED_VALUE"""),32.0)</f>
        <v>32</v>
      </c>
      <c r="E741" s="1"/>
    </row>
    <row r="742">
      <c r="A742" s="1"/>
      <c r="B742" s="3" t="str">
        <f>IFERROR(__xludf.DUMMYFUNCTION("""COMPUTED_VALUE"""),"RAIHAN FIRDAUS WIJAYA")</f>
        <v>RAIHAN FIRDAUS WIJAYA</v>
      </c>
      <c r="C742" s="3" t="str">
        <f>IFERROR(__xludf.DUMMYFUNCTION("""COMPUTED_VALUE"""),"R0123106306")</f>
        <v>R0123106306</v>
      </c>
      <c r="D742" s="3">
        <f>IFERROR(__xludf.DUMMYFUNCTION("""COMPUTED_VALUE"""),24.0)</f>
        <v>24</v>
      </c>
      <c r="E742" s="1"/>
    </row>
    <row r="743">
      <c r="A743" s="1"/>
      <c r="B743" s="3" t="str">
        <f>IFERROR(__xludf.DUMMYFUNCTION("""COMPUTED_VALUE"""),"REXY GUSNIANDI")</f>
        <v>REXY GUSNIANDI</v>
      </c>
      <c r="C743" s="3" t="str">
        <f>IFERROR(__xludf.DUMMYFUNCTION("""COMPUTED_VALUE"""),"R9723104575")</f>
        <v>R9723104575</v>
      </c>
      <c r="D743" s="3">
        <f>IFERROR(__xludf.DUMMYFUNCTION("""COMPUTED_VALUE"""),28.0)</f>
        <v>28</v>
      </c>
      <c r="E743" s="1"/>
    </row>
    <row r="744">
      <c r="A744" s="1"/>
      <c r="B744" s="3" t="str">
        <f>IFERROR(__xludf.DUMMYFUNCTION("""COMPUTED_VALUE"""),"BAMBANG SUGENG")</f>
        <v>BAMBANG SUGENG</v>
      </c>
      <c r="C744" s="3" t="str">
        <f>IFERROR(__xludf.DUMMYFUNCTION("""COMPUTED_VALUE"""),"B6523106766")</f>
        <v>B6523106766</v>
      </c>
      <c r="D744" s="3">
        <f>IFERROR(__xludf.DUMMYFUNCTION("""COMPUTED_VALUE"""),61.0)</f>
        <v>61</v>
      </c>
      <c r="E744" s="1"/>
    </row>
    <row r="745">
      <c r="A745" s="1"/>
      <c r="B745" s="3" t="str">
        <f>IFERROR(__xludf.DUMMYFUNCTION("""COMPUTED_VALUE"""),"YOGA NOVA DIANSYAH")</f>
        <v>YOGA NOVA DIANSYAH</v>
      </c>
      <c r="C745" s="3" t="str">
        <f>IFERROR(__xludf.DUMMYFUNCTION("""COMPUTED_VALUE"""),"Y9523108480")</f>
        <v>Y9523108480</v>
      </c>
      <c r="D745" s="3">
        <f>IFERROR(__xludf.DUMMYFUNCTION("""COMPUTED_VALUE"""),30.0)</f>
        <v>30</v>
      </c>
      <c r="E745" s="1"/>
    </row>
    <row r="746">
      <c r="A746" s="1"/>
      <c r="B746" s="3" t="str">
        <f>IFERROR(__xludf.DUMMYFUNCTION("""COMPUTED_VALUE"""),"ALVIANDY")</f>
        <v>ALVIANDY</v>
      </c>
      <c r="C746" s="3" t="str">
        <f>IFERROR(__xludf.DUMMYFUNCTION("""COMPUTED_VALUE"""),"A9823108688")</f>
        <v>A9823108688</v>
      </c>
      <c r="D746" s="3">
        <f>IFERROR(__xludf.DUMMYFUNCTION("""COMPUTED_VALUE"""),27.0)</f>
        <v>27</v>
      </c>
      <c r="E746" s="1"/>
    </row>
    <row r="747">
      <c r="A747" s="1"/>
      <c r="B747" s="3" t="str">
        <f>IFERROR(__xludf.DUMMYFUNCTION("""COMPUTED_VALUE"""),"FARIDI YUSLA")</f>
        <v>FARIDI YUSLA</v>
      </c>
      <c r="C747" s="3" t="str">
        <f>IFERROR(__xludf.DUMMYFUNCTION("""COMPUTED_VALUE"""),"F5523101955")</f>
        <v>F5523101955</v>
      </c>
      <c r="D747" s="3">
        <f>IFERROR(__xludf.DUMMYFUNCTION("""COMPUTED_VALUE"""),71.0)</f>
        <v>71</v>
      </c>
      <c r="E747" s="1"/>
    </row>
    <row r="748">
      <c r="A748" s="1"/>
      <c r="B748" s="3" t="str">
        <f>IFERROR(__xludf.DUMMYFUNCTION("""COMPUTED_VALUE"""),"MUJTABA TAMAMI")</f>
        <v>MUJTABA TAMAMI</v>
      </c>
      <c r="C748" s="3" t="str">
        <f>IFERROR(__xludf.DUMMYFUNCTION("""COMPUTED_VALUE"""),"M9123108544")</f>
        <v>M9123108544</v>
      </c>
      <c r="D748" s="3">
        <f>IFERROR(__xludf.DUMMYFUNCTION("""COMPUTED_VALUE"""),35.0)</f>
        <v>35</v>
      </c>
      <c r="E748" s="1"/>
    </row>
    <row r="749">
      <c r="A749" s="1"/>
      <c r="B749" s="3" t="str">
        <f>IFERROR(__xludf.DUMMYFUNCTION("""COMPUTED_VALUE"""),"YUNIARTO")</f>
        <v>YUNIARTO</v>
      </c>
      <c r="C749" s="3" t="str">
        <f>IFERROR(__xludf.DUMMYFUNCTION("""COMPUTED_VALUE"""),"Y7723100199")</f>
        <v>Y7723100199</v>
      </c>
      <c r="D749" s="3">
        <f>IFERROR(__xludf.DUMMYFUNCTION("""COMPUTED_VALUE"""),49.0)</f>
        <v>49</v>
      </c>
      <c r="E749" s="1"/>
    </row>
    <row r="750">
      <c r="A750" s="1"/>
      <c r="B750" s="3" t="str">
        <f>IFERROR(__xludf.DUMMYFUNCTION("""COMPUTED_VALUE"""),"TOTOCK SUPRIADI")</f>
        <v>TOTOCK SUPRIADI</v>
      </c>
      <c r="C750" s="3" t="str">
        <f>IFERROR(__xludf.DUMMYFUNCTION("""COMPUTED_VALUE"""),"T0223107096")</f>
        <v>T0223107096</v>
      </c>
      <c r="D750" s="3">
        <f>IFERROR(__xludf.DUMMYFUNCTION("""COMPUTED_VALUE"""),24.0)</f>
        <v>24</v>
      </c>
      <c r="E750" s="1"/>
    </row>
    <row r="751">
      <c r="A751" s="1"/>
      <c r="B751" s="3" t="str">
        <f>IFERROR(__xludf.DUMMYFUNCTION("""COMPUTED_VALUE"""),"NABHAN ZAKY SAPUTRA")</f>
        <v>NABHAN ZAKY SAPUTRA</v>
      </c>
      <c r="C751" s="3" t="str">
        <f>IFERROR(__xludf.DUMMYFUNCTION("""COMPUTED_VALUE"""),"N0523108697")</f>
        <v>N0523108697</v>
      </c>
      <c r="D751" s="3">
        <f>IFERROR(__xludf.DUMMYFUNCTION("""COMPUTED_VALUE"""),20.0)</f>
        <v>20</v>
      </c>
      <c r="E751" s="1"/>
    </row>
    <row r="752">
      <c r="A752" s="1"/>
      <c r="B752" s="3" t="str">
        <f>IFERROR(__xludf.DUMMYFUNCTION("""COMPUTED_VALUE"""),"HI TJIU NGO")</f>
        <v>HI TJIU NGO</v>
      </c>
      <c r="C752" s="3" t="str">
        <f>IFERROR(__xludf.DUMMYFUNCTION("""COMPUTED_VALUE"""),"H5023109150")</f>
        <v>H5023109150</v>
      </c>
      <c r="D752" s="3">
        <f>IFERROR(__xludf.DUMMYFUNCTION("""COMPUTED_VALUE"""),76.0)</f>
        <v>76</v>
      </c>
      <c r="E752" s="1"/>
    </row>
    <row r="753">
      <c r="A753" s="1"/>
      <c r="B753" s="3" t="str">
        <f>IFERROR(__xludf.DUMMYFUNCTION("""COMPUTED_VALUE"""),"RUDI SUGIANTO")</f>
        <v>RUDI SUGIANTO</v>
      </c>
      <c r="C753" s="3" t="str">
        <f>IFERROR(__xludf.DUMMYFUNCTION("""COMPUTED_VALUE"""),"R8823107564")</f>
        <v>R8823107564</v>
      </c>
      <c r="D753" s="3">
        <f>IFERROR(__xludf.DUMMYFUNCTION("""COMPUTED_VALUE"""),38.0)</f>
        <v>38</v>
      </c>
      <c r="E753" s="1"/>
    </row>
    <row r="754">
      <c r="A754" s="1"/>
      <c r="B754" s="3" t="str">
        <f>IFERROR(__xludf.DUMMYFUNCTION("""COMPUTED_VALUE"""),"DZAKY TSALITA W")</f>
        <v>DZAKY TSALITA W</v>
      </c>
      <c r="C754" s="3" t="str">
        <f>IFERROR(__xludf.DUMMYFUNCTION("""COMPUTED_VALUE"""),"D0923103899")</f>
        <v>D0923103899</v>
      </c>
      <c r="D754" s="3">
        <f>IFERROR(__xludf.DUMMYFUNCTION("""COMPUTED_VALUE"""),16.0)</f>
        <v>16</v>
      </c>
      <c r="E754" s="1"/>
    </row>
    <row r="755">
      <c r="A755" s="1"/>
      <c r="B755" s="3" t="str">
        <f>IFERROR(__xludf.DUMMYFUNCTION("""COMPUTED_VALUE"""),"DHEA ASTRID NELINDA")</f>
        <v>DHEA ASTRID NELINDA</v>
      </c>
      <c r="C755" s="3" t="str">
        <f>IFERROR(__xludf.DUMMYFUNCTION("""COMPUTED_VALUE"""),"D9023100078")</f>
        <v>D9023100078</v>
      </c>
      <c r="D755" s="3">
        <f>IFERROR(__xludf.DUMMYFUNCTION("""COMPUTED_VALUE"""),35.0)</f>
        <v>35</v>
      </c>
      <c r="E755" s="1"/>
    </row>
    <row r="756">
      <c r="A756" s="1"/>
      <c r="B756" s="3" t="str">
        <f>IFERROR(__xludf.DUMMYFUNCTION("""COMPUTED_VALUE"""),"NICOLAS VEDRIN")</f>
        <v>NICOLAS VEDRIN</v>
      </c>
      <c r="C756" s="3" t="str">
        <f>IFERROR(__xludf.DUMMYFUNCTION("""COMPUTED_VALUE"""),"N0023108947")</f>
        <v>N0023108947</v>
      </c>
      <c r="D756" s="3">
        <f>IFERROR(__xludf.DUMMYFUNCTION("""COMPUTED_VALUE"""),25.0)</f>
        <v>25</v>
      </c>
      <c r="E756" s="1"/>
    </row>
    <row r="757">
      <c r="A757" s="1"/>
      <c r="B757" s="3" t="str">
        <f>IFERROR(__xludf.DUMMYFUNCTION("""COMPUTED_VALUE"""),"VIVI KURNIAWAN")</f>
        <v>VIVI KURNIAWAN</v>
      </c>
      <c r="C757" s="3" t="str">
        <f>IFERROR(__xludf.DUMMYFUNCTION("""COMPUTED_VALUE"""),"V8723106872")</f>
        <v>V8723106872</v>
      </c>
      <c r="D757" s="3">
        <f>IFERROR(__xludf.DUMMYFUNCTION("""COMPUTED_VALUE"""),38.0)</f>
        <v>38</v>
      </c>
      <c r="E757" s="1"/>
    </row>
    <row r="758">
      <c r="A758" s="1"/>
      <c r="B758" s="3" t="str">
        <f>IFERROR(__xludf.DUMMYFUNCTION("""COMPUTED_VALUE"""),"FIRMAN")</f>
        <v>FIRMAN</v>
      </c>
      <c r="C758" s="3" t="str">
        <f>IFERROR(__xludf.DUMMYFUNCTION("""COMPUTED_VALUE"""),"F8923104122")</f>
        <v>F8923104122</v>
      </c>
      <c r="D758" s="3">
        <f>IFERROR(__xludf.DUMMYFUNCTION("""COMPUTED_VALUE"""),37.0)</f>
        <v>37</v>
      </c>
      <c r="E758" s="1"/>
    </row>
    <row r="759">
      <c r="A759" s="1"/>
      <c r="B759" s="3" t="str">
        <f>IFERROR(__xludf.DUMMYFUNCTION("""COMPUTED_VALUE"""),"AGUS SURYANSYAH")</f>
        <v>AGUS SURYANSYAH</v>
      </c>
      <c r="C759" s="3" t="str">
        <f>IFERROR(__xludf.DUMMYFUNCTION("""COMPUTED_VALUE"""),"A8923100911")</f>
        <v>A8923100911</v>
      </c>
      <c r="D759" s="3">
        <f>IFERROR(__xludf.DUMMYFUNCTION("""COMPUTED_VALUE"""),36.0)</f>
        <v>36</v>
      </c>
      <c r="E759" s="1"/>
    </row>
    <row r="760">
      <c r="A760" s="1"/>
      <c r="B760" s="3" t="str">
        <f>IFERROR(__xludf.DUMMYFUNCTION("""COMPUTED_VALUE"""),"ABDUL JABAR")</f>
        <v>ABDUL JABAR</v>
      </c>
      <c r="C760" s="3" t="str">
        <f>IFERROR(__xludf.DUMMYFUNCTION("""COMPUTED_VALUE"""),"A9823106594")</f>
        <v>A9823106594</v>
      </c>
      <c r="D760" s="3">
        <f>IFERROR(__xludf.DUMMYFUNCTION("""COMPUTED_VALUE"""),27.0)</f>
        <v>27</v>
      </c>
      <c r="E760" s="1"/>
    </row>
    <row r="761">
      <c r="A761" s="1"/>
      <c r="B761" s="3" t="str">
        <f>IFERROR(__xludf.DUMMYFUNCTION("""COMPUTED_VALUE"""),"WINARNI")</f>
        <v>WINARNI</v>
      </c>
      <c r="C761" s="3" t="str">
        <f>IFERROR(__xludf.DUMMYFUNCTION("""COMPUTED_VALUE"""),"W8023106140")</f>
        <v>W8023106140</v>
      </c>
      <c r="D761" s="3">
        <f>IFERROR(__xludf.DUMMYFUNCTION("""COMPUTED_VALUE"""),45.0)</f>
        <v>45</v>
      </c>
      <c r="E761" s="1"/>
    </row>
    <row r="762">
      <c r="A762" s="1"/>
      <c r="B762" s="3" t="str">
        <f>IFERROR(__xludf.DUMMYFUNCTION("""COMPUTED_VALUE"""),"YUSRON")</f>
        <v>YUSRON</v>
      </c>
      <c r="C762" s="3" t="str">
        <f>IFERROR(__xludf.DUMMYFUNCTION("""COMPUTED_VALUE"""),"Y9523102193")</f>
        <v>Y9523102193</v>
      </c>
      <c r="D762" s="3">
        <f>IFERROR(__xludf.DUMMYFUNCTION("""COMPUTED_VALUE"""),31.0)</f>
        <v>31</v>
      </c>
      <c r="E762" s="1"/>
    </row>
    <row r="763">
      <c r="A763" s="1"/>
      <c r="B763" s="3" t="str">
        <f>IFERROR(__xludf.DUMMYFUNCTION("""COMPUTED_VALUE"""),"SY. MUHAMMAD AL JUFRI")</f>
        <v>SY. MUHAMMAD AL JUFRI</v>
      </c>
      <c r="C763" s="3" t="str">
        <f>IFERROR(__xludf.DUMMYFUNCTION("""COMPUTED_VALUE"""),"S7723103269")</f>
        <v>S7723103269</v>
      </c>
      <c r="D763" s="3">
        <f>IFERROR(__xludf.DUMMYFUNCTION("""COMPUTED_VALUE"""),48.0)</f>
        <v>48</v>
      </c>
      <c r="E763" s="1"/>
    </row>
    <row r="764">
      <c r="A764" s="1"/>
      <c r="B764" s="3" t="str">
        <f>IFERROR(__xludf.DUMMYFUNCTION("""COMPUTED_VALUE"""),"AHMAD KURNIADI")</f>
        <v>AHMAD KURNIADI</v>
      </c>
      <c r="C764" s="3" t="str">
        <f>IFERROR(__xludf.DUMMYFUNCTION("""COMPUTED_VALUE"""),"A9823107627")</f>
        <v>A9823107627</v>
      </c>
      <c r="D764" s="3">
        <f>IFERROR(__xludf.DUMMYFUNCTION("""COMPUTED_VALUE"""),28.0)</f>
        <v>28</v>
      </c>
      <c r="E764" s="1"/>
    </row>
    <row r="765">
      <c r="A765" s="1"/>
      <c r="B765" s="3" t="str">
        <f>IFERROR(__xludf.DUMMYFUNCTION("""COMPUTED_VALUE"""),"DODY IRAWAN")</f>
        <v>DODY IRAWAN</v>
      </c>
      <c r="C765" s="3" t="str">
        <f>IFERROR(__xludf.DUMMYFUNCTION("""COMPUTED_VALUE"""),"D8823105555")</f>
        <v>D8823105555</v>
      </c>
      <c r="D765" s="3">
        <f>IFERROR(__xludf.DUMMYFUNCTION("""COMPUTED_VALUE"""),38.0)</f>
        <v>38</v>
      </c>
      <c r="E765" s="1"/>
    </row>
    <row r="766">
      <c r="A766" s="1"/>
      <c r="B766" s="3" t="str">
        <f>IFERROR(__xludf.DUMMYFUNCTION("""COMPUTED_VALUE"""),"MELLY")</f>
        <v>MELLY</v>
      </c>
      <c r="C766" s="3" t="str">
        <f>IFERROR(__xludf.DUMMYFUNCTION("""COMPUTED_VALUE"""),"M5523109112")</f>
        <v>M5523109112</v>
      </c>
      <c r="D766" s="3">
        <f>IFERROR(__xludf.DUMMYFUNCTION("""COMPUTED_VALUE"""),71.0)</f>
        <v>71</v>
      </c>
      <c r="E766" s="1"/>
    </row>
    <row r="767">
      <c r="A767" s="1"/>
      <c r="B767" s="3" t="str">
        <f>IFERROR(__xludf.DUMMYFUNCTION("""COMPUTED_VALUE"""),"FILDZAH THARIFAH RAHMAH")</f>
        <v>FILDZAH THARIFAH RAHMAH</v>
      </c>
      <c r="C767" s="3" t="str">
        <f>IFERROR(__xludf.DUMMYFUNCTION("""COMPUTED_VALUE"""),"F0323101999")</f>
        <v>F0323101999</v>
      </c>
      <c r="D767" s="3">
        <f>IFERROR(__xludf.DUMMYFUNCTION("""COMPUTED_VALUE"""),23.0)</f>
        <v>23</v>
      </c>
      <c r="E767" s="1"/>
    </row>
    <row r="768">
      <c r="A768" s="1"/>
      <c r="B768" s="3" t="str">
        <f>IFERROR(__xludf.DUMMYFUNCTION("""COMPUTED_VALUE"""),"YESSICA OLIVIA")</f>
        <v>YESSICA OLIVIA</v>
      </c>
      <c r="C768" s="3" t="str">
        <f>IFERROR(__xludf.DUMMYFUNCTION("""COMPUTED_VALUE"""),"Y9623105882")</f>
        <v>Y9623105882</v>
      </c>
      <c r="D768" s="3">
        <f>IFERROR(__xludf.DUMMYFUNCTION("""COMPUTED_VALUE"""),29.0)</f>
        <v>29</v>
      </c>
      <c r="E768" s="1"/>
    </row>
    <row r="769">
      <c r="A769" s="1"/>
      <c r="B769" s="3" t="str">
        <f>IFERROR(__xludf.DUMMYFUNCTION("""COMPUTED_VALUE"""),"KAMISAH")</f>
        <v>KAMISAH</v>
      </c>
      <c r="C769" s="3" t="str">
        <f>IFERROR(__xludf.DUMMYFUNCTION("""COMPUTED_VALUE"""),"K7823109983")</f>
        <v>K7823109983</v>
      </c>
      <c r="D769" s="3">
        <f>IFERROR(__xludf.DUMMYFUNCTION("""COMPUTED_VALUE"""),47.0)</f>
        <v>47</v>
      </c>
      <c r="E769" s="1"/>
    </row>
    <row r="770">
      <c r="A770" s="1"/>
      <c r="B770" s="3" t="str">
        <f>IFERROR(__xludf.DUMMYFUNCTION("""COMPUTED_VALUE"""),"SILVANI ANTHONIA")</f>
        <v>SILVANI ANTHONIA</v>
      </c>
      <c r="C770" s="3" t="str">
        <f>IFERROR(__xludf.DUMMYFUNCTION("""COMPUTED_VALUE"""),"S9923102201")</f>
        <v>S9923102201</v>
      </c>
      <c r="D770" s="3">
        <f>IFERROR(__xludf.DUMMYFUNCTION("""COMPUTED_VALUE"""),26.0)</f>
        <v>26</v>
      </c>
      <c r="E770" s="1"/>
    </row>
    <row r="771">
      <c r="A771" s="1"/>
      <c r="B771" s="3" t="str">
        <f>IFERROR(__xludf.DUMMYFUNCTION("""COMPUTED_VALUE"""),"ELINA")</f>
        <v>ELINA</v>
      </c>
      <c r="C771" s="3" t="str">
        <f>IFERROR(__xludf.DUMMYFUNCTION("""COMPUTED_VALUE"""),"E6323109681")</f>
        <v>E6323109681</v>
      </c>
      <c r="D771" s="3">
        <f>IFERROR(__xludf.DUMMYFUNCTION("""COMPUTED_VALUE"""),63.0)</f>
        <v>63</v>
      </c>
      <c r="E771" s="1"/>
    </row>
    <row r="772">
      <c r="A772" s="1"/>
      <c r="B772" s="3" t="str">
        <f>IFERROR(__xludf.DUMMYFUNCTION("""COMPUTED_VALUE"""),"JUSTRI")</f>
        <v>JUSTRI</v>
      </c>
      <c r="C772" s="3" t="str">
        <f>IFERROR(__xludf.DUMMYFUNCTION("""COMPUTED_VALUE"""),"J7023106444")</f>
        <v>J7023106444</v>
      </c>
      <c r="D772" s="3">
        <f>IFERROR(__xludf.DUMMYFUNCTION("""COMPUTED_VALUE"""),55.0)</f>
        <v>55</v>
      </c>
      <c r="E772" s="1"/>
    </row>
    <row r="773">
      <c r="A773" s="1"/>
      <c r="B773" s="3" t="str">
        <f>IFERROR(__xludf.DUMMYFUNCTION("""COMPUTED_VALUE"""),"FAISAL IQBAL ISMAIL DN")</f>
        <v>FAISAL IQBAL ISMAIL DN</v>
      </c>
      <c r="C773" s="3" t="str">
        <f>IFERROR(__xludf.DUMMYFUNCTION("""COMPUTED_VALUE"""),"F0523105855")</f>
        <v>F0523105855</v>
      </c>
      <c r="D773" s="3">
        <f>IFERROR(__xludf.DUMMYFUNCTION("""COMPUTED_VALUE"""),20.0)</f>
        <v>20</v>
      </c>
      <c r="E773" s="1"/>
    </row>
    <row r="774">
      <c r="A774" s="1"/>
      <c r="B774" s="3" t="str">
        <f>IFERROR(__xludf.DUMMYFUNCTION("""COMPUTED_VALUE"""),"M FARRAZ WIRATAMA LUBIS")</f>
        <v>M FARRAZ WIRATAMA LUBIS</v>
      </c>
      <c r="C774" s="3" t="str">
        <f>IFERROR(__xludf.DUMMYFUNCTION("""COMPUTED_VALUE"""),"M9823104290")</f>
        <v>M9823104290</v>
      </c>
      <c r="D774" s="3">
        <f>IFERROR(__xludf.DUMMYFUNCTION("""COMPUTED_VALUE"""),27.0)</f>
        <v>27</v>
      </c>
      <c r="E774" s="1"/>
    </row>
    <row r="775">
      <c r="A775" s="1"/>
      <c r="B775" s="3" t="str">
        <f>IFERROR(__xludf.DUMMYFUNCTION("""COMPUTED_VALUE"""),"AGUNG PRASEKTIA")</f>
        <v>AGUNG PRASEKTIA</v>
      </c>
      <c r="C775" s="3" t="str">
        <f>IFERROR(__xludf.DUMMYFUNCTION("""COMPUTED_VALUE"""),"A9923105194")</f>
        <v>A9923105194</v>
      </c>
      <c r="D775" s="3">
        <f>IFERROR(__xludf.DUMMYFUNCTION("""COMPUTED_VALUE"""),26.0)</f>
        <v>26</v>
      </c>
      <c r="E775" s="1"/>
    </row>
    <row r="776">
      <c r="A776" s="1"/>
      <c r="B776" s="3" t="str">
        <f>IFERROR(__xludf.DUMMYFUNCTION("""COMPUTED_VALUE"""),"NICHOLAS RIVELINO")</f>
        <v>NICHOLAS RIVELINO</v>
      </c>
      <c r="C776" s="3" t="str">
        <f>IFERROR(__xludf.DUMMYFUNCTION("""COMPUTED_VALUE"""),"N0423100605")</f>
        <v>N0423100605</v>
      </c>
      <c r="D776" s="3">
        <f>IFERROR(__xludf.DUMMYFUNCTION("""COMPUTED_VALUE"""),21.0)</f>
        <v>21</v>
      </c>
      <c r="E776" s="1"/>
    </row>
    <row r="777">
      <c r="A777" s="1"/>
      <c r="B777" s="3" t="str">
        <f>IFERROR(__xludf.DUMMYFUNCTION("""COMPUTED_VALUE"""),"MUHAMMAD NAFIS")</f>
        <v>MUHAMMAD NAFIS</v>
      </c>
      <c r="C777" s="3" t="str">
        <f>IFERROR(__xludf.DUMMYFUNCTION("""COMPUTED_VALUE"""),"M0423107811")</f>
        <v>M0423107811</v>
      </c>
      <c r="D777" s="3">
        <f>IFERROR(__xludf.DUMMYFUNCTION("""COMPUTED_VALUE"""),22.0)</f>
        <v>22</v>
      </c>
      <c r="E777" s="1"/>
    </row>
    <row r="778">
      <c r="A778" s="1"/>
      <c r="B778" s="3" t="str">
        <f>IFERROR(__xludf.DUMMYFUNCTION("""COMPUTED_VALUE"""),"M. AZDI YUSPRATAMA, S.STP")</f>
        <v>M. AZDI YUSPRATAMA, S.STP</v>
      </c>
      <c r="C778" s="3" t="str">
        <f>IFERROR(__xludf.DUMMYFUNCTION("""COMPUTED_VALUE"""),"M9523109955")</f>
        <v>M9523109955</v>
      </c>
      <c r="D778" s="3">
        <f>IFERROR(__xludf.DUMMYFUNCTION("""COMPUTED_VALUE"""),31.0)</f>
        <v>31</v>
      </c>
      <c r="E778" s="1"/>
    </row>
    <row r="779">
      <c r="A779" s="1"/>
      <c r="B779" s="3" t="str">
        <f>IFERROR(__xludf.DUMMYFUNCTION("""COMPUTED_VALUE"""),"SONY ARDHIANSYAH")</f>
        <v>SONY ARDHIANSYAH</v>
      </c>
      <c r="C779" s="3" t="str">
        <f>IFERROR(__xludf.DUMMYFUNCTION("""COMPUTED_VALUE"""),"S7923101779")</f>
        <v>S7923101779</v>
      </c>
      <c r="D779" s="3">
        <f>IFERROR(__xludf.DUMMYFUNCTION("""COMPUTED_VALUE"""),46.0)</f>
        <v>46</v>
      </c>
      <c r="E779" s="1"/>
    </row>
    <row r="780">
      <c r="A780" s="1"/>
      <c r="B780" s="3" t="str">
        <f>IFERROR(__xludf.DUMMYFUNCTION("""COMPUTED_VALUE"""),"ZULFIKAR RAHARJO")</f>
        <v>ZULFIKAR RAHARJO</v>
      </c>
      <c r="C780" s="3" t="str">
        <f>IFERROR(__xludf.DUMMYFUNCTION("""COMPUTED_VALUE"""),"Z9323104489")</f>
        <v>Z9323104489</v>
      </c>
      <c r="D780" s="3">
        <f>IFERROR(__xludf.DUMMYFUNCTION("""COMPUTED_VALUE"""),32.0)</f>
        <v>32</v>
      </c>
      <c r="E780" s="1"/>
    </row>
    <row r="781">
      <c r="A781" s="1"/>
      <c r="B781" s="3" t="str">
        <f>IFERROR(__xludf.DUMMYFUNCTION("""COMPUTED_VALUE"""),"ENOLA GORETTY SIAHAAN")</f>
        <v>ENOLA GORETTY SIAHAAN</v>
      </c>
      <c r="C781" s="3" t="str">
        <f>IFERROR(__xludf.DUMMYFUNCTION("""COMPUTED_VALUE"""),"E9223105607")</f>
        <v>E9223105607</v>
      </c>
      <c r="D781" s="3">
        <f>IFERROR(__xludf.DUMMYFUNCTION("""COMPUTED_VALUE"""),33.0)</f>
        <v>33</v>
      </c>
      <c r="E781" s="1"/>
    </row>
    <row r="782">
      <c r="A782" s="1"/>
      <c r="B782" s="3" t="str">
        <f>IFERROR(__xludf.DUMMYFUNCTION("""COMPUTED_VALUE"""),"HESTY SULISTYO WULANDARI")</f>
        <v>HESTY SULISTYO WULANDARI</v>
      </c>
      <c r="C782" s="3" t="str">
        <f>IFERROR(__xludf.DUMMYFUNCTION("""COMPUTED_VALUE"""),"H8523109306")</f>
        <v>H8523109306</v>
      </c>
      <c r="D782" s="3">
        <f>IFERROR(__xludf.DUMMYFUNCTION("""COMPUTED_VALUE"""),41.0)</f>
        <v>41</v>
      </c>
      <c r="E782" s="1"/>
    </row>
    <row r="783">
      <c r="A783" s="1"/>
      <c r="B783" s="3" t="str">
        <f>IFERROR(__xludf.DUMMYFUNCTION("""COMPUTED_VALUE"""),"ALEX HANSENS")</f>
        <v>ALEX HANSENS</v>
      </c>
      <c r="C783" s="3" t="str">
        <f>IFERROR(__xludf.DUMMYFUNCTION("""COMPUTED_VALUE"""),"A0923105575")</f>
        <v>A0923105575</v>
      </c>
      <c r="D783" s="3">
        <f>IFERROR(__xludf.DUMMYFUNCTION("""COMPUTED_VALUE"""),17.0)</f>
        <v>17</v>
      </c>
      <c r="E783" s="1"/>
    </row>
    <row r="784">
      <c r="A784" s="1"/>
      <c r="B784" s="3" t="str">
        <f>IFERROR(__xludf.DUMMYFUNCTION("""COMPUTED_VALUE"""),"ANGELA")</f>
        <v>ANGELA</v>
      </c>
      <c r="C784" s="3" t="str">
        <f>IFERROR(__xludf.DUMMYFUNCTION("""COMPUTED_VALUE"""),"A8723109568")</f>
        <v>A8723109568</v>
      </c>
      <c r="D784" s="3">
        <f>IFERROR(__xludf.DUMMYFUNCTION("""COMPUTED_VALUE"""),38.0)</f>
        <v>38</v>
      </c>
      <c r="E784" s="1"/>
    </row>
    <row r="785">
      <c r="A785" s="1"/>
      <c r="B785" s="3" t="str">
        <f>IFERROR(__xludf.DUMMYFUNCTION("""COMPUTED_VALUE"""),"MUHAMMAD DZAKY RADITYA")</f>
        <v>MUHAMMAD DZAKY RADITYA</v>
      </c>
      <c r="C785" s="3" t="str">
        <f>IFERROR(__xludf.DUMMYFUNCTION("""COMPUTED_VALUE"""),"M0623100304")</f>
        <v>M0623100304</v>
      </c>
      <c r="D785" s="3">
        <f>IFERROR(__xludf.DUMMYFUNCTION("""COMPUTED_VALUE"""),20.0)</f>
        <v>20</v>
      </c>
      <c r="E785" s="1"/>
    </row>
    <row r="786">
      <c r="A786" s="1"/>
      <c r="B786" s="3" t="str">
        <f>IFERROR(__xludf.DUMMYFUNCTION("""COMPUTED_VALUE"""),"GODAM KURNIA SAPUTRA")</f>
        <v>GODAM KURNIA SAPUTRA</v>
      </c>
      <c r="C786" s="3" t="str">
        <f>IFERROR(__xludf.DUMMYFUNCTION("""COMPUTED_VALUE"""),"G8723100802")</f>
        <v>G8723100802</v>
      </c>
      <c r="D786" s="3">
        <f>IFERROR(__xludf.DUMMYFUNCTION("""COMPUTED_VALUE"""),39.0)</f>
        <v>39</v>
      </c>
      <c r="E786" s="1"/>
    </row>
    <row r="787">
      <c r="A787" s="1"/>
      <c r="B787" s="3" t="str">
        <f>IFERROR(__xludf.DUMMYFUNCTION("""COMPUTED_VALUE"""),"CATUR YULIYATI")</f>
        <v>CATUR YULIYATI</v>
      </c>
      <c r="C787" s="3" t="str">
        <f>IFERROR(__xludf.DUMMYFUNCTION("""COMPUTED_VALUE"""),"C7123101945")</f>
        <v>C7123101945</v>
      </c>
      <c r="D787" s="3">
        <f>IFERROR(__xludf.DUMMYFUNCTION("""COMPUTED_VALUE"""),54.0)</f>
        <v>54</v>
      </c>
      <c r="E787" s="1"/>
    </row>
    <row r="788">
      <c r="A788" s="1"/>
      <c r="B788" s="3" t="str">
        <f>IFERROR(__xludf.DUMMYFUNCTION("""COMPUTED_VALUE"""),"RAYYANDRA GHUFRAN MARIOSHA")</f>
        <v>RAYYANDRA GHUFRAN MARIOSHA</v>
      </c>
      <c r="C788" s="3" t="str">
        <f>IFERROR(__xludf.DUMMYFUNCTION("""COMPUTED_VALUE"""),"R1523109990")</f>
        <v>R1523109990</v>
      </c>
      <c r="D788" s="3">
        <f>IFERROR(__xludf.DUMMYFUNCTION("""COMPUTED_VALUE"""),10.0)</f>
        <v>10</v>
      </c>
      <c r="E788" s="1"/>
    </row>
    <row r="789">
      <c r="A789" s="1"/>
      <c r="B789" s="3" t="str">
        <f>IFERROR(__xludf.DUMMYFUNCTION("""COMPUTED_VALUE"""),"SARIAH")</f>
        <v>SARIAH</v>
      </c>
      <c r="C789" s="3" t="str">
        <f>IFERROR(__xludf.DUMMYFUNCTION("""COMPUTED_VALUE"""),"S7823100890")</f>
        <v>S7823100890</v>
      </c>
      <c r="D789" s="3">
        <f>IFERROR(__xludf.DUMMYFUNCTION("""COMPUTED_VALUE"""),47.0)</f>
        <v>47</v>
      </c>
      <c r="E789" s="1"/>
    </row>
    <row r="790">
      <c r="A790" s="1"/>
      <c r="B790" s="3" t="str">
        <f>IFERROR(__xludf.DUMMYFUNCTION("""COMPUTED_VALUE"""),"FARIDAH")</f>
        <v>FARIDAH</v>
      </c>
      <c r="C790" s="3" t="str">
        <f>IFERROR(__xludf.DUMMYFUNCTION("""COMPUTED_VALUE"""),"F6523101819")</f>
        <v>F6523101819</v>
      </c>
      <c r="D790" s="3">
        <f>IFERROR(__xludf.DUMMYFUNCTION("""COMPUTED_VALUE"""),61.0)</f>
        <v>61</v>
      </c>
      <c r="E790" s="1"/>
    </row>
    <row r="791">
      <c r="A791" s="1"/>
      <c r="B791" s="3" t="str">
        <f>IFERROR(__xludf.DUMMYFUNCTION("""COMPUTED_VALUE"""),"FELYCIA VALERIE GRACIA")</f>
        <v>FELYCIA VALERIE GRACIA</v>
      </c>
      <c r="C791" s="3" t="str">
        <f>IFERROR(__xludf.DUMMYFUNCTION("""COMPUTED_VALUE"""),"F1023105575")</f>
        <v>F1023105575</v>
      </c>
      <c r="D791" s="3">
        <f>IFERROR(__xludf.DUMMYFUNCTION("""COMPUTED_VALUE"""),16.0)</f>
        <v>16</v>
      </c>
      <c r="E791" s="1"/>
    </row>
    <row r="792">
      <c r="A792" s="1"/>
      <c r="B792" s="3" t="str">
        <f>IFERROR(__xludf.DUMMYFUNCTION("""COMPUTED_VALUE"""),"JAMILAH")</f>
        <v>JAMILAH</v>
      </c>
      <c r="C792" s="3" t="str">
        <f>IFERROR(__xludf.DUMMYFUNCTION("""COMPUTED_VALUE"""),"J6623101538")</f>
        <v>J6623101538</v>
      </c>
      <c r="D792" s="3">
        <f>IFERROR(__xludf.DUMMYFUNCTION("""COMPUTED_VALUE"""),60.0)</f>
        <v>60</v>
      </c>
      <c r="E792" s="1"/>
    </row>
    <row r="793">
      <c r="A793" s="1"/>
      <c r="B793" s="3" t="str">
        <f>IFERROR(__xludf.DUMMYFUNCTION("""COMPUTED_VALUE"""),"RAFFASYA FATHAR FAHREZA")</f>
        <v>RAFFASYA FATHAR FAHREZA</v>
      </c>
      <c r="C793" s="3" t="str">
        <f>IFERROR(__xludf.DUMMYFUNCTION("""COMPUTED_VALUE"""),"R1123103939")</f>
        <v>R1123103939</v>
      </c>
      <c r="D793" s="3">
        <f>IFERROR(__xludf.DUMMYFUNCTION("""COMPUTED_VALUE"""),15.0)</f>
        <v>15</v>
      </c>
      <c r="E793" s="1"/>
    </row>
    <row r="794">
      <c r="A794" s="1"/>
      <c r="B794" s="3" t="str">
        <f>IFERROR(__xludf.DUMMYFUNCTION("""COMPUTED_VALUE"""),"RANDY SIMAMORA")</f>
        <v>RANDY SIMAMORA</v>
      </c>
      <c r="C794" s="3" t="str">
        <f>IFERROR(__xludf.DUMMYFUNCTION("""COMPUTED_VALUE"""),"R8523108889")</f>
        <v>R8523108889</v>
      </c>
      <c r="D794" s="3">
        <f>IFERROR(__xludf.DUMMYFUNCTION("""COMPUTED_VALUE"""),40.0)</f>
        <v>40</v>
      </c>
      <c r="E794" s="1"/>
    </row>
    <row r="795">
      <c r="A795" s="1"/>
      <c r="B795" s="3" t="str">
        <f>IFERROR(__xludf.DUMMYFUNCTION("""COMPUTED_VALUE"""),"RAYMANDO SUPRIYADI")</f>
        <v>RAYMANDO SUPRIYADI</v>
      </c>
      <c r="C795" s="3" t="str">
        <f>IFERROR(__xludf.DUMMYFUNCTION("""COMPUTED_VALUE"""),"R9023107777")</f>
        <v>R9023107777</v>
      </c>
      <c r="D795" s="3">
        <f>IFERROR(__xludf.DUMMYFUNCTION("""COMPUTED_VALUE"""),35.0)</f>
        <v>35</v>
      </c>
      <c r="E795" s="1"/>
    </row>
    <row r="796">
      <c r="A796" s="1"/>
      <c r="B796" s="3" t="str">
        <f>IFERROR(__xludf.DUMMYFUNCTION("""COMPUTED_VALUE"""),"RAYMANDO SUPRIYADI")</f>
        <v>RAYMANDO SUPRIYADI</v>
      </c>
      <c r="C796" s="3" t="str">
        <f>IFERROR(__xludf.DUMMYFUNCTION("""COMPUTED_VALUE"""),"R9023107777")</f>
        <v>R9023107777</v>
      </c>
      <c r="D796" s="3">
        <f>IFERROR(__xludf.DUMMYFUNCTION("""COMPUTED_VALUE"""),35.0)</f>
        <v>35</v>
      </c>
      <c r="E796" s="1"/>
    </row>
    <row r="797">
      <c r="A797" s="1"/>
      <c r="B797" s="3" t="str">
        <f>IFERROR(__xludf.DUMMYFUNCTION("""COMPUTED_VALUE"""),"M.NUR RAHIM")</f>
        <v>M.NUR RAHIM</v>
      </c>
      <c r="C797" s="3" t="str">
        <f>IFERROR(__xludf.DUMMYFUNCTION("""COMPUTED_VALUE"""),"M0023107288")</f>
        <v>M0023107288</v>
      </c>
      <c r="D797" s="3">
        <f>IFERROR(__xludf.DUMMYFUNCTION("""COMPUTED_VALUE"""),25.0)</f>
        <v>25</v>
      </c>
      <c r="E797" s="1"/>
    </row>
    <row r="798">
      <c r="A798" s="1"/>
      <c r="B798" s="3" t="str">
        <f>IFERROR(__xludf.DUMMYFUNCTION("""COMPUTED_VALUE"""),"ADISTY LUTHFI VIRGIANDA, S.PT")</f>
        <v>ADISTY LUTHFI VIRGIANDA, S.PT</v>
      </c>
      <c r="C798" s="3" t="str">
        <f>IFERROR(__xludf.DUMMYFUNCTION("""COMPUTED_VALUE"""),"A8823100077")</f>
        <v>A8823100077</v>
      </c>
      <c r="D798" s="3">
        <f>IFERROR(__xludf.DUMMYFUNCTION("""COMPUTED_VALUE"""),37.0)</f>
        <v>37</v>
      </c>
      <c r="E798" s="1"/>
    </row>
    <row r="799">
      <c r="A799" s="1"/>
      <c r="B799" s="3" t="str">
        <f>IFERROR(__xludf.DUMMYFUNCTION("""COMPUTED_VALUE"""),"STEVEN LIUS")</f>
        <v>STEVEN LIUS</v>
      </c>
      <c r="C799" s="3" t="str">
        <f>IFERROR(__xludf.DUMMYFUNCTION("""COMPUTED_VALUE"""),"S9823105529")</f>
        <v>S9823105529</v>
      </c>
      <c r="D799" s="3">
        <f>IFERROR(__xludf.DUMMYFUNCTION("""COMPUTED_VALUE"""),27.0)</f>
        <v>27</v>
      </c>
      <c r="E799" s="1"/>
    </row>
    <row r="800">
      <c r="A800" s="1"/>
      <c r="B800" s="3" t="str">
        <f>IFERROR(__xludf.DUMMYFUNCTION("""COMPUTED_VALUE"""),"ABYAN ODHY DZAKWAN")</f>
        <v>ABYAN ODHY DZAKWAN</v>
      </c>
      <c r="C800" s="3" t="str">
        <f>IFERROR(__xludf.DUMMYFUNCTION("""COMPUTED_VALUE"""),"A9823102419")</f>
        <v>A9823102419</v>
      </c>
      <c r="D800" s="3">
        <f>IFERROR(__xludf.DUMMYFUNCTION("""COMPUTED_VALUE"""),27.0)</f>
        <v>27</v>
      </c>
      <c r="E800" s="1"/>
    </row>
    <row r="801">
      <c r="A801" s="1"/>
      <c r="B801" s="3" t="str">
        <f>IFERROR(__xludf.DUMMYFUNCTION("""COMPUTED_VALUE"""),"RIZKI SEPTI ARINI")</f>
        <v>RIZKI SEPTI ARINI</v>
      </c>
      <c r="C801" s="3" t="str">
        <f>IFERROR(__xludf.DUMMYFUNCTION("""COMPUTED_VALUE"""),"R0123107121")</f>
        <v>R0123107121</v>
      </c>
      <c r="D801" s="3">
        <f>IFERROR(__xludf.DUMMYFUNCTION("""COMPUTED_VALUE"""),24.0)</f>
        <v>24</v>
      </c>
      <c r="E801" s="1"/>
    </row>
    <row r="802">
      <c r="A802" s="1"/>
      <c r="B802" s="3" t="str">
        <f>IFERROR(__xludf.DUMMYFUNCTION("""COMPUTED_VALUE"""),"MARLINA")</f>
        <v>MARLINA</v>
      </c>
      <c r="C802" s="3" t="str">
        <f>IFERROR(__xludf.DUMMYFUNCTION("""COMPUTED_VALUE"""),"M7723103095")</f>
        <v>M7723103095</v>
      </c>
      <c r="D802" s="3">
        <f>IFERROR(__xludf.DUMMYFUNCTION("""COMPUTED_VALUE"""),48.0)</f>
        <v>48</v>
      </c>
      <c r="E802" s="1"/>
    </row>
    <row r="803">
      <c r="A803" s="1"/>
      <c r="B803" s="3" t="str">
        <f>IFERROR(__xludf.DUMMYFUNCTION("""COMPUTED_VALUE"""),"RYAN DAVID JONATHAN")</f>
        <v>RYAN DAVID JONATHAN</v>
      </c>
      <c r="C803" s="3" t="str">
        <f>IFERROR(__xludf.DUMMYFUNCTION("""COMPUTED_VALUE"""),"R0923106038")</f>
        <v>R0923106038</v>
      </c>
      <c r="D803" s="3">
        <f>IFERROR(__xludf.DUMMYFUNCTION("""COMPUTED_VALUE"""),16.0)</f>
        <v>16</v>
      </c>
      <c r="E803" s="1"/>
    </row>
    <row r="804">
      <c r="A804" s="1"/>
      <c r="B804" s="3" t="str">
        <f>IFERROR(__xludf.DUMMYFUNCTION("""COMPUTED_VALUE"""),"DEWI SANDRAWATI")</f>
        <v>DEWI SANDRAWATI</v>
      </c>
      <c r="C804" s="3" t="str">
        <f>IFERROR(__xludf.DUMMYFUNCTION("""COMPUTED_VALUE"""),"D7223107675")</f>
        <v>D7223107675</v>
      </c>
      <c r="D804" s="3">
        <f>IFERROR(__xludf.DUMMYFUNCTION("""COMPUTED_VALUE"""),53.0)</f>
        <v>53</v>
      </c>
      <c r="E804" s="1"/>
    </row>
    <row r="805">
      <c r="A805" s="1"/>
      <c r="B805" s="3" t="str">
        <f>IFERROR(__xludf.DUMMYFUNCTION("""COMPUTED_VALUE"""),"RUSMAWATI")</f>
        <v>RUSMAWATI</v>
      </c>
      <c r="C805" s="3" t="str">
        <f>IFERROR(__xludf.DUMMYFUNCTION("""COMPUTED_VALUE"""),"R7923101309")</f>
        <v>R7923101309</v>
      </c>
      <c r="D805" s="3">
        <f>IFERROR(__xludf.DUMMYFUNCTION("""COMPUTED_VALUE"""),46.0)</f>
        <v>46</v>
      </c>
      <c r="E805" s="1"/>
    </row>
    <row r="806">
      <c r="A806" s="1"/>
      <c r="B806" s="3" t="str">
        <f>IFERROR(__xludf.DUMMYFUNCTION("""COMPUTED_VALUE"""),"SUKMA WULANDARI")</f>
        <v>SUKMA WULANDARI</v>
      </c>
      <c r="C806" s="3" t="str">
        <f>IFERROR(__xludf.DUMMYFUNCTION("""COMPUTED_VALUE"""),"S9923101070")</f>
        <v>S9923101070</v>
      </c>
      <c r="D806" s="3">
        <f>IFERROR(__xludf.DUMMYFUNCTION("""COMPUTED_VALUE"""),26.0)</f>
        <v>26</v>
      </c>
      <c r="E806" s="1"/>
    </row>
    <row r="807">
      <c r="A807" s="1"/>
      <c r="B807" s="3" t="str">
        <f>IFERROR(__xludf.DUMMYFUNCTION("""COMPUTED_VALUE"""),"IRHAM")</f>
        <v>IRHAM</v>
      </c>
      <c r="C807" s="3" t="str">
        <f>IFERROR(__xludf.DUMMYFUNCTION("""COMPUTED_VALUE"""),"I8923107921")</f>
        <v>I8923107921</v>
      </c>
      <c r="D807" s="3">
        <f>IFERROR(__xludf.DUMMYFUNCTION("""COMPUTED_VALUE"""),36.0)</f>
        <v>36</v>
      </c>
      <c r="E807" s="1"/>
    </row>
    <row r="808">
      <c r="A808" s="1"/>
      <c r="B808" s="3" t="str">
        <f>IFERROR(__xludf.DUMMYFUNCTION("""COMPUTED_VALUE"""),"ABDUL HALIM")</f>
        <v>ABDUL HALIM</v>
      </c>
      <c r="C808" s="3" t="str">
        <f>IFERROR(__xludf.DUMMYFUNCTION("""COMPUTED_VALUE"""),"A7623103883")</f>
        <v>A7623103883</v>
      </c>
      <c r="D808" s="3">
        <f>IFERROR(__xludf.DUMMYFUNCTION("""COMPUTED_VALUE"""),50.0)</f>
        <v>50</v>
      </c>
      <c r="E808" s="1"/>
    </row>
    <row r="809">
      <c r="A809" s="1"/>
      <c r="B809" s="3" t="str">
        <f>IFERROR(__xludf.DUMMYFUNCTION("""COMPUTED_VALUE"""),"I MADE ARY PRADANA")</f>
        <v>I MADE ARY PRADANA</v>
      </c>
      <c r="C809" s="3" t="str">
        <f>IFERROR(__xludf.DUMMYFUNCTION("""COMPUTED_VALUE"""),"I7523102721")</f>
        <v>I7523102721</v>
      </c>
      <c r="D809" s="3">
        <f>IFERROR(__xludf.DUMMYFUNCTION("""COMPUTED_VALUE"""),50.0)</f>
        <v>50</v>
      </c>
      <c r="E809" s="1"/>
    </row>
    <row r="810">
      <c r="A810" s="1"/>
      <c r="B810" s="3" t="str">
        <f>IFERROR(__xludf.DUMMYFUNCTION("""COMPUTED_VALUE"""),"SUGIARTI")</f>
        <v>SUGIARTI</v>
      </c>
      <c r="C810" s="3" t="str">
        <f>IFERROR(__xludf.DUMMYFUNCTION("""COMPUTED_VALUE"""),"S2323103009")</f>
        <v>S2323103009</v>
      </c>
      <c r="D810" s="3">
        <f>IFERROR(__xludf.DUMMYFUNCTION("""COMPUTED_VALUE"""),2.0)</f>
        <v>2</v>
      </c>
      <c r="E810" s="1"/>
    </row>
    <row r="811">
      <c r="A811" s="1"/>
      <c r="B811" s="3" t="str">
        <f>IFERROR(__xludf.DUMMYFUNCTION("""COMPUTED_VALUE"""),"SASNITA SARI")</f>
        <v>SASNITA SARI</v>
      </c>
      <c r="C811" s="3" t="str">
        <f>IFERROR(__xludf.DUMMYFUNCTION("""COMPUTED_VALUE"""),"S8223104082")</f>
        <v>S8223104082</v>
      </c>
      <c r="D811" s="3">
        <f>IFERROR(__xludf.DUMMYFUNCTION("""COMPUTED_VALUE"""),44.0)</f>
        <v>44</v>
      </c>
      <c r="E811" s="1"/>
    </row>
    <row r="812">
      <c r="A812" s="1"/>
      <c r="B812" s="3" t="str">
        <f>IFERROR(__xludf.DUMMYFUNCTION("""COMPUTED_VALUE"""),"DIMAS ANUGRO WIDIASTRIYANTO")</f>
        <v>DIMAS ANUGRO WIDIASTRIYANTO</v>
      </c>
      <c r="C812" s="3" t="str">
        <f>IFERROR(__xludf.DUMMYFUNCTION("""COMPUTED_VALUE"""),"D7723103389")</f>
        <v>D7723103389</v>
      </c>
      <c r="D812" s="3">
        <f>IFERROR(__xludf.DUMMYFUNCTION("""COMPUTED_VALUE"""),48.0)</f>
        <v>48</v>
      </c>
      <c r="E812" s="1"/>
    </row>
    <row r="813">
      <c r="A813" s="1"/>
      <c r="B813" s="3" t="str">
        <f>IFERROR(__xludf.DUMMYFUNCTION("""COMPUTED_VALUE"""),"LIE SUAN")</f>
        <v>LIE SUAN</v>
      </c>
      <c r="C813" s="3" t="str">
        <f>IFERROR(__xludf.DUMMYFUNCTION("""COMPUTED_VALUE"""),"L7723109066")</f>
        <v>L7723109066</v>
      </c>
      <c r="D813" s="3">
        <f>IFERROR(__xludf.DUMMYFUNCTION("""COMPUTED_VALUE"""),49.0)</f>
        <v>49</v>
      </c>
      <c r="E813" s="1"/>
    </row>
    <row r="814">
      <c r="A814" s="1"/>
      <c r="B814" s="3" t="str">
        <f>IFERROR(__xludf.DUMMYFUNCTION("""COMPUTED_VALUE"""),"SRI NURHAYATI")</f>
        <v>SRI NURHAYATI</v>
      </c>
      <c r="C814" s="3" t="str">
        <f>IFERROR(__xludf.DUMMYFUNCTION("""COMPUTED_VALUE"""),"S7123108545")</f>
        <v>S7123108545</v>
      </c>
      <c r="D814" s="3">
        <f>IFERROR(__xludf.DUMMYFUNCTION("""COMPUTED_VALUE"""),55.0)</f>
        <v>55</v>
      </c>
      <c r="E814" s="1"/>
    </row>
    <row r="815">
      <c r="A815" s="1"/>
      <c r="B815" s="3" t="str">
        <f>IFERROR(__xludf.DUMMYFUNCTION("""COMPUTED_VALUE"""),"HAPIDZUL NURINADI")</f>
        <v>HAPIDZUL NURINADI</v>
      </c>
      <c r="C815" s="3" t="str">
        <f>IFERROR(__xludf.DUMMYFUNCTION("""COMPUTED_VALUE"""),"H9523105799")</f>
        <v>H9523105799</v>
      </c>
      <c r="D815" s="3">
        <f>IFERROR(__xludf.DUMMYFUNCTION("""COMPUTED_VALUE"""),31.0)</f>
        <v>31</v>
      </c>
      <c r="E815" s="1"/>
    </row>
    <row r="816">
      <c r="A816" s="1"/>
      <c r="B816" s="3" t="str">
        <f>IFERROR(__xludf.DUMMYFUNCTION("""COMPUTED_VALUE"""),"FILYSIA FEBRIANTINE")</f>
        <v>FILYSIA FEBRIANTINE</v>
      </c>
      <c r="C816" s="3" t="str">
        <f>IFERROR(__xludf.DUMMYFUNCTION("""COMPUTED_VALUE"""),"F9623104060")</f>
        <v>F9623104060</v>
      </c>
      <c r="D816" s="3">
        <f>IFERROR(__xludf.DUMMYFUNCTION("""COMPUTED_VALUE"""),30.0)</f>
        <v>30</v>
      </c>
      <c r="E816" s="1"/>
    </row>
    <row r="817">
      <c r="A817" s="1"/>
      <c r="B817" s="3" t="str">
        <f>IFERROR(__xludf.DUMMYFUNCTION("""COMPUTED_VALUE"""),"ANGELIA PRATIWI MASTIURLANI CHRISTINA SITORUS")</f>
        <v>ANGELIA PRATIWI MASTIURLANI CHRISTINA SITORUS</v>
      </c>
      <c r="C817" s="3" t="str">
        <f>IFERROR(__xludf.DUMMYFUNCTION("""COMPUTED_VALUE"""),"A9123108805")</f>
        <v>A9123108805</v>
      </c>
      <c r="D817" s="3">
        <f>IFERROR(__xludf.DUMMYFUNCTION("""COMPUTED_VALUE"""),35.0)</f>
        <v>35</v>
      </c>
      <c r="E817" s="1"/>
    </row>
    <row r="818">
      <c r="A818" s="1"/>
      <c r="B818" s="3" t="str">
        <f>IFERROR(__xludf.DUMMYFUNCTION("""COMPUTED_VALUE"""),"RINALDI")</f>
        <v>RINALDI</v>
      </c>
      <c r="C818" s="3" t="str">
        <f>IFERROR(__xludf.DUMMYFUNCTION("""COMPUTED_VALUE"""),"R0223102860")</f>
        <v>R0223102860</v>
      </c>
      <c r="D818" s="3">
        <f>IFERROR(__xludf.DUMMYFUNCTION("""COMPUTED_VALUE"""),23.0)</f>
        <v>23</v>
      </c>
      <c r="E818" s="1"/>
    </row>
    <row r="819">
      <c r="A819" s="1"/>
      <c r="B819" s="3" t="str">
        <f>IFERROR(__xludf.DUMMYFUNCTION("""COMPUTED_VALUE"""),"SARI NURHADI")</f>
        <v>SARI NURHADI</v>
      </c>
      <c r="C819" s="3" t="str">
        <f>IFERROR(__xludf.DUMMYFUNCTION("""COMPUTED_VALUE"""),"S8823102299")</f>
        <v>S8823102299</v>
      </c>
      <c r="D819" s="3">
        <f>IFERROR(__xludf.DUMMYFUNCTION("""COMPUTED_VALUE"""),38.0)</f>
        <v>38</v>
      </c>
      <c r="E819" s="1"/>
    </row>
    <row r="820">
      <c r="A820" s="1"/>
      <c r="B820" s="3" t="str">
        <f>IFERROR(__xludf.DUMMYFUNCTION("""COMPUTED_VALUE"""),"FAITH AYMAN SHIDDIQ")</f>
        <v>FAITH AYMAN SHIDDIQ</v>
      </c>
      <c r="C820" s="3" t="str">
        <f>IFERROR(__xludf.DUMMYFUNCTION("""COMPUTED_VALUE"""),"F1423102510")</f>
        <v>F1423102510</v>
      </c>
      <c r="D820" s="3">
        <f>IFERROR(__xludf.DUMMYFUNCTION("""COMPUTED_VALUE"""),12.0)</f>
        <v>12</v>
      </c>
      <c r="E820" s="1"/>
    </row>
    <row r="821">
      <c r="A821" s="1"/>
      <c r="B821" s="3" t="str">
        <f>IFERROR(__xludf.DUMMYFUNCTION("""COMPUTED_VALUE"""),"LIM KHAU FENG")</f>
        <v>LIM KHAU FENG</v>
      </c>
      <c r="C821" s="3" t="str">
        <f>IFERROR(__xludf.DUMMYFUNCTION("""COMPUTED_VALUE"""),"L6023106135")</f>
        <v>L6023106135</v>
      </c>
      <c r="D821" s="3">
        <f>IFERROR(__xludf.DUMMYFUNCTION("""COMPUTED_VALUE"""),66.0)</f>
        <v>66</v>
      </c>
      <c r="E821" s="1"/>
    </row>
    <row r="822">
      <c r="A822" s="1"/>
      <c r="B822" s="3" t="str">
        <f>IFERROR(__xludf.DUMMYFUNCTION("""COMPUTED_VALUE"""),"WENDHA HIMAWAN")</f>
        <v>WENDHA HIMAWAN</v>
      </c>
      <c r="C822" s="3" t="str">
        <f>IFERROR(__xludf.DUMMYFUNCTION("""COMPUTED_VALUE"""),"W9123103320")</f>
        <v>W9123103320</v>
      </c>
      <c r="D822" s="3">
        <f>IFERROR(__xludf.DUMMYFUNCTION("""COMPUTED_VALUE"""),34.0)</f>
        <v>34</v>
      </c>
      <c r="E822" s="1"/>
    </row>
    <row r="823">
      <c r="A823" s="1"/>
      <c r="B823" s="3" t="str">
        <f>IFERROR(__xludf.DUMMYFUNCTION("""COMPUTED_VALUE"""),"NOVI HASRIANTI")</f>
        <v>NOVI HASRIANTI</v>
      </c>
      <c r="C823" s="3" t="str">
        <f>IFERROR(__xludf.DUMMYFUNCTION("""COMPUTED_VALUE"""),"N9723100737")</f>
        <v>N9723100737</v>
      </c>
      <c r="D823" s="3">
        <f>IFERROR(__xludf.DUMMYFUNCTION("""COMPUTED_VALUE"""),28.0)</f>
        <v>28</v>
      </c>
      <c r="E823" s="1"/>
    </row>
    <row r="824">
      <c r="A824" s="1"/>
      <c r="B824" s="3" t="str">
        <f>IFERROR(__xludf.DUMMYFUNCTION("""COMPUTED_VALUE"""),"DIMAS NURUL RAMADHAN")</f>
        <v>DIMAS NURUL RAMADHAN</v>
      </c>
      <c r="C824" s="3" t="str">
        <f>IFERROR(__xludf.DUMMYFUNCTION("""COMPUTED_VALUE"""),"D9623102135")</f>
        <v>D9623102135</v>
      </c>
      <c r="D824" s="3">
        <f>IFERROR(__xludf.DUMMYFUNCTION("""COMPUTED_VALUE"""),30.0)</f>
        <v>30</v>
      </c>
      <c r="E824" s="1"/>
    </row>
    <row r="825">
      <c r="A825" s="1"/>
      <c r="B825" s="3" t="str">
        <f>IFERROR(__xludf.DUMMYFUNCTION("""COMPUTED_VALUE"""),"EDY GUNAWAN")</f>
        <v>EDY GUNAWAN</v>
      </c>
      <c r="C825" s="3" t="str">
        <f>IFERROR(__xludf.DUMMYFUNCTION("""COMPUTED_VALUE"""),"E8823103438")</f>
        <v>E8823103438</v>
      </c>
      <c r="D825" s="3">
        <f>IFERROR(__xludf.DUMMYFUNCTION("""COMPUTED_VALUE"""),37.0)</f>
        <v>37</v>
      </c>
      <c r="E825" s="1"/>
    </row>
    <row r="826">
      <c r="A826" s="1"/>
      <c r="B826" s="3" t="str">
        <f>IFERROR(__xludf.DUMMYFUNCTION("""COMPUTED_VALUE"""),"NOVIKA WARNI")</f>
        <v>NOVIKA WARNI</v>
      </c>
      <c r="C826" s="3" t="str">
        <f>IFERROR(__xludf.DUMMYFUNCTION("""COMPUTED_VALUE"""),"N7323108188")</f>
        <v>N7323108188</v>
      </c>
      <c r="D826" s="3">
        <f>IFERROR(__xludf.DUMMYFUNCTION("""COMPUTED_VALUE"""),52.0)</f>
        <v>52</v>
      </c>
      <c r="E826" s="1"/>
    </row>
    <row r="827">
      <c r="A827" s="1"/>
      <c r="B827" s="3" t="str">
        <f>IFERROR(__xludf.DUMMYFUNCTION("""COMPUTED_VALUE"""),"MIRAWATI")</f>
        <v>MIRAWATI</v>
      </c>
      <c r="C827" s="3" t="str">
        <f>IFERROR(__xludf.DUMMYFUNCTION("""COMPUTED_VALUE"""),"M7423108866")</f>
        <v>M7423108866</v>
      </c>
      <c r="D827" s="3">
        <f>IFERROR(__xludf.DUMMYFUNCTION("""COMPUTED_VALUE"""),51.0)</f>
        <v>51</v>
      </c>
      <c r="E827" s="1"/>
    </row>
    <row r="828">
      <c r="A828" s="1"/>
      <c r="B828" s="3" t="str">
        <f>IFERROR(__xludf.DUMMYFUNCTION("""COMPUTED_VALUE"""),"SOBIRUN")</f>
        <v>SOBIRUN</v>
      </c>
      <c r="C828" s="3" t="str">
        <f>IFERROR(__xludf.DUMMYFUNCTION("""COMPUTED_VALUE"""),"S2323112271")</f>
        <v>S2323112271</v>
      </c>
      <c r="D828" s="3">
        <f>IFERROR(__xludf.DUMMYFUNCTION("""COMPUTED_VALUE"""),2.0)</f>
        <v>2</v>
      </c>
      <c r="E828" s="1"/>
    </row>
    <row r="829">
      <c r="A829" s="1"/>
      <c r="B829" s="3" t="str">
        <f>IFERROR(__xludf.DUMMYFUNCTION("""COMPUTED_VALUE"""),"MARIA ROLENTA MANIK")</f>
        <v>MARIA ROLENTA MANIK</v>
      </c>
      <c r="C829" s="3" t="str">
        <f>IFERROR(__xludf.DUMMYFUNCTION("""COMPUTED_VALUE"""),"M9623113192")</f>
        <v>M9623113192</v>
      </c>
      <c r="D829" s="3">
        <f>IFERROR(__xludf.DUMMYFUNCTION("""COMPUTED_VALUE"""),30.0)</f>
        <v>30</v>
      </c>
      <c r="E829" s="1"/>
    </row>
    <row r="830">
      <c r="A830" s="1"/>
      <c r="B830" s="3" t="str">
        <f>IFERROR(__xludf.DUMMYFUNCTION("""COMPUTED_VALUE"""),"MUHAMMAD REVANDRA")</f>
        <v>MUHAMMAD REVANDRA</v>
      </c>
      <c r="C830" s="3" t="str">
        <f>IFERROR(__xludf.DUMMYFUNCTION("""COMPUTED_VALUE"""),"M1223117264")</f>
        <v>M1223117264</v>
      </c>
      <c r="D830" s="3">
        <f>IFERROR(__xludf.DUMMYFUNCTION("""COMPUTED_VALUE"""),14.0)</f>
        <v>14</v>
      </c>
      <c r="E830" s="1"/>
    </row>
    <row r="831">
      <c r="A831" s="1"/>
      <c r="B831" s="3" t="str">
        <f>IFERROR(__xludf.DUMMYFUNCTION("""COMPUTED_VALUE"""),"RIZKA FITRIANIATHUL HASANA")</f>
        <v>RIZKA FITRIANIATHUL HASANA</v>
      </c>
      <c r="C831" s="3" t="str">
        <f>IFERROR(__xludf.DUMMYFUNCTION("""COMPUTED_VALUE"""),"R9623118307")</f>
        <v>R9623118307</v>
      </c>
      <c r="D831" s="3">
        <f>IFERROR(__xludf.DUMMYFUNCTION("""COMPUTED_VALUE"""),30.0)</f>
        <v>30</v>
      </c>
      <c r="E831" s="1"/>
    </row>
    <row r="832">
      <c r="A832" s="1"/>
      <c r="B832" s="3" t="str">
        <f>IFERROR(__xludf.DUMMYFUNCTION("""COMPUTED_VALUE"""),"SERGIO AKBAR DESINDRA")</f>
        <v>SERGIO AKBAR DESINDRA</v>
      </c>
      <c r="C832" s="3" t="str">
        <f>IFERROR(__xludf.DUMMYFUNCTION("""COMPUTED_VALUE"""),"S9723112800")</f>
        <v>S9723112800</v>
      </c>
      <c r="D832" s="3">
        <f>IFERROR(__xludf.DUMMYFUNCTION("""COMPUTED_VALUE"""),29.0)</f>
        <v>29</v>
      </c>
      <c r="E832" s="1"/>
    </row>
    <row r="833">
      <c r="A833" s="1"/>
      <c r="B833" s="3" t="str">
        <f>IFERROR(__xludf.DUMMYFUNCTION("""COMPUTED_VALUE"""),"DHEA PUTRI HERDININGRUM")</f>
        <v>DHEA PUTRI HERDININGRUM</v>
      </c>
      <c r="C833" s="3" t="str">
        <f>IFERROR(__xludf.DUMMYFUNCTION("""COMPUTED_VALUE"""),"D9123110890")</f>
        <v>D9123110890</v>
      </c>
      <c r="D833" s="3">
        <f>IFERROR(__xludf.DUMMYFUNCTION("""COMPUTED_VALUE"""),34.0)</f>
        <v>34</v>
      </c>
      <c r="E833" s="1"/>
    </row>
    <row r="834">
      <c r="A834" s="1"/>
      <c r="B834" s="3" t="str">
        <f>IFERROR(__xludf.DUMMYFUNCTION("""COMPUTED_VALUE"""),"ZUL KHAIRULLAH")</f>
        <v>ZUL KHAIRULLAH</v>
      </c>
      <c r="C834" s="3" t="str">
        <f>IFERROR(__xludf.DUMMYFUNCTION("""COMPUTED_VALUE"""),"Z9623110531")</f>
        <v>Z9623110531</v>
      </c>
      <c r="D834" s="3">
        <f>IFERROR(__xludf.DUMMYFUNCTION("""COMPUTED_VALUE"""),29.0)</f>
        <v>29</v>
      </c>
      <c r="E834" s="1"/>
    </row>
    <row r="835">
      <c r="A835" s="1"/>
      <c r="B835" s="3" t="str">
        <f>IFERROR(__xludf.DUMMYFUNCTION("""COMPUTED_VALUE"""),"RENALDI SANDI")</f>
        <v>RENALDI SANDI</v>
      </c>
      <c r="C835" s="3" t="str">
        <f>IFERROR(__xludf.DUMMYFUNCTION("""COMPUTED_VALUE"""),"R9523117215")</f>
        <v>R9523117215</v>
      </c>
      <c r="D835" s="3">
        <f>IFERROR(__xludf.DUMMYFUNCTION("""COMPUTED_VALUE"""),31.0)</f>
        <v>31</v>
      </c>
      <c r="E835" s="1"/>
    </row>
    <row r="836">
      <c r="A836" s="1"/>
      <c r="B836" s="3" t="str">
        <f>IFERROR(__xludf.DUMMYFUNCTION("""COMPUTED_VALUE"""),"RIZKY ODHIE SAPUTRA")</f>
        <v>RIZKY ODHIE SAPUTRA</v>
      </c>
      <c r="C836" s="3" t="str">
        <f>IFERROR(__xludf.DUMMYFUNCTION("""COMPUTED_VALUE"""),"R9523113310")</f>
        <v>R9523113310</v>
      </c>
      <c r="D836" s="3">
        <f>IFERROR(__xludf.DUMMYFUNCTION("""COMPUTED_VALUE"""),30.0)</f>
        <v>30</v>
      </c>
      <c r="E836" s="1"/>
    </row>
    <row r="837">
      <c r="A837" s="1"/>
      <c r="B837" s="3" t="str">
        <f>IFERROR(__xludf.DUMMYFUNCTION("""COMPUTED_VALUE"""),"RIFUL AHYAR")</f>
        <v>RIFUL AHYAR</v>
      </c>
      <c r="C837" s="3" t="str">
        <f>IFERROR(__xludf.DUMMYFUNCTION("""COMPUTED_VALUE"""),"R6923118182")</f>
        <v>R6923118182</v>
      </c>
      <c r="D837" s="3">
        <f>IFERROR(__xludf.DUMMYFUNCTION("""COMPUTED_VALUE"""),57.0)</f>
        <v>57</v>
      </c>
      <c r="E837" s="1"/>
    </row>
    <row r="838">
      <c r="A838" s="1"/>
      <c r="B838" s="3" t="str">
        <f>IFERROR(__xludf.DUMMYFUNCTION("""COMPUTED_VALUE"""),"VITO ANANTA MARCELINO OMPUSUNGGU")</f>
        <v>VITO ANANTA MARCELINO OMPUSUNGGU</v>
      </c>
      <c r="C838" s="3" t="str">
        <f>IFERROR(__xludf.DUMMYFUNCTION("""COMPUTED_VALUE"""),"V0423118700")</f>
        <v>V0423118700</v>
      </c>
      <c r="D838" s="3">
        <f>IFERROR(__xludf.DUMMYFUNCTION("""COMPUTED_VALUE"""),22.0)</f>
        <v>22</v>
      </c>
      <c r="E838" s="1"/>
    </row>
    <row r="839">
      <c r="A839" s="1"/>
      <c r="B839" s="3" t="str">
        <f>IFERROR(__xludf.DUMMYFUNCTION("""COMPUTED_VALUE"""),"KEVIN THENEDI")</f>
        <v>KEVIN THENEDI</v>
      </c>
      <c r="C839" s="3" t="str">
        <f>IFERROR(__xludf.DUMMYFUNCTION("""COMPUTED_VALUE"""),"K9823115764")</f>
        <v>K9823115764</v>
      </c>
      <c r="D839" s="3">
        <f>IFERROR(__xludf.DUMMYFUNCTION("""COMPUTED_VALUE"""),27.0)</f>
        <v>27</v>
      </c>
      <c r="E839" s="1"/>
    </row>
    <row r="840">
      <c r="A840" s="1"/>
      <c r="B840" s="3" t="str">
        <f>IFERROR(__xludf.DUMMYFUNCTION("""COMPUTED_VALUE"""),"RAHMI ALLITA")</f>
        <v>RAHMI ALLITA</v>
      </c>
      <c r="C840" s="3" t="str">
        <f>IFERROR(__xludf.DUMMYFUNCTION("""COMPUTED_VALUE"""),"R8723114422")</f>
        <v>R8723114422</v>
      </c>
      <c r="D840" s="3">
        <f>IFERROR(__xludf.DUMMYFUNCTION("""COMPUTED_VALUE"""),39.0)</f>
        <v>39</v>
      </c>
      <c r="E840" s="1"/>
    </row>
    <row r="841">
      <c r="A841" s="1"/>
      <c r="B841" s="3" t="str">
        <f>IFERROR(__xludf.DUMMYFUNCTION("""COMPUTED_VALUE"""),"PRATIWI RAMELIA, ST")</f>
        <v>PRATIWI RAMELIA, ST</v>
      </c>
      <c r="C841" s="3" t="str">
        <f>IFERROR(__xludf.DUMMYFUNCTION("""COMPUTED_VALUE"""),"P9123115775")</f>
        <v>P9123115775</v>
      </c>
      <c r="D841" s="3">
        <f>IFERROR(__xludf.DUMMYFUNCTION("""COMPUTED_VALUE"""),34.0)</f>
        <v>34</v>
      </c>
      <c r="E841" s="1"/>
    </row>
    <row r="842">
      <c r="A842" s="1"/>
      <c r="B842" s="3" t="str">
        <f>IFERROR(__xludf.DUMMYFUNCTION("""COMPUTED_VALUE"""),"ENGGA")</f>
        <v>ENGGA</v>
      </c>
      <c r="C842" s="3" t="str">
        <f>IFERROR(__xludf.DUMMYFUNCTION("""COMPUTED_VALUE"""),"E9323118922")</f>
        <v>E9323118922</v>
      </c>
      <c r="D842" s="3">
        <f>IFERROR(__xludf.DUMMYFUNCTION("""COMPUTED_VALUE"""),32.0)</f>
        <v>32</v>
      </c>
      <c r="E842" s="1"/>
    </row>
    <row r="843">
      <c r="A843" s="1"/>
      <c r="B843" s="3" t="str">
        <f>IFERROR(__xludf.DUMMYFUNCTION("""COMPUTED_VALUE"""),"SAFINAH PATRIA")</f>
        <v>SAFINAH PATRIA</v>
      </c>
      <c r="C843" s="3" t="str">
        <f>IFERROR(__xludf.DUMMYFUNCTION("""COMPUTED_VALUE"""),"S9923113273")</f>
        <v>S9923113273</v>
      </c>
      <c r="D843" s="3">
        <f>IFERROR(__xludf.DUMMYFUNCTION("""COMPUTED_VALUE"""),27.0)</f>
        <v>27</v>
      </c>
      <c r="E843" s="1"/>
    </row>
    <row r="844">
      <c r="A844" s="1"/>
      <c r="B844" s="3" t="str">
        <f>IFERROR(__xludf.DUMMYFUNCTION("""COMPUTED_VALUE"""),"RUDY BUTAR BUTAR")</f>
        <v>RUDY BUTAR BUTAR</v>
      </c>
      <c r="C844" s="3" t="str">
        <f>IFERROR(__xludf.DUMMYFUNCTION("""COMPUTED_VALUE"""),"R6823112030")</f>
        <v>R6823112030</v>
      </c>
      <c r="D844" s="3">
        <f>IFERROR(__xludf.DUMMYFUNCTION("""COMPUTED_VALUE"""),58.0)</f>
        <v>58</v>
      </c>
      <c r="E844" s="1"/>
    </row>
    <row r="845">
      <c r="A845" s="1"/>
      <c r="B845" s="3" t="str">
        <f>IFERROR(__xludf.DUMMYFUNCTION("""COMPUTED_VALUE"""),"DEFRI ARDI NUGRAHA")</f>
        <v>DEFRI ARDI NUGRAHA</v>
      </c>
      <c r="C845" s="3" t="str">
        <f>IFERROR(__xludf.DUMMYFUNCTION("""COMPUTED_VALUE"""),"D8523110500")</f>
        <v>D8523110500</v>
      </c>
      <c r="D845" s="3">
        <f>IFERROR(__xludf.DUMMYFUNCTION("""COMPUTED_VALUE"""),41.0)</f>
        <v>41</v>
      </c>
      <c r="E845" s="1"/>
    </row>
    <row r="846">
      <c r="A846" s="1"/>
      <c r="B846" s="3" t="str">
        <f>IFERROR(__xludf.DUMMYFUNCTION("""COMPUTED_VALUE"""),"MUHAMMAD ARBIANT GIVARI")</f>
        <v>MUHAMMAD ARBIANT GIVARI</v>
      </c>
      <c r="C846" s="3" t="str">
        <f>IFERROR(__xludf.DUMMYFUNCTION("""COMPUTED_VALUE"""),"M9723113695")</f>
        <v>M9723113695</v>
      </c>
      <c r="D846" s="3">
        <f>IFERROR(__xludf.DUMMYFUNCTION("""COMPUTED_VALUE"""),28.0)</f>
        <v>28</v>
      </c>
      <c r="E846" s="1"/>
    </row>
    <row r="847">
      <c r="A847" s="1"/>
      <c r="B847" s="3" t="str">
        <f>IFERROR(__xludf.DUMMYFUNCTION("""COMPUTED_VALUE"""),"RENNY HANDAYANI")</f>
        <v>RENNY HANDAYANI</v>
      </c>
      <c r="C847" s="3" t="str">
        <f>IFERROR(__xludf.DUMMYFUNCTION("""COMPUTED_VALUE"""),"R8423116274")</f>
        <v>R8423116274</v>
      </c>
      <c r="D847" s="3">
        <f>IFERROR(__xludf.DUMMYFUNCTION("""COMPUTED_VALUE"""),42.0)</f>
        <v>42</v>
      </c>
      <c r="E847" s="1"/>
    </row>
    <row r="848">
      <c r="A848" s="1"/>
      <c r="B848" s="3" t="str">
        <f>IFERROR(__xludf.DUMMYFUNCTION("""COMPUTED_VALUE"""),"MARIA YANITA ERVANI")</f>
        <v>MARIA YANITA ERVANI</v>
      </c>
      <c r="C848" s="3" t="str">
        <f>IFERROR(__xludf.DUMMYFUNCTION("""COMPUTED_VALUE"""),"M8423113367")</f>
        <v>M8423113367</v>
      </c>
      <c r="D848" s="3">
        <f>IFERROR(__xludf.DUMMYFUNCTION("""COMPUTED_VALUE"""),41.0)</f>
        <v>41</v>
      </c>
      <c r="E848" s="1"/>
    </row>
    <row r="849">
      <c r="A849" s="1"/>
      <c r="B849" s="3" t="str">
        <f>IFERROR(__xludf.DUMMYFUNCTION("""COMPUTED_VALUE"""),"ANDRE")</f>
        <v>ANDRE</v>
      </c>
      <c r="C849" s="3" t="str">
        <f>IFERROR(__xludf.DUMMYFUNCTION("""COMPUTED_VALUE"""),"A7823119044")</f>
        <v>A7823119044</v>
      </c>
      <c r="D849" s="3">
        <f>IFERROR(__xludf.DUMMYFUNCTION("""COMPUTED_VALUE"""),48.0)</f>
        <v>48</v>
      </c>
      <c r="E849" s="1"/>
    </row>
    <row r="850">
      <c r="A850" s="1"/>
      <c r="B850" s="3" t="str">
        <f>IFERROR(__xludf.DUMMYFUNCTION("""COMPUTED_VALUE"""),"TAUFAN ADRIANTO")</f>
        <v>TAUFAN ADRIANTO</v>
      </c>
      <c r="C850" s="3" t="str">
        <f>IFERROR(__xludf.DUMMYFUNCTION("""COMPUTED_VALUE"""),"T8523118188")</f>
        <v>T8523118188</v>
      </c>
      <c r="D850" s="3">
        <f>IFERROR(__xludf.DUMMYFUNCTION("""COMPUTED_VALUE"""),40.0)</f>
        <v>40</v>
      </c>
      <c r="E850" s="1"/>
    </row>
    <row r="851">
      <c r="A851" s="1"/>
      <c r="B851" s="3" t="str">
        <f>IFERROR(__xludf.DUMMYFUNCTION("""COMPUTED_VALUE"""),"DEVA AFRIALDI")</f>
        <v>DEVA AFRIALDI</v>
      </c>
      <c r="C851" s="3" t="str">
        <f>IFERROR(__xludf.DUMMYFUNCTION("""COMPUTED_VALUE"""),"D8623115287")</f>
        <v>D8623115287</v>
      </c>
      <c r="D851" s="3">
        <f>IFERROR(__xludf.DUMMYFUNCTION("""COMPUTED_VALUE"""),40.0)</f>
        <v>40</v>
      </c>
      <c r="E851" s="1"/>
    </row>
    <row r="852">
      <c r="A852" s="1"/>
      <c r="B852" s="3" t="str">
        <f>IFERROR(__xludf.DUMMYFUNCTION("""COMPUTED_VALUE"""),"WILDA JUNIRA")</f>
        <v>WILDA JUNIRA</v>
      </c>
      <c r="C852" s="3" t="str">
        <f>IFERROR(__xludf.DUMMYFUNCTION("""COMPUTED_VALUE"""),"W8923118989")</f>
        <v>W8923118989</v>
      </c>
      <c r="D852" s="3">
        <f>IFERROR(__xludf.DUMMYFUNCTION("""COMPUTED_VALUE"""),37.0)</f>
        <v>37</v>
      </c>
      <c r="E852" s="1"/>
    </row>
    <row r="853">
      <c r="A853" s="1"/>
      <c r="B853" s="3" t="str">
        <f>IFERROR(__xludf.DUMMYFUNCTION("""COMPUTED_VALUE"""),"IBADURROHMAN")</f>
        <v>IBADURROHMAN</v>
      </c>
      <c r="C853" s="3" t="str">
        <f>IFERROR(__xludf.DUMMYFUNCTION("""COMPUTED_VALUE"""),"I1023119381")</f>
        <v>I1023119381</v>
      </c>
      <c r="D853" s="3">
        <f>IFERROR(__xludf.DUMMYFUNCTION("""COMPUTED_VALUE"""),15.0)</f>
        <v>15</v>
      </c>
      <c r="E853" s="1"/>
    </row>
    <row r="854">
      <c r="A854" s="1"/>
      <c r="B854" s="3" t="str">
        <f>IFERROR(__xludf.DUMMYFUNCTION("""COMPUTED_VALUE"""),"NARINDA EKA WIDYASTUTI")</f>
        <v>NARINDA EKA WIDYASTUTI</v>
      </c>
      <c r="C854" s="3" t="str">
        <f>IFERROR(__xludf.DUMMYFUNCTION("""COMPUTED_VALUE"""),"N952311")</f>
        <v>N952311</v>
      </c>
      <c r="D854" s="3">
        <f>IFERROR(__xludf.DUMMYFUNCTION("""COMPUTED_VALUE"""),30.0)</f>
        <v>30</v>
      </c>
      <c r="E854" s="1"/>
    </row>
    <row r="855">
      <c r="A855" s="1"/>
      <c r="B855" s="3" t="str">
        <f>IFERROR(__xludf.DUMMYFUNCTION("""COMPUTED_VALUE"""),"RAKA PERMANA")</f>
        <v>RAKA PERMANA</v>
      </c>
      <c r="C855" s="3" t="str">
        <f>IFERROR(__xludf.DUMMYFUNCTION("""COMPUTED_VALUE"""),"R0523117055")</f>
        <v>R0523117055</v>
      </c>
      <c r="D855" s="3">
        <f>IFERROR(__xludf.DUMMYFUNCTION("""COMPUTED_VALUE"""),20.0)</f>
        <v>20</v>
      </c>
      <c r="E855" s="1"/>
    </row>
    <row r="856">
      <c r="A856" s="1"/>
      <c r="B856" s="3" t="str">
        <f>IFERROR(__xludf.DUMMYFUNCTION("""COMPUTED_VALUE"""),"ADE KURNIAWAN")</f>
        <v>ADE KURNIAWAN</v>
      </c>
      <c r="C856" s="3" t="str">
        <f>IFERROR(__xludf.DUMMYFUNCTION("""COMPUTED_VALUE"""),"A9623111070")</f>
        <v>A9623111070</v>
      </c>
      <c r="D856" s="3">
        <f>IFERROR(__xludf.DUMMYFUNCTION("""COMPUTED_VALUE"""),29.0)</f>
        <v>29</v>
      </c>
      <c r="E856" s="1"/>
    </row>
    <row r="857">
      <c r="A857" s="1"/>
      <c r="B857" s="3" t="str">
        <f>IFERROR(__xludf.DUMMYFUNCTION("""COMPUTED_VALUE"""),"TITIN SUMARNI")</f>
        <v>TITIN SUMARNI</v>
      </c>
      <c r="C857" s="3" t="str">
        <f>IFERROR(__xludf.DUMMYFUNCTION("""COMPUTED_VALUE"""),"T642311")</f>
        <v>T642311</v>
      </c>
      <c r="D857" s="3">
        <f>IFERROR(__xludf.DUMMYFUNCTION("""COMPUTED_VALUE"""),61.0)</f>
        <v>61</v>
      </c>
      <c r="E857" s="1"/>
    </row>
    <row r="858">
      <c r="A858" s="1"/>
      <c r="B858" s="3" t="str">
        <f>IFERROR(__xludf.DUMMYFUNCTION("""COMPUTED_VALUE"""),"DENNIS TANTIONO")</f>
        <v>DENNIS TANTIONO</v>
      </c>
      <c r="C858" s="3" t="str">
        <f>IFERROR(__xludf.DUMMYFUNCTION("""COMPUTED_VALUE"""),"D9523117337")</f>
        <v>D9523117337</v>
      </c>
      <c r="D858" s="3">
        <f>IFERROR(__xludf.DUMMYFUNCTION("""COMPUTED_VALUE"""),30.0)</f>
        <v>30</v>
      </c>
      <c r="E858" s="1"/>
    </row>
    <row r="859">
      <c r="A859" s="1"/>
      <c r="B859" s="3" t="str">
        <f>IFERROR(__xludf.DUMMYFUNCTION("""COMPUTED_VALUE"""),"RISNA HASRILIANTI")</f>
        <v>RISNA HASRILIANTI</v>
      </c>
      <c r="C859" s="3" t="str">
        <f>IFERROR(__xludf.DUMMYFUNCTION("""COMPUTED_VALUE"""),"R8723115858")</f>
        <v>R8723115858</v>
      </c>
      <c r="D859" s="3">
        <f>IFERROR(__xludf.DUMMYFUNCTION("""COMPUTED_VALUE"""),38.0)</f>
        <v>38</v>
      </c>
      <c r="E859" s="1"/>
    </row>
    <row r="860">
      <c r="A860" s="1"/>
      <c r="B860" s="3" t="str">
        <f>IFERROR(__xludf.DUMMYFUNCTION("""COMPUTED_VALUE"""),"SEIKA ISNAINI NF")</f>
        <v>SEIKA ISNAINI NF</v>
      </c>
      <c r="C860" s="3" t="str">
        <f>IFERROR(__xludf.DUMMYFUNCTION("""COMPUTED_VALUE"""),"S8723116999")</f>
        <v>S8723116999</v>
      </c>
      <c r="D860" s="3">
        <f>IFERROR(__xludf.DUMMYFUNCTION("""COMPUTED_VALUE"""),39.0)</f>
        <v>39</v>
      </c>
      <c r="E860" s="1"/>
    </row>
    <row r="861">
      <c r="A861" s="1"/>
      <c r="B861" s="3" t="str">
        <f>IFERROR(__xludf.DUMMYFUNCTION("""COMPUTED_VALUE"""),"MUHAFIDZAN NAZMI RASYAD")</f>
        <v>MUHAFIDZAN NAZMI RASYAD</v>
      </c>
      <c r="C861" s="3" t="str">
        <f>IFERROR(__xludf.DUMMYFUNCTION("""COMPUTED_VALUE"""),"M1123117090")</f>
        <v>M1123117090</v>
      </c>
      <c r="D861" s="3">
        <f>IFERROR(__xludf.DUMMYFUNCTION("""COMPUTED_VALUE"""),15.0)</f>
        <v>15</v>
      </c>
      <c r="E861" s="1"/>
    </row>
    <row r="862">
      <c r="A862" s="1"/>
      <c r="B862" s="3" t="str">
        <f>IFERROR(__xludf.DUMMYFUNCTION("""COMPUTED_VALUE"""),"RUMINA")</f>
        <v>RUMINA</v>
      </c>
      <c r="C862" s="3" t="str">
        <f>IFERROR(__xludf.DUMMYFUNCTION("""COMPUTED_VALUE"""),"R7023112881")</f>
        <v>R7023112881</v>
      </c>
      <c r="D862" s="3">
        <f>IFERROR(__xludf.DUMMYFUNCTION("""COMPUTED_VALUE"""),56.0)</f>
        <v>56</v>
      </c>
      <c r="E862" s="1"/>
    </row>
    <row r="863">
      <c r="A863" s="1"/>
      <c r="B863" s="3" t="str">
        <f>IFERROR(__xludf.DUMMYFUNCTION("""COMPUTED_VALUE"""),"MUHAMAT JOKO")</f>
        <v>MUHAMAT JOKO</v>
      </c>
      <c r="C863" s="3" t="str">
        <f>IFERROR(__xludf.DUMMYFUNCTION("""COMPUTED_VALUE"""),"M8723111346")</f>
        <v>M8723111346</v>
      </c>
      <c r="D863" s="3">
        <f>IFERROR(__xludf.DUMMYFUNCTION("""COMPUTED_VALUE"""),38.0)</f>
        <v>38</v>
      </c>
      <c r="E863" s="1"/>
    </row>
    <row r="864">
      <c r="A864" s="1"/>
      <c r="B864" s="3" t="str">
        <f>IFERROR(__xludf.DUMMYFUNCTION("""COMPUTED_VALUE"""),"SURIANI")</f>
        <v>SURIANI</v>
      </c>
      <c r="C864" s="3" t="str">
        <f>IFERROR(__xludf.DUMMYFUNCTION("""COMPUTED_VALUE"""),"S7023119044")</f>
        <v>S7023119044</v>
      </c>
      <c r="D864" s="3">
        <f>IFERROR(__xludf.DUMMYFUNCTION("""COMPUTED_VALUE"""),56.0)</f>
        <v>56</v>
      </c>
      <c r="E864" s="1"/>
    </row>
    <row r="865">
      <c r="A865" s="1"/>
      <c r="B865" s="3" t="str">
        <f>IFERROR(__xludf.DUMMYFUNCTION("""COMPUTED_VALUE"""),"FARIZ HAQ FARUQI")</f>
        <v>FARIZ HAQ FARUQI</v>
      </c>
      <c r="C865" s="3" t="str">
        <f>IFERROR(__xludf.DUMMYFUNCTION("""COMPUTED_VALUE"""),"F9523113456")</f>
        <v>F9523113456</v>
      </c>
      <c r="D865" s="3">
        <f>IFERROR(__xludf.DUMMYFUNCTION("""COMPUTED_VALUE"""),30.0)</f>
        <v>30</v>
      </c>
      <c r="E865" s="1"/>
    </row>
    <row r="866">
      <c r="A866" s="1"/>
      <c r="B866" s="3" t="str">
        <f>IFERROR(__xludf.DUMMYFUNCTION("""COMPUTED_VALUE"""),"LIA REILITHA, ST")</f>
        <v>LIA REILITHA, ST</v>
      </c>
      <c r="C866" s="3" t="str">
        <f>IFERROR(__xludf.DUMMYFUNCTION("""COMPUTED_VALUE"""),"L7923116797")</f>
        <v>L7923116797</v>
      </c>
      <c r="D866" s="3">
        <f>IFERROR(__xludf.DUMMYFUNCTION("""COMPUTED_VALUE"""),47.0)</f>
        <v>47</v>
      </c>
      <c r="E866" s="1"/>
    </row>
    <row r="867">
      <c r="A867" s="1"/>
      <c r="B867" s="3" t="str">
        <f>IFERROR(__xludf.DUMMYFUNCTION("""COMPUTED_VALUE"""),"NUR LAILAWATI")</f>
        <v>NUR LAILAWATI</v>
      </c>
      <c r="C867" s="3" t="str">
        <f>IFERROR(__xludf.DUMMYFUNCTION("""COMPUTED_VALUE"""),"N6523119626")</f>
        <v>N6523119626</v>
      </c>
      <c r="D867" s="3">
        <f>IFERROR(__xludf.DUMMYFUNCTION("""COMPUTED_VALUE"""),61.0)</f>
        <v>61</v>
      </c>
      <c r="E867" s="1"/>
    </row>
    <row r="868">
      <c r="A868" s="1"/>
      <c r="B868" s="3" t="str">
        <f>IFERROR(__xludf.DUMMYFUNCTION("""COMPUTED_VALUE"""),"JILI SAHARUI")</f>
        <v>JILI SAHARUI</v>
      </c>
      <c r="C868" s="3" t="str">
        <f>IFERROR(__xludf.DUMMYFUNCTION("""COMPUTED_VALUE"""),"J0523112642")</f>
        <v>J0523112642</v>
      </c>
      <c r="D868" s="3">
        <f>IFERROR(__xludf.DUMMYFUNCTION("""COMPUTED_VALUE"""),20.0)</f>
        <v>20</v>
      </c>
      <c r="E868" s="1"/>
    </row>
    <row r="869">
      <c r="A869" s="1"/>
      <c r="B869" s="3" t="str">
        <f>IFERROR(__xludf.DUMMYFUNCTION("""COMPUTED_VALUE"""),"ZURIADI WIRA NEGARA")</f>
        <v>ZURIADI WIRA NEGARA</v>
      </c>
      <c r="C869" s="3" t="str">
        <f>IFERROR(__xludf.DUMMYFUNCTION("""COMPUTED_VALUE"""),"Z9323117167")</f>
        <v>Z9323117167</v>
      </c>
      <c r="D869" s="3">
        <f>IFERROR(__xludf.DUMMYFUNCTION("""COMPUTED_VALUE"""),32.0)</f>
        <v>32</v>
      </c>
      <c r="E869" s="1"/>
    </row>
    <row r="870">
      <c r="A870" s="1"/>
      <c r="B870" s="3" t="str">
        <f>IFERROR(__xludf.DUMMYFUNCTION("""COMPUTED_VALUE"""),"BUDY SAPUTRA")</f>
        <v>BUDY SAPUTRA</v>
      </c>
      <c r="C870" s="3" t="str">
        <f>IFERROR(__xludf.DUMMYFUNCTION("""COMPUTED_VALUE"""),"B8523110973")</f>
        <v>B8523110973</v>
      </c>
      <c r="D870" s="3">
        <f>IFERROR(__xludf.DUMMYFUNCTION("""COMPUTED_VALUE"""),41.0)</f>
        <v>41</v>
      </c>
      <c r="E870" s="1"/>
    </row>
    <row r="871">
      <c r="A871" s="1"/>
      <c r="B871" s="3" t="str">
        <f>IFERROR(__xludf.DUMMYFUNCTION("""COMPUTED_VALUE"""),"NUR IKHWAN PRATAMA")</f>
        <v>NUR IKHWAN PRATAMA</v>
      </c>
      <c r="C871" s="3" t="str">
        <f>IFERROR(__xludf.DUMMYFUNCTION("""COMPUTED_VALUE"""),"N8923115505")</f>
        <v>N8923115505</v>
      </c>
      <c r="D871" s="3">
        <f>IFERROR(__xludf.DUMMYFUNCTION("""COMPUTED_VALUE"""),36.0)</f>
        <v>36</v>
      </c>
      <c r="E871" s="1"/>
    </row>
    <row r="872">
      <c r="A872" s="1"/>
      <c r="B872" s="3" t="str">
        <f>IFERROR(__xludf.DUMMYFUNCTION("""COMPUTED_VALUE"""),"YASINTA ANA")</f>
        <v>YASINTA ANA</v>
      </c>
      <c r="C872" s="3" t="str">
        <f>IFERROR(__xludf.DUMMYFUNCTION("""COMPUTED_VALUE"""),"Y9223116444")</f>
        <v>Y9223116444</v>
      </c>
      <c r="D872" s="3">
        <f>IFERROR(__xludf.DUMMYFUNCTION("""COMPUTED_VALUE"""),34.0)</f>
        <v>34</v>
      </c>
      <c r="E872" s="1"/>
    </row>
    <row r="873">
      <c r="A873" s="1"/>
      <c r="B873" s="3" t="str">
        <f>IFERROR(__xludf.DUMMYFUNCTION("""COMPUTED_VALUE"""),"THE AILIE")</f>
        <v>THE AILIE</v>
      </c>
      <c r="C873" s="3" t="str">
        <f>IFERROR(__xludf.DUMMYFUNCTION("""COMPUTED_VALUE"""),"T7023113119")</f>
        <v>T7023113119</v>
      </c>
      <c r="D873" s="3">
        <f>IFERROR(__xludf.DUMMYFUNCTION("""COMPUTED_VALUE"""),55.0)</f>
        <v>55</v>
      </c>
      <c r="E873" s="1"/>
    </row>
    <row r="874">
      <c r="A874" s="1"/>
      <c r="B874" s="3" t="str">
        <f>IFERROR(__xludf.DUMMYFUNCTION("""COMPUTED_VALUE"""),"NAZA BARA UTAMA PUTRA")</f>
        <v>NAZA BARA UTAMA PUTRA</v>
      </c>
      <c r="C874" s="3" t="str">
        <f>IFERROR(__xludf.DUMMYFUNCTION("""COMPUTED_VALUE"""),"N0523118186")</f>
        <v>N0523118186</v>
      </c>
      <c r="D874" s="3">
        <f>IFERROR(__xludf.DUMMYFUNCTION("""COMPUTED_VALUE"""),21.0)</f>
        <v>21</v>
      </c>
      <c r="E874" s="1"/>
    </row>
    <row r="875">
      <c r="A875" s="1"/>
      <c r="B875" s="3" t="str">
        <f>IFERROR(__xludf.DUMMYFUNCTION("""COMPUTED_VALUE"""),"ZAKARIA")</f>
        <v>ZAKARIA</v>
      </c>
      <c r="C875" s="3" t="str">
        <f>IFERROR(__xludf.DUMMYFUNCTION("""COMPUTED_VALUE"""),"Z8623118686")</f>
        <v>Z8623118686</v>
      </c>
      <c r="D875" s="3">
        <f>IFERROR(__xludf.DUMMYFUNCTION("""COMPUTED_VALUE"""),39.0)</f>
        <v>39</v>
      </c>
      <c r="E875" s="1"/>
    </row>
    <row r="876">
      <c r="A876" s="1"/>
      <c r="B876" s="3" t="str">
        <f>IFERROR(__xludf.DUMMYFUNCTION("""COMPUTED_VALUE"""),"BAMBANG DARWANTO")</f>
        <v>BAMBANG DARWANTO</v>
      </c>
      <c r="C876" s="3" t="str">
        <f>IFERROR(__xludf.DUMMYFUNCTION("""COMPUTED_VALUE"""),"B5923110123")</f>
        <v>B5923110123</v>
      </c>
      <c r="D876" s="3">
        <f>IFERROR(__xludf.DUMMYFUNCTION("""COMPUTED_VALUE"""),66.0)</f>
        <v>66</v>
      </c>
      <c r="E876" s="1"/>
    </row>
    <row r="877">
      <c r="A877" s="1"/>
      <c r="B877" s="3" t="str">
        <f>IFERROR(__xludf.DUMMYFUNCTION("""COMPUTED_VALUE"""),"AIN HIDAYATI")</f>
        <v>AIN HIDAYATI</v>
      </c>
      <c r="C877" s="3" t="str">
        <f>IFERROR(__xludf.DUMMYFUNCTION("""COMPUTED_VALUE"""),"A0123116330")</f>
        <v>A0123116330</v>
      </c>
      <c r="D877" s="3">
        <f>IFERROR(__xludf.DUMMYFUNCTION("""COMPUTED_VALUE"""),24.0)</f>
        <v>24</v>
      </c>
      <c r="E877" s="1"/>
    </row>
    <row r="878">
      <c r="A878" s="1"/>
      <c r="B878" s="3" t="str">
        <f>IFERROR(__xludf.DUMMYFUNCTION("""COMPUTED_VALUE"""),"BAMBANG WIBISONI")</f>
        <v>BAMBANG WIBISONI</v>
      </c>
      <c r="C878" s="3" t="str">
        <f>IFERROR(__xludf.DUMMYFUNCTION("""COMPUTED_VALUE"""),"B9123111378")</f>
        <v>B9123111378</v>
      </c>
      <c r="D878" s="3">
        <f>IFERROR(__xludf.DUMMYFUNCTION("""COMPUTED_VALUE"""),34.0)</f>
        <v>34</v>
      </c>
      <c r="E878" s="1"/>
    </row>
    <row r="879">
      <c r="A879" s="1"/>
      <c r="B879" s="3" t="str">
        <f>IFERROR(__xludf.DUMMYFUNCTION("""COMPUTED_VALUE"""),"ANTON CHANDRA")</f>
        <v>ANTON CHANDRA</v>
      </c>
      <c r="C879" s="3" t="str">
        <f>IFERROR(__xludf.DUMMYFUNCTION("""COMPUTED_VALUE"""),"A8423112002")</f>
        <v>A8423112002</v>
      </c>
      <c r="D879" s="3">
        <f>IFERROR(__xludf.DUMMYFUNCTION("""COMPUTED_VALUE"""),42.0)</f>
        <v>42</v>
      </c>
      <c r="E879" s="1"/>
    </row>
    <row r="880">
      <c r="A880" s="1"/>
      <c r="B880" s="3" t="str">
        <f>IFERROR(__xludf.DUMMYFUNCTION("""COMPUTED_VALUE"""),"EFENDI")</f>
        <v>EFENDI</v>
      </c>
      <c r="C880" s="3" t="str">
        <f>IFERROR(__xludf.DUMMYFUNCTION("""COMPUTED_VALUE"""),"E8923116555")</f>
        <v>E8923116555</v>
      </c>
      <c r="D880" s="3">
        <f>IFERROR(__xludf.DUMMYFUNCTION("""COMPUTED_VALUE"""),36.0)</f>
        <v>36</v>
      </c>
      <c r="E880" s="1"/>
    </row>
    <row r="881">
      <c r="A881" s="1"/>
      <c r="B881" s="3" t="str">
        <f>IFERROR(__xludf.DUMMYFUNCTION("""COMPUTED_VALUE"""),"SRI SUBERTI")</f>
        <v>SRI SUBERTI</v>
      </c>
      <c r="C881" s="3" t="str">
        <f>IFERROR(__xludf.DUMMYFUNCTION("""COMPUTED_VALUE"""),"S5723119667")</f>
        <v>S5723119667</v>
      </c>
      <c r="D881" s="3">
        <f>IFERROR(__xludf.DUMMYFUNCTION("""COMPUTED_VALUE"""),68.0)</f>
        <v>68</v>
      </c>
      <c r="E881" s="1"/>
    </row>
    <row r="882">
      <c r="A882" s="1"/>
      <c r="B882" s="3" t="str">
        <f>IFERROR(__xludf.DUMMYFUNCTION("""COMPUTED_VALUE"""),"HAMDAN RUSLAN LUBIS")</f>
        <v>HAMDAN RUSLAN LUBIS</v>
      </c>
      <c r="C882" s="3" t="str">
        <f>IFERROR(__xludf.DUMMYFUNCTION("""COMPUTED_VALUE"""),"H5123117008")</f>
        <v>H5123117008</v>
      </c>
      <c r="D882" s="3">
        <f>IFERROR(__xludf.DUMMYFUNCTION("""COMPUTED_VALUE"""),74.0)</f>
        <v>74</v>
      </c>
      <c r="E882" s="1"/>
    </row>
    <row r="883">
      <c r="A883" s="1"/>
      <c r="B883" s="3" t="str">
        <f>IFERROR(__xludf.DUMMYFUNCTION("""COMPUTED_VALUE"""),"ELIVAS PAAI")</f>
        <v>ELIVAS PAAI</v>
      </c>
      <c r="C883" s="3" t="str">
        <f>IFERROR(__xludf.DUMMYFUNCTION("""COMPUTED_VALUE"""),"E8923115260")</f>
        <v>E8923115260</v>
      </c>
      <c r="D883" s="3">
        <f>IFERROR(__xludf.DUMMYFUNCTION("""COMPUTED_VALUE"""),37.0)</f>
        <v>37</v>
      </c>
      <c r="E883" s="1"/>
    </row>
    <row r="884">
      <c r="A884" s="1"/>
      <c r="B884" s="3" t="str">
        <f>IFERROR(__xludf.DUMMYFUNCTION("""COMPUTED_VALUE"""),"YUSWARINI")</f>
        <v>YUSWARINI</v>
      </c>
      <c r="C884" s="3" t="str">
        <f>IFERROR(__xludf.DUMMYFUNCTION("""COMPUTED_VALUE"""),"Y7323110475")</f>
        <v>Y7323110475</v>
      </c>
      <c r="D884" s="3">
        <f>IFERROR(__xludf.DUMMYFUNCTION("""COMPUTED_VALUE"""),52.0)</f>
        <v>52</v>
      </c>
      <c r="E884" s="1"/>
    </row>
    <row r="885">
      <c r="A885" s="1"/>
      <c r="B885" s="3" t="str">
        <f>IFERROR(__xludf.DUMMYFUNCTION("""COMPUTED_VALUE"""),"ANDRE RENALDI")</f>
        <v>ANDRE RENALDI</v>
      </c>
      <c r="C885" s="3" t="str">
        <f>IFERROR(__xludf.DUMMYFUNCTION("""COMPUTED_VALUE"""),"A0323114536")</f>
        <v>A0323114536</v>
      </c>
      <c r="D885" s="3">
        <f>IFERROR(__xludf.DUMMYFUNCTION("""COMPUTED_VALUE"""),22.0)</f>
        <v>22</v>
      </c>
      <c r="E885" s="1"/>
    </row>
    <row r="886">
      <c r="A886" s="1"/>
      <c r="B886" s="3" t="str">
        <f>IFERROR(__xludf.DUMMYFUNCTION("""COMPUTED_VALUE"""),"HANIFA AUDITA")</f>
        <v>HANIFA AUDITA</v>
      </c>
      <c r="C886" s="3" t="str">
        <f>IFERROR(__xludf.DUMMYFUNCTION("""COMPUTED_VALUE"""),"H9823113307")</f>
        <v>H9823113307</v>
      </c>
      <c r="D886" s="3">
        <f>IFERROR(__xludf.DUMMYFUNCTION("""COMPUTED_VALUE"""),27.0)</f>
        <v>27</v>
      </c>
      <c r="E886" s="1"/>
    </row>
    <row r="887">
      <c r="A887" s="1"/>
      <c r="B887" s="3" t="str">
        <f>IFERROR(__xludf.DUMMYFUNCTION("""COMPUTED_VALUE"""),"EKA BAGUS TRI SETYAWAN")</f>
        <v>EKA BAGUS TRI SETYAWAN</v>
      </c>
      <c r="C887" s="3" t="str">
        <f>IFERROR(__xludf.DUMMYFUNCTION("""COMPUTED_VALUE"""),"E2323117575")</f>
        <v>E2323117575</v>
      </c>
      <c r="D887" s="3">
        <f>IFERROR(__xludf.DUMMYFUNCTION("""COMPUTED_VALUE"""),2.0)</f>
        <v>2</v>
      </c>
      <c r="E887" s="1"/>
    </row>
    <row r="888">
      <c r="A888" s="1"/>
      <c r="B888" s="3" t="str">
        <f>IFERROR(__xludf.DUMMYFUNCTION("""COMPUTED_VALUE"""),"M. ADITYA DARMAWAN")</f>
        <v>M. ADITYA DARMAWAN</v>
      </c>
      <c r="C888" s="3" t="str">
        <f>IFERROR(__xludf.DUMMYFUNCTION("""COMPUTED_VALUE"""),"M9423113416")</f>
        <v>M9423113416</v>
      </c>
      <c r="D888" s="3">
        <f>IFERROR(__xludf.DUMMYFUNCTION("""COMPUTED_VALUE"""),31.0)</f>
        <v>31</v>
      </c>
      <c r="E888" s="1"/>
    </row>
    <row r="889">
      <c r="A889" s="1"/>
      <c r="B889" s="3" t="str">
        <f>IFERROR(__xludf.DUMMYFUNCTION("""COMPUTED_VALUE"""),"BARLIAN MARTIANA")</f>
        <v>BARLIAN MARTIANA</v>
      </c>
      <c r="C889" s="3" t="str">
        <f>IFERROR(__xludf.DUMMYFUNCTION("""COMPUTED_VALUE"""),"B7023119270")</f>
        <v>B7023119270</v>
      </c>
      <c r="D889" s="3">
        <f>IFERROR(__xludf.DUMMYFUNCTION("""COMPUTED_VALUE"""),56.0)</f>
        <v>56</v>
      </c>
      <c r="E889" s="1"/>
    </row>
    <row r="890">
      <c r="A890" s="1"/>
      <c r="B890" s="3" t="str">
        <f>IFERROR(__xludf.DUMMYFUNCTION("""COMPUTED_VALUE"""),"SURYANTI DHARMAGO")</f>
        <v>SURYANTI DHARMAGO</v>
      </c>
      <c r="C890" s="3" t="str">
        <f>IFERROR(__xludf.DUMMYFUNCTION("""COMPUTED_VALUE"""),"S7223111819")</f>
        <v>S7223111819</v>
      </c>
      <c r="D890" s="3">
        <f>IFERROR(__xludf.DUMMYFUNCTION("""COMPUTED_VALUE"""),54.0)</f>
        <v>54</v>
      </c>
      <c r="E890" s="1"/>
    </row>
    <row r="891">
      <c r="A891" s="1"/>
      <c r="B891" s="3" t="str">
        <f>IFERROR(__xludf.DUMMYFUNCTION("""COMPUTED_VALUE"""),"YOKI TRI PRASETYO")</f>
        <v>YOKI TRI PRASETYO</v>
      </c>
      <c r="C891" s="3" t="str">
        <f>IFERROR(__xludf.DUMMYFUNCTION("""COMPUTED_VALUE"""),"Y8823117404")</f>
        <v>Y8823117404</v>
      </c>
      <c r="D891" s="3">
        <f>IFERROR(__xludf.DUMMYFUNCTION("""COMPUTED_VALUE"""),37.0)</f>
        <v>37</v>
      </c>
      <c r="E891" s="1"/>
    </row>
    <row r="892">
      <c r="A892" s="1"/>
      <c r="B892" s="3" t="str">
        <f>IFERROR(__xludf.DUMMYFUNCTION("""COMPUTED_VALUE"""),"DINI PRIHATINI")</f>
        <v>DINI PRIHATINI</v>
      </c>
      <c r="C892" s="3" t="str">
        <f>IFERROR(__xludf.DUMMYFUNCTION("""COMPUTED_VALUE"""),"D8923116913")</f>
        <v>D8923116913</v>
      </c>
      <c r="D892" s="3">
        <f>IFERROR(__xludf.DUMMYFUNCTION("""COMPUTED_VALUE"""),37.0)</f>
        <v>37</v>
      </c>
      <c r="E892" s="1"/>
    </row>
    <row r="893">
      <c r="A893" s="1"/>
      <c r="B893" s="3" t="str">
        <f>IFERROR(__xludf.DUMMYFUNCTION("""COMPUTED_VALUE"""),"HASAN ULIM")</f>
        <v>HASAN ULIM</v>
      </c>
      <c r="C893" s="3" t="str">
        <f>IFERROR(__xludf.DUMMYFUNCTION("""COMPUTED_VALUE"""),"H4423118866")</f>
        <v>H4423118866</v>
      </c>
      <c r="D893" s="3">
        <f>IFERROR(__xludf.DUMMYFUNCTION("""COMPUTED_VALUE"""),82.0)</f>
        <v>82</v>
      </c>
      <c r="E893" s="1"/>
    </row>
    <row r="894">
      <c r="A894" s="1"/>
      <c r="B894" s="3" t="str">
        <f>IFERROR(__xludf.DUMMYFUNCTION("""COMPUTED_VALUE"""),"ANDIKA PRATAMA PUTRA")</f>
        <v>ANDIKA PRATAMA PUTRA</v>
      </c>
      <c r="C894" s="3" t="str">
        <f>IFERROR(__xludf.DUMMYFUNCTION("""COMPUTED_VALUE"""),"A9623110171")</f>
        <v>A9623110171</v>
      </c>
      <c r="D894" s="3">
        <f>IFERROR(__xludf.DUMMYFUNCTION("""COMPUTED_VALUE"""),30.0)</f>
        <v>30</v>
      </c>
      <c r="E894" s="1"/>
    </row>
    <row r="895">
      <c r="A895" s="1"/>
      <c r="B895" s="3" t="str">
        <f>IFERROR(__xludf.DUMMYFUNCTION("""COMPUTED_VALUE"""),"ENNI KARTINI")</f>
        <v>ENNI KARTINI</v>
      </c>
      <c r="C895" s="3" t="str">
        <f>IFERROR(__xludf.DUMMYFUNCTION("""COMPUTED_VALUE"""),"E7723113501")</f>
        <v>E7723113501</v>
      </c>
      <c r="D895" s="3">
        <f>IFERROR(__xludf.DUMMYFUNCTION("""COMPUTED_VALUE"""),49.0)</f>
        <v>49</v>
      </c>
      <c r="E895" s="1"/>
    </row>
    <row r="896">
      <c r="A896" s="1"/>
      <c r="B896" s="3" t="str">
        <f>IFERROR(__xludf.DUMMYFUNCTION("""COMPUTED_VALUE"""),"FAISAL.SP")</f>
        <v>FAISAL.SP</v>
      </c>
      <c r="C896" s="3" t="str">
        <f>IFERROR(__xludf.DUMMYFUNCTION("""COMPUTED_VALUE"""),"F7323113501")</f>
        <v>F7323113501</v>
      </c>
      <c r="D896" s="3">
        <f>IFERROR(__xludf.DUMMYFUNCTION("""COMPUTED_VALUE"""),53.0)</f>
        <v>53</v>
      </c>
      <c r="E896" s="1"/>
    </row>
    <row r="897">
      <c r="A897" s="1"/>
      <c r="B897" s="3" t="str">
        <f>IFERROR(__xludf.DUMMYFUNCTION("""COMPUTED_VALUE"""),"BOBY VALIANDRA")</f>
        <v>BOBY VALIANDRA</v>
      </c>
      <c r="C897" s="3" t="str">
        <f>IFERROR(__xludf.DUMMYFUNCTION("""COMPUTED_VALUE"""),"B8923118787")</f>
        <v>B8923118787</v>
      </c>
      <c r="D897" s="3">
        <f>IFERROR(__xludf.DUMMYFUNCTION("""COMPUTED_VALUE"""),36.0)</f>
        <v>36</v>
      </c>
      <c r="E897" s="1"/>
    </row>
    <row r="898">
      <c r="A898" s="1"/>
      <c r="B898" s="3" t="str">
        <f>IFERROR(__xludf.DUMMYFUNCTION("""COMPUTED_VALUE"""),"SUPARMI")</f>
        <v>SUPARMI</v>
      </c>
      <c r="C898" s="3" t="str">
        <f>IFERROR(__xludf.DUMMYFUNCTION("""COMPUTED_VALUE"""),"S5723119635")</f>
        <v>S5723119635</v>
      </c>
      <c r="D898" s="3">
        <f>IFERROR(__xludf.DUMMYFUNCTION("""COMPUTED_VALUE"""),68.0)</f>
        <v>68</v>
      </c>
      <c r="E898" s="1"/>
    </row>
    <row r="899">
      <c r="A899" s="1"/>
      <c r="B899" s="3" t="str">
        <f>IFERROR(__xludf.DUMMYFUNCTION("""COMPUTED_VALUE"""),"NISMARA ARSA ARYASATYA")</f>
        <v>NISMARA ARSA ARYASATYA</v>
      </c>
      <c r="C899" s="3" t="str">
        <f>IFERROR(__xludf.DUMMYFUNCTION("""COMPUTED_VALUE"""),"N1023114897")</f>
        <v>N1023114897</v>
      </c>
      <c r="D899" s="3">
        <f>IFERROR(__xludf.DUMMYFUNCTION("""COMPUTED_VALUE"""),16.0)</f>
        <v>16</v>
      </c>
      <c r="E899" s="1"/>
    </row>
    <row r="900">
      <c r="A900" s="1"/>
      <c r="B900" s="3" t="str">
        <f>IFERROR(__xludf.DUMMYFUNCTION("""COMPUTED_VALUE"""),"GUSRANTA PRISCARDO PINEM")</f>
        <v>GUSRANTA PRISCARDO PINEM</v>
      </c>
      <c r="C900" s="3" t="str">
        <f>IFERROR(__xludf.DUMMYFUNCTION("""COMPUTED_VALUE"""),"G9023118711")</f>
        <v>G9023118711</v>
      </c>
      <c r="D900" s="3">
        <f>IFERROR(__xludf.DUMMYFUNCTION("""COMPUTED_VALUE"""),35.0)</f>
        <v>35</v>
      </c>
      <c r="E900" s="1"/>
    </row>
    <row r="901">
      <c r="A901" s="1"/>
      <c r="B901" s="3" t="str">
        <f>IFERROR(__xludf.DUMMYFUNCTION("""COMPUTED_VALUE"""),"ROBBY EDITYA MANENDRA")</f>
        <v>ROBBY EDITYA MANENDRA</v>
      </c>
      <c r="C901" s="3" t="str">
        <f>IFERROR(__xludf.DUMMYFUNCTION("""COMPUTED_VALUE"""),"R8723119339")</f>
        <v>R8723119339</v>
      </c>
      <c r="D901" s="3">
        <f>IFERROR(__xludf.DUMMYFUNCTION("""COMPUTED_VALUE"""),38.0)</f>
        <v>38</v>
      </c>
      <c r="E901" s="1"/>
    </row>
    <row r="902">
      <c r="A902" s="1"/>
      <c r="B902" s="3" t="str">
        <f>IFERROR(__xludf.DUMMYFUNCTION("""COMPUTED_VALUE"""),"ASPARIANSYAH")</f>
        <v>ASPARIANSYAH</v>
      </c>
      <c r="C902" s="3" t="str">
        <f>IFERROR(__xludf.DUMMYFUNCTION("""COMPUTED_VALUE"""),"A0323112163")</f>
        <v>A0323112163</v>
      </c>
      <c r="D902" s="3">
        <f>IFERROR(__xludf.DUMMYFUNCTION("""COMPUTED_VALUE"""),23.0)</f>
        <v>23</v>
      </c>
      <c r="E902" s="1"/>
    </row>
    <row r="903">
      <c r="A903" s="1"/>
      <c r="B903" s="3" t="str">
        <f>IFERROR(__xludf.DUMMYFUNCTION("""COMPUTED_VALUE"""),"ANGGITAN HARYO WICAKSONO")</f>
        <v>ANGGITAN HARYO WICAKSONO</v>
      </c>
      <c r="C903" s="3" t="str">
        <f>IFERROR(__xludf.DUMMYFUNCTION("""COMPUTED_VALUE"""),"A9323119996")</f>
        <v>A9323119996</v>
      </c>
      <c r="D903" s="3">
        <f>IFERROR(__xludf.DUMMYFUNCTION("""COMPUTED_VALUE"""),32.0)</f>
        <v>32</v>
      </c>
      <c r="E903" s="1"/>
    </row>
    <row r="904">
      <c r="A904" s="1"/>
      <c r="B904" s="3" t="str">
        <f>IFERROR(__xludf.DUMMYFUNCTION("""COMPUTED_VALUE"""),"MUHAMMAD FACHRI RIZKI DARMAWAN")</f>
        <v>MUHAMMAD FACHRI RIZKI DARMAWAN</v>
      </c>
      <c r="C904" s="3" t="str">
        <f>IFERROR(__xludf.DUMMYFUNCTION("""COMPUTED_VALUE"""),"M0123113499")</f>
        <v>M0123113499</v>
      </c>
      <c r="D904" s="3">
        <f>IFERROR(__xludf.DUMMYFUNCTION("""COMPUTED_VALUE"""),25.0)</f>
        <v>25</v>
      </c>
      <c r="E904" s="1"/>
    </row>
    <row r="905">
      <c r="A905" s="1"/>
      <c r="B905" s="3" t="str">
        <f>IFERROR(__xludf.DUMMYFUNCTION("""COMPUTED_VALUE"""),"RAHMAT MADYO K.")</f>
        <v>RAHMAT MADYO K.</v>
      </c>
      <c r="C905" s="3" t="str">
        <f>IFERROR(__xludf.DUMMYFUNCTION("""COMPUTED_VALUE"""),"R9123112925")</f>
        <v>R9123112925</v>
      </c>
      <c r="D905" s="3">
        <f>IFERROR(__xludf.DUMMYFUNCTION("""COMPUTED_VALUE"""),35.0)</f>
        <v>35</v>
      </c>
      <c r="E905" s="1"/>
    </row>
    <row r="906">
      <c r="A906" s="1"/>
      <c r="B906" s="3" t="str">
        <f>IFERROR(__xludf.DUMMYFUNCTION("""COMPUTED_VALUE"""),"MUHAMMAD YOGA FEBRIYANTO")</f>
        <v>MUHAMMAD YOGA FEBRIYANTO</v>
      </c>
      <c r="C906" s="3" t="str">
        <f>IFERROR(__xludf.DUMMYFUNCTION("""COMPUTED_VALUE"""),"M0023110903")</f>
        <v>M0023110903</v>
      </c>
      <c r="D906" s="3">
        <f>IFERROR(__xludf.DUMMYFUNCTION("""COMPUTED_VALUE"""),26.0)</f>
        <v>26</v>
      </c>
      <c r="E906" s="1"/>
    </row>
    <row r="907">
      <c r="A907" s="1"/>
      <c r="B907" s="3" t="str">
        <f>IFERROR(__xludf.DUMMYFUNCTION("""COMPUTED_VALUE"""),"CARLOS")</f>
        <v>CARLOS</v>
      </c>
      <c r="C907" s="3" t="str">
        <f>IFERROR(__xludf.DUMMYFUNCTION("""COMPUTED_VALUE"""),"C9823119557")</f>
        <v>C9823119557</v>
      </c>
      <c r="D907" s="3">
        <f>IFERROR(__xludf.DUMMYFUNCTION("""COMPUTED_VALUE"""),28.0)</f>
        <v>28</v>
      </c>
      <c r="E907" s="1"/>
    </row>
    <row r="908">
      <c r="A908" s="1"/>
      <c r="B908" s="3" t="str">
        <f>IFERROR(__xludf.DUMMYFUNCTION("""COMPUTED_VALUE"""),"YORDANIO IRAQI BASULE")</f>
        <v>YORDANIO IRAQI BASULE</v>
      </c>
      <c r="C908" s="3" t="str">
        <f>IFERROR(__xludf.DUMMYFUNCTION("""COMPUTED_VALUE"""),"Y0323114743")</f>
        <v>Y0323114743</v>
      </c>
      <c r="D908" s="3">
        <f>IFERROR(__xludf.DUMMYFUNCTION("""COMPUTED_VALUE"""),23.0)</f>
        <v>23</v>
      </c>
      <c r="E908" s="1"/>
    </row>
    <row r="909">
      <c r="A909" s="1"/>
      <c r="B909" s="3" t="str">
        <f>IFERROR(__xludf.DUMMYFUNCTION("""COMPUTED_VALUE"""),"YULIANA 6610")</f>
        <v>YULIANA 6610</v>
      </c>
      <c r="C909" s="3" t="str">
        <f>IFERROR(__xludf.DUMMYFUNCTION("""COMPUTED_VALUE"""),"Y6623118270")</f>
        <v>Y6623118270</v>
      </c>
      <c r="D909" s="3">
        <f>IFERROR(__xludf.DUMMYFUNCTION("""COMPUTED_VALUE"""),59.0)</f>
        <v>59</v>
      </c>
      <c r="E909" s="1"/>
    </row>
    <row r="910">
      <c r="A910" s="1"/>
      <c r="B910" s="3" t="str">
        <f>IFERROR(__xludf.DUMMYFUNCTION("""COMPUTED_VALUE"""),"NURJANAH 7406")</f>
        <v>NURJANAH 7406</v>
      </c>
      <c r="C910" s="3" t="str">
        <f>IFERROR(__xludf.DUMMYFUNCTION("""COMPUTED_VALUE"""),"N7423119502")</f>
        <v>N7423119502</v>
      </c>
      <c r="D910" s="3">
        <f>IFERROR(__xludf.DUMMYFUNCTION("""COMPUTED_VALUE"""),52.0)</f>
        <v>52</v>
      </c>
      <c r="E910" s="1"/>
    </row>
    <row r="911">
      <c r="A911" s="1"/>
      <c r="B911" s="3" t="str">
        <f>IFERROR(__xludf.DUMMYFUNCTION("""COMPUTED_VALUE"""),"YULIA")</f>
        <v>YULIA</v>
      </c>
      <c r="C911" s="3" t="str">
        <f>IFERROR(__xludf.DUMMYFUNCTION("""COMPUTED_VALUE"""),"Y9323114312")</f>
        <v>Y9323114312</v>
      </c>
      <c r="D911" s="3">
        <f>IFERROR(__xludf.DUMMYFUNCTION("""COMPUTED_VALUE"""),32.0)</f>
        <v>32</v>
      </c>
      <c r="E911" s="1"/>
    </row>
    <row r="912">
      <c r="A912" s="1"/>
      <c r="B912" s="3" t="str">
        <f>IFERROR(__xludf.DUMMYFUNCTION("""COMPUTED_VALUE"""),"SITA PERMATASARI")</f>
        <v>SITA PERMATASARI</v>
      </c>
      <c r="C912" s="3" t="str">
        <f>IFERROR(__xludf.DUMMYFUNCTION("""COMPUTED_VALUE"""),"S9523111203")</f>
        <v>S9523111203</v>
      </c>
      <c r="D912" s="3">
        <f>IFERROR(__xludf.DUMMYFUNCTION("""COMPUTED_VALUE"""),30.0)</f>
        <v>30</v>
      </c>
      <c r="E912" s="1"/>
    </row>
    <row r="913">
      <c r="A913" s="1"/>
      <c r="B913" s="3" t="str">
        <f>IFERROR(__xludf.DUMMYFUNCTION("""COMPUTED_VALUE"""),"MUHAMMAD RAMADHANI")</f>
        <v>MUHAMMAD RAMADHANI</v>
      </c>
      <c r="C913" s="3" t="str">
        <f>IFERROR(__xludf.DUMMYFUNCTION("""COMPUTED_VALUE"""),"M0423127272")</f>
        <v>M0423127272</v>
      </c>
      <c r="D913" s="3">
        <f>IFERROR(__xludf.DUMMYFUNCTION("""COMPUTED_VALUE"""),21.0)</f>
        <v>21</v>
      </c>
      <c r="E913" s="1"/>
    </row>
    <row r="914">
      <c r="A914" s="1"/>
      <c r="B914" s="3" t="str">
        <f>IFERROR(__xludf.DUMMYFUNCTION("""COMPUTED_VALUE"""),"GIAN RAVEL")</f>
        <v>GIAN RAVEL</v>
      </c>
      <c r="C914" s="3" t="str">
        <f>IFERROR(__xludf.DUMMYFUNCTION("""COMPUTED_VALUE"""),"G0423123967")</f>
        <v>G0423123967</v>
      </c>
      <c r="D914" s="3">
        <f>IFERROR(__xludf.DUMMYFUNCTION("""COMPUTED_VALUE"""),21.0)</f>
        <v>21</v>
      </c>
      <c r="E914" s="1"/>
    </row>
    <row r="915">
      <c r="A915" s="1"/>
      <c r="B915" s="3" t="str">
        <f>IFERROR(__xludf.DUMMYFUNCTION("""COMPUTED_VALUE"""),"MARDINNA MARISTA")</f>
        <v>MARDINNA MARISTA</v>
      </c>
      <c r="C915" s="3" t="str">
        <f>IFERROR(__xludf.DUMMYFUNCTION("""COMPUTED_VALUE"""),"M8623120882")</f>
        <v>M8623120882</v>
      </c>
      <c r="D915" s="3">
        <f>IFERROR(__xludf.DUMMYFUNCTION("""COMPUTED_VALUE"""),40.0)</f>
        <v>40</v>
      </c>
      <c r="E915" s="1"/>
    </row>
    <row r="916">
      <c r="A916" s="1"/>
      <c r="B916" s="3" t="str">
        <f>IFERROR(__xludf.DUMMYFUNCTION("""COMPUTED_VALUE"""),"HASBI MALIK IANNUZZY")</f>
        <v>HASBI MALIK IANNUZZY</v>
      </c>
      <c r="C916" s="3" t="str">
        <f>IFERROR(__xludf.DUMMYFUNCTION("""COMPUTED_VALUE"""),"H0023129046")</f>
        <v>H0023129046</v>
      </c>
      <c r="D916" s="3">
        <f>IFERROR(__xludf.DUMMYFUNCTION("""COMPUTED_VALUE"""),26.0)</f>
        <v>26</v>
      </c>
      <c r="E916" s="1"/>
    </row>
    <row r="917">
      <c r="A917" s="1"/>
      <c r="B917" s="3" t="str">
        <f>IFERROR(__xludf.DUMMYFUNCTION("""COMPUTED_VALUE"""),"PERIWANTO")</f>
        <v>PERIWANTO</v>
      </c>
      <c r="C917" s="3" t="str">
        <f>IFERROR(__xludf.DUMMYFUNCTION("""COMPUTED_VALUE"""),"P8023121123")</f>
        <v>P8023121123</v>
      </c>
      <c r="D917" s="3">
        <f>IFERROR(__xludf.DUMMYFUNCTION("""COMPUTED_VALUE"""),45.0)</f>
        <v>45</v>
      </c>
      <c r="E917" s="1"/>
    </row>
    <row r="918">
      <c r="A918" s="1"/>
      <c r="B918" s="3" t="str">
        <f>IFERROR(__xludf.DUMMYFUNCTION("""COMPUTED_VALUE"""),"ARIEF HAQQUL BASIR")</f>
        <v>ARIEF HAQQUL BASIR</v>
      </c>
      <c r="C918" s="3" t="str">
        <f>IFERROR(__xludf.DUMMYFUNCTION("""COMPUTED_VALUE"""),"A9623123679")</f>
        <v>A9623123679</v>
      </c>
      <c r="D918" s="3">
        <f>IFERROR(__xludf.DUMMYFUNCTION("""COMPUTED_VALUE"""),30.0)</f>
        <v>30</v>
      </c>
      <c r="E918" s="1"/>
    </row>
    <row r="919">
      <c r="A919" s="1"/>
      <c r="B919" s="3" t="str">
        <f>IFERROR(__xludf.DUMMYFUNCTION("""COMPUTED_VALUE"""),"WIDYA NINGSIEH")</f>
        <v>WIDYA NINGSIEH</v>
      </c>
      <c r="C919" s="3" t="str">
        <f>IFERROR(__xludf.DUMMYFUNCTION("""COMPUTED_VALUE"""),"W9723128404")</f>
        <v>W9723128404</v>
      </c>
      <c r="D919" s="3">
        <f>IFERROR(__xludf.DUMMYFUNCTION("""COMPUTED_VALUE"""),29.0)</f>
        <v>29</v>
      </c>
      <c r="E919" s="1"/>
    </row>
    <row r="920">
      <c r="A920" s="1"/>
      <c r="B920" s="3" t="str">
        <f>IFERROR(__xludf.DUMMYFUNCTION("""COMPUTED_VALUE"""),"AGNES SISKA BAHARI")</f>
        <v>AGNES SISKA BAHARI</v>
      </c>
      <c r="C920" s="3" t="str">
        <f>IFERROR(__xludf.DUMMYFUNCTION("""COMPUTED_VALUE"""),"A9823121631")</f>
        <v>A9823121631</v>
      </c>
      <c r="D920" s="3">
        <f>IFERROR(__xludf.DUMMYFUNCTION("""COMPUTED_VALUE"""),27.0)</f>
        <v>27</v>
      </c>
      <c r="E920" s="1"/>
    </row>
    <row r="921">
      <c r="A921" s="1"/>
      <c r="B921" s="3" t="str">
        <f>IFERROR(__xludf.DUMMYFUNCTION("""COMPUTED_VALUE"""),"FATHUTONI")</f>
        <v>FATHUTONI</v>
      </c>
      <c r="C921" s="3" t="str">
        <f>IFERROR(__xludf.DUMMYFUNCTION("""COMPUTED_VALUE"""),"F9623125415")</f>
        <v>F9623125415</v>
      </c>
      <c r="D921" s="3">
        <f>IFERROR(__xludf.DUMMYFUNCTION("""COMPUTED_VALUE"""),29.0)</f>
        <v>29</v>
      </c>
      <c r="E921" s="1"/>
    </row>
    <row r="922">
      <c r="A922" s="1"/>
      <c r="B922" s="3" t="str">
        <f>IFERROR(__xludf.DUMMYFUNCTION("""COMPUTED_VALUE"""),"ANI MUANI")</f>
        <v>ANI MUANI</v>
      </c>
      <c r="C922" s="3" t="str">
        <f>IFERROR(__xludf.DUMMYFUNCTION("""COMPUTED_VALUE"""),"A5123128957")</f>
        <v>A5123128957</v>
      </c>
      <c r="D922" s="3">
        <f>IFERROR(__xludf.DUMMYFUNCTION("""COMPUTED_VALUE"""),74.0)</f>
        <v>74</v>
      </c>
      <c r="E922" s="1"/>
    </row>
    <row r="923">
      <c r="A923" s="1"/>
      <c r="B923" s="3" t="str">
        <f>IFERROR(__xludf.DUMMYFUNCTION("""COMPUTED_VALUE"""),"MARIUS WEISANG")</f>
        <v>MARIUS WEISANG</v>
      </c>
      <c r="C923" s="3" t="str">
        <f>IFERROR(__xludf.DUMMYFUNCTION("""COMPUTED_VALUE"""),"M9923129597")</f>
        <v>M9923129597</v>
      </c>
      <c r="D923" s="3">
        <f>IFERROR(__xludf.DUMMYFUNCTION("""COMPUTED_VALUE"""),26.0)</f>
        <v>26</v>
      </c>
      <c r="E923" s="1"/>
    </row>
    <row r="924">
      <c r="A924" s="1"/>
      <c r="B924" s="3" t="str">
        <f>IFERROR(__xludf.DUMMYFUNCTION("""COMPUTED_VALUE"""),"AQIL HAIRUL WAFA")</f>
        <v>AQIL HAIRUL WAFA</v>
      </c>
      <c r="C924" s="3" t="str">
        <f>IFERROR(__xludf.DUMMYFUNCTION("""COMPUTED_VALUE"""),"A9923121945")</f>
        <v>A9923121945</v>
      </c>
      <c r="D924" s="3">
        <f>IFERROR(__xludf.DUMMYFUNCTION("""COMPUTED_VALUE"""),26.0)</f>
        <v>26</v>
      </c>
      <c r="E924" s="1"/>
    </row>
    <row r="925">
      <c r="A925" s="1"/>
      <c r="B925" s="3" t="str">
        <f>IFERROR(__xludf.DUMMYFUNCTION("""COMPUTED_VALUE"""),"MUHAMMAD IQBAL YURAYAMA")</f>
        <v>MUHAMMAD IQBAL YURAYAMA</v>
      </c>
      <c r="C925" s="3" t="str">
        <f>IFERROR(__xludf.DUMMYFUNCTION("""COMPUTED_VALUE"""),"M9923125209")</f>
        <v>M9923125209</v>
      </c>
      <c r="D925" s="3">
        <f>IFERROR(__xludf.DUMMYFUNCTION("""COMPUTED_VALUE"""),26.0)</f>
        <v>26</v>
      </c>
      <c r="E925" s="1"/>
    </row>
    <row r="926">
      <c r="A926" s="1"/>
      <c r="B926" s="3" t="str">
        <f>IFERROR(__xludf.DUMMYFUNCTION("""COMPUTED_VALUE"""),"HENDRA SANTOSO")</f>
        <v>HENDRA SANTOSO</v>
      </c>
      <c r="C926" s="3" t="str">
        <f>IFERROR(__xludf.DUMMYFUNCTION("""COMPUTED_VALUE"""),"H9223126709")</f>
        <v>H9223126709</v>
      </c>
      <c r="D926" s="3">
        <f>IFERROR(__xludf.DUMMYFUNCTION("""COMPUTED_VALUE"""),33.0)</f>
        <v>33</v>
      </c>
      <c r="E926" s="1"/>
    </row>
    <row r="927">
      <c r="A927" s="1"/>
      <c r="B927" s="3" t="str">
        <f>IFERROR(__xludf.DUMMYFUNCTION("""COMPUTED_VALUE"""),"HELMI NOVIANSYAH")</f>
        <v>HELMI NOVIANSYAH</v>
      </c>
      <c r="C927" s="3" t="str">
        <f>IFERROR(__xludf.DUMMYFUNCTION("""COMPUTED_VALUE"""),"H8223121823")</f>
        <v>H8223121823</v>
      </c>
      <c r="D927" s="3">
        <f>IFERROR(__xludf.DUMMYFUNCTION("""COMPUTED_VALUE"""),43.0)</f>
        <v>43</v>
      </c>
      <c r="E927" s="1"/>
    </row>
    <row r="928">
      <c r="A928" s="1"/>
      <c r="B928" s="3" t="str">
        <f>IFERROR(__xludf.DUMMYFUNCTION("""COMPUTED_VALUE"""),"KUI HUANG")</f>
        <v>KUI HUANG</v>
      </c>
      <c r="C928" s="3" t="str">
        <f>IFERROR(__xludf.DUMMYFUNCTION("""COMPUTED_VALUE"""),"K7723128784")</f>
        <v>K7723128784</v>
      </c>
      <c r="D928" s="3">
        <f>IFERROR(__xludf.DUMMYFUNCTION("""COMPUTED_VALUE"""),48.0)</f>
        <v>48</v>
      </c>
      <c r="E928" s="1"/>
    </row>
    <row r="929">
      <c r="A929" s="1"/>
      <c r="B929" s="3" t="str">
        <f>IFERROR(__xludf.DUMMYFUNCTION("""COMPUTED_VALUE"""),"NETTY SORTARIAMA SINAGA")</f>
        <v>NETTY SORTARIAMA SINAGA</v>
      </c>
      <c r="C929" s="3" t="str">
        <f>IFERROR(__xludf.DUMMYFUNCTION("""COMPUTED_VALUE"""),"N7923128940")</f>
        <v>N7923128940</v>
      </c>
      <c r="D929" s="3">
        <f>IFERROR(__xludf.DUMMYFUNCTION("""COMPUTED_VALUE"""),47.0)</f>
        <v>47</v>
      </c>
      <c r="E929" s="1"/>
    </row>
    <row r="930">
      <c r="A930" s="1"/>
      <c r="B930" s="3" t="str">
        <f>IFERROR(__xludf.DUMMYFUNCTION("""COMPUTED_VALUE"""),"CINDY PATRIA")</f>
        <v>CINDY PATRIA</v>
      </c>
      <c r="C930" s="3" t="str">
        <f>IFERROR(__xludf.DUMMYFUNCTION("""COMPUTED_VALUE"""),"C9623123321")</f>
        <v>C9623123321</v>
      </c>
      <c r="D930" s="3">
        <f>IFERROR(__xludf.DUMMYFUNCTION("""COMPUTED_VALUE"""),29.0)</f>
        <v>29</v>
      </c>
      <c r="E930" s="1"/>
    </row>
    <row r="931">
      <c r="A931" s="1"/>
      <c r="B931" s="3" t="str">
        <f>IFERROR(__xludf.DUMMYFUNCTION("""COMPUTED_VALUE"""),"FENY FEBRIANI")</f>
        <v>FENY FEBRIANI</v>
      </c>
      <c r="C931" s="3" t="str">
        <f>IFERROR(__xludf.DUMMYFUNCTION("""COMPUTED_VALUE"""),"F8623128719")</f>
        <v>F8623128719</v>
      </c>
      <c r="D931" s="3">
        <f>IFERROR(__xludf.DUMMYFUNCTION("""COMPUTED_VALUE"""),40.0)</f>
        <v>40</v>
      </c>
      <c r="E931" s="1"/>
    </row>
    <row r="932">
      <c r="A932" s="1"/>
      <c r="B932" s="3" t="str">
        <f>IFERROR(__xludf.DUMMYFUNCTION("""COMPUTED_VALUE"""),"PUTRI DEAR NOVRANDA")</f>
        <v>PUTRI DEAR NOVRANDA</v>
      </c>
      <c r="C932" s="3" t="str">
        <f>IFERROR(__xludf.DUMMYFUNCTION("""COMPUTED_VALUE"""),"P9323122390")</f>
        <v>P9323122390</v>
      </c>
      <c r="D932" s="3">
        <f>IFERROR(__xludf.DUMMYFUNCTION("""COMPUTED_VALUE"""),32.0)</f>
        <v>32</v>
      </c>
      <c r="E932" s="1"/>
    </row>
    <row r="933">
      <c r="A933" s="1"/>
      <c r="B933" s="3" t="str">
        <f>IFERROR(__xludf.DUMMYFUNCTION("""COMPUTED_VALUE"""),"RIDWANSYAH")</f>
        <v>RIDWANSYAH</v>
      </c>
      <c r="C933" s="3" t="str">
        <f>IFERROR(__xludf.DUMMYFUNCTION("""COMPUTED_VALUE"""),"R9023125191")</f>
        <v>R9023125191</v>
      </c>
      <c r="D933" s="3">
        <f>IFERROR(__xludf.DUMMYFUNCTION("""COMPUTED_VALUE"""),35.0)</f>
        <v>35</v>
      </c>
      <c r="E933" s="1"/>
    </row>
    <row r="934">
      <c r="A934" s="1"/>
      <c r="B934" s="3" t="str">
        <f>IFERROR(__xludf.DUMMYFUNCTION("""COMPUTED_VALUE"""),"SOFIATY")</f>
        <v>SOFIATY</v>
      </c>
      <c r="C934" s="3" t="str">
        <f>IFERROR(__xludf.DUMMYFUNCTION("""COMPUTED_VALUE"""),"S5223124128")</f>
        <v>S5223124128</v>
      </c>
      <c r="D934" s="3">
        <f>IFERROR(__xludf.DUMMYFUNCTION("""COMPUTED_VALUE"""),74.0)</f>
        <v>74</v>
      </c>
      <c r="E934" s="1"/>
    </row>
    <row r="935">
      <c r="A935" s="1"/>
      <c r="B935" s="3" t="str">
        <f>IFERROR(__xludf.DUMMYFUNCTION("""COMPUTED_VALUE"""),"EMBUN LESTARI")</f>
        <v>EMBUN LESTARI</v>
      </c>
      <c r="C935" s="3" t="str">
        <f>IFERROR(__xludf.DUMMYFUNCTION("""COMPUTED_VALUE"""),"E6523124805")</f>
        <v>E6523124805</v>
      </c>
      <c r="D935" s="3">
        <f>IFERROR(__xludf.DUMMYFUNCTION("""COMPUTED_VALUE"""),61.0)</f>
        <v>61</v>
      </c>
      <c r="E935" s="1"/>
    </row>
    <row r="936">
      <c r="A936" s="1"/>
      <c r="B936" s="3" t="str">
        <f>IFERROR(__xludf.DUMMYFUNCTION("""COMPUTED_VALUE"""),"HJ. RUKMINI")</f>
        <v>HJ. RUKMINI</v>
      </c>
      <c r="C936" s="3" t="str">
        <f>IFERROR(__xludf.DUMMYFUNCTION("""COMPUTED_VALUE"""),"H5323129392")</f>
        <v>H5323129392</v>
      </c>
      <c r="D936" s="3">
        <f>IFERROR(__xludf.DUMMYFUNCTION("""COMPUTED_VALUE"""),72.0)</f>
        <v>72</v>
      </c>
      <c r="E936" s="1"/>
    </row>
    <row r="937">
      <c r="A937" s="1"/>
      <c r="B937" s="3" t="str">
        <f>IFERROR(__xludf.DUMMYFUNCTION("""COMPUTED_VALUE"""),"HIKMAH NURZAMAN")</f>
        <v>HIKMAH NURZAMAN</v>
      </c>
      <c r="C937" s="3" t="str">
        <f>IFERROR(__xludf.DUMMYFUNCTION("""COMPUTED_VALUE"""),"H9423120075")</f>
        <v>H9423120075</v>
      </c>
      <c r="D937" s="3">
        <f>IFERROR(__xludf.DUMMYFUNCTION("""COMPUTED_VALUE"""),31.0)</f>
        <v>31</v>
      </c>
      <c r="E937" s="1"/>
    </row>
    <row r="938">
      <c r="A938" s="1"/>
      <c r="B938" s="3" t="str">
        <f>IFERROR(__xludf.DUMMYFUNCTION("""COMPUTED_VALUE"""),"JOSHUA LIM")</f>
        <v>JOSHUA LIM</v>
      </c>
      <c r="C938" s="3" t="str">
        <f>IFERROR(__xludf.DUMMYFUNCTION("""COMPUTED_VALUE"""),"J1023124979")</f>
        <v>J1023124979</v>
      </c>
      <c r="D938" s="3">
        <f>IFERROR(__xludf.DUMMYFUNCTION("""COMPUTED_VALUE"""),16.0)</f>
        <v>16</v>
      </c>
      <c r="E938" s="1"/>
    </row>
    <row r="939">
      <c r="A939" s="1"/>
      <c r="B939" s="3" t="str">
        <f>IFERROR(__xludf.DUMMYFUNCTION("""COMPUTED_VALUE"""),"A. RUKIP")</f>
        <v>A. RUKIP</v>
      </c>
      <c r="C939" s="3" t="str">
        <f>IFERROR(__xludf.DUMMYFUNCTION("""COMPUTED_VALUE"""),"A6823125782")</f>
        <v>A6823125782</v>
      </c>
      <c r="D939" s="3">
        <f>IFERROR(__xludf.DUMMYFUNCTION("""COMPUTED_VALUE"""),57.0)</f>
        <v>57</v>
      </c>
      <c r="E939" s="1"/>
    </row>
    <row r="940">
      <c r="A940" s="1"/>
      <c r="B940" s="3" t="str">
        <f>IFERROR(__xludf.DUMMYFUNCTION("""COMPUTED_VALUE"""),"TRI HASTUTI")</f>
        <v>TRI HASTUTI</v>
      </c>
      <c r="C940" s="3" t="str">
        <f>IFERROR(__xludf.DUMMYFUNCTION("""COMPUTED_VALUE"""),"T7223120125")</f>
        <v>T7223120125</v>
      </c>
      <c r="D940" s="3">
        <f>IFERROR(__xludf.DUMMYFUNCTION("""COMPUTED_VALUE"""),53.0)</f>
        <v>53</v>
      </c>
      <c r="E940" s="1"/>
    </row>
    <row r="941">
      <c r="A941" s="1"/>
      <c r="B941" s="3" t="str">
        <f>IFERROR(__xludf.DUMMYFUNCTION("""COMPUTED_VALUE"""),"RIKZA FAHDEPI")</f>
        <v>RIKZA FAHDEPI</v>
      </c>
      <c r="C941" s="3" t="str">
        <f>IFERROR(__xludf.DUMMYFUNCTION("""COMPUTED_VALUE"""),"R8423120008")</f>
        <v>R8423120008</v>
      </c>
      <c r="D941" s="3">
        <f>IFERROR(__xludf.DUMMYFUNCTION("""COMPUTED_VALUE"""),42.0)</f>
        <v>42</v>
      </c>
      <c r="E941" s="1"/>
    </row>
    <row r="942">
      <c r="A942" s="1"/>
      <c r="B942" s="3" t="str">
        <f>IFERROR(__xludf.DUMMYFUNCTION("""COMPUTED_VALUE"""),"RIZAL KURNIADI")</f>
        <v>RIZAL KURNIADI</v>
      </c>
      <c r="C942" s="3" t="str">
        <f>IFERROR(__xludf.DUMMYFUNCTION("""COMPUTED_VALUE"""),"R0223120902")</f>
        <v>R0223120902</v>
      </c>
      <c r="D942" s="3">
        <f>IFERROR(__xludf.DUMMYFUNCTION("""COMPUTED_VALUE"""),23.0)</f>
        <v>23</v>
      </c>
      <c r="E942" s="1"/>
    </row>
    <row r="943">
      <c r="A943" s="1"/>
      <c r="B943" s="3" t="str">
        <f>IFERROR(__xludf.DUMMYFUNCTION("""COMPUTED_VALUE"""),"ARYUN RIFQI BAIQUNI")</f>
        <v>ARYUN RIFQI BAIQUNI</v>
      </c>
      <c r="C943" s="3" t="str">
        <f>IFERROR(__xludf.DUMMYFUNCTION("""COMPUTED_VALUE"""),"A9223127522")</f>
        <v>A9223127522</v>
      </c>
      <c r="D943" s="3">
        <f>IFERROR(__xludf.DUMMYFUNCTION("""COMPUTED_VALUE"""),34.0)</f>
        <v>34</v>
      </c>
      <c r="E943" s="1"/>
    </row>
    <row r="944">
      <c r="A944" s="1"/>
      <c r="B944" s="3" t="str">
        <f>IFERROR(__xludf.DUMMYFUNCTION("""COMPUTED_VALUE"""),"RAJIDIN")</f>
        <v>RAJIDIN</v>
      </c>
      <c r="C944" s="3" t="str">
        <f>IFERROR(__xludf.DUMMYFUNCTION("""COMPUTED_VALUE"""),"R8723125757")</f>
        <v>R8723125757</v>
      </c>
      <c r="D944" s="3">
        <f>IFERROR(__xludf.DUMMYFUNCTION("""COMPUTED_VALUE"""),39.0)</f>
        <v>39</v>
      </c>
      <c r="E944" s="1"/>
    </row>
    <row r="945">
      <c r="A945" s="1"/>
      <c r="B945" s="3" t="str">
        <f>IFERROR(__xludf.DUMMYFUNCTION("""COMPUTED_VALUE"""),"BUDI HARIANSYAH")</f>
        <v>BUDI HARIANSYAH</v>
      </c>
      <c r="C945" s="3" t="str">
        <f>IFERROR(__xludf.DUMMYFUNCTION("""COMPUTED_VALUE"""),"B0623125223")</f>
        <v>B0623125223</v>
      </c>
      <c r="D945" s="3">
        <f>IFERROR(__xludf.DUMMYFUNCTION("""COMPUTED_VALUE"""),19.0)</f>
        <v>19</v>
      </c>
      <c r="E945" s="1"/>
    </row>
    <row r="946">
      <c r="A946" s="1"/>
      <c r="B946" s="3" t="str">
        <f>IFERROR(__xludf.DUMMYFUNCTION("""COMPUTED_VALUE"""),"DIMAS IRSANDO PUTRA")</f>
        <v>DIMAS IRSANDO PUTRA</v>
      </c>
      <c r="C946" s="3" t="str">
        <f>IFERROR(__xludf.DUMMYFUNCTION("""COMPUTED_VALUE"""),"D9323120351")</f>
        <v>D9323120351</v>
      </c>
      <c r="D946" s="3">
        <f>IFERROR(__xludf.DUMMYFUNCTION("""COMPUTED_VALUE"""),33.0)</f>
        <v>33</v>
      </c>
      <c r="E946" s="1"/>
    </row>
    <row r="947">
      <c r="A947" s="1"/>
      <c r="B947" s="3" t="str">
        <f>IFERROR(__xludf.DUMMYFUNCTION("""COMPUTED_VALUE"""),"AKHMAD JOKO TETUKO")</f>
        <v>AKHMAD JOKO TETUKO</v>
      </c>
      <c r="C947" s="3" t="str">
        <f>IFERROR(__xludf.DUMMYFUNCTION("""COMPUTED_VALUE"""),"A8523129790")</f>
        <v>A8523129790</v>
      </c>
      <c r="D947" s="3">
        <f>IFERROR(__xludf.DUMMYFUNCTION("""COMPUTED_VALUE"""),40.0)</f>
        <v>40</v>
      </c>
      <c r="E947" s="1"/>
    </row>
    <row r="948">
      <c r="A948" s="1"/>
      <c r="B948" s="3" t="str">
        <f>IFERROR(__xludf.DUMMYFUNCTION("""COMPUTED_VALUE"""),"DARA APRILA YUSLYANI")</f>
        <v>DARA APRILA YUSLYANI</v>
      </c>
      <c r="C948" s="3" t="str">
        <f>IFERROR(__xludf.DUMMYFUNCTION("""COMPUTED_VALUE"""),"D9523123678")</f>
        <v>D9523123678</v>
      </c>
      <c r="D948" s="3">
        <f>IFERROR(__xludf.DUMMYFUNCTION("""COMPUTED_VALUE"""),31.0)</f>
        <v>31</v>
      </c>
      <c r="E948" s="1"/>
    </row>
    <row r="949">
      <c r="A949" s="1"/>
      <c r="B949" s="3" t="str">
        <f>IFERROR(__xludf.DUMMYFUNCTION("""COMPUTED_VALUE"""),"WELSI NINDYA SARI")</f>
        <v>WELSI NINDYA SARI</v>
      </c>
      <c r="C949" s="3" t="str">
        <f>IFERROR(__xludf.DUMMYFUNCTION("""COMPUTED_VALUE"""),"W8523128786")</f>
        <v>W8523128786</v>
      </c>
      <c r="D949" s="3">
        <f>IFERROR(__xludf.DUMMYFUNCTION("""COMPUTED_VALUE"""),41.0)</f>
        <v>41</v>
      </c>
      <c r="E949" s="1"/>
    </row>
    <row r="950">
      <c r="A950" s="1"/>
      <c r="B950" s="3" t="str">
        <f>IFERROR(__xludf.DUMMYFUNCTION("""COMPUTED_VALUE"""),"RICO RUSNANTO")</f>
        <v>RICO RUSNANTO</v>
      </c>
      <c r="C950" s="3" t="str">
        <f>IFERROR(__xludf.DUMMYFUNCTION("""COMPUTED_VALUE"""),"R0223124035")</f>
        <v>R0223124035</v>
      </c>
      <c r="D950" s="3">
        <f>IFERROR(__xludf.DUMMYFUNCTION("""COMPUTED_VALUE"""),24.0)</f>
        <v>24</v>
      </c>
      <c r="E950" s="1"/>
    </row>
    <row r="951">
      <c r="A951" s="1"/>
      <c r="B951" s="3" t="str">
        <f>IFERROR(__xludf.DUMMYFUNCTION("""COMPUTED_VALUE"""),"ESTA BRONI PRABOWO")</f>
        <v>ESTA BRONI PRABOWO</v>
      </c>
      <c r="C951" s="3" t="str">
        <f>IFERROR(__xludf.DUMMYFUNCTION("""COMPUTED_VALUE"""),"E9223125131")</f>
        <v>E9223125131</v>
      </c>
      <c r="D951" s="3">
        <f>IFERROR(__xludf.DUMMYFUNCTION("""COMPUTED_VALUE"""),34.0)</f>
        <v>34</v>
      </c>
      <c r="E951" s="1"/>
    </row>
    <row r="952">
      <c r="A952" s="1"/>
      <c r="B952" s="3" t="str">
        <f>IFERROR(__xludf.DUMMYFUNCTION("""COMPUTED_VALUE"""),"DAMASUS EKODIMUS")</f>
        <v>DAMASUS EKODIMUS</v>
      </c>
      <c r="C952" s="3" t="str">
        <f>IFERROR(__xludf.DUMMYFUNCTION("""COMPUTED_VALUE"""),"D8423121991")</f>
        <v>D8423121991</v>
      </c>
      <c r="D952" s="3">
        <f>IFERROR(__xludf.DUMMYFUNCTION("""COMPUTED_VALUE"""),41.0)</f>
        <v>41</v>
      </c>
      <c r="E952" s="1"/>
    </row>
    <row r="953">
      <c r="A953" s="1"/>
      <c r="B953" s="3" t="str">
        <f>IFERROR(__xludf.DUMMYFUNCTION("""COMPUTED_VALUE"""),"RAFLY KURNIAWAN")</f>
        <v>RAFLY KURNIAWAN</v>
      </c>
      <c r="C953" s="3" t="str">
        <f>IFERROR(__xludf.DUMMYFUNCTION("""COMPUTED_VALUE"""),"R9923120023")</f>
        <v>R9923120023</v>
      </c>
      <c r="D953" s="3">
        <f>IFERROR(__xludf.DUMMYFUNCTION("""COMPUTED_VALUE"""),26.0)</f>
        <v>26</v>
      </c>
      <c r="E953" s="1"/>
    </row>
    <row r="954">
      <c r="A954" s="1"/>
      <c r="B954" s="3" t="str">
        <f>IFERROR(__xludf.DUMMYFUNCTION("""COMPUTED_VALUE"""),"NARIAH HATIMAH")</f>
        <v>NARIAH HATIMAH</v>
      </c>
      <c r="C954" s="3" t="str">
        <f>IFERROR(__xludf.DUMMYFUNCTION("""COMPUTED_VALUE"""),"N0423127623")</f>
        <v>N0423127623</v>
      </c>
      <c r="D954" s="3">
        <f>IFERROR(__xludf.DUMMYFUNCTION("""COMPUTED_VALUE"""),21.0)</f>
        <v>21</v>
      </c>
      <c r="E954" s="1"/>
    </row>
    <row r="955">
      <c r="A955" s="1"/>
      <c r="B955" s="3" t="str">
        <f>IFERROR(__xludf.DUMMYFUNCTION("""COMPUTED_VALUE"""),"WIRNANDA GIFARY")</f>
        <v>WIRNANDA GIFARY</v>
      </c>
      <c r="C955" s="3" t="str">
        <f>IFERROR(__xludf.DUMMYFUNCTION("""COMPUTED_VALUE"""),"W0023128487")</f>
        <v>W0023128487</v>
      </c>
      <c r="D955" s="3">
        <f>IFERROR(__xludf.DUMMYFUNCTION("""COMPUTED_VALUE"""),25.0)</f>
        <v>25</v>
      </c>
      <c r="E955" s="1"/>
    </row>
    <row r="956">
      <c r="A956" s="1"/>
      <c r="B956" s="3" t="str">
        <f>IFERROR(__xludf.DUMMYFUNCTION("""COMPUTED_VALUE"""),"MUHAMMAD SUCLA AL AQSHA RAMADHAN")</f>
        <v>MUHAMMAD SUCLA AL AQSHA RAMADHAN</v>
      </c>
      <c r="C956" s="3" t="str">
        <f>IFERROR(__xludf.DUMMYFUNCTION("""COMPUTED_VALUE"""),"M1423126668")</f>
        <v>M1423126668</v>
      </c>
      <c r="D956" s="3">
        <f>IFERROR(__xludf.DUMMYFUNCTION("""COMPUTED_VALUE"""),11.0)</f>
        <v>11</v>
      </c>
      <c r="E956" s="1"/>
    </row>
    <row r="957">
      <c r="A957" s="1"/>
      <c r="B957" s="3" t="str">
        <f>IFERROR(__xludf.DUMMYFUNCTION("""COMPUTED_VALUE"""),"MULYANSYAH")</f>
        <v>MULYANSYAH</v>
      </c>
      <c r="C957" s="3" t="str">
        <f>IFERROR(__xludf.DUMMYFUNCTION("""COMPUTED_VALUE"""),"M6523120099")</f>
        <v>M6523120099</v>
      </c>
      <c r="D957" s="3">
        <f>IFERROR(__xludf.DUMMYFUNCTION("""COMPUTED_VALUE"""),60.0)</f>
        <v>60</v>
      </c>
      <c r="E957" s="1"/>
    </row>
    <row r="958">
      <c r="A958" s="1"/>
      <c r="B958" s="3" t="str">
        <f>IFERROR(__xludf.DUMMYFUNCTION("""COMPUTED_VALUE"""),"RIZAL BAHRIL HUDA")</f>
        <v>RIZAL BAHRIL HUDA</v>
      </c>
      <c r="C958" s="3" t="str">
        <f>IFERROR(__xludf.DUMMYFUNCTION("""COMPUTED_VALUE"""),"R9123121333")</f>
        <v>R9123121333</v>
      </c>
      <c r="D958" s="3">
        <f>IFERROR(__xludf.DUMMYFUNCTION("""COMPUTED_VALUE"""),35.0)</f>
        <v>35</v>
      </c>
      <c r="E958" s="1"/>
    </row>
    <row r="959">
      <c r="A959" s="1"/>
      <c r="B959" s="3" t="str">
        <f>IFERROR(__xludf.DUMMYFUNCTION("""COMPUTED_VALUE"""),"PETRUS")</f>
        <v>PETRUS</v>
      </c>
      <c r="C959" s="3" t="str">
        <f>IFERROR(__xludf.DUMMYFUNCTION("""COMPUTED_VALUE"""),"P0123123241")</f>
        <v>P0123123241</v>
      </c>
      <c r="D959" s="3">
        <f>IFERROR(__xludf.DUMMYFUNCTION("""COMPUTED_VALUE"""),24.0)</f>
        <v>24</v>
      </c>
      <c r="E959" s="1"/>
    </row>
    <row r="960">
      <c r="A960" s="1"/>
      <c r="B960" s="3" t="str">
        <f>IFERROR(__xludf.DUMMYFUNCTION("""COMPUTED_VALUE"""),"PATMAWATI 7611")</f>
        <v>PATMAWATI 7611</v>
      </c>
      <c r="C960" s="3" t="str">
        <f>IFERROR(__xludf.DUMMYFUNCTION("""COMPUTED_VALUE"""),"P7623126323")</f>
        <v>P7623126323</v>
      </c>
      <c r="D960" s="3">
        <f>IFERROR(__xludf.DUMMYFUNCTION("""COMPUTED_VALUE"""),49.0)</f>
        <v>49</v>
      </c>
      <c r="E960" s="1"/>
    </row>
    <row r="961">
      <c r="A961" s="1"/>
      <c r="B961" s="3" t="str">
        <f>IFERROR(__xludf.DUMMYFUNCTION("""COMPUTED_VALUE"""),"YUDHA SUTANTO")</f>
        <v>YUDHA SUTANTO</v>
      </c>
      <c r="C961" s="3" t="str">
        <f>IFERROR(__xludf.DUMMYFUNCTION("""COMPUTED_VALUE"""),"Y8723124569")</f>
        <v>Y8723124569</v>
      </c>
      <c r="D961" s="3">
        <f>IFERROR(__xludf.DUMMYFUNCTION("""COMPUTED_VALUE"""),39.0)</f>
        <v>39</v>
      </c>
      <c r="E961" s="1"/>
    </row>
    <row r="962">
      <c r="A962" s="1"/>
      <c r="B962" s="3" t="str">
        <f>IFERROR(__xludf.DUMMYFUNCTION("""COMPUTED_VALUE"""),"SYARIF ISKANDAR ALKADRI")</f>
        <v>SYARIF ISKANDAR ALKADRI</v>
      </c>
      <c r="C962" s="3" t="str">
        <f>IFERROR(__xludf.DUMMYFUNCTION("""COMPUTED_VALUE"""),"S7723128949")</f>
        <v>S7723128949</v>
      </c>
      <c r="D962" s="3">
        <f>IFERROR(__xludf.DUMMYFUNCTION("""COMPUTED_VALUE"""),48.0)</f>
        <v>48</v>
      </c>
      <c r="E962" s="1"/>
    </row>
    <row r="963">
      <c r="A963" s="1"/>
      <c r="B963" s="3" t="str">
        <f>IFERROR(__xludf.DUMMYFUNCTION("""COMPUTED_VALUE"""),"PUHENDY JOHAR")</f>
        <v>PUHENDY JOHAR</v>
      </c>
      <c r="C963" s="3" t="str">
        <f>IFERROR(__xludf.DUMMYFUNCTION("""COMPUTED_VALUE"""),"P9423123600")</f>
        <v>P9423123600</v>
      </c>
      <c r="D963" s="3">
        <f>IFERROR(__xludf.DUMMYFUNCTION("""COMPUTED_VALUE"""),32.0)</f>
        <v>32</v>
      </c>
      <c r="E963" s="1"/>
    </row>
    <row r="964">
      <c r="A964" s="1"/>
      <c r="B964" s="3" t="str">
        <f>IFERROR(__xludf.DUMMYFUNCTION("""COMPUTED_VALUE"""),"MULVI M. YAZID NAUFALI")</f>
        <v>MULVI M. YAZID NAUFALI</v>
      </c>
      <c r="C964" s="3" t="str">
        <f>IFERROR(__xludf.DUMMYFUNCTION("""COMPUTED_VALUE"""),"M0623127441")</f>
        <v>M0623127441</v>
      </c>
      <c r="D964" s="3">
        <f>IFERROR(__xludf.DUMMYFUNCTION("""COMPUTED_VALUE"""),19.0)</f>
        <v>19</v>
      </c>
      <c r="E964" s="1"/>
    </row>
    <row r="965">
      <c r="A965" s="1"/>
      <c r="B965" s="3" t="str">
        <f>IFERROR(__xludf.DUMMYFUNCTION("""COMPUTED_VALUE"""),"TAMMAMIL AZZAM")</f>
        <v>TAMMAMIL AZZAM</v>
      </c>
      <c r="C965" s="3" t="str">
        <f>IFERROR(__xludf.DUMMYFUNCTION("""COMPUTED_VALUE"""),"T1223126303")</f>
        <v>T1223126303</v>
      </c>
      <c r="D965" s="3">
        <f>IFERROR(__xludf.DUMMYFUNCTION("""COMPUTED_VALUE"""),14.0)</f>
        <v>14</v>
      </c>
      <c r="E965" s="1"/>
    </row>
    <row r="966">
      <c r="A966" s="1"/>
      <c r="B966" s="3" t="str">
        <f>IFERROR(__xludf.DUMMYFUNCTION("""COMPUTED_VALUE"""),"PUJI KURNIAWAN")</f>
        <v>PUJI KURNIAWAN</v>
      </c>
      <c r="C966" s="3" t="str">
        <f>IFERROR(__xludf.DUMMYFUNCTION("""COMPUTED_VALUE"""),"P8623128878")</f>
        <v>P8623128878</v>
      </c>
      <c r="D966" s="3">
        <f>IFERROR(__xludf.DUMMYFUNCTION("""COMPUTED_VALUE"""),39.0)</f>
        <v>39</v>
      </c>
      <c r="E966" s="1"/>
    </row>
    <row r="967">
      <c r="A967" s="1"/>
      <c r="B967" s="3" t="str">
        <f>IFERROR(__xludf.DUMMYFUNCTION("""COMPUTED_VALUE"""),"JULIAR FANTARA")</f>
        <v>JULIAR FANTARA</v>
      </c>
      <c r="C967" s="3" t="str">
        <f>IFERROR(__xludf.DUMMYFUNCTION("""COMPUTED_VALUE"""),"J9323122443")</f>
        <v>J9323122443</v>
      </c>
      <c r="D967" s="3">
        <f>IFERROR(__xludf.DUMMYFUNCTION("""COMPUTED_VALUE"""),32.0)</f>
        <v>32</v>
      </c>
      <c r="E967" s="1"/>
    </row>
    <row r="968">
      <c r="A968" s="1"/>
      <c r="B968" s="3" t="str">
        <f>IFERROR(__xludf.DUMMYFUNCTION("""COMPUTED_VALUE"""),"INTAN DAVITRI")</f>
        <v>INTAN DAVITRI</v>
      </c>
      <c r="C968" s="3" t="str">
        <f>IFERROR(__xludf.DUMMYFUNCTION("""COMPUTED_VALUE"""),"I9623128441")</f>
        <v>I9623128441</v>
      </c>
      <c r="D968" s="3">
        <f>IFERROR(__xludf.DUMMYFUNCTION("""COMPUTED_VALUE"""),29.0)</f>
        <v>29</v>
      </c>
      <c r="E968" s="1"/>
    </row>
    <row r="969">
      <c r="A969" s="1"/>
      <c r="B969" s="3" t="str">
        <f>IFERROR(__xludf.DUMMYFUNCTION("""COMPUTED_VALUE"""),"HILMI AKBAR ABQARY")</f>
        <v>HILMI AKBAR ABQARY</v>
      </c>
      <c r="C969" s="3" t="str">
        <f>IFERROR(__xludf.DUMMYFUNCTION("""COMPUTED_VALUE"""),"H1123121655")</f>
        <v>H1123121655</v>
      </c>
      <c r="D969" s="3">
        <f>IFERROR(__xludf.DUMMYFUNCTION("""COMPUTED_VALUE"""),15.0)</f>
        <v>15</v>
      </c>
      <c r="E969" s="1"/>
    </row>
    <row r="970">
      <c r="A970" s="1"/>
      <c r="B970" s="3" t="str">
        <f>IFERROR(__xludf.DUMMYFUNCTION("""COMPUTED_VALUE"""),"EDY SUTRISNO")</f>
        <v>EDY SUTRISNO</v>
      </c>
      <c r="C970" s="3" t="str">
        <f>IFERROR(__xludf.DUMMYFUNCTION("""COMPUTED_VALUE"""),"E7523128332")</f>
        <v>E7523128332</v>
      </c>
      <c r="D970" s="3">
        <f>IFERROR(__xludf.DUMMYFUNCTION("""COMPUTED_VALUE"""),51.0)</f>
        <v>51</v>
      </c>
      <c r="E970" s="1"/>
    </row>
    <row r="971">
      <c r="A971" s="1"/>
      <c r="B971" s="3" t="str">
        <f>IFERROR(__xludf.DUMMYFUNCTION("""COMPUTED_VALUE"""),"MICHAEL CHRISTIAN YORDAN SITORUS")</f>
        <v>MICHAEL CHRISTIAN YORDAN SITORUS</v>
      </c>
      <c r="C971" s="3" t="str">
        <f>IFERROR(__xludf.DUMMYFUNCTION("""COMPUTED_VALUE"""),"M0123128475")</f>
        <v>M0123128475</v>
      </c>
      <c r="D971" s="3">
        <f>IFERROR(__xludf.DUMMYFUNCTION("""COMPUTED_VALUE"""),24.0)</f>
        <v>24</v>
      </c>
      <c r="E971" s="1"/>
    </row>
    <row r="972">
      <c r="A972" s="1"/>
      <c r="B972" s="3" t="str">
        <f>IFERROR(__xludf.DUMMYFUNCTION("""COMPUTED_VALUE"""),"MIRZA AMINUDIN")</f>
        <v>MIRZA AMINUDIN</v>
      </c>
      <c r="C972" s="3" t="str">
        <f>IFERROR(__xludf.DUMMYFUNCTION("""COMPUTED_VALUE"""),"M9723126343")</f>
        <v>M9723126343</v>
      </c>
      <c r="D972" s="3">
        <f>IFERROR(__xludf.DUMMYFUNCTION("""COMPUTED_VALUE"""),28.0)</f>
        <v>28</v>
      </c>
      <c r="E972" s="1"/>
    </row>
    <row r="973">
      <c r="A973" s="1"/>
      <c r="B973" s="3" t="str">
        <f>IFERROR(__xludf.DUMMYFUNCTION("""COMPUTED_VALUE"""),"KEVIN ANTONIO")</f>
        <v>KEVIN ANTONIO</v>
      </c>
      <c r="C973" s="3" t="str">
        <f>IFERROR(__xludf.DUMMYFUNCTION("""COMPUTED_VALUE"""),"K9923127029")</f>
        <v>K9923127029</v>
      </c>
      <c r="D973" s="3">
        <f>IFERROR(__xludf.DUMMYFUNCTION("""COMPUTED_VALUE"""),26.0)</f>
        <v>26</v>
      </c>
      <c r="E973" s="1"/>
    </row>
    <row r="974">
      <c r="A974" s="1"/>
      <c r="B974" s="3" t="str">
        <f>IFERROR(__xludf.DUMMYFUNCTION("""COMPUTED_VALUE"""),"YOGA SYAMSUDIN")</f>
        <v>YOGA SYAMSUDIN</v>
      </c>
      <c r="C974" s="3" t="str">
        <f>IFERROR(__xludf.DUMMYFUNCTION("""COMPUTED_VALUE"""),"Y7923123208")</f>
        <v>Y7923123208</v>
      </c>
      <c r="D974" s="3">
        <f>IFERROR(__xludf.DUMMYFUNCTION("""COMPUTED_VALUE"""),46.0)</f>
        <v>46</v>
      </c>
      <c r="E974" s="1"/>
    </row>
    <row r="975">
      <c r="A975" s="1"/>
      <c r="B975" s="3" t="str">
        <f>IFERROR(__xludf.DUMMYFUNCTION("""COMPUTED_VALUE"""),"BARI ABIYU ATHAILLAH")</f>
        <v>BARI ABIYU ATHAILLAH</v>
      </c>
      <c r="C975" s="3" t="str">
        <f>IFERROR(__xludf.DUMMYFUNCTION("""COMPUTED_VALUE"""),"B1223123307")</f>
        <v>B1223123307</v>
      </c>
      <c r="D975" s="3">
        <f>IFERROR(__xludf.DUMMYFUNCTION("""COMPUTED_VALUE"""),14.0)</f>
        <v>14</v>
      </c>
      <c r="E975" s="1"/>
    </row>
    <row r="976">
      <c r="A976" s="1"/>
      <c r="B976" s="3" t="str">
        <f>IFERROR(__xludf.DUMMYFUNCTION("""COMPUTED_VALUE"""),"WANG LIANG TJHENG")</f>
        <v>WANG LIANG TJHENG</v>
      </c>
      <c r="C976" s="3" t="str">
        <f>IFERROR(__xludf.DUMMYFUNCTION("""COMPUTED_VALUE"""),"W542312")</f>
        <v>W542312</v>
      </c>
      <c r="D976" s="3">
        <f>IFERROR(__xludf.DUMMYFUNCTION("""COMPUTED_VALUE"""),71.0)</f>
        <v>71</v>
      </c>
      <c r="E976" s="1"/>
    </row>
    <row r="977">
      <c r="A977" s="1"/>
      <c r="B977" s="3" t="str">
        <f>IFERROR(__xludf.DUMMYFUNCTION("""COMPUTED_VALUE"""),"SUPRIADI")</f>
        <v>SUPRIADI</v>
      </c>
      <c r="C977" s="3" t="str">
        <f>IFERROR(__xludf.DUMMYFUNCTION("""COMPUTED_VALUE"""),"S6923122877")</f>
        <v>S6923122877</v>
      </c>
      <c r="D977" s="3">
        <f>IFERROR(__xludf.DUMMYFUNCTION("""COMPUTED_VALUE"""),56.0)</f>
        <v>56</v>
      </c>
      <c r="E977" s="1"/>
    </row>
    <row r="978">
      <c r="A978" s="1"/>
      <c r="B978" s="3" t="str">
        <f>IFERROR(__xludf.DUMMYFUNCTION("""COMPUTED_VALUE"""),"YUSDI RAHMAT")</f>
        <v>YUSDI RAHMAT</v>
      </c>
      <c r="C978" s="3" t="str">
        <f>IFERROR(__xludf.DUMMYFUNCTION("""COMPUTED_VALUE"""),"Y9123122338")</f>
        <v>Y9123122338</v>
      </c>
      <c r="D978" s="3">
        <f>IFERROR(__xludf.DUMMYFUNCTION("""COMPUTED_VALUE"""),35.0)</f>
        <v>35</v>
      </c>
      <c r="E978" s="1"/>
    </row>
    <row r="979">
      <c r="A979" s="1"/>
      <c r="B979" s="3" t="str">
        <f>IFERROR(__xludf.DUMMYFUNCTION("""COMPUTED_VALUE"""),"UPY FERDIANY")</f>
        <v>UPY FERDIANY</v>
      </c>
      <c r="C979" s="3" t="str">
        <f>IFERROR(__xludf.DUMMYFUNCTION("""COMPUTED_VALUE"""),"U8223123189")</f>
        <v>U8223123189</v>
      </c>
      <c r="D979" s="3">
        <f>IFERROR(__xludf.DUMMYFUNCTION("""COMPUTED_VALUE"""),44.0)</f>
        <v>44</v>
      </c>
      <c r="E979" s="1"/>
    </row>
    <row r="980">
      <c r="A980" s="1"/>
      <c r="B980" s="3" t="str">
        <f>IFERROR(__xludf.DUMMYFUNCTION("""COMPUTED_VALUE"""),"SYF TALHA")</f>
        <v>SYF TALHA</v>
      </c>
      <c r="C980" s="3" t="str">
        <f>IFERROR(__xludf.DUMMYFUNCTION("""COMPUTED_VALUE"""),"S4723129251")</f>
        <v>S4723129251</v>
      </c>
      <c r="D980" s="3">
        <f>IFERROR(__xludf.DUMMYFUNCTION("""COMPUTED_VALUE"""),1980.0)</f>
        <v>1980</v>
      </c>
      <c r="E980" s="1"/>
    </row>
    <row r="981">
      <c r="A981" s="1"/>
      <c r="B981" s="3" t="str">
        <f>IFERROR(__xludf.DUMMYFUNCTION("""COMPUTED_VALUE"""),"MUNADHIROH")</f>
        <v>MUNADHIROH</v>
      </c>
      <c r="C981" s="3" t="str">
        <f>IFERROR(__xludf.DUMMYFUNCTION("""COMPUTED_VALUE"""),"M6524013863")</f>
        <v>M6524013863</v>
      </c>
      <c r="D981" s="3">
        <f>IFERROR(__xludf.DUMMYFUNCTION("""COMPUTED_VALUE"""),60.0)</f>
        <v>60</v>
      </c>
      <c r="E981" s="1"/>
    </row>
    <row r="982">
      <c r="A982" s="1"/>
      <c r="B982" s="3" t="str">
        <f>IFERROR(__xludf.DUMMYFUNCTION("""COMPUTED_VALUE"""),"ROBI HANDIKA")</f>
        <v>ROBI HANDIKA</v>
      </c>
      <c r="C982" s="3" t="str">
        <f>IFERROR(__xludf.DUMMYFUNCTION("""COMPUTED_VALUE"""),"R9524014165")</f>
        <v>R9524014165</v>
      </c>
      <c r="D982" s="3">
        <f>IFERROR(__xludf.DUMMYFUNCTION("""COMPUTED_VALUE"""),31.0)</f>
        <v>31</v>
      </c>
      <c r="E982" s="1"/>
    </row>
    <row r="983">
      <c r="A983" s="1"/>
      <c r="B983" s="3" t="str">
        <f>IFERROR(__xludf.DUMMYFUNCTION("""COMPUTED_VALUE"""),"MUHAMMAD SYAFRUDDIN")</f>
        <v>MUHAMMAD SYAFRUDDIN</v>
      </c>
      <c r="C983" s="3" t="str">
        <f>IFERROR(__xludf.DUMMYFUNCTION("""COMPUTED_VALUE"""),"M9024014808")</f>
        <v>M9024014808</v>
      </c>
      <c r="D983" s="3">
        <f>IFERROR(__xludf.DUMMYFUNCTION("""COMPUTED_VALUE"""),35.0)</f>
        <v>35</v>
      </c>
      <c r="E983" s="1"/>
    </row>
    <row r="984">
      <c r="A984" s="1"/>
      <c r="B984" s="3" t="str">
        <f>IFERROR(__xludf.DUMMYFUNCTION("""COMPUTED_VALUE"""),"GUSTI ABDU RAHMAN")</f>
        <v>GUSTI ABDU RAHMAN</v>
      </c>
      <c r="C984" s="3" t="str">
        <f>IFERROR(__xludf.DUMMYFUNCTION("""COMPUTED_VALUE"""),"G9024018667")</f>
        <v>G9024018667</v>
      </c>
      <c r="D984" s="3">
        <f>IFERROR(__xludf.DUMMYFUNCTION("""COMPUTED_VALUE"""),36.0)</f>
        <v>36</v>
      </c>
      <c r="E984" s="1"/>
    </row>
    <row r="985">
      <c r="A985" s="1"/>
      <c r="B985" s="3" t="str">
        <f>IFERROR(__xludf.DUMMYFUNCTION("""COMPUTED_VALUE"""),"SUROSO")</f>
        <v>SUROSO</v>
      </c>
      <c r="C985" s="3" t="str">
        <f>IFERROR(__xludf.DUMMYFUNCTION("""COMPUTED_VALUE"""),"S5824014899")</f>
        <v>S5824014899</v>
      </c>
      <c r="D985" s="3">
        <f>IFERROR(__xludf.DUMMYFUNCTION("""COMPUTED_VALUE"""),67.0)</f>
        <v>67</v>
      </c>
      <c r="E985" s="1"/>
    </row>
    <row r="986">
      <c r="A986" s="1"/>
      <c r="B986" s="3" t="str">
        <f>IFERROR(__xludf.DUMMYFUNCTION("""COMPUTED_VALUE"""),"SYARIFAH RESSA HAJRIYANTIKA")</f>
        <v>SYARIFAH RESSA HAJRIYANTIKA</v>
      </c>
      <c r="C986" s="3" t="str">
        <f>IFERROR(__xludf.DUMMYFUNCTION("""COMPUTED_VALUE"""),"S8724010837")</f>
        <v>S8724010837</v>
      </c>
      <c r="D986" s="3">
        <f>IFERROR(__xludf.DUMMYFUNCTION("""COMPUTED_VALUE"""),38.0)</f>
        <v>38</v>
      </c>
      <c r="E986" s="1"/>
    </row>
    <row r="987">
      <c r="A987" s="1"/>
      <c r="B987" s="3" t="str">
        <f>IFERROR(__xludf.DUMMYFUNCTION("""COMPUTED_VALUE"""),"RIDHO ASTRIANTO")</f>
        <v>RIDHO ASTRIANTO</v>
      </c>
      <c r="C987" s="3" t="str">
        <f>IFERROR(__xludf.DUMMYFUNCTION("""COMPUTED_VALUE"""),"R9024017000")</f>
        <v>R9024017000</v>
      </c>
      <c r="D987" s="3">
        <f>IFERROR(__xludf.DUMMYFUNCTION("""COMPUTED_VALUE"""),35.0)</f>
        <v>35</v>
      </c>
      <c r="E987" s="1"/>
    </row>
    <row r="988">
      <c r="A988" s="1"/>
      <c r="B988" s="3" t="str">
        <f>IFERROR(__xludf.DUMMYFUNCTION("""COMPUTED_VALUE"""),"DICKY HARJUNA PURWACARAKA")</f>
        <v>DICKY HARJUNA PURWACARAKA</v>
      </c>
      <c r="C988" s="3" t="str">
        <f>IFERROR(__xludf.DUMMYFUNCTION("""COMPUTED_VALUE"""),"D9324012682")</f>
        <v>D9324012682</v>
      </c>
      <c r="D988" s="3">
        <f>IFERROR(__xludf.DUMMYFUNCTION("""COMPUTED_VALUE"""),32.0)</f>
        <v>32</v>
      </c>
      <c r="E988" s="1"/>
    </row>
    <row r="989">
      <c r="A989" s="1"/>
      <c r="B989" s="3" t="str">
        <f>IFERROR(__xludf.DUMMYFUNCTION("""COMPUTED_VALUE"""),"RIO ARWANDA")</f>
        <v>RIO ARWANDA</v>
      </c>
      <c r="C989" s="3" t="str">
        <f>IFERROR(__xludf.DUMMYFUNCTION("""COMPUTED_VALUE"""),"R9524017564")</f>
        <v>R9524017564</v>
      </c>
      <c r="D989" s="3">
        <f>IFERROR(__xludf.DUMMYFUNCTION("""COMPUTED_VALUE"""),30.0)</f>
        <v>30</v>
      </c>
      <c r="E989" s="1"/>
    </row>
    <row r="990">
      <c r="A990" s="1"/>
      <c r="B990" s="3" t="str">
        <f>IFERROR(__xludf.DUMMYFUNCTION("""COMPUTED_VALUE"""),"EDI KURNIAWAN")</f>
        <v>EDI KURNIAWAN</v>
      </c>
      <c r="C990" s="3" t="str">
        <f>IFERROR(__xludf.DUMMYFUNCTION("""COMPUTED_VALUE"""),"E8624013040")</f>
        <v>E8624013040</v>
      </c>
      <c r="D990" s="3">
        <f>IFERROR(__xludf.DUMMYFUNCTION("""COMPUTED_VALUE"""),39.0)</f>
        <v>39</v>
      </c>
      <c r="E990" s="1"/>
    </row>
    <row r="991">
      <c r="A991" s="1"/>
      <c r="B991" s="3" t="str">
        <f>IFERROR(__xludf.DUMMYFUNCTION("""COMPUTED_VALUE"""),"ISKANDAR ZULKARNAIN")</f>
        <v>ISKANDAR ZULKARNAIN</v>
      </c>
      <c r="C991" s="3" t="str">
        <f>IFERROR(__xludf.DUMMYFUNCTION("""COMPUTED_VALUE"""),"I8224019798")</f>
        <v>I8224019798</v>
      </c>
      <c r="D991" s="3">
        <f>IFERROR(__xludf.DUMMYFUNCTION("""COMPUTED_VALUE"""),43.0)</f>
        <v>43</v>
      </c>
      <c r="E991" s="1"/>
    </row>
    <row r="992">
      <c r="A992" s="1"/>
      <c r="B992" s="3" t="str">
        <f>IFERROR(__xludf.DUMMYFUNCTION("""COMPUTED_VALUE"""),"SANDY LEO")</f>
        <v>SANDY LEO</v>
      </c>
      <c r="C992" s="3" t="str">
        <f>IFERROR(__xludf.DUMMYFUNCTION("""COMPUTED_VALUE"""),"S9424015075")</f>
        <v>S9424015075</v>
      </c>
      <c r="D992" s="3">
        <f>IFERROR(__xludf.DUMMYFUNCTION("""COMPUTED_VALUE"""),32.0)</f>
        <v>32</v>
      </c>
      <c r="E992" s="1"/>
    </row>
    <row r="993">
      <c r="A993" s="1"/>
      <c r="B993" s="3" t="str">
        <f>IFERROR(__xludf.DUMMYFUNCTION("""COMPUTED_VALUE"""),"LO JUNARDI, SE")</f>
        <v>LO JUNARDI, SE</v>
      </c>
      <c r="C993" s="3" t="str">
        <f>IFERROR(__xludf.DUMMYFUNCTION("""COMPUTED_VALUE"""),"L7224019250")</f>
        <v>L7224019250</v>
      </c>
      <c r="D993" s="3">
        <f>IFERROR(__xludf.DUMMYFUNCTION("""COMPUTED_VALUE"""),54.0)</f>
        <v>54</v>
      </c>
      <c r="E993" s="1"/>
    </row>
    <row r="994">
      <c r="A994" s="1"/>
      <c r="B994" s="3" t="str">
        <f>IFERROR(__xludf.DUMMYFUNCTION("""COMPUTED_VALUE"""),"M. DAKRIM")</f>
        <v>M. DAKRIM</v>
      </c>
      <c r="C994" s="3" t="str">
        <f>IFERROR(__xludf.DUMMYFUNCTION("""COMPUTED_VALUE"""),"M5624016073")</f>
        <v>M5624016073</v>
      </c>
      <c r="D994" s="3">
        <f>IFERROR(__xludf.DUMMYFUNCTION("""COMPUTED_VALUE"""),70.0)</f>
        <v>70</v>
      </c>
      <c r="E994" s="1"/>
    </row>
    <row r="995">
      <c r="A995" s="1"/>
      <c r="B995" s="3" t="str">
        <f>IFERROR(__xludf.DUMMYFUNCTION("""COMPUTED_VALUE"""),"RASMAWATI")</f>
        <v>RASMAWATI</v>
      </c>
      <c r="C995" s="3" t="str">
        <f>IFERROR(__xludf.DUMMYFUNCTION("""COMPUTED_VALUE"""),"R6124016073")</f>
        <v>R6124016073</v>
      </c>
      <c r="D995" s="3">
        <f>IFERROR(__xludf.DUMMYFUNCTION("""COMPUTED_VALUE"""),64.0)</f>
        <v>64</v>
      </c>
      <c r="E995" s="1"/>
    </row>
    <row r="996">
      <c r="A996" s="1"/>
      <c r="B996" s="3" t="str">
        <f>IFERROR(__xludf.DUMMYFUNCTION("""COMPUTED_VALUE"""),"ALIFAH AMALIA")</f>
        <v>ALIFAH AMALIA</v>
      </c>
      <c r="C996" s="3" t="str">
        <f>IFERROR(__xludf.DUMMYFUNCTION("""COMPUTED_VALUE"""),"A9924010767")</f>
        <v>A9924010767</v>
      </c>
      <c r="D996" s="3">
        <f>IFERROR(__xludf.DUMMYFUNCTION("""COMPUTED_VALUE"""),27.0)</f>
        <v>27</v>
      </c>
      <c r="E996" s="1"/>
    </row>
    <row r="997">
      <c r="A997" s="1"/>
      <c r="B997" s="3" t="str">
        <f>IFERROR(__xludf.DUMMYFUNCTION("""COMPUTED_VALUE"""),"SAIF RAAFIIN ISFAHAN")</f>
        <v>SAIF RAAFIIN ISFAHAN</v>
      </c>
      <c r="C997" s="3" t="str">
        <f>IFERROR(__xludf.DUMMYFUNCTION("""COMPUTED_VALUE"""),"S0324019056")</f>
        <v>S0324019056</v>
      </c>
      <c r="D997" s="3">
        <f>IFERROR(__xludf.DUMMYFUNCTION("""COMPUTED_VALUE"""),23.0)</f>
        <v>23</v>
      </c>
      <c r="E997" s="1"/>
    </row>
    <row r="998">
      <c r="A998" s="1"/>
      <c r="B998" s="3" t="str">
        <f>IFERROR(__xludf.DUMMYFUNCTION("""COMPUTED_VALUE"""),"HUSNAINI")</f>
        <v>HUSNAINI</v>
      </c>
      <c r="C998" s="3" t="str">
        <f>IFERROR(__xludf.DUMMYFUNCTION("""COMPUTED_VALUE"""),"H6324013094")</f>
        <v>H6324013094</v>
      </c>
      <c r="D998" s="3">
        <f>IFERROR(__xludf.DUMMYFUNCTION("""COMPUTED_VALUE"""),62.0)</f>
        <v>62</v>
      </c>
      <c r="E998" s="1"/>
    </row>
    <row r="999">
      <c r="A999" s="1"/>
      <c r="B999" s="3" t="str">
        <f>IFERROR(__xludf.DUMMYFUNCTION("""COMPUTED_VALUE"""),"ROSALINA")</f>
        <v>ROSALINA</v>
      </c>
      <c r="C999" s="3" t="str">
        <f>IFERROR(__xludf.DUMMYFUNCTION("""COMPUTED_VALUE"""),"R6124013789")</f>
        <v>R6124013789</v>
      </c>
      <c r="D999" s="3">
        <f>IFERROR(__xludf.DUMMYFUNCTION("""COMPUTED_VALUE"""),65.0)</f>
        <v>65</v>
      </c>
      <c r="E999" s="1"/>
    </row>
    <row r="1000">
      <c r="A1000" s="1"/>
      <c r="B1000" s="3" t="str">
        <f>IFERROR(__xludf.DUMMYFUNCTION("""COMPUTED_VALUE"""),"MERY SILVIA")</f>
        <v>MERY SILVIA</v>
      </c>
      <c r="C1000" s="3" t="str">
        <f>IFERROR(__xludf.DUMMYFUNCTION("""COMPUTED_VALUE"""),"M9224015787")</f>
        <v>M9224015787</v>
      </c>
      <c r="D1000" s="3">
        <f>IFERROR(__xludf.DUMMYFUNCTION("""COMPUTED_VALUE"""),34.0)</f>
        <v>34</v>
      </c>
      <c r="E1000" s="1"/>
    </row>
    <row r="1001">
      <c r="A1001" s="1"/>
      <c r="B1001" s="3" t="str">
        <f>IFERROR(__xludf.DUMMYFUNCTION("""COMPUTED_VALUE"""),"EKO SUDARTO")</f>
        <v>EKO SUDARTO</v>
      </c>
      <c r="C1001" s="3" t="str">
        <f>IFERROR(__xludf.DUMMYFUNCTION("""COMPUTED_VALUE"""),"E7424018000")</f>
        <v>E7424018000</v>
      </c>
      <c r="D1001" s="3">
        <f>IFERROR(__xludf.DUMMYFUNCTION("""COMPUTED_VALUE"""),52.0)</f>
        <v>52</v>
      </c>
      <c r="E1001" s="1"/>
    </row>
    <row r="1002">
      <c r="A1002" s="1"/>
      <c r="B1002" s="3" t="str">
        <f>IFERROR(__xludf.DUMMYFUNCTION("""COMPUTED_VALUE"""),"ROSANNA ANGGRAINI")</f>
        <v>ROSANNA ANGGRAINI</v>
      </c>
      <c r="C1002" s="3" t="str">
        <f>IFERROR(__xludf.DUMMYFUNCTION("""COMPUTED_VALUE"""),"R8624019909")</f>
        <v>R8624019909</v>
      </c>
      <c r="D1002" s="3">
        <f>IFERROR(__xludf.DUMMYFUNCTION("""COMPUTED_VALUE"""),39.0)</f>
        <v>39</v>
      </c>
      <c r="E1002" s="1"/>
    </row>
    <row r="1003">
      <c r="A1003" s="1"/>
      <c r="B1003" s="3" t="str">
        <f>IFERROR(__xludf.DUMMYFUNCTION("""COMPUTED_VALUE"""),"NICHOLAS BILI SAPUTRA")</f>
        <v>NICHOLAS BILI SAPUTRA</v>
      </c>
      <c r="C1003" s="3" t="str">
        <f>IFERROR(__xludf.DUMMYFUNCTION("""COMPUTED_VALUE"""),"N0024011081")</f>
        <v>N0024011081</v>
      </c>
      <c r="D1003" s="3">
        <f>IFERROR(__xludf.DUMMYFUNCTION("""COMPUTED_VALUE"""),26.0)</f>
        <v>26</v>
      </c>
      <c r="E1003" s="1"/>
    </row>
    <row r="1004">
      <c r="A1004" s="1"/>
      <c r="B1004" s="3" t="str">
        <f>IFERROR(__xludf.DUMMYFUNCTION("""COMPUTED_VALUE"""),"ANDRIANTI")</f>
        <v>ANDRIANTI</v>
      </c>
      <c r="C1004" s="3" t="str">
        <f>IFERROR(__xludf.DUMMYFUNCTION("""COMPUTED_VALUE"""),"A5924015630")</f>
        <v>A5924015630</v>
      </c>
      <c r="D1004" s="3">
        <f>IFERROR(__xludf.DUMMYFUNCTION("""COMPUTED_VALUE"""),67.0)</f>
        <v>67</v>
      </c>
      <c r="E1004" s="1"/>
    </row>
    <row r="1005">
      <c r="A1005" s="1"/>
      <c r="B1005" s="3" t="str">
        <f>IFERROR(__xludf.DUMMYFUNCTION("""COMPUTED_VALUE"""),"IKA MEIRIA DIAN SARASWATI")</f>
        <v>IKA MEIRIA DIAN SARASWATI</v>
      </c>
      <c r="C1005" s="3" t="str">
        <f>IFERROR(__xludf.DUMMYFUNCTION("""COMPUTED_VALUE"""),"I9024012210")</f>
        <v>I9024012210</v>
      </c>
      <c r="D1005" s="3">
        <f>IFERROR(__xludf.DUMMYFUNCTION("""COMPUTED_VALUE"""),36.0)</f>
        <v>36</v>
      </c>
      <c r="E1005" s="1"/>
    </row>
    <row r="1006">
      <c r="A1006" s="1"/>
      <c r="B1006" s="3" t="str">
        <f>IFERROR(__xludf.DUMMYFUNCTION("""COMPUTED_VALUE"""),"CANDRA HENDI")</f>
        <v>CANDRA HENDI</v>
      </c>
      <c r="C1006" s="3" t="str">
        <f>IFERROR(__xludf.DUMMYFUNCTION("""COMPUTED_VALUE"""),"C9324018879")</f>
        <v>C9324018879</v>
      </c>
      <c r="D1006" s="3">
        <f>IFERROR(__xludf.DUMMYFUNCTION("""COMPUTED_VALUE"""),32.0)</f>
        <v>32</v>
      </c>
      <c r="E1006" s="1"/>
    </row>
    <row r="1007">
      <c r="A1007" s="1"/>
      <c r="B1007" s="3" t="str">
        <f>IFERROR(__xludf.DUMMYFUNCTION("""COMPUTED_VALUE"""),"NELLY OCTAVIANI")</f>
        <v>NELLY OCTAVIANI</v>
      </c>
      <c r="C1007" s="3" t="str">
        <f>IFERROR(__xludf.DUMMYFUNCTION("""COMPUTED_VALUE"""),"N9224011710")</f>
        <v>N9224011710</v>
      </c>
      <c r="D1007" s="3">
        <f>IFERROR(__xludf.DUMMYFUNCTION("""COMPUTED_VALUE"""),33.0)</f>
        <v>33</v>
      </c>
      <c r="E1007" s="1"/>
    </row>
    <row r="1008">
      <c r="A1008" s="1"/>
      <c r="B1008" s="3" t="str">
        <f>IFERROR(__xludf.DUMMYFUNCTION("""COMPUTED_VALUE"""),"DESWANTO")</f>
        <v>DESWANTO</v>
      </c>
      <c r="C1008" s="3" t="str">
        <f>IFERROR(__xludf.DUMMYFUNCTION("""COMPUTED_VALUE"""),"D9024014866")</f>
        <v>D9024014866</v>
      </c>
      <c r="D1008" s="3">
        <f>IFERROR(__xludf.DUMMYFUNCTION("""COMPUTED_VALUE"""),35.0)</f>
        <v>35</v>
      </c>
      <c r="E1008" s="1"/>
    </row>
    <row r="1009">
      <c r="A1009" s="1"/>
      <c r="B1009" s="3" t="str">
        <f>IFERROR(__xludf.DUMMYFUNCTION("""COMPUTED_VALUE"""),"HENG KOK KWANG")</f>
        <v>HENG KOK KWANG</v>
      </c>
      <c r="C1009" s="3" t="str">
        <f>IFERROR(__xludf.DUMMYFUNCTION("""COMPUTED_VALUE"""),"H5724012044")</f>
        <v>H5724012044</v>
      </c>
      <c r="D1009" s="3">
        <f>IFERROR(__xludf.DUMMYFUNCTION("""COMPUTED_VALUE"""),69.0)</f>
        <v>69</v>
      </c>
      <c r="E1009" s="1"/>
    </row>
    <row r="1010">
      <c r="A1010" s="1"/>
      <c r="B1010" s="3" t="str">
        <f>IFERROR(__xludf.DUMMYFUNCTION("""COMPUTED_VALUE"""),"ERWIN HARTONO")</f>
        <v>ERWIN HARTONO</v>
      </c>
      <c r="C1010" s="3" t="str">
        <f>IFERROR(__xludf.DUMMYFUNCTION("""COMPUTED_VALUE"""),"E9024018357")</f>
        <v>E9024018357</v>
      </c>
      <c r="D1010" s="3">
        <f>IFERROR(__xludf.DUMMYFUNCTION("""COMPUTED_VALUE"""),36.0)</f>
        <v>36</v>
      </c>
      <c r="E1010" s="1"/>
    </row>
    <row r="1011">
      <c r="A1011" s="1"/>
      <c r="B1011" s="3" t="str">
        <f>IFERROR(__xludf.DUMMYFUNCTION("""COMPUTED_VALUE"""),"ADITYA PUTRA ADISHA")</f>
        <v>ADITYA PUTRA ADISHA</v>
      </c>
      <c r="C1011" s="3" t="str">
        <f>IFERROR(__xludf.DUMMYFUNCTION("""COMPUTED_VALUE"""),"A0324018077")</f>
        <v>A0324018077</v>
      </c>
      <c r="D1011" s="3">
        <f>IFERROR(__xludf.DUMMYFUNCTION("""COMPUTED_VALUE"""),22.0)</f>
        <v>22</v>
      </c>
      <c r="E1011" s="1"/>
    </row>
    <row r="1012">
      <c r="A1012" s="1"/>
      <c r="B1012" s="3" t="str">
        <f>IFERROR(__xludf.DUMMYFUNCTION("""COMPUTED_VALUE"""),"MUHAMMAD IQFI DZULFIJAR")</f>
        <v>MUHAMMAD IQFI DZULFIJAR</v>
      </c>
      <c r="C1012" s="3" t="str">
        <f>IFERROR(__xludf.DUMMYFUNCTION("""COMPUTED_VALUE"""),"M0024014578")</f>
        <v>M0024014578</v>
      </c>
      <c r="D1012" s="3">
        <f>IFERROR(__xludf.DUMMYFUNCTION("""COMPUTED_VALUE"""),26.0)</f>
        <v>26</v>
      </c>
      <c r="E1012" s="1"/>
    </row>
    <row r="1013">
      <c r="A1013" s="1"/>
      <c r="B1013" s="3" t="str">
        <f>IFERROR(__xludf.DUMMYFUNCTION("""COMPUTED_VALUE"""),"AZIZAH")</f>
        <v>AZIZAH</v>
      </c>
      <c r="C1013" s="3" t="str">
        <f>IFERROR(__xludf.DUMMYFUNCTION("""COMPUTED_VALUE"""),"A8124016000")</f>
        <v>A8124016000</v>
      </c>
      <c r="D1013" s="3">
        <f>IFERROR(__xludf.DUMMYFUNCTION("""COMPUTED_VALUE"""),44.0)</f>
        <v>44</v>
      </c>
      <c r="E1013" s="1"/>
    </row>
    <row r="1014">
      <c r="A1014" s="1"/>
      <c r="B1014" s="3" t="str">
        <f>IFERROR(__xludf.DUMMYFUNCTION("""COMPUTED_VALUE"""),"ALTA ALDIANUS")</f>
        <v>ALTA ALDIANUS</v>
      </c>
      <c r="C1014" s="3" t="str">
        <f>IFERROR(__xludf.DUMMYFUNCTION("""COMPUTED_VALUE"""),"A0224019231")</f>
        <v>A0224019231</v>
      </c>
      <c r="D1014" s="3">
        <f>IFERROR(__xludf.DUMMYFUNCTION("""COMPUTED_VALUE"""),24.0)</f>
        <v>24</v>
      </c>
      <c r="E1014" s="1"/>
    </row>
    <row r="1015">
      <c r="A1015" s="1"/>
      <c r="B1015" s="3" t="str">
        <f>IFERROR(__xludf.DUMMYFUNCTION("""COMPUTED_VALUE"""),"MARIA MAISA ANJELA")</f>
        <v>MARIA MAISA ANJELA</v>
      </c>
      <c r="C1015" s="3" t="str">
        <f>IFERROR(__xludf.DUMMYFUNCTION("""COMPUTED_VALUE"""),"M0324015120")</f>
        <v>M0324015120</v>
      </c>
      <c r="D1015" s="3">
        <f>IFERROR(__xludf.DUMMYFUNCTION("""COMPUTED_VALUE"""),23.0)</f>
        <v>23</v>
      </c>
      <c r="E1015" s="1"/>
    </row>
    <row r="1016">
      <c r="A1016" s="1"/>
      <c r="B1016" s="3" t="str">
        <f>IFERROR(__xludf.DUMMYFUNCTION("""COMPUTED_VALUE"""),"ELFARDA AHLAN SY'AR ADHABY")</f>
        <v>ELFARDA AHLAN SY'AR ADHABY</v>
      </c>
      <c r="C1016" s="3" t="str">
        <f>IFERROR(__xludf.DUMMYFUNCTION("""COMPUTED_VALUE"""),"E0324013662")</f>
        <v>E0324013662</v>
      </c>
      <c r="D1016" s="3">
        <f>IFERROR(__xludf.DUMMYFUNCTION("""COMPUTED_VALUE"""),23.0)</f>
        <v>23</v>
      </c>
      <c r="E1016" s="1"/>
    </row>
    <row r="1017">
      <c r="A1017" s="1"/>
      <c r="B1017" s="3" t="str">
        <f>IFERROR(__xludf.DUMMYFUNCTION("""COMPUTED_VALUE"""),"ZARMAN")</f>
        <v>ZARMAN</v>
      </c>
      <c r="C1017" s="3" t="str">
        <f>IFERROR(__xludf.DUMMYFUNCTION("""COMPUTED_VALUE"""),"Z7024010115")</f>
        <v>Z7024010115</v>
      </c>
      <c r="D1017" s="3">
        <f>IFERROR(__xludf.DUMMYFUNCTION("""COMPUTED_VALUE"""),56.0)</f>
        <v>56</v>
      </c>
      <c r="E1017" s="1"/>
    </row>
    <row r="1018">
      <c r="A1018" s="1"/>
      <c r="B1018" s="3" t="str">
        <f>IFERROR(__xludf.DUMMYFUNCTION("""COMPUTED_VALUE"""),"NASRANI BARU")</f>
        <v>NASRANI BARU</v>
      </c>
      <c r="C1018" s="3" t="str">
        <f>IFERROR(__xludf.DUMMYFUNCTION("""COMPUTED_VALUE"""),"N8724012132")</f>
        <v>N8724012132</v>
      </c>
      <c r="D1018" s="3">
        <f>IFERROR(__xludf.DUMMYFUNCTION("""COMPUTED_VALUE"""),38.0)</f>
        <v>38</v>
      </c>
      <c r="E1018" s="1"/>
    </row>
    <row r="1019">
      <c r="A1019" s="1"/>
      <c r="B1019" s="3" t="str">
        <f>IFERROR(__xludf.DUMMYFUNCTION("""COMPUTED_VALUE"""),"INDRA GUNAWAN")</f>
        <v>INDRA GUNAWAN</v>
      </c>
      <c r="C1019" s="3" t="str">
        <f>IFERROR(__xludf.DUMMYFUNCTION("""COMPUTED_VALUE"""),"I9324012385")</f>
        <v>I9324012385</v>
      </c>
      <c r="D1019" s="3">
        <f>IFERROR(__xludf.DUMMYFUNCTION("""COMPUTED_VALUE"""),32.0)</f>
        <v>32</v>
      </c>
      <c r="E1019" s="1"/>
    </row>
    <row r="1020">
      <c r="A1020" s="1"/>
      <c r="B1020" s="3" t="str">
        <f>IFERROR(__xludf.DUMMYFUNCTION("""COMPUTED_VALUE"""),"MOI LIN")</f>
        <v>MOI LIN</v>
      </c>
      <c r="C1020" s="3" t="str">
        <f>IFERROR(__xludf.DUMMYFUNCTION("""COMPUTED_VALUE"""),"M5024013966")</f>
        <v>M5024013966</v>
      </c>
      <c r="D1020" s="3">
        <f>IFERROR(__xludf.DUMMYFUNCTION("""COMPUTED_VALUE"""),75.0)</f>
        <v>75</v>
      </c>
      <c r="E1020" s="1"/>
    </row>
    <row r="1021">
      <c r="A1021" s="1"/>
      <c r="B1021" s="3" t="str">
        <f>IFERROR(__xludf.DUMMYFUNCTION("""COMPUTED_VALUE"""),"HENDRIK RAJALI")</f>
        <v>HENDRIK RAJALI</v>
      </c>
      <c r="C1021" s="3" t="str">
        <f>IFERROR(__xludf.DUMMYFUNCTION("""COMPUTED_VALUE"""),"H8124010055")</f>
        <v>H8124010055</v>
      </c>
      <c r="D1021" s="3">
        <f>IFERROR(__xludf.DUMMYFUNCTION("""COMPUTED_VALUE"""),45.0)</f>
        <v>45</v>
      </c>
      <c r="E1021" s="1"/>
    </row>
    <row r="1022">
      <c r="A1022" s="1"/>
      <c r="B1022" s="3" t="str">
        <f>IFERROR(__xludf.DUMMYFUNCTION("""COMPUTED_VALUE"""),"TOGU MANULLANG")</f>
        <v>TOGU MANULLANG</v>
      </c>
      <c r="C1022" s="3" t="str">
        <f>IFERROR(__xludf.DUMMYFUNCTION("""COMPUTED_VALUE"""),"T6524016811")</f>
        <v>T6524016811</v>
      </c>
      <c r="D1022" s="3">
        <f>IFERROR(__xludf.DUMMYFUNCTION("""COMPUTED_VALUE"""),60.0)</f>
        <v>60</v>
      </c>
      <c r="E1022" s="1"/>
    </row>
    <row r="1023">
      <c r="A1023" s="1"/>
      <c r="B1023" s="3" t="str">
        <f>IFERROR(__xludf.DUMMYFUNCTION("""COMPUTED_VALUE"""),"SRI LUTFIANDA SARI")</f>
        <v>SRI LUTFIANDA SARI</v>
      </c>
      <c r="C1023" s="3" t="str">
        <f>IFERROR(__xludf.DUMMYFUNCTION("""COMPUTED_VALUE"""),"S0324014076")</f>
        <v>S0324014076</v>
      </c>
      <c r="D1023" s="3">
        <f>IFERROR(__xludf.DUMMYFUNCTION("""COMPUTED_VALUE"""),22.0)</f>
        <v>22</v>
      </c>
      <c r="E1023" s="1"/>
    </row>
    <row r="1024">
      <c r="A1024" s="1"/>
      <c r="B1024" s="3" t="str">
        <f>IFERROR(__xludf.DUMMYFUNCTION("""COMPUTED_VALUE"""),"NG SIAUW NGO")</f>
        <v>NG SIAUW NGO</v>
      </c>
      <c r="C1024" s="3" t="str">
        <f>IFERROR(__xludf.DUMMYFUNCTION("""COMPUTED_VALUE"""),"N5624018879")</f>
        <v>N5624018879</v>
      </c>
      <c r="D1024" s="3">
        <f>IFERROR(__xludf.DUMMYFUNCTION("""COMPUTED_VALUE"""),69.0)</f>
        <v>69</v>
      </c>
      <c r="E1024" s="1"/>
    </row>
    <row r="1025">
      <c r="A1025" s="1"/>
      <c r="B1025" s="3" t="str">
        <f>IFERROR(__xludf.DUMMYFUNCTION("""COMPUTED_VALUE"""),"DAMHUDI")</f>
        <v>DAMHUDI</v>
      </c>
      <c r="C1025" s="3" t="str">
        <f>IFERROR(__xludf.DUMMYFUNCTION("""COMPUTED_VALUE"""),"D7624010890")</f>
        <v>D7624010890</v>
      </c>
      <c r="D1025" s="3">
        <f>IFERROR(__xludf.DUMMYFUNCTION("""COMPUTED_VALUE"""),50.0)</f>
        <v>50</v>
      </c>
      <c r="E1025" s="1"/>
    </row>
    <row r="1026">
      <c r="A1026" s="1"/>
      <c r="B1026" s="3" t="str">
        <f>IFERROR(__xludf.DUMMYFUNCTION("""COMPUTED_VALUE"""),"MAULIDINI ULMULHAIR")</f>
        <v>MAULIDINI ULMULHAIR</v>
      </c>
      <c r="C1026" s="3" t="str">
        <f>IFERROR(__xludf.DUMMYFUNCTION("""COMPUTED_VALUE"""),"M9024010700")</f>
        <v>M9024010700</v>
      </c>
      <c r="D1026" s="3">
        <f>IFERROR(__xludf.DUMMYFUNCTION("""COMPUTED_VALUE"""),35.0)</f>
        <v>35</v>
      </c>
      <c r="E1026" s="1"/>
    </row>
    <row r="1027">
      <c r="A1027" s="1"/>
      <c r="B1027" s="3" t="str">
        <f>IFERROR(__xludf.DUMMYFUNCTION("""COMPUTED_VALUE"""),"SAMEER ZAYED ELWAFA")</f>
        <v>SAMEER ZAYED ELWAFA</v>
      </c>
      <c r="C1027" s="3" t="str">
        <f>IFERROR(__xludf.DUMMYFUNCTION("""COMPUTED_VALUE"""),"S1224016919")</f>
        <v>S1224016919</v>
      </c>
      <c r="D1027" s="3">
        <f>IFERROR(__xludf.DUMMYFUNCTION("""COMPUTED_VALUE"""),14.0)</f>
        <v>14</v>
      </c>
      <c r="E1027" s="1"/>
    </row>
    <row r="1028">
      <c r="A1028" s="1"/>
      <c r="B1028" s="3" t="str">
        <f>IFERROR(__xludf.DUMMYFUNCTION("""COMPUTED_VALUE"""),"ALEXANDER")</f>
        <v>ALEXANDER</v>
      </c>
      <c r="C1028" s="3" t="str">
        <f>IFERROR(__xludf.DUMMYFUNCTION("""COMPUTED_VALUE"""),"A8824016270")</f>
        <v>A8824016270</v>
      </c>
      <c r="D1028" s="3">
        <f>IFERROR(__xludf.DUMMYFUNCTION("""COMPUTED_VALUE"""),38.0)</f>
        <v>38</v>
      </c>
      <c r="E1028" s="1"/>
    </row>
    <row r="1029">
      <c r="A1029" s="1"/>
      <c r="B1029" s="3" t="str">
        <f>IFERROR(__xludf.DUMMYFUNCTION("""COMPUTED_VALUE"""),"MURNIAH")</f>
        <v>MURNIAH</v>
      </c>
      <c r="C1029" s="3" t="str">
        <f>IFERROR(__xludf.DUMMYFUNCTION("""COMPUTED_VALUE"""),"M7424015453")</f>
        <v>M7424015453</v>
      </c>
      <c r="D1029" s="3">
        <f>IFERROR(__xludf.DUMMYFUNCTION("""COMPUTED_VALUE"""),51.0)</f>
        <v>51</v>
      </c>
      <c r="E1029" s="1"/>
    </row>
    <row r="1030">
      <c r="A1030" s="1"/>
      <c r="B1030" s="3" t="str">
        <f>IFERROR(__xludf.DUMMYFUNCTION("""COMPUTED_VALUE"""),"MARHIBA")</f>
        <v>MARHIBA</v>
      </c>
      <c r="C1030" s="3" t="str">
        <f>IFERROR(__xludf.DUMMYFUNCTION("""COMPUTED_VALUE"""),"M7324013456")</f>
        <v>M7324013456</v>
      </c>
      <c r="D1030" s="3">
        <f>IFERROR(__xludf.DUMMYFUNCTION("""COMPUTED_VALUE"""),52.0)</f>
        <v>52</v>
      </c>
      <c r="E1030" s="1"/>
    </row>
    <row r="1031">
      <c r="A1031" s="1"/>
      <c r="B1031" s="3" t="str">
        <f>IFERROR(__xludf.DUMMYFUNCTION("""COMPUTED_VALUE"""),"RAFI’AH 5308")</f>
        <v>RAFI’AH 5308</v>
      </c>
      <c r="C1031" s="3" t="str">
        <f>IFERROR(__xludf.DUMMYFUNCTION("""COMPUTED_VALUE"""),"R5324010987")</f>
        <v>R5324010987</v>
      </c>
      <c r="D1031" s="3">
        <f>IFERROR(__xludf.DUMMYFUNCTION("""COMPUTED_VALUE"""),72.0)</f>
        <v>72</v>
      </c>
      <c r="E1031" s="1"/>
    </row>
    <row r="1032">
      <c r="A1032" s="1"/>
      <c r="B1032" s="3" t="str">
        <f>IFERROR(__xludf.DUMMYFUNCTION("""COMPUTED_VALUE"""),"ULNI ZULFIKAR")</f>
        <v>ULNI ZULFIKAR</v>
      </c>
      <c r="C1032" s="3" t="str">
        <f>IFERROR(__xludf.DUMMYFUNCTION("""COMPUTED_VALUE"""),"U9324010139")</f>
        <v>U9324010139</v>
      </c>
      <c r="D1032" s="3">
        <f>IFERROR(__xludf.DUMMYFUNCTION("""COMPUTED_VALUE"""),32.0)</f>
        <v>32</v>
      </c>
      <c r="E1032" s="1"/>
    </row>
    <row r="1033">
      <c r="A1033" s="1"/>
      <c r="B1033" s="3" t="str">
        <f>IFERROR(__xludf.DUMMYFUNCTION("""COMPUTED_VALUE"""),"MUTIA BETANIA")</f>
        <v>MUTIA BETANIA</v>
      </c>
      <c r="C1033" s="3" t="str">
        <f>IFERROR(__xludf.DUMMYFUNCTION("""COMPUTED_VALUE"""),"M8124018889")</f>
        <v>M8124018889</v>
      </c>
      <c r="D1033" s="3">
        <f>IFERROR(__xludf.DUMMYFUNCTION("""COMPUTED_VALUE"""),44.0)</f>
        <v>44</v>
      </c>
      <c r="E1033" s="1"/>
    </row>
    <row r="1034">
      <c r="A1034" s="1"/>
      <c r="B1034" s="3" t="str">
        <f>IFERROR(__xludf.DUMMYFUNCTION("""COMPUTED_VALUE"""),"ENDY PERMANA")</f>
        <v>ENDY PERMANA</v>
      </c>
      <c r="C1034" s="3" t="str">
        <f>IFERROR(__xludf.DUMMYFUNCTION("""COMPUTED_VALUE"""),"E8224012536")</f>
        <v>E8224012536</v>
      </c>
      <c r="D1034" s="3">
        <f>IFERROR(__xludf.DUMMYFUNCTION("""COMPUTED_VALUE"""),44.0)</f>
        <v>44</v>
      </c>
      <c r="E1034" s="1"/>
    </row>
    <row r="1035">
      <c r="A1035" s="1"/>
      <c r="B1035" s="3" t="str">
        <f>IFERROR(__xludf.DUMMYFUNCTION("""COMPUTED_VALUE"""),"ADI SIDARTA")</f>
        <v>ADI SIDARTA</v>
      </c>
      <c r="C1035" s="3" t="str">
        <f>IFERROR(__xludf.DUMMYFUNCTION("""COMPUTED_VALUE"""),"A7824014678")</f>
        <v>A7824014678</v>
      </c>
      <c r="D1035" s="3">
        <f>IFERROR(__xludf.DUMMYFUNCTION("""COMPUTED_VALUE"""),47.0)</f>
        <v>47</v>
      </c>
      <c r="E1035" s="1"/>
    </row>
    <row r="1036">
      <c r="A1036" s="1"/>
      <c r="B1036" s="3" t="str">
        <f>IFERROR(__xludf.DUMMYFUNCTION("""COMPUTED_VALUE"""),"M. RIYAN ZIKRI")</f>
        <v>M. RIYAN ZIKRI</v>
      </c>
      <c r="C1036" s="3" t="str">
        <f>IFERROR(__xludf.DUMMYFUNCTION("""COMPUTED_VALUE"""),"M9224018718")</f>
        <v>M9224018718</v>
      </c>
      <c r="D1036" s="3">
        <f>IFERROR(__xludf.DUMMYFUNCTION("""COMPUTED_VALUE"""),33.0)</f>
        <v>33</v>
      </c>
      <c r="E1036" s="1"/>
    </row>
    <row r="1037">
      <c r="A1037" s="1"/>
      <c r="B1037" s="3" t="str">
        <f>IFERROR(__xludf.DUMMYFUNCTION("""COMPUTED_VALUE"""),"JANSEN KURNIAWAN")</f>
        <v>JANSEN KURNIAWAN</v>
      </c>
      <c r="C1037" s="3" t="str">
        <f>IFERROR(__xludf.DUMMYFUNCTION("""COMPUTED_VALUE"""),"J9324010808")</f>
        <v>J9324010808</v>
      </c>
      <c r="D1037" s="3">
        <f>IFERROR(__xludf.DUMMYFUNCTION("""COMPUTED_VALUE"""),32.0)</f>
        <v>32</v>
      </c>
      <c r="E1037" s="1"/>
    </row>
    <row r="1038">
      <c r="A1038" s="1"/>
      <c r="B1038" s="3" t="str">
        <f>IFERROR(__xludf.DUMMYFUNCTION("""COMPUTED_VALUE"""),"YUNI PUSPITA SARI")</f>
        <v>YUNI PUSPITA SARI</v>
      </c>
      <c r="C1038" s="3" t="str">
        <f>IFERROR(__xludf.DUMMYFUNCTION("""COMPUTED_VALUE"""),"Y8824015179")</f>
        <v>Y8824015179</v>
      </c>
      <c r="D1038" s="3">
        <f>IFERROR(__xludf.DUMMYFUNCTION("""COMPUTED_VALUE"""),38.0)</f>
        <v>38</v>
      </c>
      <c r="E1038" s="1"/>
    </row>
    <row r="1039">
      <c r="A1039" s="1"/>
      <c r="B1039" s="3" t="str">
        <f>IFERROR(__xludf.DUMMYFUNCTION("""COMPUTED_VALUE"""),"MAKAYLA INDRA KRISNA")</f>
        <v>MAKAYLA INDRA KRISNA</v>
      </c>
      <c r="C1039" s="3" t="str">
        <f>IFERROR(__xludf.DUMMYFUNCTION("""COMPUTED_VALUE"""),"M1224015934")</f>
        <v>M1224015934</v>
      </c>
      <c r="D1039" s="3">
        <f>IFERROR(__xludf.DUMMYFUNCTION("""COMPUTED_VALUE"""),13.0)</f>
        <v>13</v>
      </c>
      <c r="E1039" s="1"/>
    </row>
    <row r="1040">
      <c r="A1040" s="1"/>
      <c r="B1040" s="3" t="str">
        <f>IFERROR(__xludf.DUMMYFUNCTION("""COMPUTED_VALUE"""),"DEDE MARTIN KURNIAWAN")</f>
        <v>DEDE MARTIN KURNIAWAN</v>
      </c>
      <c r="C1040" s="3" t="str">
        <f>IFERROR(__xludf.DUMMYFUNCTION("""COMPUTED_VALUE"""),"D7924015040")</f>
        <v>D7924015040</v>
      </c>
      <c r="D1040" s="3">
        <f>IFERROR(__xludf.DUMMYFUNCTION("""COMPUTED_VALUE"""),47.0)</f>
        <v>47</v>
      </c>
      <c r="E1040" s="1"/>
    </row>
    <row r="1041">
      <c r="A1041" s="1"/>
      <c r="B1041" s="3" t="str">
        <f>IFERROR(__xludf.DUMMYFUNCTION("""COMPUTED_VALUE"""),"SUMARNO SAPUTRA")</f>
        <v>SUMARNO SAPUTRA</v>
      </c>
      <c r="C1041" s="3" t="str">
        <f>IFERROR(__xludf.DUMMYFUNCTION("""COMPUTED_VALUE"""),"S9724012637")</f>
        <v>S9724012637</v>
      </c>
      <c r="D1041" s="3">
        <f>IFERROR(__xludf.DUMMYFUNCTION("""COMPUTED_VALUE"""),29.0)</f>
        <v>29</v>
      </c>
      <c r="E1041" s="1"/>
    </row>
    <row r="1042">
      <c r="A1042" s="1"/>
      <c r="B1042" s="3" t="str">
        <f>IFERROR(__xludf.DUMMYFUNCTION("""COMPUTED_VALUE"""),"DINDA LESTARI")</f>
        <v>DINDA LESTARI</v>
      </c>
      <c r="C1042" s="3" t="str">
        <f>IFERROR(__xludf.DUMMYFUNCTION("""COMPUTED_VALUE"""),"D9724012638")</f>
        <v>D9724012638</v>
      </c>
      <c r="D1042" s="3">
        <f>IFERROR(__xludf.DUMMYFUNCTION("""COMPUTED_VALUE"""),29.0)</f>
        <v>29</v>
      </c>
      <c r="E1042" s="1"/>
    </row>
    <row r="1043">
      <c r="A1043" s="1"/>
      <c r="B1043" s="3" t="str">
        <f>IFERROR(__xludf.DUMMYFUNCTION("""COMPUTED_VALUE"""),"MATIAS DEDE ANDRIAWAN")</f>
        <v>MATIAS DEDE ANDRIAWAN</v>
      </c>
      <c r="C1043" s="3" t="str">
        <f>IFERROR(__xludf.DUMMYFUNCTION("""COMPUTED_VALUE"""),"M0524012015")</f>
        <v>M0524012015</v>
      </c>
      <c r="D1043" s="3">
        <f>IFERROR(__xludf.DUMMYFUNCTION("""COMPUTED_VALUE"""),21.0)</f>
        <v>21</v>
      </c>
      <c r="E1043" s="1"/>
    </row>
    <row r="1044">
      <c r="A1044" s="1"/>
      <c r="B1044" s="3" t="str">
        <f>IFERROR(__xludf.DUMMYFUNCTION("""COMPUTED_VALUE"""),"HABIBI QURRATA A""YUNI")</f>
        <v>HABIBI QURRATA A"YUNI</v>
      </c>
      <c r="C1044" s="3" t="str">
        <f>IFERROR(__xludf.DUMMYFUNCTION("""COMPUTED_VALUE"""),"H9424018987")</f>
        <v>H9424018987</v>
      </c>
      <c r="D1044" s="3">
        <f>IFERROR(__xludf.DUMMYFUNCTION("""COMPUTED_VALUE"""),32.0)</f>
        <v>32</v>
      </c>
      <c r="E1044" s="1"/>
    </row>
    <row r="1045">
      <c r="A1045" s="1"/>
      <c r="B1045" s="3" t="str">
        <f>IFERROR(__xludf.DUMMYFUNCTION("""COMPUTED_VALUE"""),"DESY RASTIKA SARI")</f>
        <v>DESY RASTIKA SARI</v>
      </c>
      <c r="C1045" s="3" t="str">
        <f>IFERROR(__xludf.DUMMYFUNCTION("""COMPUTED_VALUE"""),"D9224015876")</f>
        <v>D9224015876</v>
      </c>
      <c r="D1045" s="3">
        <f>IFERROR(__xludf.DUMMYFUNCTION("""COMPUTED_VALUE"""),33.0)</f>
        <v>33</v>
      </c>
      <c r="E1045" s="1"/>
    </row>
    <row r="1046">
      <c r="A1046" s="1"/>
      <c r="B1046" s="3" t="str">
        <f>IFERROR(__xludf.DUMMYFUNCTION("""COMPUTED_VALUE"""),"MUHAMMAD RAFFARIZA ARISANDHIE")</f>
        <v>MUHAMMAD RAFFARIZA ARISANDHIE</v>
      </c>
      <c r="C1046" s="3" t="str">
        <f>IFERROR(__xludf.DUMMYFUNCTION("""COMPUTED_VALUE"""),"M0624011325")</f>
        <v>M0624011325</v>
      </c>
      <c r="D1046" s="3">
        <f>IFERROR(__xludf.DUMMYFUNCTION("""COMPUTED_VALUE"""),20.0)</f>
        <v>20</v>
      </c>
      <c r="E1046" s="1"/>
    </row>
    <row r="1047">
      <c r="A1047" s="1"/>
      <c r="B1047" s="3" t="str">
        <f>IFERROR(__xludf.DUMMYFUNCTION("""COMPUTED_VALUE"""),"SAGITA MIRANDA")</f>
        <v>SAGITA MIRANDA</v>
      </c>
      <c r="C1047" s="3" t="str">
        <f>IFERROR(__xludf.DUMMYFUNCTION("""COMPUTED_VALUE"""),"S0724017707")</f>
        <v>S0724017707</v>
      </c>
      <c r="D1047" s="3">
        <f>IFERROR(__xludf.DUMMYFUNCTION("""COMPUTED_VALUE"""),18.0)</f>
        <v>18</v>
      </c>
      <c r="E1047" s="1"/>
    </row>
    <row r="1048">
      <c r="A1048" s="1"/>
      <c r="B1048" s="3" t="str">
        <f>IFERROR(__xludf.DUMMYFUNCTION("""COMPUTED_VALUE"""),"SILVY ANGELIA")</f>
        <v>SILVY ANGELIA</v>
      </c>
      <c r="C1048" s="3" t="str">
        <f>IFERROR(__xludf.DUMMYFUNCTION("""COMPUTED_VALUE"""),"S0324017373")</f>
        <v>S0324017373</v>
      </c>
      <c r="D1048" s="3">
        <f>IFERROR(__xludf.DUMMYFUNCTION("""COMPUTED_VALUE"""),22.0)</f>
        <v>22</v>
      </c>
      <c r="E1048" s="1"/>
    </row>
    <row r="1049">
      <c r="A1049" s="1"/>
      <c r="B1049" s="3" t="str">
        <f>IFERROR(__xludf.DUMMYFUNCTION("""COMPUTED_VALUE"""),"AYA FITRIA QOLBI")</f>
        <v>AYA FITRIA QOLBI</v>
      </c>
      <c r="C1049" s="3" t="str">
        <f>IFERROR(__xludf.DUMMYFUNCTION("""COMPUTED_VALUE"""),"A0124015658")</f>
        <v>A0124015658</v>
      </c>
      <c r="D1049" s="3">
        <f>IFERROR(__xludf.DUMMYFUNCTION("""COMPUTED_VALUE"""),25.0)</f>
        <v>25</v>
      </c>
      <c r="E1049" s="1"/>
    </row>
    <row r="1050">
      <c r="A1050" s="1"/>
      <c r="B1050" s="3" t="str">
        <f>IFERROR(__xludf.DUMMYFUNCTION("""COMPUTED_VALUE"""),"PRAYOGA PANGESTU")</f>
        <v>PRAYOGA PANGESTU</v>
      </c>
      <c r="C1050" s="3" t="str">
        <f>IFERROR(__xludf.DUMMYFUNCTION("""COMPUTED_VALUE"""),"P0624019484")</f>
        <v>P0624019484</v>
      </c>
      <c r="D1050" s="3">
        <f>IFERROR(__xludf.DUMMYFUNCTION("""COMPUTED_VALUE"""),20.0)</f>
        <v>20</v>
      </c>
      <c r="E1050" s="1"/>
    </row>
    <row r="1051">
      <c r="A1051" s="1"/>
      <c r="B1051" s="3" t="str">
        <f>IFERROR(__xludf.DUMMYFUNCTION("""COMPUTED_VALUE"""),"CRISTIANO PARGAS")</f>
        <v>CRISTIANO PARGAS</v>
      </c>
      <c r="C1051" s="3" t="str">
        <f>IFERROR(__xludf.DUMMYFUNCTION("""COMPUTED_VALUE"""),"C0624015060")</f>
        <v>C0624015060</v>
      </c>
      <c r="D1051" s="3">
        <f>IFERROR(__xludf.DUMMYFUNCTION("""COMPUTED_VALUE"""),19.0)</f>
        <v>19</v>
      </c>
      <c r="E1051" s="1"/>
    </row>
    <row r="1052">
      <c r="A1052" s="1"/>
      <c r="B1052" s="3" t="str">
        <f>IFERROR(__xludf.DUMMYFUNCTION("""COMPUTED_VALUE"""),"AYU DJULIANTI")</f>
        <v>AYU DJULIANTI</v>
      </c>
      <c r="C1052" s="3" t="str">
        <f>IFERROR(__xludf.DUMMYFUNCTION("""COMPUTED_VALUE"""),"A9524016101")</f>
        <v>A9524016101</v>
      </c>
      <c r="D1052" s="3">
        <f>IFERROR(__xludf.DUMMYFUNCTION("""COMPUTED_VALUE"""),30.0)</f>
        <v>30</v>
      </c>
      <c r="E1052" s="1"/>
    </row>
    <row r="1053">
      <c r="A1053" s="1"/>
      <c r="B1053" s="3" t="str">
        <f>IFERROR(__xludf.DUMMYFUNCTION("""COMPUTED_VALUE"""),"OZZY GUARDIOLA FITTIFALDY")</f>
        <v>OZZY GUARDIOLA FITTIFALDY</v>
      </c>
      <c r="C1053" s="3" t="str">
        <f>IFERROR(__xludf.DUMMYFUNCTION("""COMPUTED_VALUE"""),"O9424013019")</f>
        <v>O9424013019</v>
      </c>
      <c r="D1053" s="3">
        <f>IFERROR(__xludf.DUMMYFUNCTION("""COMPUTED_VALUE"""),31.0)</f>
        <v>31</v>
      </c>
      <c r="E1053" s="1"/>
    </row>
    <row r="1054">
      <c r="A1054" s="1"/>
      <c r="B1054" s="3" t="str">
        <f>IFERROR(__xludf.DUMMYFUNCTION("""COMPUTED_VALUE"""),"RONALD FIRDAUS PANDAWA")</f>
        <v>RONALD FIRDAUS PANDAWA</v>
      </c>
      <c r="C1054" s="3" t="str">
        <f>IFERROR(__xludf.DUMMYFUNCTION("""COMPUTED_VALUE"""),"R0024012819")</f>
        <v>R0024012819</v>
      </c>
      <c r="D1054" s="3">
        <f>IFERROR(__xludf.DUMMYFUNCTION("""COMPUTED_VALUE"""),26.0)</f>
        <v>26</v>
      </c>
      <c r="E1054" s="1"/>
    </row>
    <row r="1055">
      <c r="A1055" s="1"/>
      <c r="B1055" s="3" t="str">
        <f>IFERROR(__xludf.DUMMYFUNCTION("""COMPUTED_VALUE"""),"WALIDAWATI")</f>
        <v>WALIDAWATI</v>
      </c>
      <c r="C1055" s="3" t="str">
        <f>IFERROR(__xludf.DUMMYFUNCTION("""COMPUTED_VALUE"""),"W7324016038")</f>
        <v>W7324016038</v>
      </c>
      <c r="D1055" s="3">
        <f>IFERROR(__xludf.DUMMYFUNCTION("""COMPUTED_VALUE"""),52.0)</f>
        <v>52</v>
      </c>
      <c r="E1055" s="1"/>
    </row>
    <row r="1056">
      <c r="A1056" s="1"/>
      <c r="B1056" s="3" t="str">
        <f>IFERROR(__xludf.DUMMYFUNCTION("""COMPUTED_VALUE"""),"IRIS FIRMAN")</f>
        <v>IRIS FIRMAN</v>
      </c>
      <c r="C1056" s="3" t="str">
        <f>IFERROR(__xludf.DUMMYFUNCTION("""COMPUTED_VALUE"""),"I8924014474")</f>
        <v>I8924014474</v>
      </c>
      <c r="D1056" s="3">
        <f>IFERROR(__xludf.DUMMYFUNCTION("""COMPUTED_VALUE"""),36.0)</f>
        <v>36</v>
      </c>
      <c r="E1056" s="1"/>
    </row>
    <row r="1057">
      <c r="A1057" s="1"/>
      <c r="B1057" s="3" t="str">
        <f>IFERROR(__xludf.DUMMYFUNCTION("""COMPUTED_VALUE"""),"CINDY PRASTIKA")</f>
        <v>CINDY PRASTIKA</v>
      </c>
      <c r="C1057" s="3" t="str">
        <f>IFERROR(__xludf.DUMMYFUNCTION("""COMPUTED_VALUE"""),"C9424013317")</f>
        <v>C9424013317</v>
      </c>
      <c r="D1057" s="3">
        <f>IFERROR(__xludf.DUMMYFUNCTION("""COMPUTED_VALUE"""),31.0)</f>
        <v>31</v>
      </c>
      <c r="E1057" s="1"/>
    </row>
    <row r="1058">
      <c r="A1058" s="1"/>
      <c r="B1058" s="3" t="str">
        <f>IFERROR(__xludf.DUMMYFUNCTION("""COMPUTED_VALUE"""),"JONATHAN GANDHI CHANDRA")</f>
        <v>JONATHAN GANDHI CHANDRA</v>
      </c>
      <c r="C1058" s="3" t="str">
        <f>IFERROR(__xludf.DUMMYFUNCTION("""COMPUTED_VALUE"""),"J9924018284")</f>
        <v>J9924018284</v>
      </c>
      <c r="D1058" s="3">
        <f>IFERROR(__xludf.DUMMYFUNCTION("""COMPUTED_VALUE"""),27.0)</f>
        <v>27</v>
      </c>
      <c r="E1058" s="1"/>
    </row>
    <row r="1059">
      <c r="A1059" s="1"/>
      <c r="B1059" s="3" t="str">
        <f>IFERROR(__xludf.DUMMYFUNCTION("""COMPUTED_VALUE"""),"HOLY KRESTEAST PAGANE LOWA")</f>
        <v>HOLY KRESTEAST PAGANE LOWA</v>
      </c>
      <c r="C1059" s="3" t="str">
        <f>IFERROR(__xludf.DUMMYFUNCTION("""COMPUTED_VALUE"""),"H0624011791")</f>
        <v>H0624011791</v>
      </c>
      <c r="D1059" s="3">
        <f>IFERROR(__xludf.DUMMYFUNCTION("""COMPUTED_VALUE"""),19.0)</f>
        <v>19</v>
      </c>
      <c r="E1059" s="1"/>
    </row>
    <row r="1060">
      <c r="A1060" s="1"/>
      <c r="B1060" s="3" t="str">
        <f>IFERROR(__xludf.DUMMYFUNCTION("""COMPUTED_VALUE"""),"JIBRIEL TAQY ERFITTOV")</f>
        <v>JIBRIEL TAQY ERFITTOV</v>
      </c>
      <c r="C1060" s="3" t="str">
        <f>IFERROR(__xludf.DUMMYFUNCTION("""COMPUTED_VALUE"""),"J0324012685")</f>
        <v>J0324012685</v>
      </c>
      <c r="D1060" s="3">
        <f>IFERROR(__xludf.DUMMYFUNCTION("""COMPUTED_VALUE"""),23.0)</f>
        <v>23</v>
      </c>
      <c r="E1060" s="1"/>
    </row>
    <row r="1061">
      <c r="A1061" s="1"/>
      <c r="B1061" s="3" t="str">
        <f>IFERROR(__xludf.DUMMYFUNCTION("""COMPUTED_VALUE"""),"ANI RONIAH")</f>
        <v>ANI RONIAH</v>
      </c>
      <c r="C1061" s="3" t="str">
        <f>IFERROR(__xludf.DUMMYFUNCTION("""COMPUTED_VALUE"""),"A5124019123")</f>
        <v>A5124019123</v>
      </c>
      <c r="D1061" s="3">
        <f>IFERROR(__xludf.DUMMYFUNCTION("""COMPUTED_VALUE"""),75.0)</f>
        <v>75</v>
      </c>
      <c r="E1061" s="1"/>
    </row>
    <row r="1062">
      <c r="A1062" s="1"/>
      <c r="B1062" s="3" t="str">
        <f>IFERROR(__xludf.DUMMYFUNCTION("""COMPUTED_VALUE"""),"SUGENG JULIANTO")</f>
        <v>SUGENG JULIANTO</v>
      </c>
      <c r="C1062" s="3" t="str">
        <f>IFERROR(__xludf.DUMMYFUNCTION("""COMPUTED_VALUE"""),"S8624010802")</f>
        <v>S8624010802</v>
      </c>
      <c r="D1062" s="3">
        <f>IFERROR(__xludf.DUMMYFUNCTION("""COMPUTED_VALUE"""),39.0)</f>
        <v>39</v>
      </c>
      <c r="E1062" s="1"/>
    </row>
    <row r="1063">
      <c r="A1063" s="1"/>
      <c r="B1063" s="3" t="str">
        <f>IFERROR(__xludf.DUMMYFUNCTION("""COMPUTED_VALUE"""),"ZUWERTI")</f>
        <v>ZUWERTI</v>
      </c>
      <c r="C1063" s="3" t="str">
        <f>IFERROR(__xludf.DUMMYFUNCTION("""COMPUTED_VALUE"""),"Z6224019942")</f>
        <v>Z6224019942</v>
      </c>
      <c r="D1063" s="3">
        <f>IFERROR(__xludf.DUMMYFUNCTION("""COMPUTED_VALUE"""),63.0)</f>
        <v>63</v>
      </c>
      <c r="E1063" s="1"/>
    </row>
    <row r="1064">
      <c r="A1064" s="1"/>
      <c r="B1064" s="3" t="str">
        <f>IFERROR(__xludf.DUMMYFUNCTION("""COMPUTED_VALUE"""),"ANGGER SYAFELA PUTRA")</f>
        <v>ANGGER SYAFELA PUTRA</v>
      </c>
      <c r="C1064" s="3" t="str">
        <f>IFERROR(__xludf.DUMMYFUNCTION("""COMPUTED_VALUE"""),"A0024015518")</f>
        <v>A0024015518</v>
      </c>
      <c r="D1064" s="3">
        <f>IFERROR(__xludf.DUMMYFUNCTION("""COMPUTED_VALUE"""),25.0)</f>
        <v>25</v>
      </c>
      <c r="E1064" s="1"/>
    </row>
    <row r="1065">
      <c r="A1065" s="1"/>
      <c r="B1065" s="3" t="str">
        <f>IFERROR(__xludf.DUMMYFUNCTION("""COMPUTED_VALUE"""),"EVI SUKMAWATI")</f>
        <v>EVI SUKMAWATI</v>
      </c>
      <c r="C1065" s="3" t="str">
        <f>IFERROR(__xludf.DUMMYFUNCTION("""COMPUTED_VALUE"""),"E2424012844")</f>
        <v>E2424012844</v>
      </c>
      <c r="D1065" s="3">
        <f>IFERROR(__xludf.DUMMYFUNCTION("""COMPUTED_VALUE"""),2.0)</f>
        <v>2</v>
      </c>
      <c r="E1065" s="1"/>
    </row>
    <row r="1066">
      <c r="A1066" s="1"/>
      <c r="B1066" s="3" t="str">
        <f>IFERROR(__xludf.DUMMYFUNCTION("""COMPUTED_VALUE"""),"RAYNA HESTI NURAINI")</f>
        <v>RAYNA HESTI NURAINI</v>
      </c>
      <c r="C1066" s="3" t="str">
        <f>IFERROR(__xludf.DUMMYFUNCTION("""COMPUTED_VALUE"""),"R9024021894")</f>
        <v>R9024021894</v>
      </c>
      <c r="D1066" s="3">
        <f>IFERROR(__xludf.DUMMYFUNCTION("""COMPUTED_VALUE"""),35.0)</f>
        <v>35</v>
      </c>
      <c r="E1066" s="1"/>
    </row>
    <row r="1067">
      <c r="A1067" s="1"/>
      <c r="B1067" s="3" t="str">
        <f>IFERROR(__xludf.DUMMYFUNCTION("""COMPUTED_VALUE"""),"SUHARDI 6906")</f>
        <v>SUHARDI 6906</v>
      </c>
      <c r="C1067" s="3" t="str">
        <f>IFERROR(__xludf.DUMMYFUNCTION("""COMPUTED_VALUE"""),"S6924026185")</f>
        <v>S6924026185</v>
      </c>
      <c r="D1067" s="3">
        <f>IFERROR(__xludf.DUMMYFUNCTION("""COMPUTED_VALUE"""),57.0)</f>
        <v>57</v>
      </c>
      <c r="E1067" s="1"/>
    </row>
    <row r="1068">
      <c r="A1068" s="1"/>
      <c r="B1068" s="3" t="str">
        <f>IFERROR(__xludf.DUMMYFUNCTION("""COMPUTED_VALUE"""),"SUHARDI 8606")</f>
        <v>SUHARDI 8606</v>
      </c>
      <c r="C1068" s="3" t="str">
        <f>IFERROR(__xludf.DUMMYFUNCTION("""COMPUTED_VALUE"""),"S8624028256")</f>
        <v>S8624028256</v>
      </c>
      <c r="D1068" s="3">
        <f>IFERROR(__xludf.DUMMYFUNCTION("""COMPUTED_VALUE"""),40.0)</f>
        <v>40</v>
      </c>
      <c r="E1068" s="1"/>
    </row>
    <row r="1069">
      <c r="A1069" s="1"/>
      <c r="B1069" s="3" t="str">
        <f>IFERROR(__xludf.DUMMYFUNCTION("""COMPUTED_VALUE"""),"GERRY")</f>
        <v>GERRY</v>
      </c>
      <c r="C1069" s="3" t="str">
        <f>IFERROR(__xludf.DUMMYFUNCTION("""COMPUTED_VALUE"""),"G8624020821")</f>
        <v>G8624020821</v>
      </c>
      <c r="D1069" s="3">
        <f>IFERROR(__xludf.DUMMYFUNCTION("""COMPUTED_VALUE"""),39.0)</f>
        <v>39</v>
      </c>
      <c r="E1069" s="1"/>
    </row>
    <row r="1070">
      <c r="A1070" s="1"/>
      <c r="B1070" s="3" t="str">
        <f>IFERROR(__xludf.DUMMYFUNCTION("""COMPUTED_VALUE"""),"ALFAREL KEANU RADITYA")</f>
        <v>ALFAREL KEANU RADITYA</v>
      </c>
      <c r="C1070" s="3" t="str">
        <f>IFERROR(__xludf.DUMMYFUNCTION("""COMPUTED_VALUE"""),"A1524027000")</f>
        <v>A1524027000</v>
      </c>
      <c r="D1070" s="3">
        <f>IFERROR(__xludf.DUMMYFUNCTION("""COMPUTED_VALUE"""),10.0)</f>
        <v>10</v>
      </c>
      <c r="E1070" s="1"/>
    </row>
    <row r="1071">
      <c r="A1071" s="1"/>
      <c r="B1071" s="3" t="str">
        <f>IFERROR(__xludf.DUMMYFUNCTION("""COMPUTED_VALUE"""),"REZKI MAULISA")</f>
        <v>REZKI MAULISA</v>
      </c>
      <c r="C1071" s="3" t="str">
        <f>IFERROR(__xludf.DUMMYFUNCTION("""COMPUTED_VALUE"""),"R9724021830")</f>
        <v>R9724021830</v>
      </c>
      <c r="D1071" s="3">
        <f>IFERROR(__xludf.DUMMYFUNCTION("""COMPUTED_VALUE"""),28.0)</f>
        <v>28</v>
      </c>
      <c r="E1071" s="1"/>
    </row>
    <row r="1072">
      <c r="A1072" s="1"/>
      <c r="B1072" s="3" t="str">
        <f>IFERROR(__xludf.DUMMYFUNCTION("""COMPUTED_VALUE"""),"MARYANI")</f>
        <v>MARYANI</v>
      </c>
      <c r="C1072" s="3" t="str">
        <f>IFERROR(__xludf.DUMMYFUNCTION("""COMPUTED_VALUE"""),"M6624026372")</f>
        <v>M6624026372</v>
      </c>
      <c r="D1072" s="3">
        <f>IFERROR(__xludf.DUMMYFUNCTION("""COMPUTED_VALUE"""),60.0)</f>
        <v>60</v>
      </c>
      <c r="E1072" s="1"/>
    </row>
    <row r="1073">
      <c r="A1073" s="1"/>
      <c r="B1073" s="3" t="str">
        <f>IFERROR(__xludf.DUMMYFUNCTION("""COMPUTED_VALUE"""),"MUHAMMAD AGUS SYAHRANI")</f>
        <v>MUHAMMAD AGUS SYAHRANI</v>
      </c>
      <c r="C1073" s="3" t="str">
        <f>IFERROR(__xludf.DUMMYFUNCTION("""COMPUTED_VALUE"""),"M9524024408")</f>
        <v>M9524024408</v>
      </c>
      <c r="D1073" s="3">
        <f>IFERROR(__xludf.DUMMYFUNCTION("""COMPUTED_VALUE"""),30.0)</f>
        <v>30</v>
      </c>
      <c r="E1073" s="1"/>
    </row>
    <row r="1074">
      <c r="A1074" s="1"/>
      <c r="B1074" s="3" t="str">
        <f>IFERROR(__xludf.DUMMYFUNCTION("""COMPUTED_VALUE"""),"SUPIRMAN")</f>
        <v>SUPIRMAN</v>
      </c>
      <c r="C1074" s="3" t="str">
        <f>IFERROR(__xludf.DUMMYFUNCTION("""COMPUTED_VALUE"""),"S7324028417")</f>
        <v>S7324028417</v>
      </c>
      <c r="D1074" s="3">
        <f>IFERROR(__xludf.DUMMYFUNCTION("""COMPUTED_VALUE"""),53.0)</f>
        <v>53</v>
      </c>
      <c r="E1074" s="1"/>
    </row>
    <row r="1075">
      <c r="A1075" s="1"/>
      <c r="B1075" s="3" t="str">
        <f>IFERROR(__xludf.DUMMYFUNCTION("""COMPUTED_VALUE"""),"WAFI FEYZADIANSYAH")</f>
        <v>WAFI FEYZADIANSYAH</v>
      </c>
      <c r="C1075" s="3" t="str">
        <f>IFERROR(__xludf.DUMMYFUNCTION("""COMPUTED_VALUE"""),"W1124029684")</f>
        <v>W1124029684</v>
      </c>
      <c r="D1075" s="3">
        <f>IFERROR(__xludf.DUMMYFUNCTION("""COMPUTED_VALUE"""),15.0)</f>
        <v>15</v>
      </c>
      <c r="E1075" s="1"/>
    </row>
    <row r="1076">
      <c r="A1076" s="1"/>
      <c r="B1076" s="3" t="str">
        <f>IFERROR(__xludf.DUMMYFUNCTION("""COMPUTED_VALUE"""),"YASUMI")</f>
        <v>YASUMI</v>
      </c>
      <c r="C1076" s="3" t="str">
        <f>IFERROR(__xludf.DUMMYFUNCTION("""COMPUTED_VALUE"""),"Y5924027475")</f>
        <v>Y5924027475</v>
      </c>
      <c r="D1076" s="3">
        <f>IFERROR(__xludf.DUMMYFUNCTION("""COMPUTED_VALUE"""),66.0)</f>
        <v>66</v>
      </c>
      <c r="E1076" s="1"/>
    </row>
    <row r="1077">
      <c r="A1077" s="1"/>
      <c r="B1077" s="3" t="str">
        <f>IFERROR(__xludf.DUMMYFUNCTION("""COMPUTED_VALUE"""),"IRFAN SURYADI")</f>
        <v>IRFAN SURYADI</v>
      </c>
      <c r="C1077" s="3" t="str">
        <f>IFERROR(__xludf.DUMMYFUNCTION("""COMPUTED_VALUE"""),"I0224029098")</f>
        <v>I0224029098</v>
      </c>
      <c r="D1077" s="3">
        <f>IFERROR(__xludf.DUMMYFUNCTION("""COMPUTED_VALUE"""),24.0)</f>
        <v>24</v>
      </c>
      <c r="E1077" s="1"/>
    </row>
    <row r="1078">
      <c r="A1078" s="1"/>
      <c r="B1078" s="3" t="str">
        <f>IFERROR(__xludf.DUMMYFUNCTION("""COMPUTED_VALUE"""),"TRI INDRIANSTUTY")</f>
        <v>TRI INDRIANSTUTY</v>
      </c>
      <c r="C1078" s="3" t="str">
        <f>IFERROR(__xludf.DUMMYFUNCTION("""COMPUTED_VALUE"""),"T7124029581")</f>
        <v>T7124029581</v>
      </c>
      <c r="D1078" s="3">
        <f>IFERROR(__xludf.DUMMYFUNCTION("""COMPUTED_VALUE"""),55.0)</f>
        <v>55</v>
      </c>
      <c r="E1078" s="1"/>
    </row>
    <row r="1079">
      <c r="A1079" s="1"/>
      <c r="B1079" s="3" t="str">
        <f>IFERROR(__xludf.DUMMYFUNCTION("""COMPUTED_VALUE"""),"FREDY ADRIYANSA")</f>
        <v>FREDY ADRIYANSA</v>
      </c>
      <c r="C1079" s="3" t="str">
        <f>IFERROR(__xludf.DUMMYFUNCTION("""COMPUTED_VALUE"""),"F9224024001")</f>
        <v>F9224024001</v>
      </c>
      <c r="D1079" s="3">
        <f>IFERROR(__xludf.DUMMYFUNCTION("""COMPUTED_VALUE"""),34.0)</f>
        <v>34</v>
      </c>
      <c r="E1079" s="1"/>
    </row>
    <row r="1080">
      <c r="A1080" s="1"/>
      <c r="B1080" s="3" t="str">
        <f>IFERROR(__xludf.DUMMYFUNCTION("""COMPUTED_VALUE"""),"RUDY")</f>
        <v>RUDY</v>
      </c>
      <c r="C1080" s="3" t="str">
        <f>IFERROR(__xludf.DUMMYFUNCTION("""COMPUTED_VALUE"""),"R8624025558")</f>
        <v>R8624025558</v>
      </c>
      <c r="D1080" s="3">
        <f>IFERROR(__xludf.DUMMYFUNCTION("""COMPUTED_VALUE"""),39.0)</f>
        <v>39</v>
      </c>
      <c r="E1080" s="1"/>
    </row>
    <row r="1081">
      <c r="A1081" s="1"/>
      <c r="B1081" s="3" t="str">
        <f>IFERROR(__xludf.DUMMYFUNCTION("""COMPUTED_VALUE"""),"HARRY SALISTIWA")</f>
        <v>HARRY SALISTIWA</v>
      </c>
      <c r="C1081" s="3" t="str">
        <f>IFERROR(__xludf.DUMMYFUNCTION("""COMPUTED_VALUE"""),"H9024023660")</f>
        <v>H9024023660</v>
      </c>
      <c r="D1081" s="3">
        <f>IFERROR(__xludf.DUMMYFUNCTION("""COMPUTED_VALUE"""),36.0)</f>
        <v>36</v>
      </c>
      <c r="E1081" s="1"/>
    </row>
    <row r="1082">
      <c r="A1082" s="1"/>
      <c r="B1082" s="3" t="str">
        <f>IFERROR(__xludf.DUMMYFUNCTION("""COMPUTED_VALUE"""),"ARIFIN 63")</f>
        <v>ARIFIN 63</v>
      </c>
      <c r="C1082" s="3" t="str">
        <f>IFERROR(__xludf.DUMMYFUNCTION("""COMPUTED_VALUE"""),"A6324024210")</f>
        <v>A6324024210</v>
      </c>
      <c r="D1082" s="3">
        <f>IFERROR(__xludf.DUMMYFUNCTION("""COMPUTED_VALUE"""),63.0)</f>
        <v>63</v>
      </c>
      <c r="E1082" s="1"/>
    </row>
    <row r="1083">
      <c r="A1083" s="1"/>
      <c r="B1083" s="3" t="str">
        <f>IFERROR(__xludf.DUMMYFUNCTION("""COMPUTED_VALUE"""),"SASQIA MAYESTIKA ROVYANTRI")</f>
        <v>SASQIA MAYESTIKA ROVYANTRI</v>
      </c>
      <c r="C1083" s="3" t="str">
        <f>IFERROR(__xludf.DUMMYFUNCTION("""COMPUTED_VALUE"""),"S9824025273")</f>
        <v>S9824025273</v>
      </c>
      <c r="D1083" s="3">
        <f>IFERROR(__xludf.DUMMYFUNCTION("""COMPUTED_VALUE"""),27.0)</f>
        <v>27</v>
      </c>
      <c r="E1083" s="1"/>
    </row>
    <row r="1084">
      <c r="A1084" s="1"/>
      <c r="B1084" s="3" t="str">
        <f>IFERROR(__xludf.DUMMYFUNCTION("""COMPUTED_VALUE"""),"SUMIJAN")</f>
        <v>SUMIJAN</v>
      </c>
      <c r="C1084" s="3" t="str">
        <f>IFERROR(__xludf.DUMMYFUNCTION("""COMPUTED_VALUE"""),"S6724023691")</f>
        <v>S6724023691</v>
      </c>
      <c r="D1084" s="3">
        <f>IFERROR(__xludf.DUMMYFUNCTION("""COMPUTED_VALUE"""),58.0)</f>
        <v>58</v>
      </c>
      <c r="E1084" s="1"/>
    </row>
    <row r="1085">
      <c r="A1085" s="1"/>
      <c r="B1085" s="3" t="str">
        <f>IFERROR(__xludf.DUMMYFUNCTION("""COMPUTED_VALUE"""),"MUHAMMAD ADIB MUBARAK")</f>
        <v>MUHAMMAD ADIB MUBARAK</v>
      </c>
      <c r="C1085" s="3" t="str">
        <f>IFERROR(__xludf.DUMMYFUNCTION("""COMPUTED_VALUE"""),"M0124020466")</f>
        <v>M0124020466</v>
      </c>
      <c r="D1085" s="3">
        <f>IFERROR(__xludf.DUMMYFUNCTION("""COMPUTED_VALUE"""),25.0)</f>
        <v>25</v>
      </c>
      <c r="E1085" s="1"/>
    </row>
    <row r="1086">
      <c r="A1086" s="1"/>
      <c r="B1086" s="3" t="str">
        <f>IFERROR(__xludf.DUMMYFUNCTION("""COMPUTED_VALUE"""),"NANANG ANDRIYAS")</f>
        <v>NANANG ANDRIYAS</v>
      </c>
      <c r="C1086" s="3" t="str">
        <f>IFERROR(__xludf.DUMMYFUNCTION("""COMPUTED_VALUE"""),"N2424024160")</f>
        <v>N2424024160</v>
      </c>
      <c r="D1086" s="3">
        <f>IFERROR(__xludf.DUMMYFUNCTION("""COMPUTED_VALUE"""),2.0)</f>
        <v>2</v>
      </c>
      <c r="E1086" s="1"/>
    </row>
    <row r="1087">
      <c r="A1087" s="1"/>
      <c r="B1087" s="3" t="str">
        <f>IFERROR(__xludf.DUMMYFUNCTION("""COMPUTED_VALUE"""),"SEPTIANTO NURCAHYA ADITYA")</f>
        <v>SEPTIANTO NURCAHYA ADITYA</v>
      </c>
      <c r="C1087" s="3" t="str">
        <f>IFERROR(__xludf.DUMMYFUNCTION("""COMPUTED_VALUE"""),"S8824021988")</f>
        <v>S8824021988</v>
      </c>
      <c r="D1087" s="3">
        <f>IFERROR(__xludf.DUMMYFUNCTION("""COMPUTED_VALUE"""),37.0)</f>
        <v>37</v>
      </c>
      <c r="E1087" s="1"/>
    </row>
    <row r="1088">
      <c r="A1088" s="1"/>
      <c r="B1088" s="3" t="str">
        <f>IFERROR(__xludf.DUMMYFUNCTION("""COMPUTED_VALUE"""),"RIKI FABIAN")</f>
        <v>RIKI FABIAN</v>
      </c>
      <c r="C1088" s="3" t="str">
        <f>IFERROR(__xludf.DUMMYFUNCTION("""COMPUTED_VALUE"""),"R8424020226")</f>
        <v>R8424020226</v>
      </c>
      <c r="D1088" s="3">
        <f>IFERROR(__xludf.DUMMYFUNCTION("""COMPUTED_VALUE"""),42.0)</f>
        <v>42</v>
      </c>
      <c r="E1088" s="1"/>
    </row>
    <row r="1089">
      <c r="A1089" s="1"/>
      <c r="B1089" s="3" t="str">
        <f>IFERROR(__xludf.DUMMYFUNCTION("""COMPUTED_VALUE"""),"MASNAH")</f>
        <v>MASNAH</v>
      </c>
      <c r="C1089" s="3" t="str">
        <f>IFERROR(__xludf.DUMMYFUNCTION("""COMPUTED_VALUE"""),"M6124022484")</f>
        <v>M6124022484</v>
      </c>
      <c r="D1089" s="3">
        <f>IFERROR(__xludf.DUMMYFUNCTION("""COMPUTED_VALUE"""),65.0)</f>
        <v>65</v>
      </c>
      <c r="E1089" s="1"/>
    </row>
    <row r="1090">
      <c r="A1090" s="1"/>
      <c r="B1090" s="3" t="str">
        <f>IFERROR(__xludf.DUMMYFUNCTION("""COMPUTED_VALUE"""),"HUDA RABBANI")</f>
        <v>HUDA RABBANI</v>
      </c>
      <c r="C1090" s="3" t="str">
        <f>IFERROR(__xludf.DUMMYFUNCTION("""COMPUTED_VALUE"""),"H0024020248")</f>
        <v>H0024020248</v>
      </c>
      <c r="D1090" s="3">
        <f>IFERROR(__xludf.DUMMYFUNCTION("""COMPUTED_VALUE"""),26.0)</f>
        <v>26</v>
      </c>
      <c r="E1090" s="1"/>
    </row>
    <row r="1091">
      <c r="A1091" s="1"/>
      <c r="B1091" s="3" t="str">
        <f>IFERROR(__xludf.DUMMYFUNCTION("""COMPUTED_VALUE"""),"ALICE SUPIT")</f>
        <v>ALICE SUPIT</v>
      </c>
      <c r="C1091" s="3" t="str">
        <f>IFERROR(__xludf.DUMMYFUNCTION("""COMPUTED_VALUE"""),"A8524027190")</f>
        <v>A8524027190</v>
      </c>
      <c r="D1091" s="3">
        <f>IFERROR(__xludf.DUMMYFUNCTION("""COMPUTED_VALUE"""),40.0)</f>
        <v>40</v>
      </c>
      <c r="E1091" s="1"/>
    </row>
    <row r="1092">
      <c r="A1092" s="1"/>
      <c r="B1092" s="3" t="str">
        <f>IFERROR(__xludf.DUMMYFUNCTION("""COMPUTED_VALUE"""),"SYAHRUL A")</f>
        <v>SYAHRUL A</v>
      </c>
      <c r="C1092" s="3" t="str">
        <f>IFERROR(__xludf.DUMMYFUNCTION("""COMPUTED_VALUE"""),"S9824027698")</f>
        <v>S9824027698</v>
      </c>
      <c r="D1092" s="3">
        <f>IFERROR(__xludf.DUMMYFUNCTION("""COMPUTED_VALUE"""),28.0)</f>
        <v>28</v>
      </c>
      <c r="E1092" s="1"/>
    </row>
    <row r="1093">
      <c r="A1093" s="1"/>
      <c r="B1093" s="3" t="str">
        <f>IFERROR(__xludf.DUMMYFUNCTION("""COMPUTED_VALUE"""),"MOCHAMMAD HARRY FEBRIANDONO")</f>
        <v>MOCHAMMAD HARRY FEBRIANDONO</v>
      </c>
      <c r="C1093" s="3" t="str">
        <f>IFERROR(__xludf.DUMMYFUNCTION("""COMPUTED_VALUE"""),"M8624026952")</f>
        <v>M8624026952</v>
      </c>
      <c r="D1093" s="3">
        <f>IFERROR(__xludf.DUMMYFUNCTION("""COMPUTED_VALUE"""),40.0)</f>
        <v>40</v>
      </c>
      <c r="E1093" s="1"/>
    </row>
    <row r="1094">
      <c r="A1094" s="1"/>
      <c r="B1094" s="3" t="str">
        <f>IFERROR(__xludf.DUMMYFUNCTION("""COMPUTED_VALUE"""),"YOHANI")</f>
        <v>YOHANI</v>
      </c>
      <c r="C1094" s="3" t="str">
        <f>IFERROR(__xludf.DUMMYFUNCTION("""COMPUTED_VALUE"""),"Y6024024398")</f>
        <v>Y6024024398</v>
      </c>
      <c r="D1094" s="3">
        <f>IFERROR(__xludf.DUMMYFUNCTION("""COMPUTED_VALUE"""),66.0)</f>
        <v>66</v>
      </c>
      <c r="E1094" s="1"/>
    </row>
    <row r="1095">
      <c r="A1095" s="1"/>
      <c r="B1095" s="3" t="str">
        <f>IFERROR(__xludf.DUMMYFUNCTION("""COMPUTED_VALUE"""),"HAFIDZ IRMAN FAHREZA")</f>
        <v>HAFIDZ IRMAN FAHREZA</v>
      </c>
      <c r="C1095" s="3" t="str">
        <f>IFERROR(__xludf.DUMMYFUNCTION("""COMPUTED_VALUE"""),"H0324027815")</f>
        <v>H0324027815</v>
      </c>
      <c r="D1095" s="3">
        <f>IFERROR(__xludf.DUMMYFUNCTION("""COMPUTED_VALUE"""),23.0)</f>
        <v>23</v>
      </c>
      <c r="E1095" s="1"/>
    </row>
    <row r="1096">
      <c r="A1096" s="1"/>
      <c r="B1096" s="3" t="str">
        <f>IFERROR(__xludf.DUMMYFUNCTION("""COMPUTED_VALUE"""),"SALMIAH")</f>
        <v>SALMIAH</v>
      </c>
      <c r="C1096" s="3" t="str">
        <f>IFERROR(__xludf.DUMMYFUNCTION("""COMPUTED_VALUE"""),"S8524020115")</f>
        <v>S8524020115</v>
      </c>
      <c r="D1096" s="3">
        <f>IFERROR(__xludf.DUMMYFUNCTION("""COMPUTED_VALUE"""),41.0)</f>
        <v>41</v>
      </c>
      <c r="E1096" s="1"/>
    </row>
    <row r="1097">
      <c r="A1097" s="1"/>
      <c r="B1097" s="3" t="str">
        <f>IFERROR(__xludf.DUMMYFUNCTION("""COMPUTED_VALUE"""),"MINCE SILALAHI")</f>
        <v>MINCE SILALAHI</v>
      </c>
      <c r="C1097" s="3" t="str">
        <f>IFERROR(__xludf.DUMMYFUNCTION("""COMPUTED_VALUE"""),"M5824025375")</f>
        <v>M5824025375</v>
      </c>
      <c r="D1097" s="3">
        <f>IFERROR(__xludf.DUMMYFUNCTION("""COMPUTED_VALUE"""),67.0)</f>
        <v>67</v>
      </c>
      <c r="E1097" s="1"/>
    </row>
    <row r="1098">
      <c r="A1098" s="1"/>
      <c r="B1098" s="3" t="str">
        <f>IFERROR(__xludf.DUMMYFUNCTION("""COMPUTED_VALUE"""),"CHRISTINE PHUANTINUS")</f>
        <v>CHRISTINE PHUANTINUS</v>
      </c>
      <c r="C1098" s="3" t="str">
        <f>IFERROR(__xludf.DUMMYFUNCTION("""COMPUTED_VALUE"""),"C9624028605")</f>
        <v>C9624028605</v>
      </c>
      <c r="D1098" s="3">
        <f>IFERROR(__xludf.DUMMYFUNCTION("""COMPUTED_VALUE"""),29.0)</f>
        <v>29</v>
      </c>
      <c r="E1098" s="1"/>
    </row>
    <row r="1099">
      <c r="A1099" s="1"/>
      <c r="B1099" s="3" t="str">
        <f>IFERROR(__xludf.DUMMYFUNCTION("""COMPUTED_VALUE"""),"HARIS MUNANDAR")</f>
        <v>HARIS MUNANDAR</v>
      </c>
      <c r="C1099" s="3" t="str">
        <f>IFERROR(__xludf.DUMMYFUNCTION("""COMPUTED_VALUE"""),"H8924023768")</f>
        <v>H8924023768</v>
      </c>
      <c r="D1099" s="3">
        <f>IFERROR(__xludf.DUMMYFUNCTION("""COMPUTED_VALUE"""),36.0)</f>
        <v>36</v>
      </c>
      <c r="E1099" s="1"/>
    </row>
    <row r="1100">
      <c r="A1100" s="1"/>
      <c r="B1100" s="3" t="str">
        <f>IFERROR(__xludf.DUMMYFUNCTION("""COMPUTED_VALUE"""),"SUMA EMIL HABIBIE")</f>
        <v>SUMA EMIL HABIBIE</v>
      </c>
      <c r="C1100" s="3" t="str">
        <f>IFERROR(__xludf.DUMMYFUNCTION("""COMPUTED_VALUE"""),"S9824025681")</f>
        <v>S9824025681</v>
      </c>
      <c r="D1100" s="3">
        <f>IFERROR(__xludf.DUMMYFUNCTION("""COMPUTED_VALUE"""),28.0)</f>
        <v>28</v>
      </c>
      <c r="E1100" s="1"/>
    </row>
    <row r="1101">
      <c r="A1101" s="1"/>
      <c r="B1101" s="3" t="str">
        <f>IFERROR(__xludf.DUMMYFUNCTION("""COMPUTED_VALUE"""),"DIDI WINARNO")</f>
        <v>DIDI WINARNO</v>
      </c>
      <c r="C1101" s="3" t="str">
        <f>IFERROR(__xludf.DUMMYFUNCTION("""COMPUTED_VALUE"""),"D6324022945")</f>
        <v>D6324022945</v>
      </c>
      <c r="D1101" s="3">
        <f>IFERROR(__xludf.DUMMYFUNCTION("""COMPUTED_VALUE"""),63.0)</f>
        <v>63</v>
      </c>
      <c r="E1101" s="1"/>
    </row>
    <row r="1102">
      <c r="A1102" s="1"/>
      <c r="B1102" s="3" t="str">
        <f>IFERROR(__xludf.DUMMYFUNCTION("""COMPUTED_VALUE"""),"WITA TAKARI")</f>
        <v>WITA TAKARI</v>
      </c>
      <c r="C1102" s="3" t="str">
        <f>IFERROR(__xludf.DUMMYFUNCTION("""COMPUTED_VALUE"""),"W6524021052")</f>
        <v>W6524021052</v>
      </c>
      <c r="D1102" s="3">
        <f>IFERROR(__xludf.DUMMYFUNCTION("""COMPUTED_VALUE"""),60.0)</f>
        <v>60</v>
      </c>
      <c r="E1102" s="1"/>
    </row>
    <row r="1103">
      <c r="A1103" s="1"/>
      <c r="B1103" s="3" t="str">
        <f>IFERROR(__xludf.DUMMYFUNCTION("""COMPUTED_VALUE"""),"M HARDADI")</f>
        <v>M HARDADI</v>
      </c>
      <c r="C1103" s="3" t="str">
        <f>IFERROR(__xludf.DUMMYFUNCTION("""COMPUTED_VALUE"""),"M9424026155")</f>
        <v>M9424026155</v>
      </c>
      <c r="D1103" s="3">
        <f>IFERROR(__xludf.DUMMYFUNCTION("""COMPUTED_VALUE"""),31.0)</f>
        <v>31</v>
      </c>
      <c r="E1103" s="1"/>
    </row>
    <row r="1104">
      <c r="A1104" s="1"/>
      <c r="B1104" s="3" t="str">
        <f>IFERROR(__xludf.DUMMYFUNCTION("""COMPUTED_VALUE"""),"JANTI JONO")</f>
        <v>JANTI JONO</v>
      </c>
      <c r="C1104" s="3" t="str">
        <f>IFERROR(__xludf.DUMMYFUNCTION("""COMPUTED_VALUE"""),"J6924024545")</f>
        <v>J6924024545</v>
      </c>
      <c r="D1104" s="3">
        <f>IFERROR(__xludf.DUMMYFUNCTION("""COMPUTED_VALUE"""),56.0)</f>
        <v>56</v>
      </c>
      <c r="E1104" s="1"/>
    </row>
    <row r="1105">
      <c r="A1105" s="1"/>
      <c r="B1105" s="3" t="str">
        <f>IFERROR(__xludf.DUMMYFUNCTION("""COMPUTED_VALUE"""),"ASTUTI6512")</f>
        <v>ASTUTI6512</v>
      </c>
      <c r="C1105" s="3" t="str">
        <f>IFERROR(__xludf.DUMMYFUNCTION("""COMPUTED_VALUE"""),"A6524029278")</f>
        <v>A6524029278</v>
      </c>
      <c r="D1105" s="3">
        <f>IFERROR(__xludf.DUMMYFUNCTION("""COMPUTED_VALUE"""),60.0)</f>
        <v>60</v>
      </c>
      <c r="E1105" s="1"/>
    </row>
    <row r="1106">
      <c r="A1106" s="1"/>
      <c r="B1106" s="3" t="str">
        <f>IFERROR(__xludf.DUMMYFUNCTION("""COMPUTED_VALUE"""),"MATIUS PATASIK")</f>
        <v>MATIUS PATASIK</v>
      </c>
      <c r="C1106" s="3" t="str">
        <f>IFERROR(__xludf.DUMMYFUNCTION("""COMPUTED_VALUE"""),"M4924025669")</f>
        <v>M4924025669</v>
      </c>
      <c r="D1106" s="3">
        <f>IFERROR(__xludf.DUMMYFUNCTION("""COMPUTED_VALUE"""),76.0)</f>
        <v>76</v>
      </c>
      <c r="E1106" s="1"/>
    </row>
    <row r="1107">
      <c r="A1107" s="1"/>
      <c r="B1107" s="3" t="str">
        <f>IFERROR(__xludf.DUMMYFUNCTION("""COMPUTED_VALUE"""),"ASTUTI6406")</f>
        <v>ASTUTI6406</v>
      </c>
      <c r="C1107" s="3" t="str">
        <f>IFERROR(__xludf.DUMMYFUNCTION("""COMPUTED_VALUE"""),"A6424022761")</f>
        <v>A6424022761</v>
      </c>
      <c r="D1107" s="3">
        <f>IFERROR(__xludf.DUMMYFUNCTION("""COMPUTED_VALUE"""),62.0)</f>
        <v>62</v>
      </c>
      <c r="E1107" s="1"/>
    </row>
    <row r="1108">
      <c r="A1108" s="1"/>
      <c r="B1108" s="3" t="str">
        <f>IFERROR(__xludf.DUMMYFUNCTION("""COMPUTED_VALUE"""),"THE KOK SUN")</f>
        <v>THE KOK SUN</v>
      </c>
      <c r="C1108" s="3" t="str">
        <f>IFERROR(__xludf.DUMMYFUNCTION("""COMPUTED_VALUE"""),"T6124022761")</f>
        <v>T6124022761</v>
      </c>
      <c r="D1108" s="3">
        <f>IFERROR(__xludf.DUMMYFUNCTION("""COMPUTED_VALUE"""),64.0)</f>
        <v>64</v>
      </c>
      <c r="E1108" s="1"/>
    </row>
    <row r="1109">
      <c r="A1109" s="1"/>
      <c r="B1109" s="3" t="str">
        <f>IFERROR(__xludf.DUMMYFUNCTION("""COMPUTED_VALUE"""),"DIAZ DIRGANTARA")</f>
        <v>DIAZ DIRGANTARA</v>
      </c>
      <c r="C1109" s="3" t="str">
        <f>IFERROR(__xludf.DUMMYFUNCTION("""COMPUTED_VALUE"""),"D9424029094")</f>
        <v>D9424029094</v>
      </c>
      <c r="D1109" s="3">
        <f>IFERROR(__xludf.DUMMYFUNCTION("""COMPUTED_VALUE"""),32.0)</f>
        <v>32</v>
      </c>
      <c r="E1109" s="1"/>
    </row>
    <row r="1110">
      <c r="A1110" s="1"/>
      <c r="B1110" s="3" t="str">
        <f>IFERROR(__xludf.DUMMYFUNCTION("""COMPUTED_VALUE"""),"EKA BUDI PRASOJO")</f>
        <v>EKA BUDI PRASOJO</v>
      </c>
      <c r="C1110" s="3" t="str">
        <f>IFERROR(__xludf.DUMMYFUNCTION("""COMPUTED_VALUE"""),"E8524025888")</f>
        <v>E8524025888</v>
      </c>
      <c r="D1110" s="3">
        <f>IFERROR(__xludf.DUMMYFUNCTION("""COMPUTED_VALUE"""),41.0)</f>
        <v>41</v>
      </c>
      <c r="E1110" s="1"/>
    </row>
    <row r="1111">
      <c r="A1111" s="1"/>
      <c r="B1111" s="3" t="str">
        <f>IFERROR(__xludf.DUMMYFUNCTION("""COMPUTED_VALUE"""),"KEVIN")</f>
        <v>KEVIN</v>
      </c>
      <c r="C1111" s="3" t="str">
        <f>IFERROR(__xludf.DUMMYFUNCTION("""COMPUTED_VALUE"""),"K9724022877")</f>
        <v>K9724022877</v>
      </c>
      <c r="D1111" s="3">
        <f>IFERROR(__xludf.DUMMYFUNCTION("""COMPUTED_VALUE"""),29.0)</f>
        <v>29</v>
      </c>
      <c r="E1111" s="1"/>
    </row>
    <row r="1112">
      <c r="A1112" s="1"/>
      <c r="B1112" s="3" t="str">
        <f>IFERROR(__xludf.DUMMYFUNCTION("""COMPUTED_VALUE"""),"NAJWA.OKTAFANI")</f>
        <v>NAJWA.OKTAFANI</v>
      </c>
      <c r="C1112" s="3" t="str">
        <f>IFERROR(__xludf.DUMMYFUNCTION("""COMPUTED_VALUE"""),"N0924028156")</f>
        <v>N0924028156</v>
      </c>
      <c r="D1112" s="3">
        <f>IFERROR(__xludf.DUMMYFUNCTION("""COMPUTED_VALUE"""),16.0)</f>
        <v>16</v>
      </c>
      <c r="E1112" s="1"/>
    </row>
    <row r="1113">
      <c r="A1113" s="1"/>
      <c r="B1113" s="3" t="str">
        <f>IFERROR(__xludf.DUMMYFUNCTION("""COMPUTED_VALUE"""),"HJ. ASTUTI")</f>
        <v>HJ. ASTUTI</v>
      </c>
      <c r="C1113" s="3" t="str">
        <f>IFERROR(__xludf.DUMMYFUNCTION("""COMPUTED_VALUE"""),"H6324028312")</f>
        <v>H6324028312</v>
      </c>
      <c r="D1113" s="3">
        <f>IFERROR(__xludf.DUMMYFUNCTION("""COMPUTED_VALUE"""),62.0)</f>
        <v>62</v>
      </c>
      <c r="E1113" s="1"/>
    </row>
    <row r="1114">
      <c r="A1114" s="1"/>
      <c r="B1114" s="3" t="str">
        <f>IFERROR(__xludf.DUMMYFUNCTION("""COMPUTED_VALUE"""),"RIDHO KURNIAWAN")</f>
        <v>RIDHO KURNIAWAN</v>
      </c>
      <c r="C1114" s="3" t="str">
        <f>IFERROR(__xludf.DUMMYFUNCTION("""COMPUTED_VALUE"""),"R9024026663")</f>
        <v>R9024026663</v>
      </c>
      <c r="D1114" s="3">
        <f>IFERROR(__xludf.DUMMYFUNCTION("""COMPUTED_VALUE"""),35.0)</f>
        <v>35</v>
      </c>
      <c r="E1114" s="1"/>
    </row>
    <row r="1115">
      <c r="A1115" s="1"/>
      <c r="B1115" s="3" t="str">
        <f>IFERROR(__xludf.DUMMYFUNCTION("""COMPUTED_VALUE"""),"SHELVI MAYASARI")</f>
        <v>SHELVI MAYASARI</v>
      </c>
      <c r="C1115" s="3" t="str">
        <f>IFERROR(__xludf.DUMMYFUNCTION("""COMPUTED_VALUE"""),"S8624021808")</f>
        <v>S8624021808</v>
      </c>
      <c r="D1115" s="3">
        <f>IFERROR(__xludf.DUMMYFUNCTION("""COMPUTED_VALUE"""),40.0)</f>
        <v>40</v>
      </c>
      <c r="E1115" s="1"/>
    </row>
    <row r="1116">
      <c r="A1116" s="1"/>
      <c r="B1116" s="3" t="str">
        <f>IFERROR(__xludf.DUMMYFUNCTION("""COMPUTED_VALUE"""),"MUHAMMAD FIRMAN SAPUTRA")</f>
        <v>MUHAMMAD FIRMAN SAPUTRA</v>
      </c>
      <c r="C1116" s="3" t="str">
        <f>IFERROR(__xludf.DUMMYFUNCTION("""COMPUTED_VALUE"""),"M0524020310")</f>
        <v>M0524020310</v>
      </c>
      <c r="D1116" s="3">
        <f>IFERROR(__xludf.DUMMYFUNCTION("""COMPUTED_VALUE"""),20.0)</f>
        <v>20</v>
      </c>
      <c r="E1116" s="1"/>
    </row>
    <row r="1117">
      <c r="A1117" s="1"/>
      <c r="B1117" s="3" t="str">
        <f>IFERROR(__xludf.DUMMYFUNCTION("""COMPUTED_VALUE"""),"DINI HAITI ZULFANY")</f>
        <v>DINI HAITI ZULFANY</v>
      </c>
      <c r="C1117" s="3" t="str">
        <f>IFERROR(__xludf.DUMMYFUNCTION("""COMPUTED_VALUE"""),"D8724020001")</f>
        <v>D8724020001</v>
      </c>
      <c r="D1117" s="3">
        <f>IFERROR(__xludf.DUMMYFUNCTION("""COMPUTED_VALUE"""),38.0)</f>
        <v>38</v>
      </c>
      <c r="E1117" s="1"/>
    </row>
    <row r="1118">
      <c r="A1118" s="1"/>
      <c r="B1118" s="3" t="str">
        <f>IFERROR(__xludf.DUMMYFUNCTION("""COMPUTED_VALUE"""),"MULYADI")</f>
        <v>MULYADI</v>
      </c>
      <c r="C1118" s="3" t="str">
        <f>IFERROR(__xludf.DUMMYFUNCTION("""COMPUTED_VALUE"""),"M8324024745")</f>
        <v>M8324024745</v>
      </c>
      <c r="D1118" s="3">
        <f>IFERROR(__xludf.DUMMYFUNCTION("""COMPUTED_VALUE"""),42.0)</f>
        <v>42</v>
      </c>
      <c r="E1118" s="1"/>
    </row>
    <row r="1119">
      <c r="A1119" s="1"/>
      <c r="B1119" s="3" t="str">
        <f>IFERROR(__xludf.DUMMYFUNCTION("""COMPUTED_VALUE"""),"MU'IN")</f>
        <v>MU'IN</v>
      </c>
      <c r="C1119" s="3" t="str">
        <f>IFERROR(__xludf.DUMMYFUNCTION("""COMPUTED_VALUE"""),"M7324025544")</f>
        <v>M7324025544</v>
      </c>
      <c r="D1119" s="3">
        <f>IFERROR(__xludf.DUMMYFUNCTION("""COMPUTED_VALUE"""),52.0)</f>
        <v>52</v>
      </c>
      <c r="E1119" s="1"/>
    </row>
    <row r="1120">
      <c r="A1120" s="1"/>
      <c r="B1120" s="3" t="str">
        <f>IFERROR(__xludf.DUMMYFUNCTION("""COMPUTED_VALUE"""),"EVI BARONA WATI")</f>
        <v>EVI BARONA WATI</v>
      </c>
      <c r="C1120" s="3" t="str">
        <f>IFERROR(__xludf.DUMMYFUNCTION("""COMPUTED_VALUE"""),"E7524026604")</f>
        <v>E7524026604</v>
      </c>
      <c r="D1120" s="3">
        <f>IFERROR(__xludf.DUMMYFUNCTION("""COMPUTED_VALUE"""),50.0)</f>
        <v>50</v>
      </c>
      <c r="E1120" s="1"/>
    </row>
    <row r="1121">
      <c r="A1121" s="1"/>
      <c r="B1121" s="3" t="str">
        <f>IFERROR(__xludf.DUMMYFUNCTION("""COMPUTED_VALUE"""),"GALUH KUSUMA DHEWY")</f>
        <v>GALUH KUSUMA DHEWY</v>
      </c>
      <c r="C1121" s="3" t="str">
        <f>IFERROR(__xludf.DUMMYFUNCTION("""COMPUTED_VALUE"""),"G9424026161")</f>
        <v>G9424026161</v>
      </c>
      <c r="D1121" s="3">
        <f>IFERROR(__xludf.DUMMYFUNCTION("""COMPUTED_VALUE"""),31.0)</f>
        <v>31</v>
      </c>
      <c r="E1121" s="1"/>
    </row>
    <row r="1122">
      <c r="A1122" s="1"/>
      <c r="B1122" s="3" t="str">
        <f>IFERROR(__xludf.DUMMYFUNCTION("""COMPUTED_VALUE"""),"H SUWANDI M NOOR")</f>
        <v>H SUWANDI M NOOR</v>
      </c>
      <c r="C1122" s="3" t="str">
        <f>IFERROR(__xludf.DUMMYFUNCTION("""COMPUTED_VALUE"""),"H6124024288")</f>
        <v>H6124024288</v>
      </c>
      <c r="D1122" s="3">
        <f>IFERROR(__xludf.DUMMYFUNCTION("""COMPUTED_VALUE"""),64.0)</f>
        <v>64</v>
      </c>
      <c r="E1122" s="1"/>
    </row>
    <row r="1123">
      <c r="A1123" s="1"/>
      <c r="B1123" s="3" t="str">
        <f>IFERROR(__xludf.DUMMYFUNCTION("""COMPUTED_VALUE"""),"BARTOLOMEUS")</f>
        <v>BARTOLOMEUS</v>
      </c>
      <c r="C1123" s="3" t="str">
        <f>IFERROR(__xludf.DUMMYFUNCTION("""COMPUTED_VALUE"""),"B8924022946")</f>
        <v>B8924022946</v>
      </c>
      <c r="D1123" s="3">
        <f>IFERROR(__xludf.DUMMYFUNCTION("""COMPUTED_VALUE"""),36.0)</f>
        <v>36</v>
      </c>
      <c r="E1123" s="1"/>
    </row>
    <row r="1124">
      <c r="A1124" s="1"/>
      <c r="B1124" s="3" t="str">
        <f>IFERROR(__xludf.DUMMYFUNCTION("""COMPUTED_VALUE"""),"REZA NUGRAHA")</f>
        <v>REZA NUGRAHA</v>
      </c>
      <c r="C1124" s="3" t="str">
        <f>IFERROR(__xludf.DUMMYFUNCTION("""COMPUTED_VALUE"""),"R8924023579")</f>
        <v>R8924023579</v>
      </c>
      <c r="D1124" s="3">
        <f>IFERROR(__xludf.DUMMYFUNCTION("""COMPUTED_VALUE"""),36.0)</f>
        <v>36</v>
      </c>
      <c r="E1124" s="1"/>
    </row>
    <row r="1125">
      <c r="A1125" s="1"/>
      <c r="B1125" s="3" t="str">
        <f>IFERROR(__xludf.DUMMYFUNCTION("""COMPUTED_VALUE"""),"ANDHANIKA EVANUS APRI YAHYA")</f>
        <v>ANDHANIKA EVANUS APRI YAHYA</v>
      </c>
      <c r="C1125" s="3" t="str">
        <f>IFERROR(__xludf.DUMMYFUNCTION("""COMPUTED_VALUE"""),"A0124026708")</f>
        <v>A0124026708</v>
      </c>
      <c r="D1125" s="3">
        <f>IFERROR(__xludf.DUMMYFUNCTION("""COMPUTED_VALUE"""),25.0)</f>
        <v>25</v>
      </c>
      <c r="E1125" s="1"/>
    </row>
    <row r="1126">
      <c r="A1126" s="1"/>
      <c r="B1126" s="3" t="str">
        <f>IFERROR(__xludf.DUMMYFUNCTION("""COMPUTED_VALUE"""),"TRI HENDRI")</f>
        <v>TRI HENDRI</v>
      </c>
      <c r="C1126" s="3" t="str">
        <f>IFERROR(__xludf.DUMMYFUNCTION("""COMPUTED_VALUE"""),"T0024029074")</f>
        <v>T0024029074</v>
      </c>
      <c r="D1126" s="3">
        <f>IFERROR(__xludf.DUMMYFUNCTION("""COMPUTED_VALUE"""),25.0)</f>
        <v>25</v>
      </c>
      <c r="E1126" s="1"/>
    </row>
    <row r="1127">
      <c r="A1127" s="1"/>
      <c r="B1127" s="3" t="str">
        <f>IFERROR(__xludf.DUMMYFUNCTION("""COMPUTED_VALUE"""),"ANDRI TRIYADI")</f>
        <v>ANDRI TRIYADI</v>
      </c>
      <c r="C1127" s="3" t="str">
        <f>IFERROR(__xludf.DUMMYFUNCTION("""COMPUTED_VALUE"""),"A0524027812")</f>
        <v>A0524027812</v>
      </c>
      <c r="D1127" s="3">
        <f>IFERROR(__xludf.DUMMYFUNCTION("""COMPUTED_VALUE"""),21.0)</f>
        <v>21</v>
      </c>
      <c r="E1127" s="1"/>
    </row>
    <row r="1128">
      <c r="A1128" s="1"/>
      <c r="B1128" s="3" t="str">
        <f>IFERROR(__xludf.DUMMYFUNCTION("""COMPUTED_VALUE"""),"JEREMY RICHARD OSCARIAN DOO")</f>
        <v>JEREMY RICHARD OSCARIAN DOO</v>
      </c>
      <c r="C1128" s="3" t="str">
        <f>IFERROR(__xludf.DUMMYFUNCTION("""COMPUTED_VALUE"""),"J0724020818")</f>
        <v>J0724020818</v>
      </c>
      <c r="D1128" s="3">
        <f>IFERROR(__xludf.DUMMYFUNCTION("""COMPUTED_VALUE"""),19.0)</f>
        <v>19</v>
      </c>
      <c r="E1128" s="1"/>
    </row>
    <row r="1129">
      <c r="A1129" s="1"/>
      <c r="B1129" s="3" t="str">
        <f>IFERROR(__xludf.DUMMYFUNCTION("""COMPUTED_VALUE"""),"ADE SHANDRIE ARDIANSYAH")</f>
        <v>ADE SHANDRIE ARDIANSYAH</v>
      </c>
      <c r="C1129" s="3" t="str">
        <f>IFERROR(__xludf.DUMMYFUNCTION("""COMPUTED_VALUE"""),"A9824023305")</f>
        <v>A9824023305</v>
      </c>
      <c r="D1129" s="3">
        <f>IFERROR(__xludf.DUMMYFUNCTION("""COMPUTED_VALUE"""),27.0)</f>
        <v>27</v>
      </c>
      <c r="E1129" s="1"/>
    </row>
    <row r="1130">
      <c r="A1130" s="1"/>
      <c r="B1130" s="3" t="str">
        <f>IFERROR(__xludf.DUMMYFUNCTION("""COMPUTED_VALUE"""),"TRI SATYA PATRIARINI")</f>
        <v>TRI SATYA PATRIARINI</v>
      </c>
      <c r="C1130" s="3" t="str">
        <f>IFERROR(__xludf.DUMMYFUNCTION("""COMPUTED_VALUE"""),"T6524029549")</f>
        <v>T6524029549</v>
      </c>
      <c r="D1130" s="3">
        <f>IFERROR(__xludf.DUMMYFUNCTION("""COMPUTED_VALUE"""),60.0)</f>
        <v>60</v>
      </c>
      <c r="E1130" s="1"/>
    </row>
    <row r="1131">
      <c r="A1131" s="1"/>
      <c r="B1131" s="3" t="str">
        <f>IFERROR(__xludf.DUMMYFUNCTION("""COMPUTED_VALUE"""),"ADAM ZACHRY IMAN ZULKARNAIN")</f>
        <v>ADAM ZACHRY IMAN ZULKARNAIN</v>
      </c>
      <c r="C1131" s="3" t="str">
        <f>IFERROR(__xludf.DUMMYFUNCTION("""COMPUTED_VALUE"""),"A0724020119")</f>
        <v>A0724020119</v>
      </c>
      <c r="D1131" s="3">
        <f>IFERROR(__xludf.DUMMYFUNCTION("""COMPUTED_VALUE"""),18.0)</f>
        <v>18</v>
      </c>
      <c r="E1131" s="1"/>
    </row>
    <row r="1132">
      <c r="A1132" s="1"/>
      <c r="B1132" s="3" t="str">
        <f>IFERROR(__xludf.DUMMYFUNCTION("""COMPUTED_VALUE"""),"ENDANG ISNANINGSIH")</f>
        <v>ENDANG ISNANINGSIH</v>
      </c>
      <c r="C1132" s="3" t="str">
        <f>IFERROR(__xludf.DUMMYFUNCTION("""COMPUTED_VALUE"""),"E6124021162")</f>
        <v>E6124021162</v>
      </c>
      <c r="D1132" s="3">
        <f>IFERROR(__xludf.DUMMYFUNCTION("""COMPUTED_VALUE"""),65.0)</f>
        <v>65</v>
      </c>
      <c r="E1132" s="1"/>
    </row>
    <row r="1133">
      <c r="A1133" s="1"/>
      <c r="B1133" s="3" t="str">
        <f>IFERROR(__xludf.DUMMYFUNCTION("""COMPUTED_VALUE"""),"ALVIN LAWARDI")</f>
        <v>ALVIN LAWARDI</v>
      </c>
      <c r="C1133" s="3" t="str">
        <f>IFERROR(__xludf.DUMMYFUNCTION("""COMPUTED_VALUE"""),"A9724028829")</f>
        <v>A9724028829</v>
      </c>
      <c r="D1133" s="3">
        <f>IFERROR(__xludf.DUMMYFUNCTION("""COMPUTED_VALUE"""),28.0)</f>
        <v>28</v>
      </c>
      <c r="E1133" s="1"/>
    </row>
    <row r="1134">
      <c r="A1134" s="1"/>
      <c r="B1134" s="3" t="str">
        <f>IFERROR(__xludf.DUMMYFUNCTION("""COMPUTED_VALUE"""),"ERIC ARIYANTO")</f>
        <v>ERIC ARIYANTO</v>
      </c>
      <c r="C1134" s="3" t="str">
        <f>IFERROR(__xludf.DUMMYFUNCTION("""COMPUTED_VALUE"""),"E9124020914")</f>
        <v>E9124020914</v>
      </c>
      <c r="D1134" s="3">
        <f>IFERROR(__xludf.DUMMYFUNCTION("""COMPUTED_VALUE"""),34.0)</f>
        <v>34</v>
      </c>
      <c r="E1134" s="1"/>
    </row>
    <row r="1135">
      <c r="A1135" s="1"/>
      <c r="B1135" s="3" t="str">
        <f>IFERROR(__xludf.DUMMYFUNCTION("""COMPUTED_VALUE"""),"KONG LIE NA")</f>
        <v>KONG LIE NA</v>
      </c>
      <c r="C1135" s="3" t="str">
        <f>IFERROR(__xludf.DUMMYFUNCTION("""COMPUTED_VALUE"""),"K7624022399")</f>
        <v>K7624022399</v>
      </c>
      <c r="D1135" s="3">
        <f>IFERROR(__xludf.DUMMYFUNCTION("""COMPUTED_VALUE"""),49.0)</f>
        <v>49</v>
      </c>
      <c r="E1135" s="1"/>
    </row>
    <row r="1136">
      <c r="A1136" s="1"/>
      <c r="B1136" s="3" t="str">
        <f>IFERROR(__xludf.DUMMYFUNCTION("""COMPUTED_VALUE"""),"EKA WULANDARI")</f>
        <v>EKA WULANDARI</v>
      </c>
      <c r="C1136" s="3" t="str">
        <f>IFERROR(__xludf.DUMMYFUNCTION("""COMPUTED_VALUE"""),"E8224030821")</f>
        <v>E8224030821</v>
      </c>
      <c r="D1136" s="3">
        <f>IFERROR(__xludf.DUMMYFUNCTION("""COMPUTED_VALUE"""),44.0)</f>
        <v>44</v>
      </c>
      <c r="E1136" s="1"/>
    </row>
    <row r="1137">
      <c r="A1137" s="1"/>
      <c r="B1137" s="3" t="str">
        <f>IFERROR(__xludf.DUMMYFUNCTION("""COMPUTED_VALUE"""),"FIRMAN KETAPANG")</f>
        <v>FIRMAN KETAPANG</v>
      </c>
      <c r="C1137" s="3" t="str">
        <f>IFERROR(__xludf.DUMMYFUNCTION("""COMPUTED_VALUE"""),"F8524038644")</f>
        <v>F8524038644</v>
      </c>
      <c r="D1137" s="3">
        <f>IFERROR(__xludf.DUMMYFUNCTION("""COMPUTED_VALUE"""),41.0)</f>
        <v>41</v>
      </c>
      <c r="E1137" s="1"/>
    </row>
    <row r="1138">
      <c r="A1138" s="1"/>
      <c r="B1138" s="3" t="str">
        <f>IFERROR(__xludf.DUMMYFUNCTION("""COMPUTED_VALUE"""),"NOVIANTO LINATA")</f>
        <v>NOVIANTO LINATA</v>
      </c>
      <c r="C1138" s="3" t="str">
        <f>IFERROR(__xludf.DUMMYFUNCTION("""COMPUTED_VALUE"""),"N8724037888")</f>
        <v>N8724037888</v>
      </c>
      <c r="D1138" s="3">
        <f>IFERROR(__xludf.DUMMYFUNCTION("""COMPUTED_VALUE"""),38.0)</f>
        <v>38</v>
      </c>
      <c r="E1138" s="1"/>
    </row>
    <row r="1139">
      <c r="A1139" s="1"/>
      <c r="B1139" s="3" t="str">
        <f>IFERROR(__xludf.DUMMYFUNCTION("""COMPUTED_VALUE"""),"NERRY SUGIANA")</f>
        <v>NERRY SUGIANA</v>
      </c>
      <c r="C1139" s="3" t="str">
        <f>IFERROR(__xludf.DUMMYFUNCTION("""COMPUTED_VALUE"""),"N6824035120")</f>
        <v>N6824035120</v>
      </c>
      <c r="D1139" s="3">
        <f>IFERROR(__xludf.DUMMYFUNCTION("""COMPUTED_VALUE"""),58.0)</f>
        <v>58</v>
      </c>
      <c r="E1139" s="1"/>
    </row>
    <row r="1140">
      <c r="A1140" s="1"/>
      <c r="B1140" s="3" t="str">
        <f>IFERROR(__xludf.DUMMYFUNCTION("""COMPUTED_VALUE"""),"NAZHWA FEBBY HERIANTO")</f>
        <v>NAZHWA FEBBY HERIANTO</v>
      </c>
      <c r="C1140" s="3" t="str">
        <f>IFERROR(__xludf.DUMMYFUNCTION("""COMPUTED_VALUE"""),"N0524034200")</f>
        <v>N0524034200</v>
      </c>
      <c r="D1140" s="3">
        <f>IFERROR(__xludf.DUMMYFUNCTION("""COMPUTED_VALUE"""),21.0)</f>
        <v>21</v>
      </c>
      <c r="E1140" s="1"/>
    </row>
    <row r="1141">
      <c r="A1141" s="1"/>
      <c r="B1141" s="3" t="str">
        <f>IFERROR(__xludf.DUMMYFUNCTION("""COMPUTED_VALUE"""),"UMI SAPARIAH")</f>
        <v>UMI SAPARIAH</v>
      </c>
      <c r="C1141" s="3" t="str">
        <f>IFERROR(__xludf.DUMMYFUNCTION("""COMPUTED_VALUE"""),"U6824034194")</f>
        <v>U6824034194</v>
      </c>
      <c r="D1141" s="3">
        <f>IFERROR(__xludf.DUMMYFUNCTION("""COMPUTED_VALUE"""),58.0)</f>
        <v>58</v>
      </c>
      <c r="E1141" s="1"/>
    </row>
    <row r="1142">
      <c r="A1142" s="1"/>
      <c r="B1142" s="3" t="str">
        <f>IFERROR(__xludf.DUMMYFUNCTION("""COMPUTED_VALUE"""),"RASIAH")</f>
        <v>RASIAH</v>
      </c>
      <c r="C1142" s="3" t="str">
        <f>IFERROR(__xludf.DUMMYFUNCTION("""COMPUTED_VALUE"""),"R5524035225")</f>
        <v>R5524035225</v>
      </c>
      <c r="D1142" s="3">
        <f>IFERROR(__xludf.DUMMYFUNCTION("""COMPUTED_VALUE"""),70.0)</f>
        <v>70</v>
      </c>
      <c r="E1142" s="1"/>
    </row>
    <row r="1143">
      <c r="A1143" s="1"/>
      <c r="B1143" s="3" t="str">
        <f>IFERROR(__xludf.DUMMYFUNCTION("""COMPUTED_VALUE"""),"KENNETH CARMEN")</f>
        <v>KENNETH CARMEN</v>
      </c>
      <c r="C1143" s="3" t="str">
        <f>IFERROR(__xludf.DUMMYFUNCTION("""COMPUTED_VALUE"""),"K9924034069")</f>
        <v>K9924034069</v>
      </c>
      <c r="D1143" s="3">
        <f>IFERROR(__xludf.DUMMYFUNCTION("""COMPUTED_VALUE"""),26.0)</f>
        <v>26</v>
      </c>
      <c r="E1143" s="1"/>
    </row>
    <row r="1144">
      <c r="A1144" s="1"/>
      <c r="B1144" s="3" t="str">
        <f>IFERROR(__xludf.DUMMYFUNCTION("""COMPUTED_VALUE"""),"ERNAWATI LEHER")</f>
        <v>ERNAWATI LEHER</v>
      </c>
      <c r="C1144" s="3" t="str">
        <f>IFERROR(__xludf.DUMMYFUNCTION("""COMPUTED_VALUE"""),"E9424039040")</f>
        <v>E9424039040</v>
      </c>
      <c r="D1144" s="3">
        <f>IFERROR(__xludf.DUMMYFUNCTION("""COMPUTED_VALUE"""),32.0)</f>
        <v>32</v>
      </c>
      <c r="E1144" s="1"/>
    </row>
    <row r="1145">
      <c r="A1145" s="1"/>
      <c r="B1145" s="3" t="str">
        <f>IFERROR(__xludf.DUMMYFUNCTION("""COMPUTED_VALUE"""),"IRINE PUTRI ARFIANY")</f>
        <v>IRINE PUTRI ARFIANY</v>
      </c>
      <c r="C1145" s="3" t="str">
        <f>IFERROR(__xludf.DUMMYFUNCTION("""COMPUTED_VALUE"""),"I9324039638")</f>
        <v>I9324039638</v>
      </c>
      <c r="D1145" s="3">
        <f>IFERROR(__xludf.DUMMYFUNCTION("""COMPUTED_VALUE"""),32.0)</f>
        <v>32</v>
      </c>
      <c r="E1145" s="1"/>
    </row>
    <row r="1146">
      <c r="A1146" s="1"/>
      <c r="B1146" s="3" t="str">
        <f>IFERROR(__xludf.DUMMYFUNCTION("""COMPUTED_VALUE"""),"YANE TRISTIANTI")</f>
        <v>YANE TRISTIANTI</v>
      </c>
      <c r="C1146" s="3" t="str">
        <f>IFERROR(__xludf.DUMMYFUNCTION("""COMPUTED_VALUE"""),"Y7724037898")</f>
        <v>Y7724037898</v>
      </c>
      <c r="D1146" s="3">
        <f>IFERROR(__xludf.DUMMYFUNCTION("""COMPUTED_VALUE"""),49.0)</f>
        <v>49</v>
      </c>
      <c r="E1146" s="1"/>
    </row>
    <row r="1147">
      <c r="A1147" s="1"/>
      <c r="B1147" s="3" t="str">
        <f>IFERROR(__xludf.DUMMYFUNCTION("""COMPUTED_VALUE"""),"PRISTANTO NUGROHO SARLINTON")</f>
        <v>PRISTANTO NUGROHO SARLINTON</v>
      </c>
      <c r="C1147" s="3" t="str">
        <f>IFERROR(__xludf.DUMMYFUNCTION("""COMPUTED_VALUE"""),"P9024032828")</f>
        <v>P9024032828</v>
      </c>
      <c r="D1147" s="3">
        <f>IFERROR(__xludf.DUMMYFUNCTION("""COMPUTED_VALUE"""),36.0)</f>
        <v>36</v>
      </c>
      <c r="E1147" s="1"/>
    </row>
    <row r="1148">
      <c r="A1148" s="1"/>
      <c r="B1148" s="3" t="str">
        <f>IFERROR(__xludf.DUMMYFUNCTION("""COMPUTED_VALUE"""),"KHELLY CLOUDIA HAN")</f>
        <v>KHELLY CLOUDIA HAN</v>
      </c>
      <c r="C1148" s="3" t="str">
        <f>IFERROR(__xludf.DUMMYFUNCTION("""COMPUTED_VALUE"""),"K0524031005")</f>
        <v>K0524031005</v>
      </c>
      <c r="D1148" s="3">
        <f>IFERROR(__xludf.DUMMYFUNCTION("""COMPUTED_VALUE"""),20.0)</f>
        <v>20</v>
      </c>
      <c r="E1148" s="1"/>
    </row>
    <row r="1149">
      <c r="A1149" s="1"/>
      <c r="B1149" s="3" t="str">
        <f>IFERROR(__xludf.DUMMYFUNCTION("""COMPUTED_VALUE"""),"AHMADI IRIANSYAH")</f>
        <v>AHMADI IRIANSYAH</v>
      </c>
      <c r="C1149" s="3" t="str">
        <f>IFERROR(__xludf.DUMMYFUNCTION("""COMPUTED_VALUE"""),"A6024033325")</f>
        <v>A6024033325</v>
      </c>
      <c r="D1149" s="3">
        <f>IFERROR(__xludf.DUMMYFUNCTION("""COMPUTED_VALUE"""),66.0)</f>
        <v>66</v>
      </c>
      <c r="E1149" s="1"/>
    </row>
    <row r="1150">
      <c r="A1150" s="1"/>
      <c r="B1150" s="3" t="str">
        <f>IFERROR(__xludf.DUMMYFUNCTION("""COMPUTED_VALUE"""),"REZA DERMAWAN")</f>
        <v>REZA DERMAWAN</v>
      </c>
      <c r="C1150" s="3" t="str">
        <f>IFERROR(__xludf.DUMMYFUNCTION("""COMPUTED_VALUE"""),"R9724036916")</f>
        <v>R9724036916</v>
      </c>
      <c r="D1150" s="3">
        <f>IFERROR(__xludf.DUMMYFUNCTION("""COMPUTED_VALUE"""),28.0)</f>
        <v>28</v>
      </c>
      <c r="E1150" s="1"/>
    </row>
    <row r="1151">
      <c r="A1151" s="1"/>
      <c r="B1151" s="3" t="str">
        <f>IFERROR(__xludf.DUMMYFUNCTION("""COMPUTED_VALUE"""),"ALEXANDER ERICK")</f>
        <v>ALEXANDER ERICK</v>
      </c>
      <c r="C1151" s="3" t="str">
        <f>IFERROR(__xludf.DUMMYFUNCTION("""COMPUTED_VALUE"""),"A8824038829")</f>
        <v>A8824038829</v>
      </c>
      <c r="D1151" s="3">
        <f>IFERROR(__xludf.DUMMYFUNCTION("""COMPUTED_VALUE"""),37.0)</f>
        <v>37</v>
      </c>
      <c r="E1151" s="1"/>
    </row>
    <row r="1152">
      <c r="A1152" s="1"/>
      <c r="B1152" s="3" t="str">
        <f>IFERROR(__xludf.DUMMYFUNCTION("""COMPUTED_VALUE"""),"ADWAN HARTONO")</f>
        <v>ADWAN HARTONO</v>
      </c>
      <c r="C1152" s="3" t="str">
        <f>IFERROR(__xludf.DUMMYFUNCTION("""COMPUTED_VALUE"""),"A6824039810")</f>
        <v>A6824039810</v>
      </c>
      <c r="D1152" s="3">
        <f>IFERROR(__xludf.DUMMYFUNCTION("""COMPUTED_VALUE"""),57.0)</f>
        <v>57</v>
      </c>
      <c r="E1152" s="1"/>
    </row>
    <row r="1153">
      <c r="A1153" s="1"/>
      <c r="B1153" s="3" t="str">
        <f>IFERROR(__xludf.DUMMYFUNCTION("""COMPUTED_VALUE"""),"GESIT PUJI LARASATI")</f>
        <v>GESIT PUJI LARASATI</v>
      </c>
      <c r="C1153" s="3" t="str">
        <f>IFERROR(__xludf.DUMMYFUNCTION("""COMPUTED_VALUE"""),"G0424038938")</f>
        <v>G0424038938</v>
      </c>
      <c r="D1153" s="3">
        <f>IFERROR(__xludf.DUMMYFUNCTION("""COMPUTED_VALUE"""),21.0)</f>
        <v>21</v>
      </c>
      <c r="E1153" s="1"/>
    </row>
    <row r="1154">
      <c r="A1154" s="1"/>
      <c r="B1154" s="3" t="str">
        <f>IFERROR(__xludf.DUMMYFUNCTION("""COMPUTED_VALUE"""),"LANA LEVIA YURIANI PUTRI")</f>
        <v>LANA LEVIA YURIANI PUTRI</v>
      </c>
      <c r="C1154" s="3" t="str">
        <f>IFERROR(__xludf.DUMMYFUNCTION("""COMPUTED_VALUE"""),"L9624035040")</f>
        <v>L9624035040</v>
      </c>
      <c r="D1154" s="3">
        <f>IFERROR(__xludf.DUMMYFUNCTION("""COMPUTED_VALUE"""),30.0)</f>
        <v>30</v>
      </c>
      <c r="E1154" s="1"/>
    </row>
    <row r="1155">
      <c r="A1155" s="1"/>
      <c r="B1155" s="3" t="str">
        <f>IFERROR(__xludf.DUMMYFUNCTION("""COMPUTED_VALUE"""),"LUKAS PALAUN HERNANDIO PESSY")</f>
        <v>LUKAS PALAUN HERNANDIO PESSY</v>
      </c>
      <c r="C1155" s="3" t="str">
        <f>IFERROR(__xludf.DUMMYFUNCTION("""COMPUTED_VALUE"""),"L9624031708")</f>
        <v>L9624031708</v>
      </c>
      <c r="D1155" s="3">
        <f>IFERROR(__xludf.DUMMYFUNCTION("""COMPUTED_VALUE"""),29.0)</f>
        <v>29</v>
      </c>
      <c r="E1155" s="1"/>
    </row>
    <row r="1156">
      <c r="A1156" s="1"/>
      <c r="B1156" s="3" t="str">
        <f>IFERROR(__xludf.DUMMYFUNCTION("""COMPUTED_VALUE"""),"ROSALIA LOVILIA")</f>
        <v>ROSALIA LOVILIA</v>
      </c>
      <c r="C1156" s="3" t="str">
        <f>IFERROR(__xludf.DUMMYFUNCTION("""COMPUTED_VALUE"""),"R8224032208")</f>
        <v>R8224032208</v>
      </c>
      <c r="D1156" s="3">
        <f>IFERROR(__xludf.DUMMYFUNCTION("""COMPUTED_VALUE"""),44.0)</f>
        <v>44</v>
      </c>
      <c r="E1156" s="1"/>
    </row>
    <row r="1157">
      <c r="A1157" s="1"/>
      <c r="B1157" s="3" t="str">
        <f>IFERROR(__xludf.DUMMYFUNCTION("""COMPUTED_VALUE"""),"RAJA AQSHA P ANKLE")</f>
        <v>RAJA AQSHA P ANKLE</v>
      </c>
      <c r="C1157" s="3" t="str">
        <f>IFERROR(__xludf.DUMMYFUNCTION("""COMPUTED_VALUE"""),"R1024035743")</f>
        <v>R1024035743</v>
      </c>
      <c r="D1157" s="3">
        <f>IFERROR(__xludf.DUMMYFUNCTION("""COMPUTED_VALUE"""),16.0)</f>
        <v>16</v>
      </c>
      <c r="E1157" s="1"/>
    </row>
    <row r="1158">
      <c r="A1158" s="1"/>
      <c r="B1158" s="3" t="str">
        <f>IFERROR(__xludf.DUMMYFUNCTION("""COMPUTED_VALUE"""),"BAYU MARTIN ARSYAD")</f>
        <v>BAYU MARTIN ARSYAD</v>
      </c>
      <c r="C1158" s="3" t="str">
        <f>IFERROR(__xludf.DUMMYFUNCTION("""COMPUTED_VALUE"""),"B8424031303")</f>
        <v>B8424031303</v>
      </c>
      <c r="D1158" s="3">
        <f>IFERROR(__xludf.DUMMYFUNCTION("""COMPUTED_VALUE"""),42.0)</f>
        <v>42</v>
      </c>
      <c r="E1158" s="1"/>
    </row>
    <row r="1159">
      <c r="A1159" s="1"/>
      <c r="B1159" s="3" t="str">
        <f>IFERROR(__xludf.DUMMYFUNCTION("""COMPUTED_VALUE"""),"JENSEN")</f>
        <v>JENSEN</v>
      </c>
      <c r="C1159" s="3" t="str">
        <f>IFERROR(__xludf.DUMMYFUNCTION("""COMPUTED_VALUE"""),"J0924037008")</f>
        <v>J0924037008</v>
      </c>
      <c r="D1159" s="3">
        <f>IFERROR(__xludf.DUMMYFUNCTION("""COMPUTED_VALUE"""),16.0)</f>
        <v>16</v>
      </c>
      <c r="E1159" s="1"/>
    </row>
    <row r="1160">
      <c r="A1160" s="1"/>
      <c r="B1160" s="3" t="str">
        <f>IFERROR(__xludf.DUMMYFUNCTION("""COMPUTED_VALUE"""),"LIU SAN KHIM ALS SUFIANTO")</f>
        <v>LIU SAN KHIM ALS SUFIANTO</v>
      </c>
      <c r="C1160" s="3" t="str">
        <f>IFERROR(__xludf.DUMMYFUNCTION("""COMPUTED_VALUE"""),"L6324031128")</f>
        <v>L6324031128</v>
      </c>
      <c r="D1160" s="3">
        <f>IFERROR(__xludf.DUMMYFUNCTION("""COMPUTED_VALUE"""),62.0)</f>
        <v>62</v>
      </c>
      <c r="E1160" s="1"/>
    </row>
    <row r="1161">
      <c r="A1161" s="1"/>
      <c r="B1161" s="3" t="str">
        <f>IFERROR(__xludf.DUMMYFUNCTION("""COMPUTED_VALUE"""),"MIRA LESTINA")</f>
        <v>MIRA LESTINA</v>
      </c>
      <c r="C1161" s="3" t="str">
        <f>IFERROR(__xludf.DUMMYFUNCTION("""COMPUTED_VALUE"""),"M6624035095")</f>
        <v>M6624035095</v>
      </c>
      <c r="D1161" s="3">
        <f>IFERROR(__xludf.DUMMYFUNCTION("""COMPUTED_VALUE"""),59.0)</f>
        <v>59</v>
      </c>
      <c r="E1161" s="1"/>
    </row>
    <row r="1162">
      <c r="A1162" s="1"/>
      <c r="B1162" s="3" t="str">
        <f>IFERROR(__xludf.DUMMYFUNCTION("""COMPUTED_VALUE"""),"RAFIF WAHYU HABIBULLAH")</f>
        <v>RAFIF WAHYU HABIBULLAH</v>
      </c>
      <c r="C1162" s="3" t="str">
        <f>IFERROR(__xludf.DUMMYFUNCTION("""COMPUTED_VALUE"""),"R0524034905")</f>
        <v>R0524034905</v>
      </c>
      <c r="D1162" s="3">
        <f>IFERROR(__xludf.DUMMYFUNCTION("""COMPUTED_VALUE"""),20.0)</f>
        <v>20</v>
      </c>
      <c r="E1162" s="1"/>
    </row>
    <row r="1163">
      <c r="A1163" s="1"/>
      <c r="B1163" s="3" t="str">
        <f>IFERROR(__xludf.DUMMYFUNCTION("""COMPUTED_VALUE"""),"BERN WIDJATAMMA")</f>
        <v>BERN WIDJATAMMA</v>
      </c>
      <c r="C1163" s="3" t="str">
        <f>IFERROR(__xludf.DUMMYFUNCTION("""COMPUTED_VALUE"""),"B1524031912")</f>
        <v>B1524031912</v>
      </c>
      <c r="D1163" s="3">
        <f>IFERROR(__xludf.DUMMYFUNCTION("""COMPUTED_VALUE"""),10.0)</f>
        <v>10</v>
      </c>
      <c r="E1163" s="1"/>
    </row>
    <row r="1164">
      <c r="A1164" s="1"/>
      <c r="B1164" s="3" t="str">
        <f>IFERROR(__xludf.DUMMYFUNCTION("""COMPUTED_VALUE"""),"MUHAMMAD IQBAL NOVIANSYAH")</f>
        <v>MUHAMMAD IQBAL NOVIANSYAH</v>
      </c>
      <c r="C1164" s="3" t="str">
        <f>IFERROR(__xludf.DUMMYFUNCTION("""COMPUTED_VALUE"""),"M2424031093")</f>
        <v>M2424031093</v>
      </c>
      <c r="D1164" s="3">
        <f>IFERROR(__xludf.DUMMYFUNCTION("""COMPUTED_VALUE"""),2.0)</f>
        <v>2</v>
      </c>
      <c r="E1164" s="1"/>
    </row>
    <row r="1165">
      <c r="A1165" s="1"/>
      <c r="B1165" s="3" t="str">
        <f>IFERROR(__xludf.DUMMYFUNCTION("""COMPUTED_VALUE"""),"ERICSON CHANDRA JAP")</f>
        <v>ERICSON CHANDRA JAP</v>
      </c>
      <c r="C1165" s="3" t="str">
        <f>IFERROR(__xludf.DUMMYFUNCTION("""COMPUTED_VALUE"""),"E0024032808")</f>
        <v>E0024032808</v>
      </c>
      <c r="D1165" s="3">
        <f>IFERROR(__xludf.DUMMYFUNCTION("""COMPUTED_VALUE"""),25.0)</f>
        <v>25</v>
      </c>
      <c r="E1165" s="1"/>
    </row>
    <row r="1166">
      <c r="A1166" s="1"/>
      <c r="B1166" s="3" t="str">
        <f>IFERROR(__xludf.DUMMYFUNCTION("""COMPUTED_VALUE"""),"OLGA MAROLINA SIMANUNGKALIT")</f>
        <v>OLGA MAROLINA SIMANUNGKALIT</v>
      </c>
      <c r="C1166" s="3" t="str">
        <f>IFERROR(__xludf.DUMMYFUNCTION("""COMPUTED_VALUE"""),"O9424030947")</f>
        <v>O9424030947</v>
      </c>
      <c r="D1166" s="3">
        <f>IFERROR(__xludf.DUMMYFUNCTION("""COMPUTED_VALUE"""),31.0)</f>
        <v>31</v>
      </c>
      <c r="E1166" s="1"/>
    </row>
    <row r="1167">
      <c r="A1167" s="1"/>
      <c r="B1167" s="3" t="str">
        <f>IFERROR(__xludf.DUMMYFUNCTION("""COMPUTED_VALUE"""),"FINA VIDYA ALIFA")</f>
        <v>FINA VIDYA ALIFA</v>
      </c>
      <c r="C1167" s="3" t="str">
        <f>IFERROR(__xludf.DUMMYFUNCTION("""COMPUTED_VALUE"""),"F8424032728")</f>
        <v>F8424032728</v>
      </c>
      <c r="D1167" s="3">
        <f>IFERROR(__xludf.DUMMYFUNCTION("""COMPUTED_VALUE"""),41.0)</f>
        <v>41</v>
      </c>
      <c r="E1167" s="1"/>
    </row>
    <row r="1168">
      <c r="A1168" s="1"/>
      <c r="B1168" s="3" t="str">
        <f>IFERROR(__xludf.DUMMYFUNCTION("""COMPUTED_VALUE"""),"TEZA JOPLIN PAELONGAN")</f>
        <v>TEZA JOPLIN PAELONGAN</v>
      </c>
      <c r="C1168" s="3" t="str">
        <f>IFERROR(__xludf.DUMMYFUNCTION("""COMPUTED_VALUE"""),"T9724032757")</f>
        <v>T9724032757</v>
      </c>
      <c r="D1168" s="3">
        <f>IFERROR(__xludf.DUMMYFUNCTION("""COMPUTED_VALUE"""),29.0)</f>
        <v>29</v>
      </c>
      <c r="E1168" s="1"/>
    </row>
    <row r="1169">
      <c r="A1169" s="1"/>
      <c r="B1169" s="3" t="str">
        <f>IFERROR(__xludf.DUMMYFUNCTION("""COMPUTED_VALUE"""),"KEVIN SETIA BUDI SINAGA")</f>
        <v>KEVIN SETIA BUDI SINAGA</v>
      </c>
      <c r="C1169" s="3" t="str">
        <f>IFERROR(__xludf.DUMMYFUNCTION("""COMPUTED_VALUE"""),"K0524033156")</f>
        <v>K0524033156</v>
      </c>
      <c r="D1169" s="3">
        <f>IFERROR(__xludf.DUMMYFUNCTION("""COMPUTED_VALUE"""),20.0)</f>
        <v>20</v>
      </c>
      <c r="E1169" s="1"/>
    </row>
    <row r="1170">
      <c r="A1170" s="1"/>
      <c r="B1170" s="3" t="str">
        <f>IFERROR(__xludf.DUMMYFUNCTION("""COMPUTED_VALUE"""),"RIO SAPUTRA")</f>
        <v>RIO SAPUTRA</v>
      </c>
      <c r="C1170" s="3" t="str">
        <f>IFERROR(__xludf.DUMMYFUNCTION("""COMPUTED_VALUE"""),"R8824039853")</f>
        <v>R8824039853</v>
      </c>
      <c r="D1170" s="3">
        <f>IFERROR(__xludf.DUMMYFUNCTION("""COMPUTED_VALUE"""),38.0)</f>
        <v>38</v>
      </c>
      <c r="E1170" s="1"/>
    </row>
    <row r="1171">
      <c r="A1171" s="1"/>
      <c r="B1171" s="3" t="str">
        <f>IFERROR(__xludf.DUMMYFUNCTION("""COMPUTED_VALUE"""),"DIANA MEITA MAYANG SARI")</f>
        <v>DIANA MEITA MAYANG SARI</v>
      </c>
      <c r="C1171" s="3" t="str">
        <f>IFERROR(__xludf.DUMMYFUNCTION("""COMPUTED_VALUE"""),"D9124031196")</f>
        <v>D9124031196</v>
      </c>
      <c r="D1171" s="3">
        <f>IFERROR(__xludf.DUMMYFUNCTION("""COMPUTED_VALUE"""),35.0)</f>
        <v>35</v>
      </c>
      <c r="E1171" s="1"/>
    </row>
    <row r="1172">
      <c r="A1172" s="1"/>
      <c r="B1172" s="3" t="str">
        <f>IFERROR(__xludf.DUMMYFUNCTION("""COMPUTED_VALUE"""),"NAWAF RASYAD BASALIM")</f>
        <v>NAWAF RASYAD BASALIM</v>
      </c>
      <c r="C1172" s="3" t="str">
        <f>IFERROR(__xludf.DUMMYFUNCTION("""COMPUTED_VALUE"""),"N0924035151")</f>
        <v>N0924035151</v>
      </c>
      <c r="D1172" s="3">
        <f>IFERROR(__xludf.DUMMYFUNCTION("""COMPUTED_VALUE"""),16.0)</f>
        <v>16</v>
      </c>
      <c r="E1172" s="1"/>
    </row>
    <row r="1173">
      <c r="A1173" s="1"/>
      <c r="B1173" s="3" t="str">
        <f>IFERROR(__xludf.DUMMYFUNCTION("""COMPUTED_VALUE"""),"YUDHA PRABASKARA")</f>
        <v>YUDHA PRABASKARA</v>
      </c>
      <c r="C1173" s="3" t="str">
        <f>IFERROR(__xludf.DUMMYFUNCTION("""COMPUTED_VALUE"""),"Y0424034973")</f>
        <v>Y0424034973</v>
      </c>
      <c r="D1173" s="3">
        <f>IFERROR(__xludf.DUMMYFUNCTION("""COMPUTED_VALUE"""),21.0)</f>
        <v>21</v>
      </c>
      <c r="E1173" s="1"/>
    </row>
    <row r="1174">
      <c r="A1174" s="1"/>
      <c r="B1174" s="3" t="str">
        <f>IFERROR(__xludf.DUMMYFUNCTION("""COMPUTED_VALUE"""),"FERRY HERMAWAN SUSANTO")</f>
        <v>FERRY HERMAWAN SUSANTO</v>
      </c>
      <c r="C1174" s="3" t="str">
        <f>IFERROR(__xludf.DUMMYFUNCTION("""COMPUTED_VALUE"""),"F9024039100")</f>
        <v>F9024039100</v>
      </c>
      <c r="D1174" s="3">
        <f>IFERROR(__xludf.DUMMYFUNCTION("""COMPUTED_VALUE"""),35.0)</f>
        <v>35</v>
      </c>
      <c r="E1174" s="1"/>
    </row>
    <row r="1175">
      <c r="A1175" s="1"/>
      <c r="B1175" s="3" t="str">
        <f>IFERROR(__xludf.DUMMYFUNCTION("""COMPUTED_VALUE"""),"VICKY TJAHYADI")</f>
        <v>VICKY TJAHYADI</v>
      </c>
      <c r="C1175" s="3" t="str">
        <f>IFERROR(__xludf.DUMMYFUNCTION("""COMPUTED_VALUE"""),"V8824032966")</f>
        <v>V8824032966</v>
      </c>
      <c r="D1175" s="3">
        <f>IFERROR(__xludf.DUMMYFUNCTION("""COMPUTED_VALUE"""),38.0)</f>
        <v>38</v>
      </c>
      <c r="E1175" s="1"/>
    </row>
    <row r="1176">
      <c r="A1176" s="1"/>
      <c r="B1176" s="3" t="str">
        <f>IFERROR(__xludf.DUMMYFUNCTION("""COMPUTED_VALUE"""),"SALSABILLA DEVA")</f>
        <v>SALSABILLA DEVA</v>
      </c>
      <c r="C1176" s="3" t="str">
        <f>IFERROR(__xludf.DUMMYFUNCTION("""COMPUTED_VALUE"""),"S0024030915")</f>
        <v>S0024030915</v>
      </c>
      <c r="D1176" s="3">
        <f>IFERROR(__xludf.DUMMYFUNCTION("""COMPUTED_VALUE"""),25.0)</f>
        <v>25</v>
      </c>
      <c r="E1176" s="1"/>
    </row>
    <row r="1177">
      <c r="A1177" s="1"/>
      <c r="B1177" s="3" t="str">
        <f>IFERROR(__xludf.DUMMYFUNCTION("""COMPUTED_VALUE"""),"UTIN AINUN KASMIRI")</f>
        <v>UTIN AINUN KASMIRI</v>
      </c>
      <c r="C1177" s="3" t="str">
        <f>IFERROR(__xludf.DUMMYFUNCTION("""COMPUTED_VALUE"""),"U9824037587")</f>
        <v>U9824037587</v>
      </c>
      <c r="D1177" s="3">
        <f>IFERROR(__xludf.DUMMYFUNCTION("""COMPUTED_VALUE"""),27.0)</f>
        <v>27</v>
      </c>
      <c r="E1177" s="1"/>
    </row>
    <row r="1178">
      <c r="A1178" s="1"/>
      <c r="B1178" s="3" t="str">
        <f>IFERROR(__xludf.DUMMYFUNCTION("""COMPUTED_VALUE"""),"PRESTIAN RINDHO SAPUTRA")</f>
        <v>PRESTIAN RINDHO SAPUTRA</v>
      </c>
      <c r="C1178" s="3" t="str">
        <f>IFERROR(__xludf.DUMMYFUNCTION("""COMPUTED_VALUE"""),"P8824034466")</f>
        <v>P8824034466</v>
      </c>
      <c r="D1178" s="3">
        <f>IFERROR(__xludf.DUMMYFUNCTION("""COMPUTED_VALUE"""),37.0)</f>
        <v>37</v>
      </c>
      <c r="E1178" s="1"/>
    </row>
    <row r="1179">
      <c r="A1179" s="1"/>
      <c r="B1179" s="3" t="str">
        <f>IFERROR(__xludf.DUMMYFUNCTION("""COMPUTED_VALUE"""),"DIAH ISLAMIATI")</f>
        <v>DIAH ISLAMIATI</v>
      </c>
      <c r="C1179" s="3" t="str">
        <f>IFERROR(__xludf.DUMMYFUNCTION("""COMPUTED_VALUE"""),"D9724031790")</f>
        <v>D9724031790</v>
      </c>
      <c r="D1179" s="3">
        <f>IFERROR(__xludf.DUMMYFUNCTION("""COMPUTED_VALUE"""),29.0)</f>
        <v>29</v>
      </c>
      <c r="E1179" s="1"/>
    </row>
    <row r="1180">
      <c r="A1180" s="1"/>
      <c r="B1180" s="3" t="str">
        <f>IFERROR(__xludf.DUMMYFUNCTION("""COMPUTED_VALUE"""),"GREGERIUS SATRIO")</f>
        <v>GREGERIUS SATRIO</v>
      </c>
      <c r="C1180" s="3" t="str">
        <f>IFERROR(__xludf.DUMMYFUNCTION("""COMPUTED_VALUE"""),"G0524033881")</f>
        <v>G0524033881</v>
      </c>
      <c r="D1180" s="3">
        <f>IFERROR(__xludf.DUMMYFUNCTION("""COMPUTED_VALUE"""),20.0)</f>
        <v>20</v>
      </c>
      <c r="E1180" s="1"/>
    </row>
    <row r="1181">
      <c r="A1181" s="1"/>
      <c r="B1181" s="3" t="str">
        <f>IFERROR(__xludf.DUMMYFUNCTION("""COMPUTED_VALUE"""),"NIRWANI")</f>
        <v>NIRWANI</v>
      </c>
      <c r="C1181" s="3" t="str">
        <f>IFERROR(__xludf.DUMMYFUNCTION("""COMPUTED_VALUE"""),"N6524033730")</f>
        <v>N6524033730</v>
      </c>
      <c r="D1181" s="3">
        <f>IFERROR(__xludf.DUMMYFUNCTION("""COMPUTED_VALUE"""),60.0)</f>
        <v>60</v>
      </c>
      <c r="E1181" s="1"/>
    </row>
    <row r="1182">
      <c r="A1182" s="1"/>
      <c r="B1182" s="3" t="str">
        <f>IFERROR(__xludf.DUMMYFUNCTION("""COMPUTED_VALUE"""),"JOHRI")</f>
        <v>JOHRI</v>
      </c>
      <c r="C1182" s="3" t="str">
        <f>IFERROR(__xludf.DUMMYFUNCTION("""COMPUTED_VALUE"""),"J7724036644")</f>
        <v>J7724036644</v>
      </c>
      <c r="D1182" s="3">
        <f>IFERROR(__xludf.DUMMYFUNCTION("""COMPUTED_VALUE"""),48.0)</f>
        <v>48</v>
      </c>
      <c r="E1182" s="1"/>
    </row>
    <row r="1183">
      <c r="A1183" s="1"/>
      <c r="B1183" s="3" t="str">
        <f>IFERROR(__xludf.DUMMYFUNCTION("""COMPUTED_VALUE"""),"DEKI DEVIANDI")</f>
        <v>DEKI DEVIANDI</v>
      </c>
      <c r="C1183" s="3" t="str">
        <f>IFERROR(__xludf.DUMMYFUNCTION("""COMPUTED_VALUE"""),"D8924032283")</f>
        <v>D8924032283</v>
      </c>
      <c r="D1183" s="3">
        <f>IFERROR(__xludf.DUMMYFUNCTION("""COMPUTED_VALUE"""),36.0)</f>
        <v>36</v>
      </c>
      <c r="E1183" s="1"/>
    </row>
    <row r="1184">
      <c r="A1184" s="1"/>
      <c r="B1184" s="3" t="str">
        <f>IFERROR(__xludf.DUMMYFUNCTION("""COMPUTED_VALUE"""),"MINI PURWANTI")</f>
        <v>MINI PURWANTI</v>
      </c>
      <c r="C1184" s="3" t="str">
        <f>IFERROR(__xludf.DUMMYFUNCTION("""COMPUTED_VALUE"""),"M7424030650")</f>
        <v>M7424030650</v>
      </c>
      <c r="D1184" s="3">
        <f>IFERROR(__xludf.DUMMYFUNCTION("""COMPUTED_VALUE"""),51.0)</f>
        <v>51</v>
      </c>
      <c r="E1184" s="1"/>
    </row>
    <row r="1185">
      <c r="A1185" s="1"/>
      <c r="B1185" s="3" t="str">
        <f>IFERROR(__xludf.DUMMYFUNCTION("""COMPUTED_VALUE"""),"AGNES VERONIKA")</f>
        <v>AGNES VERONIKA</v>
      </c>
      <c r="C1185" s="3" t="str">
        <f>IFERROR(__xludf.DUMMYFUNCTION("""COMPUTED_VALUE"""),"A9224038209")</f>
        <v>A9224038209</v>
      </c>
      <c r="D1185" s="3">
        <f>IFERROR(__xludf.DUMMYFUNCTION("""COMPUTED_VALUE"""),33.0)</f>
        <v>33</v>
      </c>
      <c r="E1185" s="1"/>
    </row>
    <row r="1186">
      <c r="A1186" s="1"/>
      <c r="B1186" s="3" t="str">
        <f>IFERROR(__xludf.DUMMYFUNCTION("""COMPUTED_VALUE"""),"ELY")</f>
        <v>ELY</v>
      </c>
      <c r="C1186" s="3" t="str">
        <f>IFERROR(__xludf.DUMMYFUNCTION("""COMPUTED_VALUE"""),"E7324031888")</f>
        <v>E7324031888</v>
      </c>
      <c r="D1186" s="3">
        <f>IFERROR(__xludf.DUMMYFUNCTION("""COMPUTED_VALUE"""),52.0)</f>
        <v>52</v>
      </c>
      <c r="E1186" s="1"/>
    </row>
    <row r="1187">
      <c r="A1187" s="1"/>
      <c r="B1187" s="3" t="str">
        <f>IFERROR(__xludf.DUMMYFUNCTION("""COMPUTED_VALUE"""),"USWATUN HASANAH")</f>
        <v>USWATUN HASANAH</v>
      </c>
      <c r="C1187" s="3" t="str">
        <f>IFERROR(__xludf.DUMMYFUNCTION("""COMPUTED_VALUE"""),"U9024039944")</f>
        <v>U9024039944</v>
      </c>
      <c r="D1187" s="3">
        <f>IFERROR(__xludf.DUMMYFUNCTION("""COMPUTED_VALUE"""),36.0)</f>
        <v>36</v>
      </c>
      <c r="E1187" s="1"/>
    </row>
    <row r="1188">
      <c r="A1188" s="1"/>
      <c r="B1188" s="3" t="str">
        <f>IFERROR(__xludf.DUMMYFUNCTION("""COMPUTED_VALUE"""),"A. HAMID")</f>
        <v>A. HAMID</v>
      </c>
      <c r="C1188" s="3" t="str">
        <f>IFERROR(__xludf.DUMMYFUNCTION("""COMPUTED_VALUE"""),"A6224036204")</f>
        <v>A6224036204</v>
      </c>
      <c r="D1188" s="3">
        <f>IFERROR(__xludf.DUMMYFUNCTION("""COMPUTED_VALUE"""),63.0)</f>
        <v>63</v>
      </c>
      <c r="E1188" s="1"/>
    </row>
    <row r="1189">
      <c r="A1189" s="1"/>
      <c r="B1189" s="3" t="str">
        <f>IFERROR(__xludf.DUMMYFUNCTION("""COMPUTED_VALUE"""),"RAIHELFIRSTKEIN FINSAE")</f>
        <v>RAIHELFIRSTKEIN FINSAE</v>
      </c>
      <c r="C1189" s="3" t="str">
        <f>IFERROR(__xludf.DUMMYFUNCTION("""COMPUTED_VALUE"""),"R0624034271")</f>
        <v>R0624034271</v>
      </c>
      <c r="D1189" s="3">
        <f>IFERROR(__xludf.DUMMYFUNCTION("""COMPUTED_VALUE"""),20.0)</f>
        <v>20</v>
      </c>
      <c r="E1189" s="1"/>
    </row>
    <row r="1190">
      <c r="A1190" s="1"/>
      <c r="B1190" s="3" t="str">
        <f>IFERROR(__xludf.DUMMYFUNCTION("""COMPUTED_VALUE"""),"YOKA MIRANI")</f>
        <v>YOKA MIRANI</v>
      </c>
      <c r="C1190" s="3" t="str">
        <f>IFERROR(__xludf.DUMMYFUNCTION("""COMPUTED_VALUE"""),"Y9424036638")</f>
        <v>Y9424036638</v>
      </c>
      <c r="D1190" s="3">
        <f>IFERROR(__xludf.DUMMYFUNCTION("""COMPUTED_VALUE"""),32.0)</f>
        <v>32</v>
      </c>
      <c r="E1190" s="1"/>
    </row>
    <row r="1191">
      <c r="A1191" s="1"/>
      <c r="B1191" s="3" t="str">
        <f>IFERROR(__xludf.DUMMYFUNCTION("""COMPUTED_VALUE"""),"FAHRI ANANDA PUTRA")</f>
        <v>FAHRI ANANDA PUTRA</v>
      </c>
      <c r="C1191" s="3" t="str">
        <f>IFERROR(__xludf.DUMMYFUNCTION("""COMPUTED_VALUE"""),"F1124032482")</f>
        <v>F1124032482</v>
      </c>
      <c r="D1191" s="3">
        <f>IFERROR(__xludf.DUMMYFUNCTION("""COMPUTED_VALUE"""),14.0)</f>
        <v>14</v>
      </c>
      <c r="E1191" s="1"/>
    </row>
    <row r="1192">
      <c r="A1192" s="1"/>
      <c r="B1192" s="3" t="str">
        <f>IFERROR(__xludf.DUMMYFUNCTION("""COMPUTED_VALUE"""),"ULLY FAKHRUNI")</f>
        <v>ULLY FAKHRUNI</v>
      </c>
      <c r="C1192" s="3" t="str">
        <f>IFERROR(__xludf.DUMMYFUNCTION("""COMPUTED_VALUE"""),"U9324035809")</f>
        <v>U9324035809</v>
      </c>
      <c r="D1192" s="3">
        <f>IFERROR(__xludf.DUMMYFUNCTION("""COMPUTED_VALUE"""),32.0)</f>
        <v>32</v>
      </c>
      <c r="E1192" s="1"/>
    </row>
    <row r="1193">
      <c r="A1193" s="1"/>
      <c r="B1193" s="3" t="str">
        <f>IFERROR(__xludf.DUMMYFUNCTION("""COMPUTED_VALUE"""),"YOGI EGA SAPUTRA")</f>
        <v>YOGI EGA SAPUTRA</v>
      </c>
      <c r="C1193" s="3" t="str">
        <f>IFERROR(__xludf.DUMMYFUNCTION("""COMPUTED_VALUE"""),"Y9724037446")</f>
        <v>Y9724037446</v>
      </c>
      <c r="D1193" s="3">
        <f>IFERROR(__xludf.DUMMYFUNCTION("""COMPUTED_VALUE"""),29.0)</f>
        <v>29</v>
      </c>
      <c r="E1193" s="1"/>
    </row>
    <row r="1194">
      <c r="A1194" s="1"/>
      <c r="B1194" s="3" t="str">
        <f>IFERROR(__xludf.DUMMYFUNCTION("""COMPUTED_VALUE"""),"FORGENSIUS YOGI")</f>
        <v>FORGENSIUS YOGI</v>
      </c>
      <c r="C1194" s="3" t="str">
        <f>IFERROR(__xludf.DUMMYFUNCTION("""COMPUTED_VALUE"""),"F0724032482")</f>
        <v>F0724032482</v>
      </c>
      <c r="D1194" s="3">
        <f>IFERROR(__xludf.DUMMYFUNCTION("""COMPUTED_VALUE"""),19.0)</f>
        <v>19</v>
      </c>
      <c r="E1194" s="1"/>
    </row>
    <row r="1195">
      <c r="A1195" s="1"/>
      <c r="B1195" s="3" t="str">
        <f>IFERROR(__xludf.DUMMYFUNCTION("""COMPUTED_VALUE"""),"DAUHAH YUSUF")</f>
        <v>DAUHAH YUSUF</v>
      </c>
      <c r="C1195" s="3" t="str">
        <f>IFERROR(__xludf.DUMMYFUNCTION("""COMPUTED_VALUE"""),"D5424034604")</f>
        <v>D5424034604</v>
      </c>
      <c r="D1195" s="3">
        <f>IFERROR(__xludf.DUMMYFUNCTION("""COMPUTED_VALUE"""),71.0)</f>
        <v>71</v>
      </c>
      <c r="E1195" s="1"/>
    </row>
    <row r="1196">
      <c r="A1196" s="1"/>
      <c r="B1196" s="3" t="str">
        <f>IFERROR(__xludf.DUMMYFUNCTION("""COMPUTED_VALUE"""),"NELLY IRIANTI")</f>
        <v>NELLY IRIANTI</v>
      </c>
      <c r="C1196" s="3" t="str">
        <f>IFERROR(__xludf.DUMMYFUNCTION("""COMPUTED_VALUE"""),"N6224030202")</f>
        <v>N6224030202</v>
      </c>
      <c r="D1196" s="3">
        <f>IFERROR(__xludf.DUMMYFUNCTION("""COMPUTED_VALUE"""),64.0)</f>
        <v>64</v>
      </c>
      <c r="E1196" s="1"/>
    </row>
    <row r="1197">
      <c r="A1197" s="1"/>
      <c r="B1197" s="3" t="str">
        <f>IFERROR(__xludf.DUMMYFUNCTION("""COMPUTED_VALUE"""),"HERLINA")</f>
        <v>HERLINA</v>
      </c>
      <c r="C1197" s="3" t="str">
        <f>IFERROR(__xludf.DUMMYFUNCTION("""COMPUTED_VALUE"""),"H6624039139")</f>
        <v>H6624039139</v>
      </c>
      <c r="D1197" s="3">
        <f>IFERROR(__xludf.DUMMYFUNCTION("""COMPUTED_VALUE"""),59.0)</f>
        <v>59</v>
      </c>
      <c r="E1197" s="1"/>
    </row>
    <row r="1198">
      <c r="A1198" s="1"/>
      <c r="B1198" s="3" t="str">
        <f>IFERROR(__xludf.DUMMYFUNCTION("""COMPUTED_VALUE"""),"UTIN RIA UNTANIA HIKMAH")</f>
        <v>UTIN RIA UNTANIA HIKMAH</v>
      </c>
      <c r="C1198" s="3" t="str">
        <f>IFERROR(__xludf.DUMMYFUNCTION("""COMPUTED_VALUE"""),"U9124033500")</f>
        <v>U9124033500</v>
      </c>
      <c r="D1198" s="3">
        <f>IFERROR(__xludf.DUMMYFUNCTION("""COMPUTED_VALUE"""),34.0)</f>
        <v>34</v>
      </c>
      <c r="E1198" s="1"/>
    </row>
    <row r="1199">
      <c r="A1199" s="1"/>
      <c r="B1199" s="3" t="str">
        <f>IFERROR(__xludf.DUMMYFUNCTION("""COMPUTED_VALUE"""),"ABDUL RAHIM 7107")</f>
        <v>ABDUL RAHIM 7107</v>
      </c>
      <c r="C1199" s="3" t="str">
        <f>IFERROR(__xludf.DUMMYFUNCTION("""COMPUTED_VALUE"""),"A7124036901")</f>
        <v>A7124036901</v>
      </c>
      <c r="D1199" s="3">
        <f>IFERROR(__xludf.DUMMYFUNCTION("""COMPUTED_VALUE"""),54.0)</f>
        <v>54</v>
      </c>
      <c r="E1199" s="1"/>
    </row>
    <row r="1200">
      <c r="A1200" s="1"/>
      <c r="B1200" s="3" t="str">
        <f>IFERROR(__xludf.DUMMYFUNCTION("""COMPUTED_VALUE"""),"DEVI NOVIANI")</f>
        <v>DEVI NOVIANI</v>
      </c>
      <c r="C1200" s="3" t="str">
        <f>IFERROR(__xludf.DUMMYFUNCTION("""COMPUTED_VALUE"""),"D8824033636")</f>
        <v>D8824033636</v>
      </c>
      <c r="D1200" s="3">
        <f>IFERROR(__xludf.DUMMYFUNCTION("""COMPUTED_VALUE"""),37.0)</f>
        <v>37</v>
      </c>
      <c r="E1200" s="1"/>
    </row>
    <row r="1201">
      <c r="A1201" s="1"/>
      <c r="B1201" s="3" t="str">
        <f>IFERROR(__xludf.DUMMYFUNCTION("""COMPUTED_VALUE"""),"HJ SUGIMAN")</f>
        <v>HJ SUGIMAN</v>
      </c>
      <c r="C1201" s="3" t="str">
        <f>IFERROR(__xludf.DUMMYFUNCTION("""COMPUTED_VALUE"""),"H6524035632")</f>
        <v>H6524035632</v>
      </c>
      <c r="D1201" s="3">
        <f>IFERROR(__xludf.DUMMYFUNCTION("""COMPUTED_VALUE"""),61.0)</f>
        <v>61</v>
      </c>
      <c r="E1201" s="1"/>
    </row>
    <row r="1202">
      <c r="A1202" s="1"/>
      <c r="B1202" s="3" t="str">
        <f>IFERROR(__xludf.DUMMYFUNCTION("""COMPUTED_VALUE"""),"ARDYKA ANGGRIAWAN")</f>
        <v>ARDYKA ANGGRIAWAN</v>
      </c>
      <c r="C1202" s="3" t="str">
        <f>IFERROR(__xludf.DUMMYFUNCTION("""COMPUTED_VALUE"""),"A8724030600")</f>
        <v>A8724030600</v>
      </c>
      <c r="D1202" s="3">
        <f>IFERROR(__xludf.DUMMYFUNCTION("""COMPUTED_VALUE"""),38.0)</f>
        <v>38</v>
      </c>
      <c r="E1202" s="1"/>
    </row>
    <row r="1203">
      <c r="A1203" s="1"/>
      <c r="B1203" s="3" t="str">
        <f>IFERROR(__xludf.DUMMYFUNCTION("""COMPUTED_VALUE"""),"R. WENNY AGUSTRINI, A. MD")</f>
        <v>R. WENNY AGUSTRINI, A. MD</v>
      </c>
      <c r="C1203" s="3" t="str">
        <f>IFERROR(__xludf.DUMMYFUNCTION("""COMPUTED_VALUE"""),"R7824033631")</f>
        <v>R7824033631</v>
      </c>
      <c r="D1203" s="3">
        <f>IFERROR(__xludf.DUMMYFUNCTION("""COMPUTED_VALUE"""),47.0)</f>
        <v>47</v>
      </c>
      <c r="E1203" s="1"/>
    </row>
    <row r="1204">
      <c r="A1204" s="1"/>
      <c r="B1204" s="3" t="str">
        <f>IFERROR(__xludf.DUMMYFUNCTION("""COMPUTED_VALUE"""),"MUHAMMAD ILYAS")</f>
        <v>MUHAMMAD ILYAS</v>
      </c>
      <c r="C1204" s="3" t="str">
        <f>IFERROR(__xludf.DUMMYFUNCTION("""COMPUTED_VALUE"""),"M8324037016")</f>
        <v>M8324037016</v>
      </c>
      <c r="D1204" s="3">
        <f>IFERROR(__xludf.DUMMYFUNCTION("""COMPUTED_VALUE"""),43.0)</f>
        <v>43</v>
      </c>
      <c r="E1204" s="1"/>
    </row>
    <row r="1205">
      <c r="A1205" s="1"/>
      <c r="B1205" s="3" t="str">
        <f>IFERROR(__xludf.DUMMYFUNCTION("""COMPUTED_VALUE"""),"ARBIAN OCTORA")</f>
        <v>ARBIAN OCTORA</v>
      </c>
      <c r="C1205" s="3" t="str">
        <f>IFERROR(__xludf.DUMMYFUNCTION("""COMPUTED_VALUE"""),"A8024031990")</f>
        <v>A8024031990</v>
      </c>
      <c r="D1205" s="3">
        <f>IFERROR(__xludf.DUMMYFUNCTION("""COMPUTED_VALUE"""),45.0)</f>
        <v>45</v>
      </c>
      <c r="E1205" s="1"/>
    </row>
    <row r="1206">
      <c r="A1206" s="1"/>
      <c r="B1206" s="3" t="str">
        <f>IFERROR(__xludf.DUMMYFUNCTION("""COMPUTED_VALUE"""),"REHAN KHAIDIR RIZKY")</f>
        <v>REHAN KHAIDIR RIZKY</v>
      </c>
      <c r="C1206" s="3" t="str">
        <f>IFERROR(__xludf.DUMMYFUNCTION("""COMPUTED_VALUE"""),"R0624035637")</f>
        <v>R0624035637</v>
      </c>
      <c r="D1206" s="3">
        <f>IFERROR(__xludf.DUMMYFUNCTION("""COMPUTED_VALUE"""),20.0)</f>
        <v>20</v>
      </c>
      <c r="E1206" s="1"/>
    </row>
    <row r="1207">
      <c r="A1207" s="1"/>
      <c r="B1207" s="3" t="str">
        <f>IFERROR(__xludf.DUMMYFUNCTION("""COMPUTED_VALUE"""),"MUHAMMAD AIRA BILNADZRI")</f>
        <v>MUHAMMAD AIRA BILNADZRI</v>
      </c>
      <c r="C1207" s="3" t="str">
        <f>IFERROR(__xludf.DUMMYFUNCTION("""COMPUTED_VALUE"""),"M0224030387")</f>
        <v>M0224030387</v>
      </c>
      <c r="D1207" s="3">
        <f>IFERROR(__xludf.DUMMYFUNCTION("""COMPUTED_VALUE"""),23.0)</f>
        <v>23</v>
      </c>
      <c r="E1207" s="1"/>
    </row>
    <row r="1208">
      <c r="A1208" s="1"/>
      <c r="B1208" s="3" t="str">
        <f>IFERROR(__xludf.DUMMYFUNCTION("""COMPUTED_VALUE"""),"LIE JAN KHIM")</f>
        <v>LIE JAN KHIM</v>
      </c>
      <c r="C1208" s="3" t="str">
        <f>IFERROR(__xludf.DUMMYFUNCTION("""COMPUTED_VALUE"""),"L8324032555")</f>
        <v>L8324032555</v>
      </c>
      <c r="D1208" s="3">
        <f>IFERROR(__xludf.DUMMYFUNCTION("""COMPUTED_VALUE"""),43.0)</f>
        <v>43</v>
      </c>
      <c r="E1208" s="1"/>
    </row>
    <row r="1209">
      <c r="A1209" s="1"/>
      <c r="B1209" s="3" t="str">
        <f>IFERROR(__xludf.DUMMYFUNCTION("""COMPUTED_VALUE"""),"MICHAEL 0109")</f>
        <v>MICHAEL 0109</v>
      </c>
      <c r="C1209" s="3" t="str">
        <f>IFERROR(__xludf.DUMMYFUNCTION("""COMPUTED_VALUE"""),"M0124030509")</f>
        <v>M0124030509</v>
      </c>
      <c r="D1209" s="3">
        <f>IFERROR(__xludf.DUMMYFUNCTION("""COMPUTED_VALUE"""),24.0)</f>
        <v>24</v>
      </c>
      <c r="E1209" s="1"/>
    </row>
    <row r="1210">
      <c r="A1210" s="1"/>
      <c r="B1210" s="3" t="str">
        <f>IFERROR(__xludf.DUMMYFUNCTION("""COMPUTED_VALUE"""),"MAISUNAH")</f>
        <v>MAISUNAH</v>
      </c>
      <c r="C1210" s="3" t="str">
        <f>IFERROR(__xludf.DUMMYFUNCTION("""COMPUTED_VALUE"""),"M9324038120")</f>
        <v>M9324038120</v>
      </c>
      <c r="D1210" s="3">
        <f>IFERROR(__xludf.DUMMYFUNCTION("""COMPUTED_VALUE"""),33.0)</f>
        <v>33</v>
      </c>
      <c r="E1210" s="1"/>
    </row>
    <row r="1211">
      <c r="A1211" s="1"/>
      <c r="B1211" s="3" t="str">
        <f>IFERROR(__xludf.DUMMYFUNCTION("""COMPUTED_VALUE"""),"SITI ROHAMA")</f>
        <v>SITI ROHAMA</v>
      </c>
      <c r="C1211" s="3" t="str">
        <f>IFERROR(__xludf.DUMMYFUNCTION("""COMPUTED_VALUE"""),"S7524035777")</f>
        <v>S7524035777</v>
      </c>
      <c r="D1211" s="3">
        <f>IFERROR(__xludf.DUMMYFUNCTION("""COMPUTED_VALUE"""),50.0)</f>
        <v>50</v>
      </c>
      <c r="E1211" s="1"/>
    </row>
    <row r="1212">
      <c r="A1212" s="1"/>
      <c r="B1212" s="3" t="str">
        <f>IFERROR(__xludf.DUMMYFUNCTION("""COMPUTED_VALUE"""),"JUNIANSYAH")</f>
        <v>JUNIANSYAH</v>
      </c>
      <c r="C1212" s="3" t="str">
        <f>IFERROR(__xludf.DUMMYFUNCTION("""COMPUTED_VALUE"""),"J9824032203")</f>
        <v>J9824032203</v>
      </c>
      <c r="D1212" s="3">
        <f>IFERROR(__xludf.DUMMYFUNCTION("""COMPUTED_VALUE"""),28.0)</f>
        <v>28</v>
      </c>
      <c r="E1212" s="1"/>
    </row>
    <row r="1213">
      <c r="A1213" s="1"/>
      <c r="B1213" s="3" t="str">
        <f>IFERROR(__xludf.DUMMYFUNCTION("""COMPUTED_VALUE"""),"TISYA YUNISAFIRA LUBIS")</f>
        <v>TISYA YUNISAFIRA LUBIS</v>
      </c>
      <c r="C1213" s="3" t="str">
        <f>IFERROR(__xludf.DUMMYFUNCTION("""COMPUTED_VALUE"""),"T9824039027")</f>
        <v>T9824039027</v>
      </c>
      <c r="D1213" s="3">
        <f>IFERROR(__xludf.DUMMYFUNCTION("""COMPUTED_VALUE"""),27.0)</f>
        <v>27</v>
      </c>
      <c r="E1213" s="1"/>
    </row>
    <row r="1214">
      <c r="A1214" s="1"/>
      <c r="B1214" s="3" t="str">
        <f>IFERROR(__xludf.DUMMYFUNCTION("""COMPUTED_VALUE"""),"TANIA ANDIKA PUTRI")</f>
        <v>TANIA ANDIKA PUTRI</v>
      </c>
      <c r="C1214" s="3" t="str">
        <f>IFERROR(__xludf.DUMMYFUNCTION("""COMPUTED_VALUE"""),"T8024046639")</f>
        <v>T8024046639</v>
      </c>
      <c r="D1214" s="3">
        <f>IFERROR(__xludf.DUMMYFUNCTION("""COMPUTED_VALUE"""),46.0)</f>
        <v>46</v>
      </c>
      <c r="E1214" s="1"/>
    </row>
    <row r="1215">
      <c r="A1215" s="1"/>
      <c r="B1215" s="3" t="str">
        <f>IFERROR(__xludf.DUMMYFUNCTION("""COMPUTED_VALUE"""),"KHAIRUL IMAN")</f>
        <v>KHAIRUL IMAN</v>
      </c>
      <c r="C1215" s="3" t="str">
        <f>IFERROR(__xludf.DUMMYFUNCTION("""COMPUTED_VALUE"""),"K2424046307")</f>
        <v>K2424046307</v>
      </c>
      <c r="D1215" s="3">
        <f>IFERROR(__xludf.DUMMYFUNCTION("""COMPUTED_VALUE"""),2.0)</f>
        <v>2</v>
      </c>
      <c r="E1215" s="1"/>
    </row>
    <row r="1216">
      <c r="A1216" s="1"/>
      <c r="B1216" s="3" t="str">
        <f>IFERROR(__xludf.DUMMYFUNCTION("""COMPUTED_VALUE"""),"ZUMASHADY")</f>
        <v>ZUMASHADY</v>
      </c>
      <c r="C1216" s="3" t="str">
        <f>IFERROR(__xludf.DUMMYFUNCTION("""COMPUTED_VALUE"""),"Z5524041510")</f>
        <v>Z5524041510</v>
      </c>
      <c r="D1216" s="3">
        <f>IFERROR(__xludf.DUMMYFUNCTION("""COMPUTED_VALUE"""),70.0)</f>
        <v>70</v>
      </c>
      <c r="E1216" s="1"/>
    </row>
    <row r="1217">
      <c r="A1217" s="1"/>
      <c r="B1217" s="3" t="str">
        <f>IFERROR(__xludf.DUMMYFUNCTION("""COMPUTED_VALUE"""),"TAUFIQURACHMAN A")</f>
        <v>TAUFIQURACHMAN A</v>
      </c>
      <c r="C1217" s="3" t="str">
        <f>IFERROR(__xludf.DUMMYFUNCTION("""COMPUTED_VALUE"""),"T9724045003")</f>
        <v>T9724045003</v>
      </c>
      <c r="D1217" s="3">
        <f>IFERROR(__xludf.DUMMYFUNCTION("""COMPUTED_VALUE"""),29.0)</f>
        <v>29</v>
      </c>
      <c r="E1217" s="1"/>
    </row>
    <row r="1218">
      <c r="A1218" s="1"/>
      <c r="B1218" s="3" t="str">
        <f>IFERROR(__xludf.DUMMYFUNCTION("""COMPUTED_VALUE"""),"MUHAMMAD IQBAL HARIRI")</f>
        <v>MUHAMMAD IQBAL HARIRI</v>
      </c>
      <c r="C1218" s="3" t="str">
        <f>IFERROR(__xludf.DUMMYFUNCTION("""COMPUTED_VALUE"""),"M9724046001")</f>
        <v>M9724046001</v>
      </c>
      <c r="D1218" s="3">
        <f>IFERROR(__xludf.DUMMYFUNCTION("""COMPUTED_VALUE"""),28.0)</f>
        <v>28</v>
      </c>
      <c r="E1218" s="1"/>
    </row>
    <row r="1219">
      <c r="A1219" s="1"/>
      <c r="B1219" s="3" t="str">
        <f>IFERROR(__xludf.DUMMYFUNCTION("""COMPUTED_VALUE"""),"HESTY MARHAENDRIYANA")</f>
        <v>HESTY MARHAENDRIYANA</v>
      </c>
      <c r="C1219" s="3" t="str">
        <f>IFERROR(__xludf.DUMMYFUNCTION("""COMPUTED_VALUE"""),"H64240408")</f>
        <v>H64240408</v>
      </c>
      <c r="D1219" s="3">
        <f>IFERROR(__xludf.DUMMYFUNCTION("""COMPUTED_VALUE"""),62.0)</f>
        <v>62</v>
      </c>
      <c r="E1219" s="1"/>
    </row>
    <row r="1220">
      <c r="A1220" s="1"/>
      <c r="B1220" s="3" t="str">
        <f>IFERROR(__xludf.DUMMYFUNCTION("""COMPUTED_VALUE"""),"SIGIT PRASETYO")</f>
        <v>SIGIT PRASETYO</v>
      </c>
      <c r="C1220" s="3" t="str">
        <f>IFERROR(__xludf.DUMMYFUNCTION("""COMPUTED_VALUE"""),"S2424044089")</f>
        <v>S2424044089</v>
      </c>
      <c r="D1220" s="3">
        <f>IFERROR(__xludf.DUMMYFUNCTION("""COMPUTED_VALUE"""),2.0)</f>
        <v>2</v>
      </c>
      <c r="E1220" s="1"/>
    </row>
    <row r="1221">
      <c r="A1221" s="1"/>
      <c r="B1221" s="3" t="str">
        <f>IFERROR(__xludf.DUMMYFUNCTION("""COMPUTED_VALUE"""),"HARI YUDA")</f>
        <v>HARI YUDA</v>
      </c>
      <c r="C1221" s="3" t="str">
        <f>IFERROR(__xludf.DUMMYFUNCTION("""COMPUTED_VALUE"""),"H0424046629")</f>
        <v>H0424046629</v>
      </c>
      <c r="D1221" s="3">
        <f>IFERROR(__xludf.DUMMYFUNCTION("""COMPUTED_VALUE"""),21.0)</f>
        <v>21</v>
      </c>
      <c r="E1221" s="1"/>
    </row>
    <row r="1222">
      <c r="A1222" s="1"/>
      <c r="B1222" s="3" t="str">
        <f>IFERROR(__xludf.DUMMYFUNCTION("""COMPUTED_VALUE"""),"ZAMIR FATURRAHMAN")</f>
        <v>ZAMIR FATURRAHMAN</v>
      </c>
      <c r="C1222" s="3" t="str">
        <f>IFERROR(__xludf.DUMMYFUNCTION("""COMPUTED_VALUE"""),"Z1124042066")</f>
        <v>Z1124042066</v>
      </c>
      <c r="D1222" s="3">
        <f>IFERROR(__xludf.DUMMYFUNCTION("""COMPUTED_VALUE"""),15.0)</f>
        <v>15</v>
      </c>
      <c r="E1222" s="1"/>
    </row>
    <row r="1223">
      <c r="A1223" s="1"/>
      <c r="B1223" s="3" t="str">
        <f>IFERROR(__xludf.DUMMYFUNCTION("""COMPUTED_VALUE"""),"AGUNG YUDANTO")</f>
        <v>AGUNG YUDANTO</v>
      </c>
      <c r="C1223" s="3" t="str">
        <f>IFERROR(__xludf.DUMMYFUNCTION("""COMPUTED_VALUE"""),"A9024045543")</f>
        <v>A9024045543</v>
      </c>
      <c r="D1223" s="3">
        <f>IFERROR(__xludf.DUMMYFUNCTION("""COMPUTED_VALUE"""),36.0)</f>
        <v>36</v>
      </c>
      <c r="E1223" s="1"/>
    </row>
    <row r="1224">
      <c r="A1224" s="1"/>
      <c r="B1224" s="3" t="str">
        <f>IFERROR(__xludf.DUMMYFUNCTION("""COMPUTED_VALUE"""),"MARTINA N YANSENS")</f>
        <v>MARTINA N YANSENS</v>
      </c>
      <c r="C1224" s="3" t="str">
        <f>IFERROR(__xludf.DUMMYFUNCTION("""COMPUTED_VALUE"""),"M8224040432")</f>
        <v>M8224040432</v>
      </c>
      <c r="D1224" s="3">
        <f>IFERROR(__xludf.DUMMYFUNCTION("""COMPUTED_VALUE"""),44.0)</f>
        <v>44</v>
      </c>
      <c r="E1224" s="1"/>
    </row>
    <row r="1225">
      <c r="A1225" s="1"/>
      <c r="B1225" s="3" t="str">
        <f>IFERROR(__xludf.DUMMYFUNCTION("""COMPUTED_VALUE"""),"SAAD")</f>
        <v>SAAD</v>
      </c>
      <c r="C1225" s="3" t="str">
        <f>IFERROR(__xludf.DUMMYFUNCTION("""COMPUTED_VALUE"""),"S7924047787")</f>
        <v>S7924047787</v>
      </c>
      <c r="D1225" s="3">
        <f>IFERROR(__xludf.DUMMYFUNCTION("""COMPUTED_VALUE"""),46.0)</f>
        <v>46</v>
      </c>
      <c r="E1225" s="1"/>
    </row>
    <row r="1226">
      <c r="A1226" s="1"/>
      <c r="B1226" s="3" t="str">
        <f>IFERROR(__xludf.DUMMYFUNCTION("""COMPUTED_VALUE"""),"FAIRUS NADHIR AMRULLAH")</f>
        <v>FAIRUS NADHIR AMRULLAH</v>
      </c>
      <c r="C1226" s="3" t="str">
        <f>IFERROR(__xludf.DUMMYFUNCTION("""COMPUTED_VALUE"""),"F1224043252")</f>
        <v>F1224043252</v>
      </c>
      <c r="D1226" s="3">
        <f>IFERROR(__xludf.DUMMYFUNCTION("""COMPUTED_VALUE"""),14.0)</f>
        <v>14</v>
      </c>
      <c r="E1226" s="1"/>
    </row>
    <row r="1227">
      <c r="A1227" s="1"/>
      <c r="B1227" s="3" t="str">
        <f>IFERROR(__xludf.DUMMYFUNCTION("""COMPUTED_VALUE"""),"ENDANG VERI KOLAGA")</f>
        <v>ENDANG VERI KOLAGA</v>
      </c>
      <c r="C1227" s="3" t="str">
        <f>IFERROR(__xludf.DUMMYFUNCTION("""COMPUTED_VALUE"""),"E6524049197")</f>
        <v>E6524049197</v>
      </c>
      <c r="D1227" s="3">
        <f>IFERROR(__xludf.DUMMYFUNCTION("""COMPUTED_VALUE"""),60.0)</f>
        <v>60</v>
      </c>
      <c r="E1227" s="1"/>
    </row>
    <row r="1228">
      <c r="A1228" s="1"/>
      <c r="B1228" s="3" t="str">
        <f>IFERROR(__xludf.DUMMYFUNCTION("""COMPUTED_VALUE"""),"FAKRUL ILMI")</f>
        <v>FAKRUL ILMI</v>
      </c>
      <c r="C1228" s="3" t="str">
        <f>IFERROR(__xludf.DUMMYFUNCTION("""COMPUTED_VALUE"""),"F9224043355")</f>
        <v>F9224043355</v>
      </c>
      <c r="D1228" s="3">
        <f>IFERROR(__xludf.DUMMYFUNCTION("""COMPUTED_VALUE"""),33.0)</f>
        <v>33</v>
      </c>
      <c r="E1228" s="1"/>
    </row>
    <row r="1229">
      <c r="A1229" s="1"/>
      <c r="B1229" s="3" t="str">
        <f>IFERROR(__xludf.DUMMYFUNCTION("""COMPUTED_VALUE"""),"BOBBY FERI SETIAWAN")</f>
        <v>BOBBY FERI SETIAWAN</v>
      </c>
      <c r="C1229" s="3" t="str">
        <f>IFERROR(__xludf.DUMMYFUNCTION("""COMPUTED_VALUE"""),"B9724047081")</f>
        <v>B9724047081</v>
      </c>
      <c r="D1229" s="3">
        <f>IFERROR(__xludf.DUMMYFUNCTION("""COMPUTED_VALUE"""),29.0)</f>
        <v>29</v>
      </c>
      <c r="E1229" s="1"/>
    </row>
    <row r="1230">
      <c r="A1230" s="1"/>
      <c r="B1230" s="3" t="str">
        <f>IFERROR(__xludf.DUMMYFUNCTION("""COMPUTED_VALUE"""),"TEOFILUS HAGIE, S.I.P")</f>
        <v>TEOFILUS HAGIE, S.I.P</v>
      </c>
      <c r="C1230" s="3" t="str">
        <f>IFERROR(__xludf.DUMMYFUNCTION("""COMPUTED_VALUE"""),"T9724048662")</f>
        <v>T9724048662</v>
      </c>
      <c r="D1230" s="3">
        <f>IFERROR(__xludf.DUMMYFUNCTION("""COMPUTED_VALUE"""),29.0)</f>
        <v>29</v>
      </c>
      <c r="E1230" s="1"/>
    </row>
    <row r="1231">
      <c r="A1231" s="1"/>
      <c r="B1231" s="3" t="str">
        <f>IFERROR(__xludf.DUMMYFUNCTION("""COMPUTED_VALUE"""),"KIANG SE")</f>
        <v>KIANG SE</v>
      </c>
      <c r="C1231" s="3" t="str">
        <f>IFERROR(__xludf.DUMMYFUNCTION("""COMPUTED_VALUE"""),"K6524047777")</f>
        <v>K6524047777</v>
      </c>
      <c r="D1231" s="3">
        <f>IFERROR(__xludf.DUMMYFUNCTION("""COMPUTED_VALUE"""),61.0)</f>
        <v>61</v>
      </c>
      <c r="E1231" s="1"/>
    </row>
    <row r="1232">
      <c r="A1232" s="1"/>
      <c r="B1232" s="3" t="str">
        <f>IFERROR(__xludf.DUMMYFUNCTION("""COMPUTED_VALUE"""),"OKTAVIANUS ANDRI")</f>
        <v>OKTAVIANUS ANDRI</v>
      </c>
      <c r="C1232" s="3" t="str">
        <f>IFERROR(__xludf.DUMMYFUNCTION("""COMPUTED_VALUE"""),"O9124042069")</f>
        <v>O9124042069</v>
      </c>
      <c r="D1232" s="3">
        <f>IFERROR(__xludf.DUMMYFUNCTION("""COMPUTED_VALUE"""),34.0)</f>
        <v>34</v>
      </c>
      <c r="E1232" s="1"/>
    </row>
    <row r="1233">
      <c r="A1233" s="1"/>
      <c r="B1233" s="3" t="str">
        <f>IFERROR(__xludf.DUMMYFUNCTION("""COMPUTED_VALUE"""),"EVY MAHARANI")</f>
        <v>EVY MAHARANI</v>
      </c>
      <c r="C1233" s="3" t="str">
        <f>IFERROR(__xludf.DUMMYFUNCTION("""COMPUTED_VALUE"""),"E8324049827")</f>
        <v>E8324049827</v>
      </c>
      <c r="D1233" s="3">
        <f>IFERROR(__xludf.DUMMYFUNCTION("""COMPUTED_VALUE"""),43.0)</f>
        <v>43</v>
      </c>
      <c r="E1233" s="1"/>
    </row>
    <row r="1234">
      <c r="A1234" s="1"/>
      <c r="B1234" s="3" t="str">
        <f>IFERROR(__xludf.DUMMYFUNCTION("""COMPUTED_VALUE"""),"SANDY SAPUTRA")</f>
        <v>SANDY SAPUTRA</v>
      </c>
      <c r="C1234" s="3" t="str">
        <f>IFERROR(__xludf.DUMMYFUNCTION("""COMPUTED_VALUE"""),"S8924045678")</f>
        <v>S8924045678</v>
      </c>
      <c r="D1234" s="3">
        <f>IFERROR(__xludf.DUMMYFUNCTION("""COMPUTED_VALUE"""),36.0)</f>
        <v>36</v>
      </c>
      <c r="E1234" s="1"/>
    </row>
    <row r="1235">
      <c r="A1235" s="1"/>
      <c r="B1235" s="3" t="str">
        <f>IFERROR(__xludf.DUMMYFUNCTION("""COMPUTED_VALUE"""),"BENY RIANO DARMANSYAH")</f>
        <v>BENY RIANO DARMANSYAH</v>
      </c>
      <c r="C1235" s="3" t="str">
        <f>IFERROR(__xludf.DUMMYFUNCTION("""COMPUTED_VALUE"""),"B6924043490")</f>
        <v>B6924043490</v>
      </c>
      <c r="D1235" s="3">
        <f>IFERROR(__xludf.DUMMYFUNCTION("""COMPUTED_VALUE"""),57.0)</f>
        <v>57</v>
      </c>
      <c r="E1235" s="1"/>
    </row>
    <row r="1236">
      <c r="A1236" s="1"/>
      <c r="B1236" s="3" t="str">
        <f>IFERROR(__xludf.DUMMYFUNCTION("""COMPUTED_VALUE"""),"EN RUMAJAR")</f>
        <v>EN RUMAJAR</v>
      </c>
      <c r="C1236" s="3" t="str">
        <f>IFERROR(__xludf.DUMMYFUNCTION("""COMPUTED_VALUE"""),"E8724046722")</f>
        <v>E8724046722</v>
      </c>
      <c r="D1236" s="3">
        <f>IFERROR(__xludf.DUMMYFUNCTION("""COMPUTED_VALUE"""),38.0)</f>
        <v>38</v>
      </c>
      <c r="E1236" s="1"/>
    </row>
    <row r="1237">
      <c r="A1237" s="1"/>
      <c r="B1237" s="3" t="str">
        <f>IFERROR(__xludf.DUMMYFUNCTION("""COMPUTED_VALUE"""),"SRI RAHAYU")</f>
        <v>SRI RAHAYU</v>
      </c>
      <c r="C1237" s="3" t="str">
        <f>IFERROR(__xludf.DUMMYFUNCTION("""COMPUTED_VALUE"""),"S7024043490")</f>
        <v>S7024043490</v>
      </c>
      <c r="D1237" s="3">
        <f>IFERROR(__xludf.DUMMYFUNCTION("""COMPUTED_VALUE"""),55.0)</f>
        <v>55</v>
      </c>
      <c r="E1237" s="1"/>
    </row>
    <row r="1238">
      <c r="A1238" s="1"/>
      <c r="B1238" s="3" t="str">
        <f>IFERROR(__xludf.DUMMYFUNCTION("""COMPUTED_VALUE"""),"CICI PUTRIANINGSIH")</f>
        <v>CICI PUTRIANINGSIH</v>
      </c>
      <c r="C1238" s="3" t="str">
        <f>IFERROR(__xludf.DUMMYFUNCTION("""COMPUTED_VALUE"""),"C9424041594")</f>
        <v>C9424041594</v>
      </c>
      <c r="D1238" s="3">
        <f>IFERROR(__xludf.DUMMYFUNCTION("""COMPUTED_VALUE"""),32.0)</f>
        <v>32</v>
      </c>
      <c r="E1238" s="1"/>
    </row>
    <row r="1239">
      <c r="A1239" s="1"/>
      <c r="B1239" s="3" t="str">
        <f>IFERROR(__xludf.DUMMYFUNCTION("""COMPUTED_VALUE"""),"RAHMAN FITRIADI")</f>
        <v>RAHMAN FITRIADI</v>
      </c>
      <c r="C1239" s="3" t="str">
        <f>IFERROR(__xludf.DUMMYFUNCTION("""COMPUTED_VALUE"""),"R8624047770")</f>
        <v>R8624047770</v>
      </c>
      <c r="D1239" s="3">
        <f>IFERROR(__xludf.DUMMYFUNCTION("""COMPUTED_VALUE"""),40.0)</f>
        <v>40</v>
      </c>
      <c r="E1239" s="1"/>
    </row>
    <row r="1240">
      <c r="A1240" s="1"/>
      <c r="B1240" s="3" t="str">
        <f>IFERROR(__xludf.DUMMYFUNCTION("""COMPUTED_VALUE"""),"ARYANSYAH")</f>
        <v>ARYANSYAH</v>
      </c>
      <c r="C1240" s="3" t="str">
        <f>IFERROR(__xludf.DUMMYFUNCTION("""COMPUTED_VALUE"""),"A8624042824")</f>
        <v>A8624042824</v>
      </c>
      <c r="D1240" s="3">
        <f>IFERROR(__xludf.DUMMYFUNCTION("""COMPUTED_VALUE"""),40.0)</f>
        <v>40</v>
      </c>
      <c r="E1240" s="1"/>
    </row>
    <row r="1241">
      <c r="A1241" s="1"/>
      <c r="B1241" s="3" t="str">
        <f>IFERROR(__xludf.DUMMYFUNCTION("""COMPUTED_VALUE"""),"AULIA RAMADANTI")</f>
        <v>AULIA RAMADANTI</v>
      </c>
      <c r="C1241" s="3" t="str">
        <f>IFERROR(__xludf.DUMMYFUNCTION("""COMPUTED_VALUE"""),"A0324041182")</f>
        <v>A0324041182</v>
      </c>
      <c r="D1241" s="3">
        <f>IFERROR(__xludf.DUMMYFUNCTION("""COMPUTED_VALUE"""),22.0)</f>
        <v>22</v>
      </c>
      <c r="E1241" s="1"/>
    </row>
    <row r="1242">
      <c r="A1242" s="1"/>
      <c r="B1242" s="3" t="str">
        <f>IFERROR(__xludf.DUMMYFUNCTION("""COMPUTED_VALUE"""),"DHEO")</f>
        <v>DHEO</v>
      </c>
      <c r="C1242" s="3" t="str">
        <f>IFERROR(__xludf.DUMMYFUNCTION("""COMPUTED_VALUE"""),"D0324046764")</f>
        <v>D0324046764</v>
      </c>
      <c r="D1242" s="3">
        <f>IFERROR(__xludf.DUMMYFUNCTION("""COMPUTED_VALUE"""),22.0)</f>
        <v>22</v>
      </c>
      <c r="E1242" s="1"/>
    </row>
    <row r="1243">
      <c r="A1243" s="1"/>
      <c r="B1243" s="3" t="str">
        <f>IFERROR(__xludf.DUMMYFUNCTION("""COMPUTED_VALUE"""),"DIAH PITALOKA")</f>
        <v>DIAH PITALOKA</v>
      </c>
      <c r="C1243" s="3" t="str">
        <f>IFERROR(__xludf.DUMMYFUNCTION("""COMPUTED_VALUE"""),"D8424041114")</f>
        <v>D8424041114</v>
      </c>
      <c r="D1243" s="3">
        <f>IFERROR(__xludf.DUMMYFUNCTION("""COMPUTED_VALUE"""),41.0)</f>
        <v>41</v>
      </c>
      <c r="E1243" s="1"/>
    </row>
    <row r="1244">
      <c r="A1244" s="1"/>
      <c r="B1244" s="3" t="str">
        <f>IFERROR(__xludf.DUMMYFUNCTION("""COMPUTED_VALUE"""),"ERRY RUSTIANSYAH")</f>
        <v>ERRY RUSTIANSYAH</v>
      </c>
      <c r="C1244" s="3" t="str">
        <f>IFERROR(__xludf.DUMMYFUNCTION("""COMPUTED_VALUE"""),"E8424049865")</f>
        <v>E8424049865</v>
      </c>
      <c r="D1244" s="3">
        <f>IFERROR(__xludf.DUMMYFUNCTION("""COMPUTED_VALUE"""),41.0)</f>
        <v>41</v>
      </c>
      <c r="E1244" s="1"/>
    </row>
    <row r="1245">
      <c r="A1245" s="1"/>
      <c r="B1245" s="3" t="str">
        <f>IFERROR(__xludf.DUMMYFUNCTION("""COMPUTED_VALUE"""),"TIENO HALIM")</f>
        <v>TIENO HALIM</v>
      </c>
      <c r="C1245" s="3" t="str">
        <f>IFERROR(__xludf.DUMMYFUNCTION("""COMPUTED_VALUE"""),"T8424049108")</f>
        <v>T8424049108</v>
      </c>
      <c r="D1245" s="3">
        <f>IFERROR(__xludf.DUMMYFUNCTION("""COMPUTED_VALUE"""),41.0)</f>
        <v>41</v>
      </c>
      <c r="E1245" s="1"/>
    </row>
    <row r="1246">
      <c r="A1246" s="1"/>
      <c r="B1246" s="3" t="str">
        <f>IFERROR(__xludf.DUMMYFUNCTION("""COMPUTED_VALUE"""),"HARTINI NELLY")</f>
        <v>HARTINI NELLY</v>
      </c>
      <c r="C1246" s="3" t="str">
        <f>IFERROR(__xludf.DUMMYFUNCTION("""COMPUTED_VALUE"""),"H9124041991")</f>
        <v>H9124041991</v>
      </c>
      <c r="D1246" s="3">
        <f>IFERROR(__xludf.DUMMYFUNCTION("""COMPUTED_VALUE"""),35.0)</f>
        <v>35</v>
      </c>
      <c r="E1246" s="1"/>
    </row>
    <row r="1247">
      <c r="A1247" s="1"/>
      <c r="B1247" s="3" t="str">
        <f>IFERROR(__xludf.DUMMYFUNCTION("""COMPUTED_VALUE"""),"MUHAMMAD HENDRO LAKSONO")</f>
        <v>MUHAMMAD HENDRO LAKSONO</v>
      </c>
      <c r="C1247" s="3" t="str">
        <f>IFERROR(__xludf.DUMMYFUNCTION("""COMPUTED_VALUE"""),"M0324040156")</f>
        <v>M0324040156</v>
      </c>
      <c r="D1247" s="3">
        <f>IFERROR(__xludf.DUMMYFUNCTION("""COMPUTED_VALUE"""),22.0)</f>
        <v>22</v>
      </c>
      <c r="E1247" s="1"/>
    </row>
    <row r="1248">
      <c r="A1248" s="1"/>
      <c r="B1248" s="3" t="str">
        <f>IFERROR(__xludf.DUMMYFUNCTION("""COMPUTED_VALUE"""),"MAYU FENTAMI")</f>
        <v>MAYU FENTAMI</v>
      </c>
      <c r="C1248" s="3" t="str">
        <f>IFERROR(__xludf.DUMMYFUNCTION("""COMPUTED_VALUE"""),"M8724040771")</f>
        <v>M8724040771</v>
      </c>
      <c r="D1248" s="3">
        <f>IFERROR(__xludf.DUMMYFUNCTION("""COMPUTED_VALUE"""),39.0)</f>
        <v>39</v>
      </c>
      <c r="E1248" s="1"/>
    </row>
    <row r="1249">
      <c r="A1249" s="1"/>
      <c r="B1249" s="3" t="str">
        <f>IFERROR(__xludf.DUMMYFUNCTION("""COMPUTED_VALUE"""),"DIAN EDI SARWONO")</f>
        <v>DIAN EDI SARWONO</v>
      </c>
      <c r="C1249" s="3" t="str">
        <f>IFERROR(__xludf.DUMMYFUNCTION("""COMPUTED_VALUE"""),"D8424048863")</f>
        <v>D8424048863</v>
      </c>
      <c r="D1249" s="3">
        <f>IFERROR(__xludf.DUMMYFUNCTION("""COMPUTED_VALUE"""),41.0)</f>
        <v>41</v>
      </c>
      <c r="E1249" s="1"/>
    </row>
    <row r="1250">
      <c r="A1250" s="1"/>
      <c r="B1250" s="3" t="str">
        <f>IFERROR(__xludf.DUMMYFUNCTION("""COMPUTED_VALUE"""),"REZA FACHRUDIN")</f>
        <v>REZA FACHRUDIN</v>
      </c>
      <c r="C1250" s="3" t="str">
        <f>IFERROR(__xludf.DUMMYFUNCTION("""COMPUTED_VALUE"""),"R8524041666")</f>
        <v>R8524041666</v>
      </c>
      <c r="D1250" s="3">
        <f>IFERROR(__xludf.DUMMYFUNCTION("""COMPUTED_VALUE"""),41.0)</f>
        <v>41</v>
      </c>
      <c r="E1250" s="1"/>
    </row>
    <row r="1251">
      <c r="A1251" s="1"/>
      <c r="B1251" s="3" t="str">
        <f>IFERROR(__xludf.DUMMYFUNCTION("""COMPUTED_VALUE"""),"NUR HASANAH")</f>
        <v>NUR HASANAH</v>
      </c>
      <c r="C1251" s="3" t="str">
        <f>IFERROR(__xludf.DUMMYFUNCTION("""COMPUTED_VALUE"""),"N9424049331")</f>
        <v>N9424049331</v>
      </c>
      <c r="D1251" s="3">
        <f>IFERROR(__xludf.DUMMYFUNCTION("""COMPUTED_VALUE"""),32.0)</f>
        <v>32</v>
      </c>
      <c r="E1251" s="1"/>
    </row>
    <row r="1252">
      <c r="A1252" s="1"/>
      <c r="B1252" s="3" t="str">
        <f>IFERROR(__xludf.DUMMYFUNCTION("""COMPUTED_VALUE"""),"ERNANDO WIRANATA LINGGA")</f>
        <v>ERNANDO WIRANATA LINGGA</v>
      </c>
      <c r="C1252" s="3" t="str">
        <f>IFERROR(__xludf.DUMMYFUNCTION("""COMPUTED_VALUE"""),"E8824041645")</f>
        <v>E8824041645</v>
      </c>
      <c r="D1252" s="3">
        <f>IFERROR(__xludf.DUMMYFUNCTION("""COMPUTED_VALUE"""),37.0)</f>
        <v>37</v>
      </c>
      <c r="E1252" s="1"/>
    </row>
    <row r="1253">
      <c r="A1253" s="1"/>
      <c r="B1253" s="3" t="str">
        <f>IFERROR(__xludf.DUMMYFUNCTION("""COMPUTED_VALUE"""),"JEFRI PRIHADI")</f>
        <v>JEFRI PRIHADI</v>
      </c>
      <c r="C1253" s="3" t="str">
        <f>IFERROR(__xludf.DUMMYFUNCTION("""COMPUTED_VALUE"""),"J9124049686")</f>
        <v>J9124049686</v>
      </c>
      <c r="D1253" s="3">
        <f>IFERROR(__xludf.DUMMYFUNCTION("""COMPUTED_VALUE"""),35.0)</f>
        <v>35</v>
      </c>
      <c r="E1253" s="1"/>
    </row>
    <row r="1254">
      <c r="A1254" s="1"/>
      <c r="B1254" s="3" t="str">
        <f>IFERROR(__xludf.DUMMYFUNCTION("""COMPUTED_VALUE"""),"ADIL HAFIDZ NURFAJRI")</f>
        <v>ADIL HAFIDZ NURFAJRI</v>
      </c>
      <c r="C1254" s="3" t="str">
        <f>IFERROR(__xludf.DUMMYFUNCTION("""COMPUTED_VALUE"""),"A9424045500")</f>
        <v>A9424045500</v>
      </c>
      <c r="D1254" s="3">
        <f>IFERROR(__xludf.DUMMYFUNCTION("""COMPUTED_VALUE"""),32.0)</f>
        <v>32</v>
      </c>
      <c r="E1254" s="1"/>
    </row>
    <row r="1255">
      <c r="A1255" s="1"/>
      <c r="B1255" s="3" t="str">
        <f>IFERROR(__xludf.DUMMYFUNCTION("""COMPUTED_VALUE"""),"LUKAS RAGU")</f>
        <v>LUKAS RAGU</v>
      </c>
      <c r="C1255" s="3" t="str">
        <f>IFERROR(__xludf.DUMMYFUNCTION("""COMPUTED_VALUE"""),"L7224047449")</f>
        <v>L7224047449</v>
      </c>
      <c r="D1255" s="3">
        <f>IFERROR(__xludf.DUMMYFUNCTION("""COMPUTED_VALUE"""),54.0)</f>
        <v>54</v>
      </c>
      <c r="E1255" s="1"/>
    </row>
    <row r="1256">
      <c r="A1256" s="1"/>
      <c r="B1256" s="3" t="str">
        <f>IFERROR(__xludf.DUMMYFUNCTION("""COMPUTED_VALUE"""),"NURBAYU SAPUTRA")</f>
        <v>NURBAYU SAPUTRA</v>
      </c>
      <c r="C1256" s="3" t="str">
        <f>IFERROR(__xludf.DUMMYFUNCTION("""COMPUTED_VALUE"""),"N8624042332")</f>
        <v>N8624042332</v>
      </c>
      <c r="D1256" s="3">
        <f>IFERROR(__xludf.DUMMYFUNCTION("""COMPUTED_VALUE"""),39.0)</f>
        <v>39</v>
      </c>
      <c r="E1256" s="1"/>
    </row>
    <row r="1257">
      <c r="A1257" s="1"/>
      <c r="B1257" s="3" t="str">
        <f>IFERROR(__xludf.DUMMYFUNCTION("""COMPUTED_VALUE"""),"GIRY XAVIRA PUTRI")</f>
        <v>GIRY XAVIRA PUTRI</v>
      </c>
      <c r="C1257" s="3" t="str">
        <f>IFERROR(__xludf.DUMMYFUNCTION("""COMPUTED_VALUE"""),"G9924046563")</f>
        <v>G9924046563</v>
      </c>
      <c r="D1257" s="3">
        <f>IFERROR(__xludf.DUMMYFUNCTION("""COMPUTED_VALUE"""),27.0)</f>
        <v>27</v>
      </c>
      <c r="E1257" s="1"/>
    </row>
    <row r="1258">
      <c r="A1258" s="1"/>
      <c r="B1258" s="3" t="str">
        <f>IFERROR(__xludf.DUMMYFUNCTION("""COMPUTED_VALUE"""),"LINDA SAFITRI")</f>
        <v>LINDA SAFITRI</v>
      </c>
      <c r="C1258" s="3" t="str">
        <f>IFERROR(__xludf.DUMMYFUNCTION("""COMPUTED_VALUE"""),"L9024043637")</f>
        <v>L9024043637</v>
      </c>
      <c r="D1258" s="3">
        <f>IFERROR(__xludf.DUMMYFUNCTION("""COMPUTED_VALUE"""),35.0)</f>
        <v>35</v>
      </c>
      <c r="E1258" s="1"/>
    </row>
    <row r="1259">
      <c r="A1259" s="1"/>
      <c r="B1259" s="3" t="str">
        <f>IFERROR(__xludf.DUMMYFUNCTION("""COMPUTED_VALUE"""),"WITRI")</f>
        <v>WITRI</v>
      </c>
      <c r="C1259" s="3" t="str">
        <f>IFERROR(__xludf.DUMMYFUNCTION("""COMPUTED_VALUE"""),"W9524046041")</f>
        <v>W9524046041</v>
      </c>
      <c r="D1259" s="3">
        <f>IFERROR(__xludf.DUMMYFUNCTION("""COMPUTED_VALUE"""),31.0)</f>
        <v>31</v>
      </c>
      <c r="E1259" s="1"/>
    </row>
    <row r="1260">
      <c r="A1260" s="1"/>
      <c r="B1260" s="3" t="str">
        <f>IFERROR(__xludf.DUMMYFUNCTION("""COMPUTED_VALUE"""),"RAFIZ KAMILI ALKADRIE")</f>
        <v>RAFIZ KAMILI ALKADRIE</v>
      </c>
      <c r="C1260" s="3" t="str">
        <f>IFERROR(__xludf.DUMMYFUNCTION("""COMPUTED_VALUE"""),"R0124040528")</f>
        <v>R0124040528</v>
      </c>
      <c r="D1260" s="3">
        <f>IFERROR(__xludf.DUMMYFUNCTION("""COMPUTED_VALUE"""),25.0)</f>
        <v>25</v>
      </c>
      <c r="E1260" s="1"/>
    </row>
    <row r="1261">
      <c r="A1261" s="1"/>
      <c r="B1261" s="3" t="str">
        <f>IFERROR(__xludf.DUMMYFUNCTION("""COMPUTED_VALUE"""),"RAIHANAH SYAFIIQAH ULYANI")</f>
        <v>RAIHANAH SYAFIIQAH ULYANI</v>
      </c>
      <c r="C1261" s="3" t="str">
        <f>IFERROR(__xludf.DUMMYFUNCTION("""COMPUTED_VALUE"""),"R1224042496")</f>
        <v>R1224042496</v>
      </c>
      <c r="D1261" s="3">
        <f>IFERROR(__xludf.DUMMYFUNCTION("""COMPUTED_VALUE"""),13.0)</f>
        <v>13</v>
      </c>
      <c r="E1261" s="1"/>
    </row>
    <row r="1262">
      <c r="A1262" s="1"/>
      <c r="B1262" s="3" t="str">
        <f>IFERROR(__xludf.DUMMYFUNCTION("""COMPUTED_VALUE"""),"MIKAIL ZOVIC ROMADHADN")</f>
        <v>MIKAIL ZOVIC ROMADHADN</v>
      </c>
      <c r="C1262" s="3" t="str">
        <f>IFERROR(__xludf.DUMMYFUNCTION("""COMPUTED_VALUE"""),"M2024042777")</f>
        <v>M2024042777</v>
      </c>
      <c r="D1262" s="3">
        <f>IFERROR(__xludf.DUMMYFUNCTION("""COMPUTED_VALUE"""),5.0)</f>
        <v>5</v>
      </c>
      <c r="E1262" s="1"/>
    </row>
    <row r="1263">
      <c r="A1263" s="1"/>
      <c r="B1263" s="3" t="str">
        <f>IFERROR(__xludf.DUMMYFUNCTION("""COMPUTED_VALUE"""),"TUTI ERAWATI")</f>
        <v>TUTI ERAWATI</v>
      </c>
      <c r="C1263" s="3" t="str">
        <f>IFERROR(__xludf.DUMMYFUNCTION("""COMPUTED_VALUE"""),"T8724049963")</f>
        <v>T8724049963</v>
      </c>
      <c r="D1263" s="3">
        <f>IFERROR(__xludf.DUMMYFUNCTION("""COMPUTED_VALUE"""),38.0)</f>
        <v>38</v>
      </c>
      <c r="E1263" s="1"/>
    </row>
    <row r="1264">
      <c r="A1264" s="1"/>
      <c r="B1264" s="3" t="str">
        <f>IFERROR(__xludf.DUMMYFUNCTION("""COMPUTED_VALUE"""),"PURNI RAHMATTULLAH")</f>
        <v>PURNI RAHMATTULLAH</v>
      </c>
      <c r="C1264" s="3" t="str">
        <f>IFERROR(__xludf.DUMMYFUNCTION("""COMPUTED_VALUE"""),"P7524040300")</f>
        <v>P7524040300</v>
      </c>
      <c r="D1264" s="3">
        <f>IFERROR(__xludf.DUMMYFUNCTION("""COMPUTED_VALUE"""),50.0)</f>
        <v>50</v>
      </c>
      <c r="E1264" s="1"/>
    </row>
    <row r="1265">
      <c r="A1265" s="1"/>
      <c r="B1265" s="3" t="str">
        <f>IFERROR(__xludf.DUMMYFUNCTION("""COMPUTED_VALUE"""),"SUKATI")</f>
        <v>SUKATI</v>
      </c>
      <c r="C1265" s="3" t="str">
        <f>IFERROR(__xludf.DUMMYFUNCTION("""COMPUTED_VALUE"""),"S4424041838")</f>
        <v>S4424041838</v>
      </c>
      <c r="D1265" s="3">
        <f>IFERROR(__xludf.DUMMYFUNCTION("""COMPUTED_VALUE"""),82.0)</f>
        <v>82</v>
      </c>
      <c r="E1265" s="1"/>
    </row>
    <row r="1266">
      <c r="A1266" s="1"/>
      <c r="B1266" s="3" t="str">
        <f>IFERROR(__xludf.DUMMYFUNCTION("""COMPUTED_VALUE"""),"ARAM")</f>
        <v>ARAM</v>
      </c>
      <c r="C1266" s="3" t="str">
        <f>IFERROR(__xludf.DUMMYFUNCTION("""COMPUTED_VALUE"""),"A6924042802")</f>
        <v>A6924042802</v>
      </c>
      <c r="D1266" s="3">
        <f>IFERROR(__xludf.DUMMYFUNCTION("""COMPUTED_VALUE"""),57.0)</f>
        <v>57</v>
      </c>
      <c r="E1266" s="1"/>
    </row>
    <row r="1267">
      <c r="A1267" s="1"/>
      <c r="B1267" s="3" t="str">
        <f>IFERROR(__xludf.DUMMYFUNCTION("""COMPUTED_VALUE"""),"MUHAMMAD HABIBI AL KAYYISI")</f>
        <v>MUHAMMAD HABIBI AL KAYYISI</v>
      </c>
      <c r="C1267" s="3" t="str">
        <f>IFERROR(__xludf.DUMMYFUNCTION("""COMPUTED_VALUE"""),"M0624043218")</f>
        <v>M0624043218</v>
      </c>
      <c r="D1267" s="3">
        <f>IFERROR(__xludf.DUMMYFUNCTION("""COMPUTED_VALUE"""),19.0)</f>
        <v>19</v>
      </c>
      <c r="E1267" s="1"/>
    </row>
    <row r="1268">
      <c r="A1268" s="1"/>
      <c r="B1268" s="3" t="str">
        <f>IFERROR(__xludf.DUMMYFUNCTION("""COMPUTED_VALUE"""),"LISNA WARDATI")</f>
        <v>LISNA WARDATI</v>
      </c>
      <c r="C1268" s="3" t="str">
        <f>IFERROR(__xludf.DUMMYFUNCTION("""COMPUTED_VALUE"""),"L6524043399")</f>
        <v>L6524043399</v>
      </c>
      <c r="D1268" s="3">
        <f>IFERROR(__xludf.DUMMYFUNCTION("""COMPUTED_VALUE"""),60.0)</f>
        <v>60</v>
      </c>
      <c r="E1268" s="1"/>
    </row>
    <row r="1269">
      <c r="A1269" s="1"/>
      <c r="B1269" s="3" t="str">
        <f>IFERROR(__xludf.DUMMYFUNCTION("""COMPUTED_VALUE"""),"NOVIANDRA")</f>
        <v>NOVIANDRA</v>
      </c>
      <c r="C1269" s="3" t="str">
        <f>IFERROR(__xludf.DUMMYFUNCTION("""COMPUTED_VALUE"""),"N9324048307")</f>
        <v>N9324048307</v>
      </c>
      <c r="D1269" s="3">
        <f>IFERROR(__xludf.DUMMYFUNCTION("""COMPUTED_VALUE"""),32.0)</f>
        <v>32</v>
      </c>
      <c r="E1269" s="1"/>
    </row>
    <row r="1270">
      <c r="A1270" s="1"/>
      <c r="B1270" s="3" t="str">
        <f>IFERROR(__xludf.DUMMYFUNCTION("""COMPUTED_VALUE"""),"DANDI")</f>
        <v>DANDI</v>
      </c>
      <c r="C1270" s="3" t="str">
        <f>IFERROR(__xludf.DUMMYFUNCTION("""COMPUTED_VALUE"""),"D0324046730")</f>
        <v>D0324046730</v>
      </c>
      <c r="D1270" s="3">
        <f>IFERROR(__xludf.DUMMYFUNCTION("""COMPUTED_VALUE"""),23.0)</f>
        <v>23</v>
      </c>
      <c r="E1270" s="1"/>
    </row>
    <row r="1271">
      <c r="A1271" s="1"/>
      <c r="B1271" s="3" t="str">
        <f>IFERROR(__xludf.DUMMYFUNCTION("""COMPUTED_VALUE"""),"TOMMY TEGUH SAPUTRA")</f>
        <v>TOMMY TEGUH SAPUTRA</v>
      </c>
      <c r="C1271" s="3" t="str">
        <f>IFERROR(__xludf.DUMMYFUNCTION("""COMPUTED_VALUE"""),"T9024045516")</f>
        <v>T9024045516</v>
      </c>
      <c r="D1271" s="3">
        <f>IFERROR(__xludf.DUMMYFUNCTION("""COMPUTED_VALUE"""),36.0)</f>
        <v>36</v>
      </c>
      <c r="E1271" s="1"/>
    </row>
    <row r="1272">
      <c r="A1272" s="1"/>
      <c r="B1272" s="3" t="str">
        <f>IFERROR(__xludf.DUMMYFUNCTION("""COMPUTED_VALUE"""),"PUTRI RESTU AWALIYAH")</f>
        <v>PUTRI RESTU AWALIYAH</v>
      </c>
      <c r="C1272" s="3" t="str">
        <f>IFERROR(__xludf.DUMMYFUNCTION("""COMPUTED_VALUE"""),"P9824042265")</f>
        <v>P9824042265</v>
      </c>
      <c r="D1272" s="3">
        <f>IFERROR(__xludf.DUMMYFUNCTION("""COMPUTED_VALUE"""),28.0)</f>
        <v>28</v>
      </c>
      <c r="E1272" s="1"/>
    </row>
    <row r="1273">
      <c r="A1273" s="1"/>
      <c r="B1273" s="3" t="str">
        <f>IFERROR(__xludf.DUMMYFUNCTION("""COMPUTED_VALUE"""),"ARION TIO PANDAPOTAN SIMATUPANG")</f>
        <v>ARION TIO PANDAPOTAN SIMATUPANG</v>
      </c>
      <c r="C1273" s="3" t="str">
        <f>IFERROR(__xludf.DUMMYFUNCTION("""COMPUTED_VALUE"""),"A9824044310")</f>
        <v>A9824044310</v>
      </c>
      <c r="D1273" s="3">
        <f>IFERROR(__xludf.DUMMYFUNCTION("""COMPUTED_VALUE"""),28.0)</f>
        <v>28</v>
      </c>
      <c r="E1273" s="1"/>
    </row>
    <row r="1274">
      <c r="A1274" s="1"/>
      <c r="B1274" s="3" t="str">
        <f>IFERROR(__xludf.DUMMYFUNCTION("""COMPUTED_VALUE"""),"EDDY HANAFI")</f>
        <v>EDDY HANAFI</v>
      </c>
      <c r="C1274" s="3" t="str">
        <f>IFERROR(__xludf.DUMMYFUNCTION("""COMPUTED_VALUE"""),"E4924043235")</f>
        <v>E4924043235</v>
      </c>
      <c r="D1274" s="3">
        <f>IFERROR(__xludf.DUMMYFUNCTION("""COMPUTED_VALUE"""),76.0)</f>
        <v>76</v>
      </c>
      <c r="E1274" s="1"/>
    </row>
    <row r="1275">
      <c r="A1275" s="1"/>
      <c r="B1275" s="3" t="str">
        <f>IFERROR(__xludf.DUMMYFUNCTION("""COMPUTED_VALUE"""),"YULI YANTI")</f>
        <v>YULI YANTI</v>
      </c>
      <c r="C1275" s="3" t="str">
        <f>IFERROR(__xludf.DUMMYFUNCTION("""COMPUTED_VALUE"""),"Y7424047557")</f>
        <v>Y7424047557</v>
      </c>
      <c r="D1275" s="3">
        <f>IFERROR(__xludf.DUMMYFUNCTION("""COMPUTED_VALUE"""),51.0)</f>
        <v>51</v>
      </c>
      <c r="E1275" s="1"/>
    </row>
    <row r="1276">
      <c r="A1276" s="1"/>
      <c r="B1276" s="3" t="str">
        <f>IFERROR(__xludf.DUMMYFUNCTION("""COMPUTED_VALUE"""),"ERIK LINGGA")</f>
        <v>ERIK LINGGA</v>
      </c>
      <c r="C1276" s="3" t="str">
        <f>IFERROR(__xludf.DUMMYFUNCTION("""COMPUTED_VALUE"""),"E8224048300")</f>
        <v>E8224048300</v>
      </c>
      <c r="D1276" s="3">
        <f>IFERROR(__xludf.DUMMYFUNCTION("""COMPUTED_VALUE"""),44.0)</f>
        <v>44</v>
      </c>
      <c r="E1276" s="1"/>
    </row>
    <row r="1277">
      <c r="A1277" s="1"/>
      <c r="B1277" s="3" t="str">
        <f>IFERROR(__xludf.DUMMYFUNCTION("""COMPUTED_VALUE"""),"EDY PERDANA")</f>
        <v>EDY PERDANA</v>
      </c>
      <c r="C1277" s="3" t="str">
        <f>IFERROR(__xludf.DUMMYFUNCTION("""COMPUTED_VALUE"""),"E8124045507")</f>
        <v>E8124045507</v>
      </c>
      <c r="D1277" s="3">
        <f>IFERROR(__xludf.DUMMYFUNCTION("""COMPUTED_VALUE"""),44.0)</f>
        <v>44</v>
      </c>
      <c r="E1277" s="1"/>
    </row>
    <row r="1278">
      <c r="A1278" s="1"/>
      <c r="B1278" s="3" t="str">
        <f>IFERROR(__xludf.DUMMYFUNCTION("""COMPUTED_VALUE"""),"SILVIA DESRI")</f>
        <v>SILVIA DESRI</v>
      </c>
      <c r="C1278" s="3" t="str">
        <f>IFERROR(__xludf.DUMMYFUNCTION("""COMPUTED_VALUE"""),"S8024042496")</f>
        <v>S8024042496</v>
      </c>
      <c r="D1278" s="3">
        <f>IFERROR(__xludf.DUMMYFUNCTION("""COMPUTED_VALUE"""),45.0)</f>
        <v>45</v>
      </c>
      <c r="E1278" s="1"/>
    </row>
    <row r="1279">
      <c r="A1279" s="1"/>
      <c r="B1279" s="3" t="str">
        <f>IFERROR(__xludf.DUMMYFUNCTION("""COMPUTED_VALUE"""),"EKA PURWATI")</f>
        <v>EKA PURWATI</v>
      </c>
      <c r="C1279" s="3" t="str">
        <f>IFERROR(__xludf.DUMMYFUNCTION("""COMPUTED_VALUE"""),"E8024049995")</f>
        <v>E8024049995</v>
      </c>
      <c r="D1279" s="3">
        <f>IFERROR(__xludf.DUMMYFUNCTION("""COMPUTED_VALUE"""),45.0)</f>
        <v>45</v>
      </c>
      <c r="E1279" s="1"/>
    </row>
    <row r="1280">
      <c r="A1280" s="1"/>
      <c r="B1280" s="3" t="str">
        <f>IFERROR(__xludf.DUMMYFUNCTION("""COMPUTED_VALUE"""),"ANDRIYANI")</f>
        <v>ANDRIYANI</v>
      </c>
      <c r="C1280" s="3" t="str">
        <f>IFERROR(__xludf.DUMMYFUNCTION("""COMPUTED_VALUE"""),"A9624048555")</f>
        <v>A9624048555</v>
      </c>
      <c r="D1280" s="3">
        <f>IFERROR(__xludf.DUMMYFUNCTION("""COMPUTED_VALUE"""),29.0)</f>
        <v>29</v>
      </c>
      <c r="E1280" s="1"/>
    </row>
    <row r="1281">
      <c r="A1281" s="1"/>
      <c r="B1281" s="3" t="str">
        <f>IFERROR(__xludf.DUMMYFUNCTION("""COMPUTED_VALUE"""),"ZULIANSYAH MAULUDIN")</f>
        <v>ZULIANSYAH MAULUDIN</v>
      </c>
      <c r="C1281" s="3" t="str">
        <f>IFERROR(__xludf.DUMMYFUNCTION("""COMPUTED_VALUE"""),"Z9724047029")</f>
        <v>Z9724047029</v>
      </c>
      <c r="D1281" s="3">
        <f>IFERROR(__xludf.DUMMYFUNCTION("""COMPUTED_VALUE"""),28.0)</f>
        <v>28</v>
      </c>
      <c r="E1281" s="1"/>
    </row>
    <row r="1282">
      <c r="A1282" s="1"/>
      <c r="B1282" s="3" t="str">
        <f>IFERROR(__xludf.DUMMYFUNCTION("""COMPUTED_VALUE"""),"M TOHA SUSILO UTOMO")</f>
        <v>M TOHA SUSILO UTOMO</v>
      </c>
      <c r="C1282" s="3" t="str">
        <f>IFERROR(__xludf.DUMMYFUNCTION("""COMPUTED_VALUE"""),"M7624048000")</f>
        <v>M7624048000</v>
      </c>
      <c r="D1282" s="3">
        <f>IFERROR(__xludf.DUMMYFUNCTION("""COMPUTED_VALUE"""),49.0)</f>
        <v>49</v>
      </c>
      <c r="E1282" s="1"/>
    </row>
    <row r="1283">
      <c r="A1283" s="1"/>
      <c r="B1283" s="3" t="str">
        <f>IFERROR(__xludf.DUMMYFUNCTION("""COMPUTED_VALUE"""),"FELIX LIANDO")</f>
        <v>FELIX LIANDO</v>
      </c>
      <c r="C1283" s="3" t="str">
        <f>IFERROR(__xludf.DUMMYFUNCTION("""COMPUTED_VALUE"""),"F0324045452")</f>
        <v>F0324045452</v>
      </c>
      <c r="D1283" s="3">
        <f>IFERROR(__xludf.DUMMYFUNCTION("""COMPUTED_VALUE"""),22.0)</f>
        <v>22</v>
      </c>
      <c r="E1283" s="1"/>
    </row>
    <row r="1284">
      <c r="A1284" s="1"/>
      <c r="B1284" s="3" t="str">
        <f>IFERROR(__xludf.DUMMYFUNCTION("""COMPUTED_VALUE"""),"NOVIRA LATARISSA")</f>
        <v>NOVIRA LATARISSA</v>
      </c>
      <c r="C1284" s="3" t="str">
        <f>IFERROR(__xludf.DUMMYFUNCTION("""COMPUTED_VALUE"""),"N9024045176")</f>
        <v>N9024045176</v>
      </c>
      <c r="D1284" s="3">
        <f>IFERROR(__xludf.DUMMYFUNCTION("""COMPUTED_VALUE"""),35.0)</f>
        <v>35</v>
      </c>
      <c r="E1284" s="1"/>
    </row>
    <row r="1285">
      <c r="A1285" s="1"/>
      <c r="B1285" s="3" t="str">
        <f>IFERROR(__xludf.DUMMYFUNCTION("""COMPUTED_VALUE"""),"MAULIDATUN NI'MAH")</f>
        <v>MAULIDATUN NI'MAH</v>
      </c>
      <c r="C1285" s="3" t="str">
        <f>IFERROR(__xludf.DUMMYFUNCTION("""COMPUTED_VALUE"""),"M8624049783")</f>
        <v>M8624049783</v>
      </c>
      <c r="D1285" s="3">
        <f>IFERROR(__xludf.DUMMYFUNCTION("""COMPUTED_VALUE"""),39.0)</f>
        <v>39</v>
      </c>
      <c r="E1285" s="1"/>
    </row>
    <row r="1286">
      <c r="A1286" s="1"/>
      <c r="B1286" s="3" t="str">
        <f>IFERROR(__xludf.DUMMYFUNCTION("""COMPUTED_VALUE"""),"BUJANG DARWIS")</f>
        <v>BUJANG DARWIS</v>
      </c>
      <c r="C1286" s="3" t="str">
        <f>IFERROR(__xludf.DUMMYFUNCTION("""COMPUTED_VALUE"""),"B0524040352")</f>
        <v>B0524040352</v>
      </c>
      <c r="D1286" s="3">
        <f>IFERROR(__xludf.DUMMYFUNCTION("""COMPUTED_VALUE"""),21.0)</f>
        <v>21</v>
      </c>
      <c r="E1286" s="1"/>
    </row>
    <row r="1287">
      <c r="A1287" s="1"/>
      <c r="B1287" s="3" t="str">
        <f>IFERROR(__xludf.DUMMYFUNCTION("""COMPUTED_VALUE"""),"KUSILO WIBOWO")</f>
        <v>KUSILO WIBOWO</v>
      </c>
      <c r="C1287" s="3" t="str">
        <f>IFERROR(__xludf.DUMMYFUNCTION("""COMPUTED_VALUE"""),"K6324041880")</f>
        <v>K6324041880</v>
      </c>
      <c r="D1287" s="3">
        <f>IFERROR(__xludf.DUMMYFUNCTION("""COMPUTED_VALUE"""),62.0)</f>
        <v>62</v>
      </c>
      <c r="E1287" s="1"/>
    </row>
    <row r="1288">
      <c r="A1288" s="1"/>
      <c r="B1288" s="3" t="str">
        <f>IFERROR(__xludf.DUMMYFUNCTION("""COMPUTED_VALUE"""),"YONGKI DUARTA")</f>
        <v>YONGKI DUARTA</v>
      </c>
      <c r="C1288" s="3" t="str">
        <f>IFERROR(__xludf.DUMMYFUNCTION("""COMPUTED_VALUE"""),"Y0624049684")</f>
        <v>Y0624049684</v>
      </c>
      <c r="D1288" s="3">
        <f>IFERROR(__xludf.DUMMYFUNCTION("""COMPUTED_VALUE"""),19.0)</f>
        <v>19</v>
      </c>
      <c r="E1288" s="1"/>
    </row>
    <row r="1289">
      <c r="A1289" s="1"/>
      <c r="B1289" s="3" t="str">
        <f>IFERROR(__xludf.DUMMYFUNCTION("""COMPUTED_VALUE"""),"HERMANUS")</f>
        <v>HERMANUS</v>
      </c>
      <c r="C1289" s="3" t="str">
        <f>IFERROR(__xludf.DUMMYFUNCTION("""COMPUTED_VALUE"""),"H7324049684")</f>
        <v>H7324049684</v>
      </c>
      <c r="D1289" s="3">
        <f>IFERROR(__xludf.DUMMYFUNCTION("""COMPUTED_VALUE"""),53.0)</f>
        <v>53</v>
      </c>
      <c r="E1289" s="1"/>
    </row>
    <row r="1290">
      <c r="A1290" s="1"/>
      <c r="B1290" s="3" t="str">
        <f>IFERROR(__xludf.DUMMYFUNCTION("""COMPUTED_VALUE"""),"KATISIA")</f>
        <v>KATISIA</v>
      </c>
      <c r="C1290" s="3" t="str">
        <f>IFERROR(__xludf.DUMMYFUNCTION("""COMPUTED_VALUE"""),"K7524049684")</f>
        <v>K7524049684</v>
      </c>
      <c r="D1290" s="3">
        <f>IFERROR(__xludf.DUMMYFUNCTION("""COMPUTED_VALUE"""),51.0)</f>
        <v>51</v>
      </c>
      <c r="E1290" s="1"/>
    </row>
    <row r="1291">
      <c r="A1291" s="1"/>
      <c r="B1291" s="3" t="str">
        <f>IFERROR(__xludf.DUMMYFUNCTION("""COMPUTED_VALUE"""),"PUTRI PRATIWI UTAMI")</f>
        <v>PUTRI PRATIWI UTAMI</v>
      </c>
      <c r="C1291" s="3" t="str">
        <f>IFERROR(__xludf.DUMMYFUNCTION("""COMPUTED_VALUE"""),"P9524042449")</f>
        <v>P9524042449</v>
      </c>
      <c r="D1291" s="3">
        <f>IFERROR(__xludf.DUMMYFUNCTION("""COMPUTED_VALUE"""),30.0)</f>
        <v>30</v>
      </c>
      <c r="E1291" s="1"/>
    </row>
    <row r="1292">
      <c r="A1292" s="1"/>
      <c r="B1292" s="3" t="str">
        <f>IFERROR(__xludf.DUMMYFUNCTION("""COMPUTED_VALUE"""),"MUHAMMAD RIFKY ARDANTO")</f>
        <v>MUHAMMAD RIFKY ARDANTO</v>
      </c>
      <c r="C1292" s="3" t="str">
        <f>IFERROR(__xludf.DUMMYFUNCTION("""COMPUTED_VALUE"""),"M0424041828")</f>
        <v>M0424041828</v>
      </c>
      <c r="D1292" s="3">
        <f>IFERROR(__xludf.DUMMYFUNCTION("""COMPUTED_VALUE"""),21.0)</f>
        <v>21</v>
      </c>
      <c r="E1292" s="1"/>
    </row>
    <row r="1293">
      <c r="A1293" s="1"/>
      <c r="B1293" s="3" t="str">
        <f>IFERROR(__xludf.DUMMYFUNCTION("""COMPUTED_VALUE"""),"ANGGUN RACHMAWATI")</f>
        <v>ANGGUN RACHMAWATI</v>
      </c>
      <c r="C1293" s="3" t="str">
        <f>IFERROR(__xludf.DUMMYFUNCTION("""COMPUTED_VALUE"""),"A9124047242")</f>
        <v>A9124047242</v>
      </c>
      <c r="D1293" s="3">
        <f>IFERROR(__xludf.DUMMYFUNCTION("""COMPUTED_VALUE"""),34.0)</f>
        <v>34</v>
      </c>
      <c r="E1293" s="1"/>
    </row>
    <row r="1294">
      <c r="A1294" s="1"/>
      <c r="B1294" s="3" t="str">
        <f>IFERROR(__xludf.DUMMYFUNCTION("""COMPUTED_VALUE"""),"REZA PRASTYA")</f>
        <v>REZA PRASTYA</v>
      </c>
      <c r="C1294" s="3" t="str">
        <f>IFERROR(__xludf.DUMMYFUNCTION("""COMPUTED_VALUE"""),"R9224047774")</f>
        <v>R9224047774</v>
      </c>
      <c r="D1294" s="3">
        <f>IFERROR(__xludf.DUMMYFUNCTION("""COMPUTED_VALUE"""),33.0)</f>
        <v>33</v>
      </c>
      <c r="E1294" s="1"/>
    </row>
    <row r="1295">
      <c r="A1295" s="1"/>
      <c r="B1295" s="3" t="str">
        <f>IFERROR(__xludf.DUMMYFUNCTION("""COMPUTED_VALUE"""),"MICHAEL 0103")</f>
        <v>MICHAEL 0103</v>
      </c>
      <c r="C1295" s="3" t="str">
        <f>IFERROR(__xludf.DUMMYFUNCTION("""COMPUTED_VALUE"""),"M0124055324")</f>
        <v>M0124055324</v>
      </c>
      <c r="D1295" s="3">
        <f>IFERROR(__xludf.DUMMYFUNCTION("""COMPUTED_VALUE"""),25.0)</f>
        <v>25</v>
      </c>
      <c r="E1295" s="1"/>
    </row>
    <row r="1296">
      <c r="A1296" s="1"/>
      <c r="B1296" s="3" t="str">
        <f>IFERROR(__xludf.DUMMYFUNCTION("""COMPUTED_VALUE"""),"ZULFAHMI EKI FINALDA")</f>
        <v>ZULFAHMI EKI FINALDA</v>
      </c>
      <c r="C1296" s="3" t="str">
        <f>IFERROR(__xludf.DUMMYFUNCTION("""COMPUTED_VALUE"""),"Z9524058455")</f>
        <v>Z9524058455</v>
      </c>
      <c r="D1296" s="3">
        <f>IFERROR(__xludf.DUMMYFUNCTION("""COMPUTED_VALUE"""),31.0)</f>
        <v>31</v>
      </c>
      <c r="E1296" s="1"/>
    </row>
    <row r="1297">
      <c r="A1297" s="1"/>
      <c r="B1297" s="3" t="str">
        <f>IFERROR(__xludf.DUMMYFUNCTION("""COMPUTED_VALUE"""),"MAULANA OKTAVIAN PRADANA")</f>
        <v>MAULANA OKTAVIAN PRADANA</v>
      </c>
      <c r="C1297" s="3" t="str">
        <f>IFERROR(__xludf.DUMMYFUNCTION("""COMPUTED_VALUE"""),"M9024054025")</f>
        <v>M9024054025</v>
      </c>
      <c r="D1297" s="3">
        <f>IFERROR(__xludf.DUMMYFUNCTION("""COMPUTED_VALUE"""),35.0)</f>
        <v>35</v>
      </c>
      <c r="E1297" s="1"/>
    </row>
    <row r="1298">
      <c r="A1298" s="1"/>
      <c r="B1298" s="3" t="str">
        <f>IFERROR(__xludf.DUMMYFUNCTION("""COMPUTED_VALUE"""),"JOKO SLAMET PRIYANTO")</f>
        <v>JOKO SLAMET PRIYANTO</v>
      </c>
      <c r="C1298" s="3" t="str">
        <f>IFERROR(__xludf.DUMMYFUNCTION("""COMPUTED_VALUE"""),"J9024059211")</f>
        <v>J9024059211</v>
      </c>
      <c r="D1298" s="3">
        <f>IFERROR(__xludf.DUMMYFUNCTION("""COMPUTED_VALUE"""),36.0)</f>
        <v>36</v>
      </c>
      <c r="E1298" s="1"/>
    </row>
    <row r="1299">
      <c r="A1299" s="1"/>
      <c r="B1299" s="3" t="str">
        <f>IFERROR(__xludf.DUMMYFUNCTION("""COMPUTED_VALUE"""),"BATISTUTA YUSLYADI")</f>
        <v>BATISTUTA YUSLYADI</v>
      </c>
      <c r="C1299" s="3" t="str">
        <f>IFERROR(__xludf.DUMMYFUNCTION("""COMPUTED_VALUE"""),"B9924053678")</f>
        <v>B9924053678</v>
      </c>
      <c r="D1299" s="3">
        <f>IFERROR(__xludf.DUMMYFUNCTION("""COMPUTED_VALUE"""),27.0)</f>
        <v>27</v>
      </c>
      <c r="E1299" s="1"/>
    </row>
    <row r="1300">
      <c r="A1300" s="1"/>
      <c r="B1300" s="3" t="str">
        <f>IFERROR(__xludf.DUMMYFUNCTION("""COMPUTED_VALUE"""),"STEPHAN SUSANTO")</f>
        <v>STEPHAN SUSANTO</v>
      </c>
      <c r="C1300" s="3" t="str">
        <f>IFERROR(__xludf.DUMMYFUNCTION("""COMPUTED_VALUE"""),"S9224059787")</f>
        <v>S9224059787</v>
      </c>
      <c r="D1300" s="3">
        <f>IFERROR(__xludf.DUMMYFUNCTION("""COMPUTED_VALUE"""),33.0)</f>
        <v>33</v>
      </c>
      <c r="E1300" s="1"/>
    </row>
    <row r="1301">
      <c r="A1301" s="1"/>
      <c r="B1301" s="3" t="str">
        <f>IFERROR(__xludf.DUMMYFUNCTION("""COMPUTED_VALUE"""),"ALBERTUS WENDY")</f>
        <v>ALBERTUS WENDY</v>
      </c>
      <c r="C1301" s="3" t="str">
        <f>IFERROR(__xludf.DUMMYFUNCTION("""COMPUTED_VALUE"""),"A042405\")</f>
        <v>A042405\</v>
      </c>
      <c r="D1301" s="3">
        <f>IFERROR(__xludf.DUMMYFUNCTION("""COMPUTED_VALUE"""),21.0)</f>
        <v>21</v>
      </c>
      <c r="E1301" s="1"/>
    </row>
    <row r="1302">
      <c r="A1302" s="1"/>
      <c r="B1302" s="3" t="str">
        <f>IFERROR(__xludf.DUMMYFUNCTION("""COMPUTED_VALUE"""),"EKO NUGROHO PUTRANTONO")</f>
        <v>EKO NUGROHO PUTRANTONO</v>
      </c>
      <c r="C1302" s="3" t="str">
        <f>IFERROR(__xludf.DUMMYFUNCTION("""COMPUTED_VALUE"""),"E9424050360")</f>
        <v>E9424050360</v>
      </c>
      <c r="D1302" s="3">
        <f>IFERROR(__xludf.DUMMYFUNCTION("""COMPUTED_VALUE"""),31.0)</f>
        <v>31</v>
      </c>
      <c r="E1302" s="1"/>
    </row>
    <row r="1303">
      <c r="A1303" s="1"/>
      <c r="B1303" s="3" t="str">
        <f>IFERROR(__xludf.DUMMYFUNCTION("""COMPUTED_VALUE"""),"ACHIEN")</f>
        <v>ACHIEN</v>
      </c>
      <c r="C1303" s="3" t="str">
        <f>IFERROR(__xludf.DUMMYFUNCTION("""COMPUTED_VALUE"""),"A5724054530")</f>
        <v>A5724054530</v>
      </c>
      <c r="D1303" s="3">
        <f>IFERROR(__xludf.DUMMYFUNCTION("""COMPUTED_VALUE"""),68.0)</f>
        <v>68</v>
      </c>
      <c r="E1303" s="1"/>
    </row>
    <row r="1304">
      <c r="A1304" s="1"/>
      <c r="B1304" s="3" t="str">
        <f>IFERROR(__xludf.DUMMYFUNCTION("""COMPUTED_VALUE"""),"MUHAMMAD VARELL BINTANG SUMAHARJA")</f>
        <v>MUHAMMAD VARELL BINTANG SUMAHARJA</v>
      </c>
      <c r="C1304" s="3" t="str">
        <f>IFERROR(__xludf.DUMMYFUNCTION("""COMPUTED_VALUE"""),"M0624050774")</f>
        <v>M0624050774</v>
      </c>
      <c r="D1304" s="3">
        <f>IFERROR(__xludf.DUMMYFUNCTION("""COMPUTED_VALUE"""),20.0)</f>
        <v>20</v>
      </c>
      <c r="E1304" s="1"/>
    </row>
    <row r="1305">
      <c r="A1305" s="1"/>
      <c r="B1305" s="3" t="str">
        <f>IFERROR(__xludf.DUMMYFUNCTION("""COMPUTED_VALUE"""),"IDA SUHARNI")</f>
        <v>IDA SUHARNI</v>
      </c>
      <c r="C1305" s="3" t="str">
        <f>IFERROR(__xludf.DUMMYFUNCTION("""COMPUTED_VALUE"""),"I6524056344")</f>
        <v>I6524056344</v>
      </c>
      <c r="D1305" s="3">
        <f>IFERROR(__xludf.DUMMYFUNCTION("""COMPUTED_VALUE"""),60.0)</f>
        <v>60</v>
      </c>
      <c r="E1305" s="1"/>
    </row>
    <row r="1306">
      <c r="A1306" s="1"/>
      <c r="B1306" s="3" t="str">
        <f>IFERROR(__xludf.DUMMYFUNCTION("""COMPUTED_VALUE"""),"KENNY ADITYA PRATAMA")</f>
        <v>KENNY ADITYA PRATAMA</v>
      </c>
      <c r="C1306" s="3" t="str">
        <f>IFERROR(__xludf.DUMMYFUNCTION("""COMPUTED_VALUE"""),"K9524054054")</f>
        <v>K9524054054</v>
      </c>
      <c r="D1306" s="3">
        <f>IFERROR(__xludf.DUMMYFUNCTION("""COMPUTED_VALUE"""),30.0)</f>
        <v>30</v>
      </c>
      <c r="E1306" s="1"/>
    </row>
    <row r="1307">
      <c r="A1307" s="1"/>
      <c r="B1307" s="3" t="str">
        <f>IFERROR(__xludf.DUMMYFUNCTION("""COMPUTED_VALUE"""),"GITA RAHAYU")</f>
        <v>GITA RAHAYU</v>
      </c>
      <c r="C1307" s="3" t="str">
        <f>IFERROR(__xludf.DUMMYFUNCTION("""COMPUTED_VALUE"""),"G9224053884")</f>
        <v>G9224053884</v>
      </c>
      <c r="D1307" s="3">
        <f>IFERROR(__xludf.DUMMYFUNCTION("""COMPUTED_VALUE"""),34.0)</f>
        <v>34</v>
      </c>
      <c r="E1307" s="1"/>
    </row>
    <row r="1308">
      <c r="A1308" s="1"/>
      <c r="B1308" s="3" t="str">
        <f>IFERROR(__xludf.DUMMYFUNCTION("""COMPUTED_VALUE"""),"NOVIYANTO")</f>
        <v>NOVIYANTO</v>
      </c>
      <c r="C1308" s="3" t="str">
        <f>IFERROR(__xludf.DUMMYFUNCTION("""COMPUTED_VALUE"""),"N0124050522")</f>
        <v>N0124050522</v>
      </c>
      <c r="D1308" s="3">
        <f>IFERROR(__xludf.DUMMYFUNCTION("""COMPUTED_VALUE"""),24.0)</f>
        <v>24</v>
      </c>
      <c r="E1308" s="1"/>
    </row>
    <row r="1309">
      <c r="A1309" s="1"/>
      <c r="B1309" s="3" t="str">
        <f>IFERROR(__xludf.DUMMYFUNCTION("""COMPUTED_VALUE"""),"FEBIANTO")</f>
        <v>FEBIANTO</v>
      </c>
      <c r="C1309" s="3" t="str">
        <f>IFERROR(__xludf.DUMMYFUNCTION("""COMPUTED_VALUE"""),"F9124059886")</f>
        <v>F9124059886</v>
      </c>
      <c r="D1309" s="3">
        <f>IFERROR(__xludf.DUMMYFUNCTION("""COMPUTED_VALUE"""),35.0)</f>
        <v>35</v>
      </c>
      <c r="E1309" s="1"/>
    </row>
    <row r="1310">
      <c r="A1310" s="1"/>
      <c r="B1310" s="3" t="str">
        <f>IFERROR(__xludf.DUMMYFUNCTION("""COMPUTED_VALUE"""),"ELLY")</f>
        <v>ELLY</v>
      </c>
      <c r="C1310" s="3" t="str">
        <f>IFERROR(__xludf.DUMMYFUNCTION("""COMPUTED_VALUE"""),"E8924055253")</f>
        <v>E8924055253</v>
      </c>
      <c r="D1310" s="3">
        <f>IFERROR(__xludf.DUMMYFUNCTION("""COMPUTED_VALUE"""),37.0)</f>
        <v>37</v>
      </c>
      <c r="E1310" s="1"/>
    </row>
    <row r="1311">
      <c r="A1311" s="1"/>
      <c r="B1311" s="3" t="str">
        <f>IFERROR(__xludf.DUMMYFUNCTION("""COMPUTED_VALUE"""),"DESSY")</f>
        <v>DESSY</v>
      </c>
      <c r="C1311" s="3" t="str">
        <f>IFERROR(__xludf.DUMMYFUNCTION("""COMPUTED_VALUE"""),"D8724050975")</f>
        <v>D8724050975</v>
      </c>
      <c r="D1311" s="3">
        <f>IFERROR(__xludf.DUMMYFUNCTION("""COMPUTED_VALUE"""),39.0)</f>
        <v>39</v>
      </c>
      <c r="E1311" s="1"/>
    </row>
    <row r="1312">
      <c r="A1312" s="1"/>
      <c r="B1312" s="3" t="str">
        <f>IFERROR(__xludf.DUMMYFUNCTION("""COMPUTED_VALUE"""),"DESY YUNIATI")</f>
        <v>DESY YUNIATI</v>
      </c>
      <c r="C1312" s="3" t="str">
        <f>IFERROR(__xludf.DUMMYFUNCTION("""COMPUTED_VALUE"""),"D9024054652")</f>
        <v>D9024054652</v>
      </c>
      <c r="D1312" s="3">
        <f>IFERROR(__xludf.DUMMYFUNCTION("""COMPUTED_VALUE"""),36.0)</f>
        <v>36</v>
      </c>
      <c r="E1312" s="1"/>
    </row>
    <row r="1313">
      <c r="A1313" s="1"/>
      <c r="B1313" s="3" t="str">
        <f>IFERROR(__xludf.DUMMYFUNCTION("""COMPUTED_VALUE"""),"RIYAN FITRA")</f>
        <v>RIYAN FITRA</v>
      </c>
      <c r="C1313" s="3" t="str">
        <f>IFERROR(__xludf.DUMMYFUNCTION("""COMPUTED_VALUE"""),"R0024056479")</f>
        <v>R0024056479</v>
      </c>
      <c r="D1313" s="3">
        <f>IFERROR(__xludf.DUMMYFUNCTION("""COMPUTED_VALUE"""),26.0)</f>
        <v>26</v>
      </c>
      <c r="E1313" s="1"/>
    </row>
    <row r="1314">
      <c r="A1314" s="1"/>
      <c r="B1314" s="3" t="str">
        <f>IFERROR(__xludf.DUMMYFUNCTION("""COMPUTED_VALUE"""),"BAMBANG RIO AGRIAWAN")</f>
        <v>BAMBANG RIO AGRIAWAN</v>
      </c>
      <c r="C1314" s="3" t="str">
        <f>IFERROR(__xludf.DUMMYFUNCTION("""COMPUTED_VALUE"""),"B9124050605")</f>
        <v>B9124050605</v>
      </c>
      <c r="D1314" s="3">
        <f>IFERROR(__xludf.DUMMYFUNCTION("""COMPUTED_VALUE"""),35.0)</f>
        <v>35</v>
      </c>
      <c r="E1314" s="1"/>
    </row>
    <row r="1315">
      <c r="A1315" s="1"/>
      <c r="B1315" s="3" t="str">
        <f>IFERROR(__xludf.DUMMYFUNCTION("""COMPUTED_VALUE"""),"EDWARD YANUAR SUSANTO")</f>
        <v>EDWARD YANUAR SUSANTO</v>
      </c>
      <c r="C1315" s="3" t="str">
        <f>IFERROR(__xludf.DUMMYFUNCTION("""COMPUTED_VALUE"""),"E8924059039")</f>
        <v>E8924059039</v>
      </c>
      <c r="D1315" s="3">
        <f>IFERROR(__xludf.DUMMYFUNCTION("""COMPUTED_VALUE"""),37.0)</f>
        <v>37</v>
      </c>
      <c r="E1315" s="1"/>
    </row>
    <row r="1316">
      <c r="A1316" s="1"/>
      <c r="B1316" s="3" t="str">
        <f>IFERROR(__xludf.DUMMYFUNCTION("""COMPUTED_VALUE"""),"DONATILA KARENIA IGNALISTA")</f>
        <v>DONATILA KARENIA IGNALISTA</v>
      </c>
      <c r="C1316" s="3" t="str">
        <f>IFERROR(__xludf.DUMMYFUNCTION("""COMPUTED_VALUE"""),"D0524056876")</f>
        <v>D0524056876</v>
      </c>
      <c r="D1316" s="3">
        <f>IFERROR(__xludf.DUMMYFUNCTION("""COMPUTED_VALUE"""),21.0)</f>
        <v>21</v>
      </c>
      <c r="E1316" s="1"/>
    </row>
    <row r="1317">
      <c r="A1317" s="1"/>
      <c r="B1317" s="3" t="str">
        <f>IFERROR(__xludf.DUMMYFUNCTION("""COMPUTED_VALUE"""),"RAHMAT FARIZ RAMADHAN")</f>
        <v>RAHMAT FARIZ RAMADHAN</v>
      </c>
      <c r="C1317" s="3" t="str">
        <f>IFERROR(__xludf.DUMMYFUNCTION("""COMPUTED_VALUE"""),"R0524056851")</f>
        <v>R0524056851</v>
      </c>
      <c r="D1317" s="3">
        <f>IFERROR(__xludf.DUMMYFUNCTION("""COMPUTED_VALUE"""),20.0)</f>
        <v>20</v>
      </c>
      <c r="E1317" s="1"/>
    </row>
    <row r="1318">
      <c r="A1318" s="1"/>
      <c r="B1318" s="3" t="str">
        <f>IFERROR(__xludf.DUMMYFUNCTION("""COMPUTED_VALUE"""),"SITI ATIKA AZZAHRA")</f>
        <v>SITI ATIKA AZZAHRA</v>
      </c>
      <c r="C1318" s="3" t="str">
        <f>IFERROR(__xludf.DUMMYFUNCTION("""COMPUTED_VALUE"""),"S0024053054")</f>
        <v>S0024053054</v>
      </c>
      <c r="D1318" s="3">
        <f>IFERROR(__xludf.DUMMYFUNCTION("""COMPUTED_VALUE"""),25.0)</f>
        <v>25</v>
      </c>
      <c r="E1318" s="1"/>
    </row>
    <row r="1319">
      <c r="A1319" s="1"/>
      <c r="B1319" s="3" t="str">
        <f>IFERROR(__xludf.DUMMYFUNCTION("""COMPUTED_VALUE"""),"URAY ARYA FAVIAN JIWANI")</f>
        <v>URAY ARYA FAVIAN JIWANI</v>
      </c>
      <c r="C1319" s="3" t="str">
        <f>IFERROR(__xludf.DUMMYFUNCTION("""COMPUTED_VALUE"""),"U0224056408")</f>
        <v>U0224056408</v>
      </c>
      <c r="D1319" s="3">
        <f>IFERROR(__xludf.DUMMYFUNCTION("""COMPUTED_VALUE"""),23.0)</f>
        <v>23</v>
      </c>
      <c r="E1319" s="1"/>
    </row>
    <row r="1320">
      <c r="A1320" s="1"/>
      <c r="B1320" s="3" t="str">
        <f>IFERROR(__xludf.DUMMYFUNCTION("""COMPUTED_VALUE"""),"HANDY YOSUA THOMAS")</f>
        <v>HANDY YOSUA THOMAS</v>
      </c>
      <c r="C1320" s="3" t="str">
        <f>IFERROR(__xludf.DUMMYFUNCTION("""COMPUTED_VALUE"""),"H9224057775")</f>
        <v>H9224057775</v>
      </c>
      <c r="D1320" s="3">
        <f>IFERROR(__xludf.DUMMYFUNCTION("""COMPUTED_VALUE"""),34.0)</f>
        <v>34</v>
      </c>
      <c r="E1320" s="1"/>
    </row>
    <row r="1321">
      <c r="A1321" s="1"/>
      <c r="B1321" s="3" t="str">
        <f>IFERROR(__xludf.DUMMYFUNCTION("""COMPUTED_VALUE"""),"ANINDA NABILA WIDMAN P.")</f>
        <v>ANINDA NABILA WIDMAN P.</v>
      </c>
      <c r="C1321" s="3" t="str">
        <f>IFERROR(__xludf.DUMMYFUNCTION("""COMPUTED_VALUE"""),"A0224053501")</f>
        <v>A0224053501</v>
      </c>
      <c r="D1321" s="3">
        <f>IFERROR(__xludf.DUMMYFUNCTION("""COMPUTED_VALUE"""),24.0)</f>
        <v>24</v>
      </c>
      <c r="E1321" s="1"/>
    </row>
    <row r="1322">
      <c r="A1322" s="1"/>
      <c r="B1322" s="3" t="str">
        <f>IFERROR(__xludf.DUMMYFUNCTION("""COMPUTED_VALUE"""),"ANGGI PERWITASARI")</f>
        <v>ANGGI PERWITASARI</v>
      </c>
      <c r="C1322" s="3" t="str">
        <f>IFERROR(__xludf.DUMMYFUNCTION("""COMPUTED_VALUE"""),"A8924059959")</f>
        <v>A8924059959</v>
      </c>
      <c r="D1322" s="3">
        <f>IFERROR(__xludf.DUMMYFUNCTION("""COMPUTED_VALUE"""),36.0)</f>
        <v>36</v>
      </c>
      <c r="E1322" s="1"/>
    </row>
    <row r="1323">
      <c r="A1323" s="1"/>
      <c r="B1323" s="3" t="str">
        <f>IFERROR(__xludf.DUMMYFUNCTION("""COMPUTED_VALUE"""),"UTIN NUR ALIA")</f>
        <v>UTIN NUR ALIA</v>
      </c>
      <c r="C1323" s="3" t="str">
        <f>IFERROR(__xludf.DUMMYFUNCTION("""COMPUTED_VALUE"""),"U9624055631")</f>
        <v>U9624055631</v>
      </c>
      <c r="D1323" s="3">
        <f>IFERROR(__xludf.DUMMYFUNCTION("""COMPUTED_VALUE"""),29.0)</f>
        <v>29</v>
      </c>
      <c r="E1323" s="1"/>
    </row>
    <row r="1324">
      <c r="A1324" s="1"/>
      <c r="B1324" s="3" t="str">
        <f>IFERROR(__xludf.DUMMYFUNCTION("""COMPUTED_VALUE"""),"MUHAMMAD RIZKY ASLAMSYAH")</f>
        <v>MUHAMMAD RIZKY ASLAMSYAH</v>
      </c>
      <c r="C1324" s="3" t="str">
        <f>IFERROR(__xludf.DUMMYFUNCTION("""COMPUTED_VALUE"""),"M9324050815")</f>
        <v>M9324050815</v>
      </c>
      <c r="D1324" s="3">
        <f>IFERROR(__xludf.DUMMYFUNCTION("""COMPUTED_VALUE"""),32.0)</f>
        <v>32</v>
      </c>
      <c r="E1324" s="1"/>
    </row>
    <row r="1325">
      <c r="A1325" s="1"/>
      <c r="B1325" s="3" t="str">
        <f>IFERROR(__xludf.DUMMYFUNCTION("""COMPUTED_VALUE"""),"SYARIF MAULANA")</f>
        <v>SYARIF MAULANA</v>
      </c>
      <c r="C1325" s="3" t="str">
        <f>IFERROR(__xludf.DUMMYFUNCTION("""COMPUTED_VALUE"""),"S0224056365")</f>
        <v>S0224056365</v>
      </c>
      <c r="D1325" s="3">
        <f>IFERROR(__xludf.DUMMYFUNCTION("""COMPUTED_VALUE"""),24.0)</f>
        <v>24</v>
      </c>
      <c r="E1325" s="1"/>
    </row>
    <row r="1326">
      <c r="A1326" s="1"/>
      <c r="B1326" s="3" t="str">
        <f>IFERROR(__xludf.DUMMYFUNCTION("""COMPUTED_VALUE"""),"LIM LIE FONG")</f>
        <v>LIM LIE FONG</v>
      </c>
      <c r="C1326" s="3" t="str">
        <f>IFERROR(__xludf.DUMMYFUNCTION("""COMPUTED_VALUE"""),"L6224053235")</f>
        <v>L6224053235</v>
      </c>
      <c r="D1326" s="3">
        <f>IFERROR(__xludf.DUMMYFUNCTION("""COMPUTED_VALUE"""),64.0)</f>
        <v>64</v>
      </c>
      <c r="E1326" s="1"/>
    </row>
    <row r="1327">
      <c r="A1327" s="1"/>
      <c r="B1327" s="3" t="str">
        <f>IFERROR(__xludf.DUMMYFUNCTION("""COMPUTED_VALUE"""),"AGUS ARIANSYAH")</f>
        <v>AGUS ARIANSYAH</v>
      </c>
      <c r="C1327" s="3" t="str">
        <f>IFERROR(__xludf.DUMMYFUNCTION("""COMPUTED_VALUE"""),"A0524052429")</f>
        <v>A0524052429</v>
      </c>
      <c r="D1327" s="3">
        <f>IFERROR(__xludf.DUMMYFUNCTION("""COMPUTED_VALUE"""),20.0)</f>
        <v>20</v>
      </c>
      <c r="E1327" s="1"/>
    </row>
    <row r="1328">
      <c r="A1328" s="1"/>
      <c r="B1328" s="3" t="str">
        <f>IFERROR(__xludf.DUMMYFUNCTION("""COMPUTED_VALUE"""),"ADE FERDINAN")</f>
        <v>ADE FERDINAN</v>
      </c>
      <c r="C1328" s="3" t="str">
        <f>IFERROR(__xludf.DUMMYFUNCTION("""COMPUTED_VALUE"""),"A8124059026")</f>
        <v>A8124059026</v>
      </c>
      <c r="D1328" s="3">
        <f>IFERROR(__xludf.DUMMYFUNCTION("""COMPUTED_VALUE"""),44.0)</f>
        <v>44</v>
      </c>
      <c r="E1328" s="1"/>
    </row>
    <row r="1329">
      <c r="A1329" s="1"/>
      <c r="B1329" s="3" t="str">
        <f>IFERROR(__xludf.DUMMYFUNCTION("""COMPUTED_VALUE"""),"NYEMAS SHAINAH")</f>
        <v>NYEMAS SHAINAH</v>
      </c>
      <c r="C1329" s="3" t="str">
        <f>IFERROR(__xludf.DUMMYFUNCTION("""COMPUTED_VALUE"""),"N6124050003")</f>
        <v>N6124050003</v>
      </c>
      <c r="D1329" s="3">
        <f>IFERROR(__xludf.DUMMYFUNCTION("""COMPUTED_VALUE"""),65.0)</f>
        <v>65</v>
      </c>
      <c r="E1329" s="1"/>
    </row>
    <row r="1330">
      <c r="A1330" s="1"/>
      <c r="B1330" s="3" t="str">
        <f>IFERROR(__xludf.DUMMYFUNCTION("""COMPUTED_VALUE"""),"NANI YUSNANINGSIH")</f>
        <v>NANI YUSNANINGSIH</v>
      </c>
      <c r="C1330" s="3" t="str">
        <f>IFERROR(__xludf.DUMMYFUNCTION("""COMPUTED_VALUE"""),"N7124057969")</f>
        <v>N7124057969</v>
      </c>
      <c r="D1330" s="3">
        <f>IFERROR(__xludf.DUMMYFUNCTION("""COMPUTED_VALUE"""),55.0)</f>
        <v>55</v>
      </c>
      <c r="E1330" s="1"/>
    </row>
    <row r="1331">
      <c r="A1331" s="1"/>
      <c r="B1331" s="3" t="str">
        <f>IFERROR(__xludf.DUMMYFUNCTION("""COMPUTED_VALUE"""),"MUSLIMAH")</f>
        <v>MUSLIMAH</v>
      </c>
      <c r="C1331" s="3" t="str">
        <f>IFERROR(__xludf.DUMMYFUNCTION("""COMPUTED_VALUE"""),"M4824050181")</f>
        <v>M4824050181</v>
      </c>
      <c r="D1331" s="3">
        <f>IFERROR(__xludf.DUMMYFUNCTION("""COMPUTED_VALUE"""),77.0)</f>
        <v>77</v>
      </c>
      <c r="E1331" s="1"/>
    </row>
    <row r="1332">
      <c r="A1332" s="1"/>
      <c r="B1332" s="3" t="str">
        <f>IFERROR(__xludf.DUMMYFUNCTION("""COMPUTED_VALUE"""),"NURUL IZZA")</f>
        <v>NURUL IZZA</v>
      </c>
      <c r="C1332" s="3" t="str">
        <f>IFERROR(__xludf.DUMMYFUNCTION("""COMPUTED_VALUE"""),"N0224054540")</f>
        <v>N0224054540</v>
      </c>
      <c r="D1332" s="3">
        <f>IFERROR(__xludf.DUMMYFUNCTION("""COMPUTED_VALUE"""),23.0)</f>
        <v>23</v>
      </c>
      <c r="E1332" s="1"/>
    </row>
    <row r="1333">
      <c r="A1333" s="1"/>
      <c r="B1333" s="3" t="str">
        <f>IFERROR(__xludf.DUMMYFUNCTION("""COMPUTED_VALUE"""),"FAUZIAH")</f>
        <v>FAUZIAH</v>
      </c>
      <c r="C1333" s="3" t="str">
        <f>IFERROR(__xludf.DUMMYFUNCTION("""COMPUTED_VALUE"""),"F7424054053")</f>
        <v>F7424054053</v>
      </c>
      <c r="D1333" s="3">
        <f>IFERROR(__xludf.DUMMYFUNCTION("""COMPUTED_VALUE"""),52.0)</f>
        <v>52</v>
      </c>
      <c r="E1333" s="1"/>
    </row>
    <row r="1334">
      <c r="A1334" s="1"/>
      <c r="B1334" s="3" t="str">
        <f>IFERROR(__xludf.DUMMYFUNCTION("""COMPUTED_VALUE"""),"FIRTA RAHAYU")</f>
        <v>FIRTA RAHAYU</v>
      </c>
      <c r="C1334" s="3" t="str">
        <f>IFERROR(__xludf.DUMMYFUNCTION("""COMPUTED_VALUE"""),"F8924053335")</f>
        <v>F8924053335</v>
      </c>
      <c r="D1334" s="3">
        <f>IFERROR(__xludf.DUMMYFUNCTION("""COMPUTED_VALUE"""),37.0)</f>
        <v>37</v>
      </c>
      <c r="E1334" s="1"/>
    </row>
    <row r="1335">
      <c r="A1335" s="1"/>
      <c r="B1335" s="3" t="str">
        <f>IFERROR(__xludf.DUMMYFUNCTION("""COMPUTED_VALUE"""),"DADAN FANDIYANA")</f>
        <v>DADAN FANDIYANA</v>
      </c>
      <c r="C1335" s="3" t="str">
        <f>IFERROR(__xludf.DUMMYFUNCTION("""COMPUTED_VALUE"""),"D8724059947")</f>
        <v>D8724059947</v>
      </c>
      <c r="D1335" s="3">
        <f>IFERROR(__xludf.DUMMYFUNCTION("""COMPUTED_VALUE"""),39.0)</f>
        <v>39</v>
      </c>
      <c r="E1335" s="1"/>
    </row>
    <row r="1336">
      <c r="A1336" s="1"/>
      <c r="B1336" s="3" t="str">
        <f>IFERROR(__xludf.DUMMYFUNCTION("""COMPUTED_VALUE"""),"BUDI CANDRAWIRA")</f>
        <v>BUDI CANDRAWIRA</v>
      </c>
      <c r="C1336" s="3" t="str">
        <f>IFERROR(__xludf.DUMMYFUNCTION("""COMPUTED_VALUE"""),"B8724052707")</f>
        <v>B8724052707</v>
      </c>
      <c r="D1336" s="3">
        <f>IFERROR(__xludf.DUMMYFUNCTION("""COMPUTED_VALUE"""),39.0)</f>
        <v>39</v>
      </c>
      <c r="E1336" s="1"/>
    </row>
    <row r="1337">
      <c r="A1337" s="1"/>
      <c r="B1337" s="3" t="str">
        <f>IFERROR(__xludf.DUMMYFUNCTION("""COMPUTED_VALUE"""),"ENI SETYAWATI")</f>
        <v>ENI SETYAWATI</v>
      </c>
      <c r="C1337" s="3" t="str">
        <f>IFERROR(__xludf.DUMMYFUNCTION("""COMPUTED_VALUE"""),"E8324053960")</f>
        <v>E8324053960</v>
      </c>
      <c r="D1337" s="3">
        <f>IFERROR(__xludf.DUMMYFUNCTION("""COMPUTED_VALUE"""),42.0)</f>
        <v>42</v>
      </c>
      <c r="E1337" s="1"/>
    </row>
    <row r="1338">
      <c r="A1338" s="1"/>
      <c r="B1338" s="3" t="str">
        <f>IFERROR(__xludf.DUMMYFUNCTION("""COMPUTED_VALUE"""),"ARAY DUADUAL HAMIJAYA")</f>
        <v>ARAY DUADUAL HAMIJAYA</v>
      </c>
      <c r="C1338" s="3" t="str">
        <f>IFERROR(__xludf.DUMMYFUNCTION("""COMPUTED_VALUE"""),"A0124056622")</f>
        <v>A0124056622</v>
      </c>
      <c r="D1338" s="3">
        <f>IFERROR(__xludf.DUMMYFUNCTION("""COMPUTED_VALUE"""),25.0)</f>
        <v>25</v>
      </c>
      <c r="E1338" s="1"/>
    </row>
    <row r="1339">
      <c r="A1339" s="1"/>
      <c r="B1339" s="3" t="str">
        <f>IFERROR(__xludf.DUMMYFUNCTION("""COMPUTED_VALUE"""),"NURBAJATI")</f>
        <v>NURBAJATI</v>
      </c>
      <c r="C1339" s="3" t="str">
        <f>IFERROR(__xludf.DUMMYFUNCTION("""COMPUTED_VALUE"""),"N6224053383")</f>
        <v>N6224053383</v>
      </c>
      <c r="D1339" s="3">
        <f>IFERROR(__xludf.DUMMYFUNCTION("""COMPUTED_VALUE"""),64.0)</f>
        <v>64</v>
      </c>
      <c r="E1339" s="1"/>
    </row>
    <row r="1340">
      <c r="A1340" s="1"/>
      <c r="B1340" s="3" t="str">
        <f>IFERROR(__xludf.DUMMYFUNCTION("""COMPUTED_VALUE"""),"MAS LASTIAN LA RIFATI")</f>
        <v>MAS LASTIAN LA RIFATI</v>
      </c>
      <c r="C1340" s="3" t="str">
        <f>IFERROR(__xludf.DUMMYFUNCTION("""COMPUTED_VALUE"""),"M9024057798")</f>
        <v>M9024057798</v>
      </c>
      <c r="D1340" s="3">
        <f>IFERROR(__xludf.DUMMYFUNCTION("""COMPUTED_VALUE"""),35.0)</f>
        <v>35</v>
      </c>
      <c r="E1340" s="1"/>
    </row>
    <row r="1341">
      <c r="A1341" s="1"/>
      <c r="B1341" s="3" t="str">
        <f>IFERROR(__xludf.DUMMYFUNCTION("""COMPUTED_VALUE"""),"MUHSON NURROCHMAT S")</f>
        <v>MUHSON NURROCHMAT S</v>
      </c>
      <c r="C1341" s="3" t="str">
        <f>IFERROR(__xludf.DUMMYFUNCTION("""COMPUTED_VALUE"""),"M7324056255")</f>
        <v>M7324056255</v>
      </c>
      <c r="D1341" s="3">
        <f>IFERROR(__xludf.DUMMYFUNCTION("""COMPUTED_VALUE"""),52.0)</f>
        <v>52</v>
      </c>
      <c r="E1341" s="1"/>
    </row>
    <row r="1342">
      <c r="A1342" s="1"/>
      <c r="B1342" s="3" t="str">
        <f>IFERROR(__xludf.DUMMYFUNCTION("""COMPUTED_VALUE"""),"SEPTIAN JOKO PUJIANTO")</f>
        <v>SEPTIAN JOKO PUJIANTO</v>
      </c>
      <c r="C1342" s="3" t="str">
        <f>IFERROR(__xludf.DUMMYFUNCTION("""COMPUTED_VALUE"""),"S9624051445")</f>
        <v>S9624051445</v>
      </c>
      <c r="D1342" s="3">
        <f>IFERROR(__xludf.DUMMYFUNCTION("""COMPUTED_VALUE"""),29.0)</f>
        <v>29</v>
      </c>
      <c r="E1342" s="1"/>
    </row>
    <row r="1343">
      <c r="A1343" s="1"/>
      <c r="B1343" s="3" t="str">
        <f>IFERROR(__xludf.DUMMYFUNCTION("""COMPUTED_VALUE"""),"PRATAMA ARIE PHERDOAN")</f>
        <v>PRATAMA ARIE PHERDOAN</v>
      </c>
      <c r="C1343" s="3" t="str">
        <f>IFERROR(__xludf.DUMMYFUNCTION("""COMPUTED_VALUE"""),"P0224056714")</f>
        <v>P0224056714</v>
      </c>
      <c r="D1343" s="3">
        <f>IFERROR(__xludf.DUMMYFUNCTION("""COMPUTED_VALUE"""),24.0)</f>
        <v>24</v>
      </c>
      <c r="E1343" s="1"/>
    </row>
    <row r="1344">
      <c r="A1344" s="1"/>
      <c r="B1344" s="3" t="str">
        <f>IFERROR(__xludf.DUMMYFUNCTION("""COMPUTED_VALUE"""),"RYAN MAULANA")</f>
        <v>RYAN MAULANA</v>
      </c>
      <c r="C1344" s="3" t="str">
        <f>IFERROR(__xludf.DUMMYFUNCTION("""COMPUTED_VALUE"""),"R0524059574")</f>
        <v>R0524059574</v>
      </c>
      <c r="D1344" s="3">
        <f>IFERROR(__xludf.DUMMYFUNCTION("""COMPUTED_VALUE"""),21.0)</f>
        <v>21</v>
      </c>
      <c r="E1344" s="1"/>
    </row>
    <row r="1345">
      <c r="A1345" s="1"/>
      <c r="B1345" s="3" t="str">
        <f>IFERROR(__xludf.DUMMYFUNCTION("""COMPUTED_VALUE"""),"RENDY FEBRIAN")</f>
        <v>RENDY FEBRIAN</v>
      </c>
      <c r="C1345" s="3" t="str">
        <f>IFERROR(__xludf.DUMMYFUNCTION("""COMPUTED_VALUE"""),"R8924052182")</f>
        <v>R8924052182</v>
      </c>
      <c r="D1345" s="3">
        <f>IFERROR(__xludf.DUMMYFUNCTION("""COMPUTED_VALUE"""),37.0)</f>
        <v>37</v>
      </c>
      <c r="E1345" s="1"/>
    </row>
    <row r="1346">
      <c r="A1346" s="1"/>
      <c r="B1346" s="3" t="str">
        <f>IFERROR(__xludf.DUMMYFUNCTION("""COMPUTED_VALUE"""),"VINSENSIUS MALETA")</f>
        <v>VINSENSIUS MALETA</v>
      </c>
      <c r="C1346" s="3" t="str">
        <f>IFERROR(__xludf.DUMMYFUNCTION("""COMPUTED_VALUE"""),"V5724056503")</f>
        <v>V5724056503</v>
      </c>
      <c r="D1346" s="3">
        <f>IFERROR(__xludf.DUMMYFUNCTION("""COMPUTED_VALUE"""),68.0)</f>
        <v>68</v>
      </c>
      <c r="E1346" s="1"/>
    </row>
    <row r="1347">
      <c r="A1347" s="1"/>
      <c r="B1347" s="3" t="str">
        <f>IFERROR(__xludf.DUMMYFUNCTION("""COMPUTED_VALUE"""),"MUHAMMAD RANDA")</f>
        <v>MUHAMMAD RANDA</v>
      </c>
      <c r="C1347" s="3" t="str">
        <f>IFERROR(__xludf.DUMMYFUNCTION("""COMPUTED_VALUE"""),"M8724054827")</f>
        <v>M8724054827</v>
      </c>
      <c r="D1347" s="3">
        <f>IFERROR(__xludf.DUMMYFUNCTION("""COMPUTED_VALUE"""),39.0)</f>
        <v>39</v>
      </c>
      <c r="E1347" s="1"/>
    </row>
    <row r="1348">
      <c r="A1348" s="1"/>
      <c r="B1348" s="3" t="str">
        <f>IFERROR(__xludf.DUMMYFUNCTION("""COMPUTED_VALUE"""),"TJHIA DJUN TJHIN")</f>
        <v>TJHIA DJUN TJHIN</v>
      </c>
      <c r="C1348" s="3" t="str">
        <f>IFERROR(__xludf.DUMMYFUNCTION("""COMPUTED_VALUE"""),"T4524055128")</f>
        <v>T4524055128</v>
      </c>
      <c r="D1348" s="3">
        <f>IFERROR(__xludf.DUMMYFUNCTION("""COMPUTED_VALUE"""),81.0)</f>
        <v>81</v>
      </c>
      <c r="E1348" s="1"/>
    </row>
    <row r="1349">
      <c r="A1349" s="1"/>
      <c r="B1349" s="3" t="str">
        <f>IFERROR(__xludf.DUMMYFUNCTION("""COMPUTED_VALUE"""),"SARTINAWATI")</f>
        <v>SARTINAWATI</v>
      </c>
      <c r="C1349" s="3" t="str">
        <f>IFERROR(__xludf.DUMMYFUNCTION("""COMPUTED_VALUE"""),"S7724054274")</f>
        <v>S7724054274</v>
      </c>
      <c r="D1349" s="3">
        <f>IFERROR(__xludf.DUMMYFUNCTION("""COMPUTED_VALUE"""),48.0)</f>
        <v>48</v>
      </c>
      <c r="E1349" s="1"/>
    </row>
    <row r="1350">
      <c r="A1350" s="1"/>
      <c r="B1350" s="3" t="str">
        <f>IFERROR(__xludf.DUMMYFUNCTION("""COMPUTED_VALUE"""),"BENI SETIYANTO")</f>
        <v>BENI SETIYANTO</v>
      </c>
      <c r="C1350" s="3" t="str">
        <f>IFERROR(__xludf.DUMMYFUNCTION("""COMPUTED_VALUE"""),"B9124051354")</f>
        <v>B9124051354</v>
      </c>
      <c r="D1350" s="3">
        <f>IFERROR(__xludf.DUMMYFUNCTION("""COMPUTED_VALUE"""),34.0)</f>
        <v>34</v>
      </c>
      <c r="E1350" s="1"/>
    </row>
    <row r="1351">
      <c r="A1351" s="1"/>
      <c r="B1351" s="3" t="str">
        <f>IFERROR(__xludf.DUMMYFUNCTION("""COMPUTED_VALUE"""),"AGUS PURNOMO")</f>
        <v>AGUS PURNOMO</v>
      </c>
      <c r="C1351" s="3" t="str">
        <f>IFERROR(__xludf.DUMMYFUNCTION("""COMPUTED_VALUE"""),"A6624052879")</f>
        <v>A6624052879</v>
      </c>
      <c r="D1351" s="3">
        <f>IFERROR(__xludf.DUMMYFUNCTION("""COMPUTED_VALUE"""),59.0)</f>
        <v>59</v>
      </c>
      <c r="E1351" s="1"/>
    </row>
    <row r="1352">
      <c r="A1352" s="1"/>
      <c r="B1352" s="3" t="str">
        <f>IFERROR(__xludf.DUMMYFUNCTION("""COMPUTED_VALUE"""),"M. FACHROZI AKBAR")</f>
        <v>M. FACHROZI AKBAR</v>
      </c>
      <c r="C1352" s="3" t="str">
        <f>IFERROR(__xludf.DUMMYFUNCTION("""COMPUTED_VALUE"""),"M0024058791")</f>
        <v>M0024058791</v>
      </c>
      <c r="D1352" s="3">
        <f>IFERROR(__xludf.DUMMYFUNCTION("""COMPUTED_VALUE"""),26.0)</f>
        <v>26</v>
      </c>
      <c r="E1352" s="1"/>
    </row>
    <row r="1353">
      <c r="A1353" s="1"/>
      <c r="B1353" s="3" t="str">
        <f>IFERROR(__xludf.DUMMYFUNCTION("""COMPUTED_VALUE"""),"LUSIA ASIAT")</f>
        <v>LUSIA ASIAT</v>
      </c>
      <c r="C1353" s="3" t="str">
        <f>IFERROR(__xludf.DUMMYFUNCTION("""COMPUTED_VALUE"""),"L2424051496")</f>
        <v>L2424051496</v>
      </c>
      <c r="D1353" s="3">
        <f>IFERROR(__xludf.DUMMYFUNCTION("""COMPUTED_VALUE"""),1.0)</f>
        <v>1</v>
      </c>
      <c r="E1353" s="1"/>
    </row>
    <row r="1354">
      <c r="A1354" s="1"/>
      <c r="B1354" s="3" t="str">
        <f>IFERROR(__xludf.DUMMYFUNCTION("""COMPUTED_VALUE"""),"ALBERT TIRTO")</f>
        <v>ALBERT TIRTO</v>
      </c>
      <c r="C1354" s="3" t="str">
        <f>IFERROR(__xludf.DUMMYFUNCTION("""COMPUTED_VALUE"""),"A9624053321")</f>
        <v>A9624053321</v>
      </c>
      <c r="D1354" s="3">
        <f>IFERROR(__xludf.DUMMYFUNCTION("""COMPUTED_VALUE"""),29.0)</f>
        <v>29</v>
      </c>
      <c r="E1354" s="1"/>
    </row>
    <row r="1355">
      <c r="A1355" s="1"/>
      <c r="B1355" s="3" t="str">
        <f>IFERROR(__xludf.DUMMYFUNCTION("""COMPUTED_VALUE"""),"SUKARNI 7004")</f>
        <v>SUKARNI 7004</v>
      </c>
      <c r="C1355" s="3" t="str">
        <f>IFERROR(__xludf.DUMMYFUNCTION("""COMPUTED_VALUE"""),"S7024056023")</f>
        <v>S7024056023</v>
      </c>
      <c r="D1355" s="3">
        <f>IFERROR(__xludf.DUMMYFUNCTION("""COMPUTED_VALUE"""),56.0)</f>
        <v>56</v>
      </c>
      <c r="E1355" s="1"/>
    </row>
    <row r="1356">
      <c r="A1356" s="1"/>
      <c r="B1356" s="3" t="str">
        <f>IFERROR(__xludf.DUMMYFUNCTION("""COMPUTED_VALUE"""),"AHMAD ABDUL AZIZ")</f>
        <v>AHMAD ABDUL AZIZ</v>
      </c>
      <c r="C1356" s="3" t="str">
        <f>IFERROR(__xludf.DUMMYFUNCTION("""COMPUTED_VALUE"""),"A9424056548")</f>
        <v>A9424056548</v>
      </c>
      <c r="D1356" s="3">
        <f>IFERROR(__xludf.DUMMYFUNCTION("""COMPUTED_VALUE"""),31.0)</f>
        <v>31</v>
      </c>
      <c r="E1356" s="1"/>
    </row>
    <row r="1357">
      <c r="A1357" s="1"/>
      <c r="B1357" s="3" t="str">
        <f>IFERROR(__xludf.DUMMYFUNCTION("""COMPUTED_VALUE"""),"ASMIAH")</f>
        <v>ASMIAH</v>
      </c>
      <c r="C1357" s="3" t="str">
        <f>IFERROR(__xludf.DUMMYFUNCTION("""COMPUTED_VALUE"""),"A8024058129")</f>
        <v>A8024058129</v>
      </c>
      <c r="D1357" s="3">
        <f>IFERROR(__xludf.DUMMYFUNCTION("""COMPUTED_VALUE"""),46.0)</f>
        <v>46</v>
      </c>
      <c r="E1357" s="1"/>
    </row>
    <row r="1358">
      <c r="A1358" s="1"/>
      <c r="B1358" s="3" t="str">
        <f>IFERROR(__xludf.DUMMYFUNCTION("""COMPUTED_VALUE"""),"INDRA")</f>
        <v>INDRA</v>
      </c>
      <c r="C1358" s="3" t="str">
        <f>IFERROR(__xludf.DUMMYFUNCTION("""COMPUTED_VALUE"""),"I8424054474")</f>
        <v>I8424054474</v>
      </c>
      <c r="D1358" s="3">
        <f>IFERROR(__xludf.DUMMYFUNCTION("""COMPUTED_VALUE"""),42.0)</f>
        <v>42</v>
      </c>
      <c r="E1358" s="1"/>
    </row>
    <row r="1359">
      <c r="A1359" s="1"/>
      <c r="B1359" s="3" t="str">
        <f>IFERROR(__xludf.DUMMYFUNCTION("""COMPUTED_VALUE"""),"MEINAR ANGGRAINI")</f>
        <v>MEINAR ANGGRAINI</v>
      </c>
      <c r="C1359" s="3" t="str">
        <f>IFERROR(__xludf.DUMMYFUNCTION("""COMPUTED_VALUE"""),"M6724057637")</f>
        <v>M6724057637</v>
      </c>
      <c r="D1359" s="3">
        <f>IFERROR(__xludf.DUMMYFUNCTION("""COMPUTED_VALUE"""),59.0)</f>
        <v>59</v>
      </c>
      <c r="E1359" s="1"/>
    </row>
    <row r="1360">
      <c r="A1360" s="1"/>
      <c r="B1360" s="3" t="str">
        <f>IFERROR(__xludf.DUMMYFUNCTION("""COMPUTED_VALUE"""),"FAEYZA DIQTY NADA SYAFIA")</f>
        <v>FAEYZA DIQTY NADA SYAFIA</v>
      </c>
      <c r="C1360" s="3" t="str">
        <f>IFERROR(__xludf.DUMMYFUNCTION("""COMPUTED_VALUE"""),"F1324050775")</f>
        <v>F1324050775</v>
      </c>
      <c r="D1360" s="3">
        <f>IFERROR(__xludf.DUMMYFUNCTION("""COMPUTED_VALUE"""),12.0)</f>
        <v>12</v>
      </c>
      <c r="E1360" s="1"/>
    </row>
    <row r="1361">
      <c r="A1361" s="1"/>
      <c r="B1361" s="3" t="str">
        <f>IFERROR(__xludf.DUMMYFUNCTION("""COMPUTED_VALUE"""),"HANDIKA")</f>
        <v>HANDIKA</v>
      </c>
      <c r="C1361" s="3" t="str">
        <f>IFERROR(__xludf.DUMMYFUNCTION("""COMPUTED_VALUE"""),"H9124051709")</f>
        <v>H9124051709</v>
      </c>
      <c r="D1361" s="3">
        <f>IFERROR(__xludf.DUMMYFUNCTION("""COMPUTED_VALUE"""),34.0)</f>
        <v>34</v>
      </c>
      <c r="E1361" s="1"/>
    </row>
    <row r="1362">
      <c r="A1362" s="1"/>
      <c r="B1362" s="3" t="str">
        <f>IFERROR(__xludf.DUMMYFUNCTION("""COMPUTED_VALUE"""),"MUHAMMAD NABHIL DHOYFULLOH")</f>
        <v>MUHAMMAD NABHIL DHOYFULLOH</v>
      </c>
      <c r="C1362" s="3" t="str">
        <f>IFERROR(__xludf.DUMMYFUNCTION("""COMPUTED_VALUE"""),"M0524055808")</f>
        <v>M0524055808</v>
      </c>
      <c r="D1362" s="3">
        <f>IFERROR(__xludf.DUMMYFUNCTION("""COMPUTED_VALUE"""),20.0)</f>
        <v>20</v>
      </c>
      <c r="E1362" s="1"/>
    </row>
    <row r="1363">
      <c r="A1363" s="1"/>
      <c r="B1363" s="3" t="str">
        <f>IFERROR(__xludf.DUMMYFUNCTION("""COMPUTED_VALUE"""),"ANNA DARLINA")</f>
        <v>ANNA DARLINA</v>
      </c>
      <c r="C1363" s="3" t="str">
        <f>IFERROR(__xludf.DUMMYFUNCTION("""COMPUTED_VALUE"""),"A6624051497")</f>
        <v>A6624051497</v>
      </c>
      <c r="D1363" s="3">
        <f>IFERROR(__xludf.DUMMYFUNCTION("""COMPUTED_VALUE"""),60.0)</f>
        <v>60</v>
      </c>
      <c r="E1363" s="1"/>
    </row>
    <row r="1364">
      <c r="A1364" s="1"/>
      <c r="B1364" s="3" t="str">
        <f>IFERROR(__xludf.DUMMYFUNCTION("""COMPUTED_VALUE"""),"LOLITA SUKASA")</f>
        <v>LOLITA SUKASA</v>
      </c>
      <c r="C1364" s="3" t="str">
        <f>IFERROR(__xludf.DUMMYFUNCTION("""COMPUTED_VALUE"""),"L9424052601")</f>
        <v>L9424052601</v>
      </c>
      <c r="D1364" s="3">
        <f>IFERROR(__xludf.DUMMYFUNCTION("""COMPUTED_VALUE"""),31.0)</f>
        <v>31</v>
      </c>
      <c r="E1364" s="1"/>
    </row>
    <row r="1365">
      <c r="A1365" s="1"/>
      <c r="B1365" s="3" t="str">
        <f>IFERROR(__xludf.DUMMYFUNCTION("""COMPUTED_VALUE"""),"SYAHRIAL EFANI SIREGAR")</f>
        <v>SYAHRIAL EFANI SIREGAR</v>
      </c>
      <c r="C1365" s="3" t="str">
        <f>IFERROR(__xludf.DUMMYFUNCTION("""COMPUTED_VALUE"""),"S8124057616")</f>
        <v>S8124057616</v>
      </c>
      <c r="D1365" s="3">
        <f>IFERROR(__xludf.DUMMYFUNCTION("""COMPUTED_VALUE"""),45.0)</f>
        <v>45</v>
      </c>
      <c r="E1365" s="1"/>
    </row>
    <row r="1366">
      <c r="A1366" s="1"/>
      <c r="B1366" s="3" t="str">
        <f>IFERROR(__xludf.DUMMYFUNCTION("""COMPUTED_VALUE"""),"VINNY SUSANTI")</f>
        <v>VINNY SUSANTI</v>
      </c>
      <c r="C1366" s="3" t="str">
        <f>IFERROR(__xludf.DUMMYFUNCTION("""COMPUTED_VALUE"""),"V9124051709")</f>
        <v>V9124051709</v>
      </c>
      <c r="D1366" s="3">
        <f>IFERROR(__xludf.DUMMYFUNCTION("""COMPUTED_VALUE"""),35.0)</f>
        <v>35</v>
      </c>
      <c r="E1366" s="1"/>
    </row>
    <row r="1367">
      <c r="A1367" s="1"/>
      <c r="B1367" s="3" t="str">
        <f>IFERROR(__xludf.DUMMYFUNCTION("""COMPUTED_VALUE"""),"ANDIKA WAHYU P")</f>
        <v>ANDIKA WAHYU P</v>
      </c>
      <c r="C1367" s="3" t="str">
        <f>IFERROR(__xludf.DUMMYFUNCTION("""COMPUTED_VALUE"""),"A9024050310")</f>
        <v>A9024050310</v>
      </c>
      <c r="D1367" s="3">
        <f>IFERROR(__xludf.DUMMYFUNCTION("""COMPUTED_VALUE"""),36.0)</f>
        <v>36</v>
      </c>
      <c r="E1367" s="1"/>
    </row>
    <row r="1368">
      <c r="A1368" s="1"/>
      <c r="B1368" s="3" t="str">
        <f>IFERROR(__xludf.DUMMYFUNCTION("""COMPUTED_VALUE"""),"WILLY WONGSO TIO")</f>
        <v>WILLY WONGSO TIO</v>
      </c>
      <c r="C1368" s="3" t="str">
        <f>IFERROR(__xludf.DUMMYFUNCTION("""COMPUTED_VALUE"""),"W9624059928")</f>
        <v>W9624059928</v>
      </c>
      <c r="D1368" s="3">
        <f>IFERROR(__xludf.DUMMYFUNCTION("""COMPUTED_VALUE"""),30.0)</f>
        <v>30</v>
      </c>
      <c r="E1368" s="1"/>
    </row>
    <row r="1369">
      <c r="A1369" s="1"/>
      <c r="B1369" s="3" t="str">
        <f>IFERROR(__xludf.DUMMYFUNCTION("""COMPUTED_VALUE"""),"MIFTAHUDIN RAMADHANI")</f>
        <v>MIFTAHUDIN RAMADHANI</v>
      </c>
      <c r="C1369" s="3" t="str">
        <f>IFERROR(__xludf.DUMMYFUNCTION("""COMPUTED_VALUE"""),"M8824056007")</f>
        <v>M8824056007</v>
      </c>
      <c r="D1369" s="3">
        <f>IFERROR(__xludf.DUMMYFUNCTION("""COMPUTED_VALUE"""),38.0)</f>
        <v>38</v>
      </c>
      <c r="E1369" s="1"/>
    </row>
    <row r="1370">
      <c r="A1370" s="1"/>
      <c r="B1370" s="3" t="str">
        <f>IFERROR(__xludf.DUMMYFUNCTION("""COMPUTED_VALUE"""),"MIAU TIN")</f>
        <v>MIAU TIN</v>
      </c>
      <c r="C1370" s="3" t="str">
        <f>IFERROR(__xludf.DUMMYFUNCTION("""COMPUTED_VALUE"""),"M7424058221")</f>
        <v>M7424058221</v>
      </c>
      <c r="D1370" s="3">
        <f>IFERROR(__xludf.DUMMYFUNCTION("""COMPUTED_VALUE"""),51.0)</f>
        <v>51</v>
      </c>
      <c r="E1370" s="1"/>
    </row>
    <row r="1371">
      <c r="A1371" s="1"/>
      <c r="B1371" s="3" t="str">
        <f>IFERROR(__xludf.DUMMYFUNCTION("""COMPUTED_VALUE"""),"YENI MARIANI")</f>
        <v>YENI MARIANI</v>
      </c>
      <c r="C1371" s="3" t="str">
        <f>IFERROR(__xludf.DUMMYFUNCTION("""COMPUTED_VALUE"""),"Y8824058157")</f>
        <v>Y8824058157</v>
      </c>
      <c r="D1371" s="3">
        <f>IFERROR(__xludf.DUMMYFUNCTION("""COMPUTED_VALUE"""),38.0)</f>
        <v>38</v>
      </c>
      <c r="E1371" s="1"/>
    </row>
    <row r="1372">
      <c r="A1372" s="1"/>
      <c r="B1372" s="3" t="str">
        <f>IFERROR(__xludf.DUMMYFUNCTION("""COMPUTED_VALUE"""),"CIPTO PRIYONO")</f>
        <v>CIPTO PRIYONO</v>
      </c>
      <c r="C1372" s="3" t="str">
        <f>IFERROR(__xludf.DUMMYFUNCTION("""COMPUTED_VALUE"""),"C8324059169")</f>
        <v>C8324059169</v>
      </c>
      <c r="D1372" s="3">
        <f>IFERROR(__xludf.DUMMYFUNCTION("""COMPUTED_VALUE"""),43.0)</f>
        <v>43</v>
      </c>
      <c r="E1372" s="1"/>
    </row>
    <row r="1373">
      <c r="A1373" s="1"/>
      <c r="B1373" s="3" t="str">
        <f>IFERROR(__xludf.DUMMYFUNCTION("""COMPUTED_VALUE"""),"BENNY LIM")</f>
        <v>BENNY LIM</v>
      </c>
      <c r="C1373" s="3" t="str">
        <f>IFERROR(__xludf.DUMMYFUNCTION("""COMPUTED_VALUE"""),"B9524053322")</f>
        <v>B9524053322</v>
      </c>
      <c r="D1373" s="3">
        <f>IFERROR(__xludf.DUMMYFUNCTION("""COMPUTED_VALUE"""),30.0)</f>
        <v>30</v>
      </c>
      <c r="E1373" s="1"/>
    </row>
    <row r="1374">
      <c r="A1374" s="1"/>
      <c r="B1374" s="3" t="str">
        <f>IFERROR(__xludf.DUMMYFUNCTION("""COMPUTED_VALUE"""),"INDAH AYU YUDISTIRA")</f>
        <v>INDAH AYU YUDISTIRA</v>
      </c>
      <c r="C1374" s="3" t="str">
        <f>IFERROR(__xludf.DUMMYFUNCTION("""COMPUTED_VALUE"""),"I8524054704")</f>
        <v>I8524054704</v>
      </c>
      <c r="D1374" s="3">
        <f>IFERROR(__xludf.DUMMYFUNCTION("""COMPUTED_VALUE"""),41.0)</f>
        <v>41</v>
      </c>
      <c r="E1374" s="1"/>
    </row>
    <row r="1375">
      <c r="A1375" s="1"/>
      <c r="B1375" s="3" t="str">
        <f>IFERROR(__xludf.DUMMYFUNCTION("""COMPUTED_VALUE"""),"AMELIA SUSANTI")</f>
        <v>AMELIA SUSANTI</v>
      </c>
      <c r="C1375" s="3" t="str">
        <f>IFERROR(__xludf.DUMMYFUNCTION("""COMPUTED_VALUE"""),"A9324055554")</f>
        <v>A9324055554</v>
      </c>
      <c r="D1375" s="3">
        <f>IFERROR(__xludf.DUMMYFUNCTION("""COMPUTED_VALUE"""),33.0)</f>
        <v>33</v>
      </c>
      <c r="E1375" s="1"/>
    </row>
    <row r="1376">
      <c r="A1376" s="1"/>
      <c r="B1376" s="3" t="str">
        <f>IFERROR(__xludf.DUMMYFUNCTION("""COMPUTED_VALUE"""),"SYARIFAH AISYAH")</f>
        <v>SYARIFAH AISYAH</v>
      </c>
      <c r="C1376" s="3" t="str">
        <f>IFERROR(__xludf.DUMMYFUNCTION("""COMPUTED_VALUE"""),"S4524057449")</f>
        <v>S4524057449</v>
      </c>
      <c r="D1376" s="3">
        <f>IFERROR(__xludf.DUMMYFUNCTION("""COMPUTED_VALUE"""),81.0)</f>
        <v>81</v>
      </c>
      <c r="E1376" s="1"/>
    </row>
    <row r="1377">
      <c r="A1377" s="1"/>
      <c r="B1377" s="3" t="str">
        <f>IFERROR(__xludf.DUMMYFUNCTION("""COMPUTED_VALUE"""),"HANGGA TAQWA REZA")</f>
        <v>HANGGA TAQWA REZA</v>
      </c>
      <c r="C1377" s="3" t="str">
        <f>IFERROR(__xludf.DUMMYFUNCTION("""COMPUTED_VALUE"""),"H8624050200")</f>
        <v>H8624050200</v>
      </c>
      <c r="D1377" s="3">
        <f>IFERROR(__xludf.DUMMYFUNCTION("""COMPUTED_VALUE"""),40.0)</f>
        <v>40</v>
      </c>
      <c r="E1377" s="1"/>
    </row>
    <row r="1378">
      <c r="A1378" s="1"/>
      <c r="B1378" s="3" t="str">
        <f>IFERROR(__xludf.DUMMYFUNCTION("""COMPUTED_VALUE"""),"GILANG AHMAD YUDHASTAR")</f>
        <v>GILANG AHMAD YUDHASTAR</v>
      </c>
      <c r="C1378" s="3" t="str">
        <f>IFERROR(__xludf.DUMMYFUNCTION("""COMPUTED_VALUE"""),"G0924057746")</f>
        <v>G0924057746</v>
      </c>
      <c r="D1378" s="3">
        <f>IFERROR(__xludf.DUMMYFUNCTION("""COMPUTED_VALUE"""),17.0)</f>
        <v>17</v>
      </c>
      <c r="E1378" s="1"/>
    </row>
    <row r="1379">
      <c r="A1379" s="1"/>
      <c r="B1379" s="3" t="str">
        <f>IFERROR(__xludf.DUMMYFUNCTION("""COMPUTED_VALUE"""),"RAFI ACHMAD JULIANNIZAR")</f>
        <v>RAFI ACHMAD JULIANNIZAR</v>
      </c>
      <c r="C1379" s="3" t="str">
        <f>IFERROR(__xludf.DUMMYFUNCTION("""COMPUTED_VALUE"""),"R0724054977")</f>
        <v>R0724054977</v>
      </c>
      <c r="D1379" s="3">
        <f>IFERROR(__xludf.DUMMYFUNCTION("""COMPUTED_VALUE"""),18.0)</f>
        <v>18</v>
      </c>
      <c r="E1379" s="1"/>
    </row>
    <row r="1380">
      <c r="A1380" s="1"/>
      <c r="B1380" s="3" t="str">
        <f>IFERROR(__xludf.DUMMYFUNCTION("""COMPUTED_VALUE"""),"BOY SIANIPAR")</f>
        <v>BOY SIANIPAR</v>
      </c>
      <c r="C1380" s="3" t="str">
        <f>IFERROR(__xludf.DUMMYFUNCTION("""COMPUTED_VALUE"""),"B9524053190")</f>
        <v>B9524053190</v>
      </c>
      <c r="D1380" s="3">
        <f>IFERROR(__xludf.DUMMYFUNCTION("""COMPUTED_VALUE"""),30.0)</f>
        <v>30</v>
      </c>
      <c r="E1380" s="1"/>
    </row>
    <row r="1381">
      <c r="A1381" s="1"/>
      <c r="B1381" s="3" t="str">
        <f>IFERROR(__xludf.DUMMYFUNCTION("""COMPUTED_VALUE"""),"KARNELA")</f>
        <v>KARNELA</v>
      </c>
      <c r="C1381" s="3" t="str">
        <f>IFERROR(__xludf.DUMMYFUNCTION("""COMPUTED_VALUE"""),"K8824050066")</f>
        <v>K8824050066</v>
      </c>
      <c r="D1381" s="3">
        <f>IFERROR(__xludf.DUMMYFUNCTION("""COMPUTED_VALUE"""),38.0)</f>
        <v>38</v>
      </c>
      <c r="E1381" s="1"/>
    </row>
    <row r="1382">
      <c r="A1382" s="1"/>
      <c r="B1382" s="3" t="str">
        <f>IFERROR(__xludf.DUMMYFUNCTION("""COMPUTED_VALUE"""),"LIM SU PIN")</f>
        <v>LIM SU PIN</v>
      </c>
      <c r="C1382" s="3" t="str">
        <f>IFERROR(__xludf.DUMMYFUNCTION("""COMPUTED_VALUE"""),"L7524054495")</f>
        <v>L7524054495</v>
      </c>
      <c r="D1382" s="3">
        <f>IFERROR(__xludf.DUMMYFUNCTION("""COMPUTED_VALUE"""),50.0)</f>
        <v>50</v>
      </c>
      <c r="E1382" s="1"/>
    </row>
    <row r="1383">
      <c r="A1383" s="1"/>
      <c r="B1383" s="3" t="str">
        <f>IFERROR(__xludf.DUMMYFUNCTION("""COMPUTED_VALUE"""),"RINDA ABDILLA")</f>
        <v>RINDA ABDILLA</v>
      </c>
      <c r="C1383" s="3" t="str">
        <f>IFERROR(__xludf.DUMMYFUNCTION("""COMPUTED_VALUE"""),"R9524056100")</f>
        <v>R9524056100</v>
      </c>
      <c r="D1383" s="3">
        <f>IFERROR(__xludf.DUMMYFUNCTION("""COMPUTED_VALUE"""),30.0)</f>
        <v>30</v>
      </c>
      <c r="E1383" s="1"/>
    </row>
    <row r="1384">
      <c r="A1384" s="1"/>
      <c r="B1384" s="3" t="str">
        <f>IFERROR(__xludf.DUMMYFUNCTION("""COMPUTED_VALUE"""),"MUHAMMAD FARHAN")</f>
        <v>MUHAMMAD FARHAN</v>
      </c>
      <c r="C1384" s="3" t="str">
        <f>IFERROR(__xludf.DUMMYFUNCTION("""COMPUTED_VALUE"""),"M0224065625")</f>
        <v>M0224065625</v>
      </c>
      <c r="D1384" s="3">
        <f>IFERROR(__xludf.DUMMYFUNCTION("""COMPUTED_VALUE"""),23.0)</f>
        <v>23</v>
      </c>
      <c r="E1384" s="1"/>
    </row>
    <row r="1385">
      <c r="A1385" s="1"/>
      <c r="B1385" s="3" t="str">
        <f>IFERROR(__xludf.DUMMYFUNCTION("""COMPUTED_VALUE"""),"NURUL RAHMAH")</f>
        <v>NURUL RAHMAH</v>
      </c>
      <c r="C1385" s="3" t="str">
        <f>IFERROR(__xludf.DUMMYFUNCTION("""COMPUTED_VALUE"""),"N8624066594")</f>
        <v>N8624066594</v>
      </c>
      <c r="D1385" s="3">
        <f>IFERROR(__xludf.DUMMYFUNCTION("""COMPUTED_VALUE"""),40.0)</f>
        <v>40</v>
      </c>
      <c r="E1385" s="1"/>
    </row>
    <row r="1386">
      <c r="A1386" s="1"/>
      <c r="B1386" s="3" t="str">
        <f>IFERROR(__xludf.DUMMYFUNCTION("""COMPUTED_VALUE"""),"ISMED")</f>
        <v>ISMED</v>
      </c>
      <c r="C1386" s="3" t="str">
        <f>IFERROR(__xludf.DUMMYFUNCTION("""COMPUTED_VALUE"""),"I7624067150")</f>
        <v>I7624067150</v>
      </c>
      <c r="D1386" s="3">
        <f>IFERROR(__xludf.DUMMYFUNCTION("""COMPUTED_VALUE"""),49.0)</f>
        <v>49</v>
      </c>
      <c r="E1386" s="1"/>
    </row>
    <row r="1387">
      <c r="A1387" s="1"/>
      <c r="B1387" s="3" t="str">
        <f>IFERROR(__xludf.DUMMYFUNCTION("""COMPUTED_VALUE"""),"VONNY")</f>
        <v>VONNY</v>
      </c>
      <c r="C1387" s="3" t="str">
        <f>IFERROR(__xludf.DUMMYFUNCTION("""COMPUTED_VALUE"""),"V8724060900")</f>
        <v>V8724060900</v>
      </c>
      <c r="D1387" s="3">
        <f>IFERROR(__xludf.DUMMYFUNCTION("""COMPUTED_VALUE"""),39.0)</f>
        <v>39</v>
      </c>
      <c r="E1387" s="1"/>
    </row>
    <row r="1388">
      <c r="A1388" s="1"/>
      <c r="B1388" s="3" t="str">
        <f>IFERROR(__xludf.DUMMYFUNCTION("""COMPUTED_VALUE"""),"NURHAYATI 57")</f>
        <v>NURHAYATI 57</v>
      </c>
      <c r="C1388" s="3" t="str">
        <f>IFERROR(__xludf.DUMMYFUNCTION("""COMPUTED_VALUE"""),"N6624068771")</f>
        <v>N6624068771</v>
      </c>
      <c r="D1388" s="3">
        <f>IFERROR(__xludf.DUMMYFUNCTION("""COMPUTED_VALUE"""),59.0)</f>
        <v>59</v>
      </c>
      <c r="E1388" s="1"/>
    </row>
    <row r="1389">
      <c r="A1389" s="1"/>
      <c r="B1389" s="3" t="str">
        <f>IFERROR(__xludf.DUMMYFUNCTION("""COMPUTED_VALUE"""),"IMAM FADHIL AKBAR")</f>
        <v>IMAM FADHIL AKBAR</v>
      </c>
      <c r="C1389" s="3" t="str">
        <f>IFERROR(__xludf.DUMMYFUNCTION("""COMPUTED_VALUE"""),"I0624068921")</f>
        <v>I0624068921</v>
      </c>
      <c r="D1389" s="3">
        <f>IFERROR(__xludf.DUMMYFUNCTION("""COMPUTED_VALUE"""),20.0)</f>
        <v>20</v>
      </c>
      <c r="E1389" s="1"/>
    </row>
    <row r="1390">
      <c r="A1390" s="1"/>
      <c r="B1390" s="3" t="str">
        <f>IFERROR(__xludf.DUMMYFUNCTION("""COMPUTED_VALUE"""),"ANGELINA LARASATI")</f>
        <v>ANGELINA LARASATI</v>
      </c>
      <c r="C1390" s="3" t="str">
        <f>IFERROR(__xludf.DUMMYFUNCTION("""COMPUTED_VALUE"""),"A9424067121")</f>
        <v>A9424067121</v>
      </c>
      <c r="D1390" s="3">
        <f>IFERROR(__xludf.DUMMYFUNCTION("""COMPUTED_VALUE"""),32.0)</f>
        <v>32</v>
      </c>
      <c r="E1390" s="1"/>
    </row>
    <row r="1391">
      <c r="A1391" s="1"/>
      <c r="B1391" s="3" t="str">
        <f>IFERROR(__xludf.DUMMYFUNCTION("""COMPUTED_VALUE"""),"ROBERTO ANTONIUS GULTOM")</f>
        <v>ROBERTO ANTONIUS GULTOM</v>
      </c>
      <c r="C1391" s="3" t="str">
        <f>IFERROR(__xludf.DUMMYFUNCTION("""COMPUTED_VALUE"""),"R9524061985")</f>
        <v>R9524061985</v>
      </c>
      <c r="D1391" s="3">
        <f>IFERROR(__xludf.DUMMYFUNCTION("""COMPUTED_VALUE"""),30.0)</f>
        <v>30</v>
      </c>
      <c r="E1391" s="1"/>
    </row>
    <row r="1392">
      <c r="A1392" s="1"/>
      <c r="B1392" s="3" t="str">
        <f>IFERROR(__xludf.DUMMYFUNCTION("""COMPUTED_VALUE"""),"GILAR LUKMANUDDIN MUSTIKA")</f>
        <v>GILAR LUKMANUDDIN MUSTIKA</v>
      </c>
      <c r="C1392" s="3" t="str">
        <f>IFERROR(__xludf.DUMMYFUNCTION("""COMPUTED_VALUE"""),"G8624062324")</f>
        <v>G8624062324</v>
      </c>
      <c r="D1392" s="3">
        <f>IFERROR(__xludf.DUMMYFUNCTION("""COMPUTED_VALUE"""),40.0)</f>
        <v>40</v>
      </c>
      <c r="E1392" s="1"/>
    </row>
    <row r="1393">
      <c r="A1393" s="1"/>
      <c r="B1393" s="3" t="str">
        <f>IFERROR(__xludf.DUMMYFUNCTION("""COMPUTED_VALUE"""),"WIDODO")</f>
        <v>WIDODO</v>
      </c>
      <c r="C1393" s="3" t="str">
        <f>IFERROR(__xludf.DUMMYFUNCTION("""COMPUTED_VALUE"""),"W9624066949")</f>
        <v>W9624066949</v>
      </c>
      <c r="D1393" s="3">
        <f>IFERROR(__xludf.DUMMYFUNCTION("""COMPUTED_VALUE"""),29.0)</f>
        <v>29</v>
      </c>
      <c r="E1393" s="1"/>
    </row>
    <row r="1394">
      <c r="A1394" s="1"/>
      <c r="B1394" s="3" t="str">
        <f>IFERROR(__xludf.DUMMYFUNCTION("""COMPUTED_VALUE"""),"GUSTI ADZAHARI ARDIMA")</f>
        <v>GUSTI ADZAHARI ARDIMA</v>
      </c>
      <c r="C1394" s="3" t="str">
        <f>IFERROR(__xludf.DUMMYFUNCTION("""COMPUTED_VALUE"""),"G0424068167")</f>
        <v>G0424068167</v>
      </c>
      <c r="D1394" s="3">
        <f>IFERROR(__xludf.DUMMYFUNCTION("""COMPUTED_VALUE"""),21.0)</f>
        <v>21</v>
      </c>
      <c r="E1394" s="1"/>
    </row>
    <row r="1395">
      <c r="A1395" s="1"/>
      <c r="B1395" s="3" t="str">
        <f>IFERROR(__xludf.DUMMYFUNCTION("""COMPUTED_VALUE"""),"MAS WARDANI")</f>
        <v>MAS WARDANI</v>
      </c>
      <c r="C1395" s="3" t="str">
        <f>IFERROR(__xludf.DUMMYFUNCTION("""COMPUTED_VALUE"""),"M5724067745")</f>
        <v>M5724067745</v>
      </c>
      <c r="D1395" s="3">
        <f>IFERROR(__xludf.DUMMYFUNCTION("""COMPUTED_VALUE"""),68.0)</f>
        <v>68</v>
      </c>
      <c r="E1395" s="1"/>
    </row>
    <row r="1396">
      <c r="A1396" s="1"/>
      <c r="B1396" s="3" t="str">
        <f>IFERROR(__xludf.DUMMYFUNCTION("""COMPUTED_VALUE"""),"SUPANDI")</f>
        <v>SUPANDI</v>
      </c>
      <c r="C1396" s="3" t="str">
        <f>IFERROR(__xludf.DUMMYFUNCTION("""COMPUTED_VALUE"""),"S9624064338")</f>
        <v>S9624064338</v>
      </c>
      <c r="D1396" s="3">
        <f>IFERROR(__xludf.DUMMYFUNCTION("""COMPUTED_VALUE"""),29.0)</f>
        <v>29</v>
      </c>
      <c r="E1396" s="1"/>
    </row>
    <row r="1397">
      <c r="A1397" s="1"/>
      <c r="B1397" s="3" t="str">
        <f>IFERROR(__xludf.DUMMYFUNCTION("""COMPUTED_VALUE"""),"ABU RIZA BAKRI AYATULLAH KHUMAINI")</f>
        <v>ABU RIZA BAKRI AYATULLAH KHUMAINI</v>
      </c>
      <c r="C1397" s="3" t="str">
        <f>IFERROR(__xludf.DUMMYFUNCTION("""COMPUTED_VALUE"""),"A9924066261")</f>
        <v>A9924066261</v>
      </c>
      <c r="D1397" s="3">
        <f>IFERROR(__xludf.DUMMYFUNCTION("""COMPUTED_VALUE"""),27.0)</f>
        <v>27</v>
      </c>
      <c r="E1397" s="1"/>
    </row>
    <row r="1398">
      <c r="A1398" s="1"/>
      <c r="B1398" s="3" t="str">
        <f>IFERROR(__xludf.DUMMYFUNCTION("""COMPUTED_VALUE"""),"DEDE ADETIA")</f>
        <v>DEDE ADETIA</v>
      </c>
      <c r="C1398" s="3" t="str">
        <f>IFERROR(__xludf.DUMMYFUNCTION("""COMPUTED_VALUE"""),"D0024068247")</f>
        <v>D0024068247</v>
      </c>
      <c r="D1398" s="3">
        <f>IFERROR(__xludf.DUMMYFUNCTION("""COMPUTED_VALUE"""),25.0)</f>
        <v>25</v>
      </c>
      <c r="E1398" s="1"/>
    </row>
    <row r="1399">
      <c r="A1399" s="1"/>
      <c r="B1399" s="3" t="str">
        <f>IFERROR(__xludf.DUMMYFUNCTION("""COMPUTED_VALUE"""),"DICKY KURNIAWAN")</f>
        <v>DICKY KURNIAWAN</v>
      </c>
      <c r="C1399" s="3" t="str">
        <f>IFERROR(__xludf.DUMMYFUNCTION("""COMPUTED_VALUE"""),"D9724069980")</f>
        <v>D9724069980</v>
      </c>
      <c r="D1399" s="3">
        <f>IFERROR(__xludf.DUMMYFUNCTION("""COMPUTED_VALUE"""),28.0)</f>
        <v>28</v>
      </c>
      <c r="E1399" s="1"/>
    </row>
    <row r="1400">
      <c r="A1400" s="1"/>
      <c r="B1400" s="3" t="str">
        <f>IFERROR(__xludf.DUMMYFUNCTION("""COMPUTED_VALUE"""),"MELLY SHILFANI WULANDARI")</f>
        <v>MELLY SHILFANI WULANDARI</v>
      </c>
      <c r="C1400" s="3" t="str">
        <f>IFERROR(__xludf.DUMMYFUNCTION("""COMPUTED_VALUE"""),"M9224060256")</f>
        <v>M9224060256</v>
      </c>
      <c r="D1400" s="3">
        <f>IFERROR(__xludf.DUMMYFUNCTION("""COMPUTED_VALUE"""),34.0)</f>
        <v>34</v>
      </c>
      <c r="E1400" s="1"/>
    </row>
    <row r="1401">
      <c r="A1401" s="1"/>
      <c r="B1401" s="3" t="str">
        <f>IFERROR(__xludf.DUMMYFUNCTION("""COMPUTED_VALUE"""),"GINNI VIATI SUPARNO")</f>
        <v>GINNI VIATI SUPARNO</v>
      </c>
      <c r="C1401" s="3" t="str">
        <f>IFERROR(__xludf.DUMMYFUNCTION("""COMPUTED_VALUE"""),"G7624065798")</f>
        <v>G7624065798</v>
      </c>
      <c r="D1401" s="3">
        <f>IFERROR(__xludf.DUMMYFUNCTION("""COMPUTED_VALUE"""),49.0)</f>
        <v>49</v>
      </c>
      <c r="E1401" s="1"/>
    </row>
    <row r="1402">
      <c r="A1402" s="1"/>
      <c r="B1402" s="3" t="str">
        <f>IFERROR(__xludf.DUMMYFUNCTION("""COMPUTED_VALUE"""),"MAHENDRA UTOMO")</f>
        <v>MAHENDRA UTOMO</v>
      </c>
      <c r="C1402" s="3" t="str">
        <f>IFERROR(__xludf.DUMMYFUNCTION("""COMPUTED_VALUE"""),"M8824064848")</f>
        <v>M8824064848</v>
      </c>
      <c r="D1402" s="3">
        <f>IFERROR(__xludf.DUMMYFUNCTION("""COMPUTED_VALUE"""),37.0)</f>
        <v>37</v>
      </c>
      <c r="E1402" s="1"/>
    </row>
    <row r="1403">
      <c r="A1403" s="1"/>
      <c r="B1403" s="3" t="str">
        <f>IFERROR(__xludf.DUMMYFUNCTION("""COMPUTED_VALUE"""),"RAFIF PRATAMA")</f>
        <v>RAFIF PRATAMA</v>
      </c>
      <c r="C1403" s="3" t="str">
        <f>IFERROR(__xludf.DUMMYFUNCTION("""COMPUTED_VALUE"""),"R9924061767")</f>
        <v>R9924061767</v>
      </c>
      <c r="D1403" s="3">
        <f>IFERROR(__xludf.DUMMYFUNCTION("""COMPUTED_VALUE"""),27.0)</f>
        <v>27</v>
      </c>
      <c r="E1403" s="1"/>
    </row>
    <row r="1404">
      <c r="A1404" s="1"/>
      <c r="B1404" s="3" t="str">
        <f>IFERROR(__xludf.DUMMYFUNCTION("""COMPUTED_VALUE"""),"WAGIYANTO")</f>
        <v>WAGIYANTO</v>
      </c>
      <c r="C1404" s="3" t="str">
        <f>IFERROR(__xludf.DUMMYFUNCTION("""COMPUTED_VALUE"""),"W6524066023")</f>
        <v>W6524066023</v>
      </c>
      <c r="D1404" s="3">
        <f>IFERROR(__xludf.DUMMYFUNCTION("""COMPUTED_VALUE"""),60.0)</f>
        <v>60</v>
      </c>
      <c r="E1404" s="1"/>
    </row>
    <row r="1405">
      <c r="A1405" s="1"/>
      <c r="B1405" s="3" t="str">
        <f>IFERROR(__xludf.DUMMYFUNCTION("""COMPUTED_VALUE"""),"VIVI OKTAVIA")</f>
        <v>VIVI OKTAVIA</v>
      </c>
      <c r="C1405" s="3" t="str">
        <f>IFERROR(__xludf.DUMMYFUNCTION("""COMPUTED_VALUE"""),"V9024063482")</f>
        <v>V9024063482</v>
      </c>
      <c r="D1405" s="3">
        <f>IFERROR(__xludf.DUMMYFUNCTION("""COMPUTED_VALUE"""),35.0)</f>
        <v>35</v>
      </c>
      <c r="E1405" s="1"/>
    </row>
    <row r="1406">
      <c r="A1406" s="1"/>
      <c r="B1406" s="3" t="str">
        <f>IFERROR(__xludf.DUMMYFUNCTION("""COMPUTED_VALUE"""),"SRI HARYANTY")</f>
        <v>SRI HARYANTY</v>
      </c>
      <c r="C1406" s="3" t="str">
        <f>IFERROR(__xludf.DUMMYFUNCTION("""COMPUTED_VALUE"""),"S2525063599")</f>
        <v>S2525063599</v>
      </c>
      <c r="D1406" s="3">
        <f>IFERROR(__xludf.DUMMYFUNCTION("""COMPUTED_VALUE"""),1.0)</f>
        <v>1</v>
      </c>
      <c r="E1406" s="1"/>
    </row>
    <row r="1407">
      <c r="A1407" s="1"/>
      <c r="B1407" s="3" t="str">
        <f>IFERROR(__xludf.DUMMYFUNCTION("""COMPUTED_VALUE"""),"FACHRY RAYHAN YUDHA")</f>
        <v>FACHRY RAYHAN YUDHA</v>
      </c>
      <c r="C1407" s="3" t="str">
        <f>IFERROR(__xludf.DUMMYFUNCTION("""COMPUTED_VALUE"""),"F0524068726")</f>
        <v>F0524068726</v>
      </c>
      <c r="D1407" s="3">
        <f>IFERROR(__xludf.DUMMYFUNCTION("""COMPUTED_VALUE"""),20.0)</f>
        <v>20</v>
      </c>
      <c r="E1407" s="1"/>
    </row>
    <row r="1408">
      <c r="A1408" s="1"/>
      <c r="B1408" s="3" t="str">
        <f>IFERROR(__xludf.DUMMYFUNCTION("""COMPUTED_VALUE"""),"IMAM SANTOSO")</f>
        <v>IMAM SANTOSO</v>
      </c>
      <c r="C1408" s="3" t="str">
        <f>IFERROR(__xludf.DUMMYFUNCTION("""COMPUTED_VALUE"""),"I8624063340")</f>
        <v>I8624063340</v>
      </c>
      <c r="D1408" s="3">
        <f>IFERROR(__xludf.DUMMYFUNCTION("""COMPUTED_VALUE"""),39.0)</f>
        <v>39</v>
      </c>
      <c r="E1408" s="1"/>
    </row>
    <row r="1409">
      <c r="A1409" s="1"/>
      <c r="B1409" s="3" t="str">
        <f>IFERROR(__xludf.DUMMYFUNCTION("""COMPUTED_VALUE"""),"AHMAD FAUZI RAHMAN")</f>
        <v>AHMAD FAUZI RAHMAN</v>
      </c>
      <c r="C1409" s="3" t="str">
        <f>IFERROR(__xludf.DUMMYFUNCTION("""COMPUTED_VALUE"""),"A9624066147")</f>
        <v>A9624066147</v>
      </c>
      <c r="D1409" s="3">
        <f>IFERROR(__xludf.DUMMYFUNCTION("""COMPUTED_VALUE"""),30.0)</f>
        <v>30</v>
      </c>
      <c r="E1409" s="1"/>
    </row>
    <row r="1410">
      <c r="A1410" s="1"/>
      <c r="B1410" s="3" t="str">
        <f>IFERROR(__xludf.DUMMYFUNCTION("""COMPUTED_VALUE"""),"RAJA SURYA")</f>
        <v>RAJA SURYA</v>
      </c>
      <c r="C1410" s="3" t="str">
        <f>IFERROR(__xludf.DUMMYFUNCTION("""COMPUTED_VALUE"""),"R7424069064")</f>
        <v>R7424069064</v>
      </c>
      <c r="D1410" s="3">
        <f>IFERROR(__xludf.DUMMYFUNCTION("""COMPUTED_VALUE"""),52.0)</f>
        <v>52</v>
      </c>
      <c r="E1410" s="1"/>
    </row>
    <row r="1411">
      <c r="A1411" s="1"/>
      <c r="B1411" s="3" t="str">
        <f>IFERROR(__xludf.DUMMYFUNCTION("""COMPUTED_VALUE"""),"SUARDI AZIZ")</f>
        <v>SUARDI AZIZ</v>
      </c>
      <c r="C1411" s="3" t="str">
        <f>IFERROR(__xludf.DUMMYFUNCTION("""COMPUTED_VALUE"""),"S4824064177")</f>
        <v>S4824064177</v>
      </c>
      <c r="D1411" s="3">
        <f>IFERROR(__xludf.DUMMYFUNCTION("""COMPUTED_VALUE"""),77.0)</f>
        <v>77</v>
      </c>
      <c r="E1411" s="1"/>
    </row>
    <row r="1412">
      <c r="A1412" s="1"/>
      <c r="B1412" s="3" t="str">
        <f>IFERROR(__xludf.DUMMYFUNCTION("""COMPUTED_VALUE"""),"EVY PHING")</f>
        <v>EVY PHING</v>
      </c>
      <c r="C1412" s="3" t="str">
        <f>IFERROR(__xludf.DUMMYFUNCTION("""COMPUTED_VALUE"""),"E8224063522")</f>
        <v>E8224063522</v>
      </c>
      <c r="D1412" s="3">
        <f>IFERROR(__xludf.DUMMYFUNCTION("""COMPUTED_VALUE"""),43.0)</f>
        <v>43</v>
      </c>
      <c r="E1412" s="1"/>
    </row>
    <row r="1413">
      <c r="A1413" s="1"/>
      <c r="B1413" s="3" t="str">
        <f>IFERROR(__xludf.DUMMYFUNCTION("""COMPUTED_VALUE"""),"DHANA ARYANA")</f>
        <v>DHANA ARYANA</v>
      </c>
      <c r="C1413" s="3" t="str">
        <f>IFERROR(__xludf.DUMMYFUNCTION("""COMPUTED_VALUE"""),"D2424062713")</f>
        <v>D2424062713</v>
      </c>
      <c r="D1413" s="3">
        <f>IFERROR(__xludf.DUMMYFUNCTION("""COMPUTED_VALUE"""),2.0)</f>
        <v>2</v>
      </c>
      <c r="E1413" s="1"/>
    </row>
    <row r="1414">
      <c r="A1414" s="1"/>
      <c r="B1414" s="3" t="str">
        <f>IFERROR(__xludf.DUMMYFUNCTION("""COMPUTED_VALUE"""),"HADI FAHRIZA")</f>
        <v>HADI FAHRIZA</v>
      </c>
      <c r="C1414" s="3" t="str">
        <f>IFERROR(__xludf.DUMMYFUNCTION("""COMPUTED_VALUE"""),"H9824068946")</f>
        <v>H9824068946</v>
      </c>
      <c r="D1414" s="3">
        <f>IFERROR(__xludf.DUMMYFUNCTION("""COMPUTED_VALUE"""),27.0)</f>
        <v>27</v>
      </c>
      <c r="E1414" s="1"/>
    </row>
    <row r="1415">
      <c r="A1415" s="1"/>
      <c r="B1415" s="3" t="str">
        <f>IFERROR(__xludf.DUMMYFUNCTION("""COMPUTED_VALUE"""),"TOMMY ABDUL GHANI")</f>
        <v>TOMMY ABDUL GHANI</v>
      </c>
      <c r="C1415" s="3" t="str">
        <f>IFERROR(__xludf.DUMMYFUNCTION("""COMPUTED_VALUE"""),"T9424061583")</f>
        <v>T9424061583</v>
      </c>
      <c r="D1415" s="3">
        <f>IFERROR(__xludf.DUMMYFUNCTION("""COMPUTED_VALUE"""),31.0)</f>
        <v>31</v>
      </c>
      <c r="E1415" s="1"/>
    </row>
    <row r="1416">
      <c r="A1416" s="1"/>
      <c r="B1416" s="3" t="str">
        <f>IFERROR(__xludf.DUMMYFUNCTION("""COMPUTED_VALUE"""),"WENNY SURIANTI")</f>
        <v>WENNY SURIANTI</v>
      </c>
      <c r="C1416" s="3" t="str">
        <f>IFERROR(__xludf.DUMMYFUNCTION("""COMPUTED_VALUE"""),"W7824065667")</f>
        <v>W7824065667</v>
      </c>
      <c r="D1416" s="3">
        <f>IFERROR(__xludf.DUMMYFUNCTION("""COMPUTED_VALUE"""),48.0)</f>
        <v>48</v>
      </c>
      <c r="E1416" s="1"/>
    </row>
    <row r="1417">
      <c r="A1417" s="1"/>
      <c r="B1417" s="3" t="str">
        <f>IFERROR(__xludf.DUMMYFUNCTION("""COMPUTED_VALUE"""),"TITO RIYAN PUTRA")</f>
        <v>TITO RIYAN PUTRA</v>
      </c>
      <c r="C1417" s="3" t="str">
        <f>IFERROR(__xludf.DUMMYFUNCTION("""COMPUTED_VALUE"""),"T9624067315")</f>
        <v>T9624067315</v>
      </c>
      <c r="D1417" s="3">
        <f>IFERROR(__xludf.DUMMYFUNCTION("""COMPUTED_VALUE"""),29.0)</f>
        <v>29</v>
      </c>
      <c r="E1417" s="1"/>
    </row>
    <row r="1418">
      <c r="A1418" s="1"/>
      <c r="B1418" s="3" t="str">
        <f>IFERROR(__xludf.DUMMYFUNCTION("""COMPUTED_VALUE"""),"JERRI VIANTO")</f>
        <v>JERRI VIANTO</v>
      </c>
      <c r="C1418" s="3" t="str">
        <f>IFERROR(__xludf.DUMMYFUNCTION("""COMPUTED_VALUE"""),"J0424063790")</f>
        <v>J0424063790</v>
      </c>
      <c r="D1418" s="3">
        <f>IFERROR(__xludf.DUMMYFUNCTION("""COMPUTED_VALUE"""),22.0)</f>
        <v>22</v>
      </c>
      <c r="E1418" s="1"/>
    </row>
    <row r="1419">
      <c r="A1419" s="1"/>
      <c r="B1419" s="3" t="str">
        <f>IFERROR(__xludf.DUMMYFUNCTION("""COMPUTED_VALUE"""),"WULAN NURFADILLAH")</f>
        <v>WULAN NURFADILLAH</v>
      </c>
      <c r="C1419" s="3" t="str">
        <f>IFERROR(__xludf.DUMMYFUNCTION("""COMPUTED_VALUE"""),"W0124066662")</f>
        <v>W0124066662</v>
      </c>
      <c r="D1419" s="3">
        <f>IFERROR(__xludf.DUMMYFUNCTION("""COMPUTED_VALUE"""),25.0)</f>
        <v>25</v>
      </c>
      <c r="E1419" s="1"/>
    </row>
    <row r="1420">
      <c r="A1420" s="1"/>
      <c r="B1420" s="3" t="str">
        <f>IFERROR(__xludf.DUMMYFUNCTION("""COMPUTED_VALUE"""),"ALDI PONDRA NOVRIZA")</f>
        <v>ALDI PONDRA NOVRIZA</v>
      </c>
      <c r="C1420" s="3" t="str">
        <f>IFERROR(__xludf.DUMMYFUNCTION("""COMPUTED_VALUE"""),"A0124065223")</f>
        <v>A0124065223</v>
      </c>
      <c r="D1420" s="3">
        <f>IFERROR(__xludf.DUMMYFUNCTION("""COMPUTED_VALUE"""),24.0)</f>
        <v>24</v>
      </c>
      <c r="E1420" s="1"/>
    </row>
    <row r="1421">
      <c r="A1421" s="1"/>
      <c r="B1421" s="3" t="str">
        <f>IFERROR(__xludf.DUMMYFUNCTION("""COMPUTED_VALUE"""),"M. IMRON FATCHURROZI")</f>
        <v>M. IMRON FATCHURROZI</v>
      </c>
      <c r="C1421" s="3" t="str">
        <f>IFERROR(__xludf.DUMMYFUNCTION("""COMPUTED_VALUE"""),"M9524069037")</f>
        <v>M9524069037</v>
      </c>
      <c r="D1421" s="3">
        <f>IFERROR(__xludf.DUMMYFUNCTION("""COMPUTED_VALUE"""),31.0)</f>
        <v>31</v>
      </c>
      <c r="E1421" s="1"/>
    </row>
    <row r="1422">
      <c r="A1422" s="1"/>
      <c r="B1422" s="3" t="str">
        <f>IFERROR(__xludf.DUMMYFUNCTION("""COMPUTED_VALUE"""),"UKI BASUKIQ")</f>
        <v>UKI BASUKIQ</v>
      </c>
      <c r="C1422" s="3" t="str">
        <f>IFERROR(__xludf.DUMMYFUNCTION("""COMPUTED_VALUE"""),"U6824061794")</f>
        <v>U6824061794</v>
      </c>
      <c r="D1422" s="3">
        <f>IFERROR(__xludf.DUMMYFUNCTION("""COMPUTED_VALUE"""),57.0)</f>
        <v>57</v>
      </c>
      <c r="E1422" s="1"/>
    </row>
    <row r="1423">
      <c r="A1423" s="1"/>
      <c r="B1423" s="3" t="str">
        <f>IFERROR(__xludf.DUMMYFUNCTION("""COMPUTED_VALUE"""),"BERNADUS WINARDI")</f>
        <v>BERNADUS WINARDI</v>
      </c>
      <c r="C1423" s="3" t="str">
        <f>IFERROR(__xludf.DUMMYFUNCTION("""COMPUTED_VALUE"""),"B7124063424")</f>
        <v>B7124063424</v>
      </c>
      <c r="D1423" s="3">
        <f>IFERROR(__xludf.DUMMYFUNCTION("""COMPUTED_VALUE"""),55.0)</f>
        <v>55</v>
      </c>
      <c r="E1423" s="1"/>
    </row>
    <row r="1424">
      <c r="A1424" s="1"/>
      <c r="B1424" s="3" t="str">
        <f>IFERROR(__xludf.DUMMYFUNCTION("""COMPUTED_VALUE"""),"SUHARDIANSYAH")</f>
        <v>SUHARDIANSYAH</v>
      </c>
      <c r="C1424" s="3" t="str">
        <f>IFERROR(__xludf.DUMMYFUNCTION("""COMPUTED_VALUE"""),"S9324065406")</f>
        <v>S9324065406</v>
      </c>
      <c r="D1424" s="3">
        <f>IFERROR(__xludf.DUMMYFUNCTION("""COMPUTED_VALUE"""),32.0)</f>
        <v>32</v>
      </c>
      <c r="E1424" s="1"/>
    </row>
    <row r="1425">
      <c r="A1425" s="1"/>
      <c r="B1425" s="3" t="str">
        <f>IFERROR(__xludf.DUMMYFUNCTION("""COMPUTED_VALUE"""),"TRI HARTANTO PAMUNGKAS")</f>
        <v>TRI HARTANTO PAMUNGKAS</v>
      </c>
      <c r="C1425" s="3" t="str">
        <f>IFERROR(__xludf.DUMMYFUNCTION("""COMPUTED_VALUE"""),"T9424068713")</f>
        <v>T9424068713</v>
      </c>
      <c r="D1425" s="3">
        <f>IFERROR(__xludf.DUMMYFUNCTION("""COMPUTED_VALUE"""),31.0)</f>
        <v>31</v>
      </c>
      <c r="E1425" s="1"/>
    </row>
    <row r="1426">
      <c r="A1426" s="1"/>
      <c r="B1426" s="3" t="str">
        <f>IFERROR(__xludf.DUMMYFUNCTION("""COMPUTED_VALUE"""),"M KHORYADITYA RAHMAN")</f>
        <v>M KHORYADITYA RAHMAN</v>
      </c>
      <c r="C1426" s="3" t="str">
        <f>IFERROR(__xludf.DUMMYFUNCTION("""COMPUTED_VALUE"""),"M9124060454")</f>
        <v>M9124060454</v>
      </c>
      <c r="D1426" s="3">
        <f>IFERROR(__xludf.DUMMYFUNCTION("""COMPUTED_VALUE"""),34.0)</f>
        <v>34</v>
      </c>
      <c r="E1426" s="1"/>
    </row>
    <row r="1427">
      <c r="A1427" s="1"/>
      <c r="B1427" s="3" t="str">
        <f>IFERROR(__xludf.DUMMYFUNCTION("""COMPUTED_VALUE"""),"KHERU SETIARNO")</f>
        <v>KHERU SETIARNO</v>
      </c>
      <c r="C1427" s="3" t="str">
        <f>IFERROR(__xludf.DUMMYFUNCTION("""COMPUTED_VALUE"""),"K9324069606")</f>
        <v>K9324069606</v>
      </c>
      <c r="D1427" s="3">
        <f>IFERROR(__xludf.DUMMYFUNCTION("""COMPUTED_VALUE"""),33.0)</f>
        <v>33</v>
      </c>
      <c r="E1427" s="1"/>
    </row>
    <row r="1428">
      <c r="A1428" s="1"/>
      <c r="B1428" s="3" t="str">
        <f>IFERROR(__xludf.DUMMYFUNCTION("""COMPUTED_VALUE"""),"NANDA")</f>
        <v>NANDA</v>
      </c>
      <c r="C1428" s="3" t="str">
        <f>IFERROR(__xludf.DUMMYFUNCTION("""COMPUTED_VALUE"""),"N0324067881")</f>
        <v>N0324067881</v>
      </c>
      <c r="D1428" s="3">
        <f>IFERROR(__xludf.DUMMYFUNCTION("""COMPUTED_VALUE"""),22.0)</f>
        <v>22</v>
      </c>
      <c r="E1428" s="1"/>
    </row>
    <row r="1429">
      <c r="A1429" s="1"/>
      <c r="B1429" s="3" t="str">
        <f>IFERROR(__xludf.DUMMYFUNCTION("""COMPUTED_VALUE"""),"BUNAIYAH")</f>
        <v>BUNAIYAH</v>
      </c>
      <c r="C1429" s="3" t="str">
        <f>IFERROR(__xludf.DUMMYFUNCTION("""COMPUTED_VALUE"""),"B5524067307")</f>
        <v>B5524067307</v>
      </c>
      <c r="D1429" s="3">
        <f>IFERROR(__xludf.DUMMYFUNCTION("""COMPUTED_VALUE"""),71.0)</f>
        <v>71</v>
      </c>
      <c r="E1429" s="1"/>
    </row>
    <row r="1430">
      <c r="A1430" s="1"/>
      <c r="B1430" s="3" t="str">
        <f>IFERROR(__xludf.DUMMYFUNCTION("""COMPUTED_VALUE"""),"IGNATIUS SUTIKNO WARDOYO")</f>
        <v>IGNATIUS SUTIKNO WARDOYO</v>
      </c>
      <c r="C1430" s="3" t="str">
        <f>IFERROR(__xludf.DUMMYFUNCTION("""COMPUTED_VALUE"""),"I7724068586")</f>
        <v>I7724068586</v>
      </c>
      <c r="D1430" s="3">
        <f>IFERROR(__xludf.DUMMYFUNCTION("""COMPUTED_VALUE"""),48.0)</f>
        <v>48</v>
      </c>
      <c r="E1430" s="1"/>
    </row>
    <row r="1431">
      <c r="A1431" s="1"/>
      <c r="B1431" s="3" t="str">
        <f>IFERROR(__xludf.DUMMYFUNCTION("""COMPUTED_VALUE"""),"RAJA AHMAD HUSAIN")</f>
        <v>RAJA AHMAD HUSAIN</v>
      </c>
      <c r="C1431" s="3" t="str">
        <f>IFERROR(__xludf.DUMMYFUNCTION("""COMPUTED_VALUE"""),"R0524069064")</f>
        <v>R0524069064</v>
      </c>
      <c r="D1431" s="3">
        <f>IFERROR(__xludf.DUMMYFUNCTION("""COMPUTED_VALUE"""),20.0)</f>
        <v>20</v>
      </c>
      <c r="E1431" s="1"/>
    </row>
    <row r="1432">
      <c r="A1432" s="1"/>
      <c r="B1432" s="3" t="str">
        <f>IFERROR(__xludf.DUMMYFUNCTION("""COMPUTED_VALUE"""),"KURNIAWATI 6611")</f>
        <v>KURNIAWATI 6611</v>
      </c>
      <c r="C1432" s="3" t="str">
        <f>IFERROR(__xludf.DUMMYFUNCTION("""COMPUTED_VALUE"""),"K6624067283")</f>
        <v>K6624067283</v>
      </c>
      <c r="D1432" s="3">
        <f>IFERROR(__xludf.DUMMYFUNCTION("""COMPUTED_VALUE"""),59.0)</f>
        <v>59</v>
      </c>
      <c r="E1432" s="1"/>
    </row>
    <row r="1433">
      <c r="A1433" s="1"/>
      <c r="B1433" s="3" t="str">
        <f>IFERROR(__xludf.DUMMYFUNCTION("""COMPUTED_VALUE"""),"ASHA RIDHAYANA")</f>
        <v>ASHA RIDHAYANA</v>
      </c>
      <c r="C1433" s="3" t="str">
        <f>IFERROR(__xludf.DUMMYFUNCTION("""COMPUTED_VALUE"""),"A1124060540")</f>
        <v>A1124060540</v>
      </c>
      <c r="D1433" s="3">
        <f>IFERROR(__xludf.DUMMYFUNCTION("""COMPUTED_VALUE"""),15.0)</f>
        <v>15</v>
      </c>
      <c r="E1433" s="1"/>
    </row>
    <row r="1434">
      <c r="A1434" s="1"/>
      <c r="B1434" s="3" t="str">
        <f>IFERROR(__xludf.DUMMYFUNCTION("""COMPUTED_VALUE"""),"BOBBY ASHARI")</f>
        <v>BOBBY ASHARI</v>
      </c>
      <c r="C1434" s="3" t="str">
        <f>IFERROR(__xludf.DUMMYFUNCTION("""COMPUTED_VALUE"""),"B6924065020")</f>
        <v>B6924065020</v>
      </c>
      <c r="D1434" s="3">
        <f>IFERROR(__xludf.DUMMYFUNCTION("""COMPUTED_VALUE"""),56.0)</f>
        <v>56</v>
      </c>
      <c r="E1434" s="1"/>
    </row>
    <row r="1435">
      <c r="A1435" s="1"/>
      <c r="B1435" s="3" t="str">
        <f>IFERROR(__xludf.DUMMYFUNCTION("""COMPUTED_VALUE"""),"HENDRI GUNAWAN0005")</f>
        <v>HENDRI GUNAWAN0005</v>
      </c>
      <c r="C1435" s="3" t="str">
        <f>IFERROR(__xludf.DUMMYFUNCTION("""COMPUTED_VALUE"""),"H0024065411")</f>
        <v>H0024065411</v>
      </c>
      <c r="D1435" s="3">
        <f>IFERROR(__xludf.DUMMYFUNCTION("""COMPUTED_VALUE"""),26.0)</f>
        <v>26</v>
      </c>
      <c r="E1435" s="1"/>
    </row>
    <row r="1436">
      <c r="A1436" s="1"/>
      <c r="B1436" s="3" t="str">
        <f>IFERROR(__xludf.DUMMYFUNCTION("""COMPUTED_VALUE"""),"ANGGELA ASTRI YANTI")</f>
        <v>ANGGELA ASTRI YANTI</v>
      </c>
      <c r="C1436" s="3" t="str">
        <f>IFERROR(__xludf.DUMMYFUNCTION("""COMPUTED_VALUE"""),"A0024061718")</f>
        <v>A0024061718</v>
      </c>
      <c r="D1436" s="3">
        <f>IFERROR(__xludf.DUMMYFUNCTION("""COMPUTED_VALUE"""),25.0)</f>
        <v>25</v>
      </c>
      <c r="E1436" s="1"/>
    </row>
    <row r="1437">
      <c r="A1437" s="1"/>
      <c r="B1437" s="3" t="str">
        <f>IFERROR(__xludf.DUMMYFUNCTION("""COMPUTED_VALUE"""),"YANUAR IRVAN")</f>
        <v>YANUAR IRVAN</v>
      </c>
      <c r="C1437" s="3" t="str">
        <f>IFERROR(__xludf.DUMMYFUNCTION("""COMPUTED_VALUE"""),"Y8824069669")</f>
        <v>Y8824069669</v>
      </c>
      <c r="D1437" s="3">
        <f>IFERROR(__xludf.DUMMYFUNCTION("""COMPUTED_VALUE"""),38.0)</f>
        <v>38</v>
      </c>
      <c r="E1437" s="1"/>
    </row>
    <row r="1438">
      <c r="A1438" s="1"/>
      <c r="B1438" s="3" t="str">
        <f>IFERROR(__xludf.DUMMYFUNCTION("""COMPUTED_VALUE"""),"SAMUEL PIETER THOMAS MAMANUA")</f>
        <v>SAMUEL PIETER THOMAS MAMANUA</v>
      </c>
      <c r="C1438" s="3" t="str">
        <f>IFERROR(__xludf.DUMMYFUNCTION("""COMPUTED_VALUE"""),"S9524061546")</f>
        <v>S9524061546</v>
      </c>
      <c r="D1438" s="3">
        <f>IFERROR(__xludf.DUMMYFUNCTION("""COMPUTED_VALUE"""),30.0)</f>
        <v>30</v>
      </c>
      <c r="E1438" s="1"/>
    </row>
    <row r="1439">
      <c r="A1439" s="1"/>
      <c r="B1439" s="3" t="str">
        <f>IFERROR(__xludf.DUMMYFUNCTION("""COMPUTED_VALUE"""),"JEVVIE AGUS PRANANDA")</f>
        <v>JEVVIE AGUS PRANANDA</v>
      </c>
      <c r="C1439" s="3" t="str">
        <f>IFERROR(__xludf.DUMMYFUNCTION("""COMPUTED_VALUE"""),"J8924063773")</f>
        <v>J8924063773</v>
      </c>
      <c r="D1439" s="3">
        <f>IFERROR(__xludf.DUMMYFUNCTION("""COMPUTED_VALUE"""),36.0)</f>
        <v>36</v>
      </c>
      <c r="E1439" s="1"/>
    </row>
    <row r="1440">
      <c r="A1440" s="1"/>
      <c r="B1440" s="3" t="str">
        <f>IFERROR(__xludf.DUMMYFUNCTION("""COMPUTED_VALUE"""),"YULIUS TEHAU")</f>
        <v>YULIUS TEHAU</v>
      </c>
      <c r="C1440" s="3" t="str">
        <f>IFERROR(__xludf.DUMMYFUNCTION("""COMPUTED_VALUE"""),"Y7424061299")</f>
        <v>Y7424061299</v>
      </c>
      <c r="D1440" s="3">
        <f>IFERROR(__xludf.DUMMYFUNCTION("""COMPUTED_VALUE"""),52.0)</f>
        <v>52</v>
      </c>
      <c r="E1440" s="1"/>
    </row>
    <row r="1441">
      <c r="A1441" s="1"/>
      <c r="B1441" s="3" t="str">
        <f>IFERROR(__xludf.DUMMYFUNCTION("""COMPUTED_VALUE"""),"DEVI ANGREANI")</f>
        <v>DEVI ANGREANI</v>
      </c>
      <c r="C1441" s="3" t="str">
        <f>IFERROR(__xludf.DUMMYFUNCTION("""COMPUTED_VALUE"""),"D9124063534")</f>
        <v>D9124063534</v>
      </c>
      <c r="D1441" s="3">
        <f>IFERROR(__xludf.DUMMYFUNCTION("""COMPUTED_VALUE"""),34.0)</f>
        <v>34</v>
      </c>
      <c r="E1441" s="1"/>
    </row>
    <row r="1442">
      <c r="A1442" s="1"/>
      <c r="B1442" s="3" t="str">
        <f>IFERROR(__xludf.DUMMYFUNCTION("""COMPUTED_VALUE"""),"AMANDA SHARLEEN")</f>
        <v>AMANDA SHARLEEN</v>
      </c>
      <c r="C1442" s="3" t="str">
        <f>IFERROR(__xludf.DUMMYFUNCTION("""COMPUTED_VALUE"""),"A0124067134")</f>
        <v>A0124067134</v>
      </c>
      <c r="D1442" s="3">
        <f>IFERROR(__xludf.DUMMYFUNCTION("""COMPUTED_VALUE"""),24.0)</f>
        <v>24</v>
      </c>
      <c r="E1442" s="1"/>
    </row>
    <row r="1443">
      <c r="A1443" s="1"/>
      <c r="B1443" s="3" t="str">
        <f>IFERROR(__xludf.DUMMYFUNCTION("""COMPUTED_VALUE"""),"ANGGER PRAKOSO")</f>
        <v>ANGGER PRAKOSO</v>
      </c>
      <c r="C1443" s="3" t="str">
        <f>IFERROR(__xludf.DUMMYFUNCTION("""COMPUTED_VALUE"""),"A9724069014")</f>
        <v>A9724069014</v>
      </c>
      <c r="D1443" s="3">
        <f>IFERROR(__xludf.DUMMYFUNCTION("""COMPUTED_VALUE"""),29.0)</f>
        <v>29</v>
      </c>
      <c r="E1443" s="1"/>
    </row>
    <row r="1444">
      <c r="A1444" s="1"/>
      <c r="B1444" s="3" t="str">
        <f>IFERROR(__xludf.DUMMYFUNCTION("""COMPUTED_VALUE"""),"AMRAZI ZAKSO")</f>
        <v>AMRAZI ZAKSO</v>
      </c>
      <c r="C1444" s="3" t="str">
        <f>IFERROR(__xludf.DUMMYFUNCTION("""COMPUTED_VALUE"""),"A6324060396")</f>
        <v>A6324060396</v>
      </c>
      <c r="D1444" s="3">
        <f>IFERROR(__xludf.DUMMYFUNCTION("""COMPUTED_VALUE"""),63.0)</f>
        <v>63</v>
      </c>
      <c r="E1444" s="1"/>
    </row>
    <row r="1445">
      <c r="A1445" s="1"/>
      <c r="B1445" s="3" t="str">
        <f>IFERROR(__xludf.DUMMYFUNCTION("""COMPUTED_VALUE"""),"MISHBAH IZZATUR RABBANI")</f>
        <v>MISHBAH IZZATUR RABBANI</v>
      </c>
      <c r="C1445" s="3" t="str">
        <f>IFERROR(__xludf.DUMMYFUNCTION("""COMPUTED_VALUE"""),"M1124069783")</f>
        <v>M1124069783</v>
      </c>
      <c r="D1445" s="3">
        <f>IFERROR(__xludf.DUMMYFUNCTION("""COMPUTED_VALUE"""),15.0)</f>
        <v>15</v>
      </c>
      <c r="E1445" s="1"/>
    </row>
    <row r="1446">
      <c r="A1446" s="1"/>
      <c r="B1446" s="3" t="str">
        <f>IFERROR(__xludf.DUMMYFUNCTION("""COMPUTED_VALUE"""),"AZWAR")</f>
        <v>AZWAR</v>
      </c>
      <c r="C1446" s="3" t="str">
        <f>IFERROR(__xludf.DUMMYFUNCTION("""COMPUTED_VALUE"""),"A2424062525")</f>
        <v>A2424062525</v>
      </c>
      <c r="D1446" s="3">
        <f>IFERROR(__xludf.DUMMYFUNCTION("""COMPUTED_VALUE"""),1.0)</f>
        <v>1</v>
      </c>
      <c r="E1446" s="1"/>
    </row>
    <row r="1447">
      <c r="A1447" s="1"/>
      <c r="B1447" s="3" t="str">
        <f>IFERROR(__xludf.DUMMYFUNCTION("""COMPUTED_VALUE"""),"FAJAR PRIMA")</f>
        <v>FAJAR PRIMA</v>
      </c>
      <c r="C1447" s="3" t="str">
        <f>IFERROR(__xludf.DUMMYFUNCTION("""COMPUTED_VALUE"""),"F9324062565")</f>
        <v>F9324062565</v>
      </c>
      <c r="D1447" s="3">
        <f>IFERROR(__xludf.DUMMYFUNCTION("""COMPUTED_VALUE"""),33.0)</f>
        <v>33</v>
      </c>
      <c r="E1447" s="1"/>
    </row>
    <row r="1448">
      <c r="A1448" s="1"/>
      <c r="B1448" s="3" t="str">
        <f>IFERROR(__xludf.DUMMYFUNCTION("""COMPUTED_VALUE"""),"SYARUL REZA")</f>
        <v>SYARUL REZA</v>
      </c>
      <c r="C1448" s="3" t="str">
        <f>IFERROR(__xludf.DUMMYFUNCTION("""COMPUTED_VALUE"""),"S0024064050")</f>
        <v>S0024064050</v>
      </c>
      <c r="D1448" s="3">
        <f>IFERROR(__xludf.DUMMYFUNCTION("""COMPUTED_VALUE"""),26.0)</f>
        <v>26</v>
      </c>
      <c r="E1448" s="1"/>
    </row>
    <row r="1449">
      <c r="A1449" s="1"/>
      <c r="B1449" s="3" t="str">
        <f>IFERROR(__xludf.DUMMYFUNCTION("""COMPUTED_VALUE"""),"YULIANA PUYANG")</f>
        <v>YULIANA PUYANG</v>
      </c>
      <c r="C1449" s="3" t="str">
        <f>IFERROR(__xludf.DUMMYFUNCTION("""COMPUTED_VALUE"""),"Y6624063668")</f>
        <v>Y6624063668</v>
      </c>
      <c r="D1449" s="3">
        <f>IFERROR(__xludf.DUMMYFUNCTION("""COMPUTED_VALUE"""),59.0)</f>
        <v>59</v>
      </c>
      <c r="E1449" s="1"/>
    </row>
    <row r="1450">
      <c r="A1450" s="1"/>
      <c r="B1450" s="3" t="str">
        <f>IFERROR(__xludf.DUMMYFUNCTION("""COMPUTED_VALUE"""),"NI PUTU IRMA PURNAMA DEWI")</f>
        <v>NI PUTU IRMA PURNAMA DEWI</v>
      </c>
      <c r="C1450" s="3" t="str">
        <f>IFERROR(__xludf.DUMMYFUNCTION("""COMPUTED_VALUE"""),"N9024068538")</f>
        <v>N9024068538</v>
      </c>
      <c r="D1450" s="3">
        <f>IFERROR(__xludf.DUMMYFUNCTION("""COMPUTED_VALUE"""),35.0)</f>
        <v>35</v>
      </c>
      <c r="E1450" s="1"/>
    </row>
    <row r="1451">
      <c r="A1451" s="1"/>
      <c r="B1451" s="3" t="str">
        <f>IFERROR(__xludf.DUMMYFUNCTION("""COMPUTED_VALUE"""),"SALMIYAH")</f>
        <v>SALMIYAH</v>
      </c>
      <c r="C1451" s="3" t="str">
        <f>IFERROR(__xludf.DUMMYFUNCTION("""COMPUTED_VALUE"""),"S5924066249")</f>
        <v>S5924066249</v>
      </c>
      <c r="D1451" s="3">
        <f>IFERROR(__xludf.DUMMYFUNCTION("""COMPUTED_VALUE"""),67.0)</f>
        <v>67</v>
      </c>
      <c r="E1451" s="1"/>
    </row>
    <row r="1452">
      <c r="A1452" s="1"/>
      <c r="B1452" s="3" t="str">
        <f>IFERROR(__xludf.DUMMYFUNCTION("""COMPUTED_VALUE"""),"ATIQAH ZAHRA FITRIA")</f>
        <v>ATIQAH ZAHRA FITRIA</v>
      </c>
      <c r="C1452" s="3" t="str">
        <f>IFERROR(__xludf.DUMMYFUNCTION("""COMPUTED_VALUE"""),"A1224069412")</f>
        <v>A1224069412</v>
      </c>
      <c r="D1452" s="3">
        <f>IFERROR(__xludf.DUMMYFUNCTION("""COMPUTED_VALUE"""),13.0)</f>
        <v>13</v>
      </c>
      <c r="E1452" s="1"/>
    </row>
    <row r="1453">
      <c r="A1453" s="1"/>
      <c r="B1453" s="3" t="str">
        <f>IFERROR(__xludf.DUMMYFUNCTION("""COMPUTED_VALUE"""),"HANIF WAKHAIYOR")</f>
        <v>HANIF WAKHAIYOR</v>
      </c>
      <c r="C1453" s="3" t="str">
        <f>IFERROR(__xludf.DUMMYFUNCTION("""COMPUTED_VALUE"""),"H0824062269")</f>
        <v>H0824062269</v>
      </c>
      <c r="D1453" s="3">
        <f>IFERROR(__xludf.DUMMYFUNCTION("""COMPUTED_VALUE"""),18.0)</f>
        <v>18</v>
      </c>
      <c r="E1453" s="1"/>
    </row>
    <row r="1454">
      <c r="A1454" s="1"/>
      <c r="B1454" s="3" t="str">
        <f>IFERROR(__xludf.DUMMYFUNCTION("""COMPUTED_VALUE"""),"LIA INDRIARTINI")</f>
        <v>LIA INDRIARTINI</v>
      </c>
      <c r="C1454" s="3" t="str">
        <f>IFERROR(__xludf.DUMMYFUNCTION("""COMPUTED_VALUE"""),"L7924064997")</f>
        <v>L7924064997</v>
      </c>
      <c r="D1454" s="3">
        <f>IFERROR(__xludf.DUMMYFUNCTION("""COMPUTED_VALUE"""),47.0)</f>
        <v>47</v>
      </c>
      <c r="E1454" s="1"/>
    </row>
    <row r="1455">
      <c r="A1455" s="1"/>
      <c r="B1455" s="3" t="str">
        <f>IFERROR(__xludf.DUMMYFUNCTION("""COMPUTED_VALUE"""),"EMI WATU")</f>
        <v>EMI WATU</v>
      </c>
      <c r="C1455" s="3" t="str">
        <f>IFERROR(__xludf.DUMMYFUNCTION("""COMPUTED_VALUE"""),"E6724067200")</f>
        <v>E6724067200</v>
      </c>
      <c r="D1455" s="3">
        <f>IFERROR(__xludf.DUMMYFUNCTION("""COMPUTED_VALUE"""),59.0)</f>
        <v>59</v>
      </c>
      <c r="E1455" s="1"/>
    </row>
    <row r="1456">
      <c r="A1456" s="1"/>
      <c r="B1456" s="3" t="str">
        <f>IFERROR(__xludf.DUMMYFUNCTION("""COMPUTED_VALUE"""),"KASWANTO")</f>
        <v>KASWANTO</v>
      </c>
      <c r="C1456" s="3" t="str">
        <f>IFERROR(__xludf.DUMMYFUNCTION("""COMPUTED_VALUE"""),"K7824064990")</f>
        <v>K7824064990</v>
      </c>
      <c r="D1456" s="3">
        <f>IFERROR(__xludf.DUMMYFUNCTION("""COMPUTED_VALUE"""),47.0)</f>
        <v>47</v>
      </c>
      <c r="E1456" s="1"/>
    </row>
    <row r="1457">
      <c r="A1457" s="1"/>
      <c r="B1457" s="3" t="str">
        <f>IFERROR(__xludf.DUMMYFUNCTION("""COMPUTED_VALUE"""),"YOGA APRI YONO")</f>
        <v>YOGA APRI YONO</v>
      </c>
      <c r="C1457" s="3" t="str">
        <f>IFERROR(__xludf.DUMMYFUNCTION("""COMPUTED_VALUE"""),"Y9724063986")</f>
        <v>Y9724063986</v>
      </c>
      <c r="D1457" s="3">
        <f>IFERROR(__xludf.DUMMYFUNCTION("""COMPUTED_VALUE"""),29.0)</f>
        <v>29</v>
      </c>
      <c r="E1457" s="1"/>
    </row>
    <row r="1458">
      <c r="A1458" s="1"/>
      <c r="B1458" s="3" t="str">
        <f>IFERROR(__xludf.DUMMYFUNCTION("""COMPUTED_VALUE"""),"SRI AULIA MAHARANI")</f>
        <v>SRI AULIA MAHARANI</v>
      </c>
      <c r="C1458" s="3" t="str">
        <f>IFERROR(__xludf.DUMMYFUNCTION("""COMPUTED_VALUE"""),"S0624065253")</f>
        <v>S0624065253</v>
      </c>
      <c r="D1458" s="3">
        <f>IFERROR(__xludf.DUMMYFUNCTION("""COMPUTED_VALUE"""),19.0)</f>
        <v>19</v>
      </c>
      <c r="E1458" s="1"/>
    </row>
    <row r="1459">
      <c r="A1459" s="1"/>
      <c r="B1459" s="3" t="str">
        <f>IFERROR(__xludf.DUMMYFUNCTION("""COMPUTED_VALUE"""),"EDO DARMAWAN,S.T")</f>
        <v>EDO DARMAWAN,S.T</v>
      </c>
      <c r="C1459" s="3" t="str">
        <f>IFERROR(__xludf.DUMMYFUNCTION("""COMPUTED_VALUE"""),"E9124061441")</f>
        <v>E9124061441</v>
      </c>
      <c r="D1459" s="3">
        <f>IFERROR(__xludf.DUMMYFUNCTION("""COMPUTED_VALUE"""),35.0)</f>
        <v>35</v>
      </c>
      <c r="E1459" s="1"/>
    </row>
    <row r="1460">
      <c r="A1460" s="1"/>
      <c r="B1460" s="3" t="str">
        <f>IFERROR(__xludf.DUMMYFUNCTION("""COMPUTED_VALUE"""),"SULIS SETIOWATI")</f>
        <v>SULIS SETIOWATI</v>
      </c>
      <c r="C1460" s="3" t="str">
        <f>IFERROR(__xludf.DUMMYFUNCTION("""COMPUTED_VALUE"""),"S7324068151")</f>
        <v>S7324068151</v>
      </c>
      <c r="D1460" s="3">
        <f>IFERROR(__xludf.DUMMYFUNCTION("""COMPUTED_VALUE"""),52.0)</f>
        <v>52</v>
      </c>
      <c r="E1460" s="1"/>
    </row>
    <row r="1461">
      <c r="A1461" s="1"/>
      <c r="B1461" s="3" t="str">
        <f>IFERROR(__xludf.DUMMYFUNCTION("""COMPUTED_VALUE"""),"FATIMAH 6202")</f>
        <v>FATIMAH 6202</v>
      </c>
      <c r="C1461" s="3" t="str">
        <f>IFERROR(__xludf.DUMMYFUNCTION("""COMPUTED_VALUE"""),"F6224068426")</f>
        <v>F6224068426</v>
      </c>
      <c r="D1461" s="3">
        <f>IFERROR(__xludf.DUMMYFUNCTION("""COMPUTED_VALUE"""),64.0)</f>
        <v>64</v>
      </c>
      <c r="E1461" s="1"/>
    </row>
    <row r="1462">
      <c r="A1462" s="1"/>
      <c r="B1462" s="3" t="str">
        <f>IFERROR(__xludf.DUMMYFUNCTION("""COMPUTED_VALUE"""),"YULIANTI STEVIANI")</f>
        <v>YULIANTI STEVIANI</v>
      </c>
      <c r="C1462" s="3" t="str">
        <f>IFERROR(__xludf.DUMMYFUNCTION("""COMPUTED_VALUE"""),"Y9724063373")</f>
        <v>Y9724063373</v>
      </c>
      <c r="D1462" s="3">
        <f>IFERROR(__xludf.DUMMYFUNCTION("""COMPUTED_VALUE"""),28.0)</f>
        <v>28</v>
      </c>
      <c r="E1462" s="1"/>
    </row>
    <row r="1463">
      <c r="A1463" s="1"/>
      <c r="B1463" s="3" t="str">
        <f>IFERROR(__xludf.DUMMYFUNCTION("""COMPUTED_VALUE"""),"JOHN COLLINS ANDI PRATAMA")</f>
        <v>JOHN COLLINS ANDI PRATAMA</v>
      </c>
      <c r="C1463" s="3" t="str">
        <f>IFERROR(__xludf.DUMMYFUNCTION("""COMPUTED_VALUE"""),"J8924064228")</f>
        <v>J8924064228</v>
      </c>
      <c r="D1463" s="3">
        <f>IFERROR(__xludf.DUMMYFUNCTION("""COMPUTED_VALUE"""),37.0)</f>
        <v>37</v>
      </c>
      <c r="E1463" s="1"/>
    </row>
    <row r="1464">
      <c r="A1464" s="1"/>
      <c r="B1464" s="3" t="str">
        <f>IFERROR(__xludf.DUMMYFUNCTION("""COMPUTED_VALUE"""),"MUTIA MARISA, S TR AK")</f>
        <v>MUTIA MARISA, S TR AK</v>
      </c>
      <c r="C1464" s="3" t="str">
        <f>IFERROR(__xludf.DUMMYFUNCTION("""COMPUTED_VALUE"""),"M9624062482")</f>
        <v>M9624062482</v>
      </c>
      <c r="D1464" s="3">
        <f>IFERROR(__xludf.DUMMYFUNCTION("""COMPUTED_VALUE"""),29.0)</f>
        <v>29</v>
      </c>
      <c r="E1464" s="1"/>
    </row>
    <row r="1465">
      <c r="A1465" s="1"/>
      <c r="B1465" s="3" t="str">
        <f>IFERROR(__xludf.DUMMYFUNCTION("""COMPUTED_VALUE"""),"EINSTEINIUS")</f>
        <v>EINSTEINIUS</v>
      </c>
      <c r="C1465" s="3" t="str">
        <f>IFERROR(__xludf.DUMMYFUNCTION("""COMPUTED_VALUE"""),"E9324066207")</f>
        <v>E9324066207</v>
      </c>
      <c r="D1465" s="3">
        <f>IFERROR(__xludf.DUMMYFUNCTION("""COMPUTED_VALUE"""),32.0)</f>
        <v>32</v>
      </c>
      <c r="E1465" s="1"/>
    </row>
    <row r="1466">
      <c r="A1466" s="1"/>
      <c r="B1466" s="3" t="str">
        <f>IFERROR(__xludf.DUMMYFUNCTION("""COMPUTED_VALUE"""),"FIRZA AMRI")</f>
        <v>FIRZA AMRI</v>
      </c>
      <c r="C1466" s="3" t="str">
        <f>IFERROR(__xludf.DUMMYFUNCTION("""COMPUTED_VALUE"""),"F7724067007")</f>
        <v>F7724067007</v>
      </c>
      <c r="D1466" s="3">
        <f>IFERROR(__xludf.DUMMYFUNCTION("""COMPUTED_VALUE"""),48.0)</f>
        <v>48</v>
      </c>
      <c r="E1466" s="1"/>
    </row>
    <row r="1467">
      <c r="A1467" s="1"/>
      <c r="B1467" s="3" t="str">
        <f>IFERROR(__xludf.DUMMYFUNCTION("""COMPUTED_VALUE"""),"RAIHANUL ADZMAR")</f>
        <v>RAIHANUL ADZMAR</v>
      </c>
      <c r="C1467" s="3" t="str">
        <f>IFERROR(__xludf.DUMMYFUNCTION("""COMPUTED_VALUE"""),"R1224062181")</f>
        <v>R1224062181</v>
      </c>
      <c r="D1467" s="3">
        <f>IFERROR(__xludf.DUMMYFUNCTION("""COMPUTED_VALUE"""),13.0)</f>
        <v>13</v>
      </c>
      <c r="E1467" s="1"/>
    </row>
    <row r="1468">
      <c r="A1468" s="1"/>
      <c r="B1468" s="3" t="str">
        <f>IFERROR(__xludf.DUMMYFUNCTION("""COMPUTED_VALUE"""),"INDERIYANI")</f>
        <v>INDERIYANI</v>
      </c>
      <c r="C1468" s="3" t="str">
        <f>IFERROR(__xludf.DUMMYFUNCTION("""COMPUTED_VALUE"""),"I9024065878")</f>
        <v>I9024065878</v>
      </c>
      <c r="D1468" s="3">
        <f>IFERROR(__xludf.DUMMYFUNCTION("""COMPUTED_VALUE"""),35.0)</f>
        <v>35</v>
      </c>
      <c r="E1468" s="1"/>
    </row>
    <row r="1469">
      <c r="A1469" s="1"/>
      <c r="B1469" s="3" t="str">
        <f>IFERROR(__xludf.DUMMYFUNCTION("""COMPUTED_VALUE"""),"SUNARTO 7002")</f>
        <v>SUNARTO 7002</v>
      </c>
      <c r="C1469" s="3" t="str">
        <f>IFERROR(__xludf.DUMMYFUNCTION("""COMPUTED_VALUE"""),"S7024068300")</f>
        <v>S7024068300</v>
      </c>
      <c r="D1469" s="3">
        <f>IFERROR(__xludf.DUMMYFUNCTION("""COMPUTED_VALUE"""),56.0)</f>
        <v>56</v>
      </c>
      <c r="E1469" s="1"/>
    </row>
    <row r="1470">
      <c r="A1470" s="1"/>
      <c r="B1470" s="3" t="str">
        <f>IFERROR(__xludf.DUMMYFUNCTION("""COMPUTED_VALUE"""),"AHID ABDULLAH")</f>
        <v>AHID ABDULLAH</v>
      </c>
      <c r="C1470" s="3" t="str">
        <f>IFERROR(__xludf.DUMMYFUNCTION("""COMPUTED_VALUE"""),"A9024063847")</f>
        <v>A9024063847</v>
      </c>
      <c r="D1470" s="3">
        <f>IFERROR(__xludf.DUMMYFUNCTION("""COMPUTED_VALUE"""),35.0)</f>
        <v>35</v>
      </c>
      <c r="E1470" s="1"/>
    </row>
    <row r="1471">
      <c r="A1471" s="1"/>
      <c r="B1471" s="3" t="str">
        <f>IFERROR(__xludf.DUMMYFUNCTION("""COMPUTED_VALUE"""),"JEKI")</f>
        <v>JEKI</v>
      </c>
      <c r="C1471" s="3" t="str">
        <f>IFERROR(__xludf.DUMMYFUNCTION("""COMPUTED_VALUE"""),"J9424064848")</f>
        <v>J9424064848</v>
      </c>
      <c r="D1471" s="3">
        <f>IFERROR(__xludf.DUMMYFUNCTION("""COMPUTED_VALUE"""),31.0)</f>
        <v>31</v>
      </c>
      <c r="E1471" s="1"/>
    </row>
    <row r="1472">
      <c r="A1472" s="1"/>
      <c r="B1472" s="3" t="str">
        <f>IFERROR(__xludf.DUMMYFUNCTION("""COMPUTED_VALUE"""),"HANSEN GUNAWAN")</f>
        <v>HANSEN GUNAWAN</v>
      </c>
      <c r="C1472" s="3" t="str">
        <f>IFERROR(__xludf.DUMMYFUNCTION("""COMPUTED_VALUE"""),"H9924069973")</f>
        <v>H9924069973</v>
      </c>
      <c r="D1472" s="3">
        <f>IFERROR(__xludf.DUMMYFUNCTION("""COMPUTED_VALUE"""),26.0)</f>
        <v>26</v>
      </c>
      <c r="E1472" s="1"/>
    </row>
    <row r="1473">
      <c r="A1473" s="1"/>
      <c r="B1473" s="3" t="str">
        <f>IFERROR(__xludf.DUMMYFUNCTION("""COMPUTED_VALUE"""),"PRISCA LIANTY NUR ZULAIKHA")</f>
        <v>PRISCA LIANTY NUR ZULAIKHA</v>
      </c>
      <c r="C1473" s="3" t="str">
        <f>IFERROR(__xludf.DUMMYFUNCTION("""COMPUTED_VALUE"""),"P0724071001")</f>
        <v>P0724071001</v>
      </c>
      <c r="D1473" s="3">
        <f>IFERROR(__xludf.DUMMYFUNCTION("""COMPUTED_VALUE"""),18.0)</f>
        <v>18</v>
      </c>
      <c r="E1473" s="1"/>
    </row>
    <row r="1474">
      <c r="A1474" s="1"/>
      <c r="B1474" s="3" t="str">
        <f>IFERROR(__xludf.DUMMYFUNCTION("""COMPUTED_VALUE"""),"JONATAN SATRIA ANGGARA HUTAPEA")</f>
        <v>JONATAN SATRIA ANGGARA HUTAPEA</v>
      </c>
      <c r="C1474" s="3" t="str">
        <f>IFERROR(__xludf.DUMMYFUNCTION("""COMPUTED_VALUE"""),"J0724079044")</f>
        <v>J0724079044</v>
      </c>
      <c r="D1474" s="3">
        <f>IFERROR(__xludf.DUMMYFUNCTION("""COMPUTED_VALUE"""),19.0)</f>
        <v>19</v>
      </c>
      <c r="E1474" s="1"/>
    </row>
    <row r="1475">
      <c r="A1475" s="1"/>
      <c r="B1475" s="3" t="str">
        <f>IFERROR(__xludf.DUMMYFUNCTION("""COMPUTED_VALUE"""),"CLAUDYA YUNI")</f>
        <v>CLAUDYA YUNI</v>
      </c>
      <c r="C1475" s="3" t="str">
        <f>IFERROR(__xludf.DUMMYFUNCTION("""COMPUTED_VALUE"""),"C9824078383")</f>
        <v>C9824078383</v>
      </c>
      <c r="D1475" s="3">
        <f>IFERROR(__xludf.DUMMYFUNCTION("""COMPUTED_VALUE"""),28.0)</f>
        <v>28</v>
      </c>
      <c r="E1475" s="1"/>
    </row>
    <row r="1476">
      <c r="A1476" s="1"/>
      <c r="B1476" s="3" t="str">
        <f>IFERROR(__xludf.DUMMYFUNCTION("""COMPUTED_VALUE"""),"MARDIAH ANUR, B.SC")</f>
        <v>MARDIAH ANUR, B.SC</v>
      </c>
      <c r="C1476" s="3" t="str">
        <f>IFERROR(__xludf.DUMMYFUNCTION("""COMPUTED_VALUE"""),"M6424070261")</f>
        <v>M6424070261</v>
      </c>
      <c r="D1476" s="3">
        <f>IFERROR(__xludf.DUMMYFUNCTION("""COMPUTED_VALUE"""),62.0)</f>
        <v>62</v>
      </c>
      <c r="E1476" s="1"/>
    </row>
    <row r="1477">
      <c r="A1477" s="1"/>
      <c r="B1477" s="3" t="str">
        <f>IFERROR(__xludf.DUMMYFUNCTION("""COMPUTED_VALUE"""),"ERFANDO RAMANDA ILHAM")</f>
        <v>ERFANDO RAMANDA ILHAM</v>
      </c>
      <c r="C1477" s="3" t="str">
        <f>IFERROR(__xludf.DUMMYFUNCTION("""COMPUTED_VALUE"""),"E0524071681")</f>
        <v>E0524071681</v>
      </c>
      <c r="D1477" s="3">
        <f>IFERROR(__xludf.DUMMYFUNCTION("""COMPUTED_VALUE"""),20.0)</f>
        <v>20</v>
      </c>
      <c r="E1477" s="1"/>
    </row>
    <row r="1478">
      <c r="A1478" s="1"/>
      <c r="B1478" s="3" t="str">
        <f>IFERROR(__xludf.DUMMYFUNCTION("""COMPUTED_VALUE"""),"WILL NATHANAEL THENALDY")</f>
        <v>WILL NATHANAEL THENALDY</v>
      </c>
      <c r="C1478" s="3" t="str">
        <f>IFERROR(__xludf.DUMMYFUNCTION("""COMPUTED_VALUE"""),"W0824076799")</f>
        <v>W0824076799</v>
      </c>
      <c r="D1478" s="3">
        <f>IFERROR(__xludf.DUMMYFUNCTION("""COMPUTED_VALUE"""),17.0)</f>
        <v>17</v>
      </c>
      <c r="E1478" s="1"/>
    </row>
    <row r="1479">
      <c r="A1479" s="1"/>
      <c r="B1479" s="3" t="str">
        <f>IFERROR(__xludf.DUMMYFUNCTION("""COMPUTED_VALUE"""),"MUHAMMAD FEBRINO")</f>
        <v>MUHAMMAD FEBRINO</v>
      </c>
      <c r="C1479" s="3" t="str">
        <f>IFERROR(__xludf.DUMMYFUNCTION("""COMPUTED_VALUE"""),"M0324070556")</f>
        <v>M0324070556</v>
      </c>
      <c r="D1479" s="3">
        <f>IFERROR(__xludf.DUMMYFUNCTION("""COMPUTED_VALUE"""),23.0)</f>
        <v>23</v>
      </c>
      <c r="E1479" s="1"/>
    </row>
    <row r="1480">
      <c r="A1480" s="1"/>
      <c r="B1480" s="3" t="str">
        <f>IFERROR(__xludf.DUMMYFUNCTION("""COMPUTED_VALUE"""),"SAFITRI RAMADHANI NOVIANA")</f>
        <v>SAFITRI RAMADHANI NOVIANA</v>
      </c>
      <c r="C1480" s="3" t="str">
        <f>IFERROR(__xludf.DUMMYFUNCTION("""COMPUTED_VALUE"""),"S0224072705")</f>
        <v>S0224072705</v>
      </c>
      <c r="D1480" s="3">
        <f>IFERROR(__xludf.DUMMYFUNCTION("""COMPUTED_VALUE"""),23.0)</f>
        <v>23</v>
      </c>
      <c r="E1480" s="1"/>
    </row>
    <row r="1481">
      <c r="A1481" s="1"/>
      <c r="B1481" s="3" t="str">
        <f>IFERROR(__xludf.DUMMYFUNCTION("""COMPUTED_VALUE"""),"OKTARIANA TRI SUSANTI")</f>
        <v>OKTARIANA TRI SUSANTI</v>
      </c>
      <c r="C1481" s="3" t="str">
        <f>IFERROR(__xludf.DUMMYFUNCTION("""COMPUTED_VALUE"""),"O0424074824")</f>
        <v>O0424074824</v>
      </c>
      <c r="D1481" s="3">
        <f>IFERROR(__xludf.DUMMYFUNCTION("""COMPUTED_VALUE"""),21.0)</f>
        <v>21</v>
      </c>
      <c r="E1481" s="1"/>
    </row>
    <row r="1482">
      <c r="A1482" s="1"/>
      <c r="B1482" s="3" t="str">
        <f>IFERROR(__xludf.DUMMYFUNCTION("""COMPUTED_VALUE"""),"ENGELIA")</f>
        <v>ENGELIA</v>
      </c>
      <c r="C1482" s="3" t="str">
        <f>IFERROR(__xludf.DUMMYFUNCTION("""COMPUTED_VALUE"""),"E0124075378")</f>
        <v>E0124075378</v>
      </c>
      <c r="D1482" s="3">
        <f>IFERROR(__xludf.DUMMYFUNCTION("""COMPUTED_VALUE"""),24.0)</f>
        <v>24</v>
      </c>
      <c r="E1482" s="1"/>
    </row>
    <row r="1483">
      <c r="A1483" s="1"/>
      <c r="B1483" s="3" t="str">
        <f>IFERROR(__xludf.DUMMYFUNCTION("""COMPUTED_VALUE"""),"PAULINA ROSALIA")</f>
        <v>PAULINA ROSALIA</v>
      </c>
      <c r="C1483" s="3" t="str">
        <f>IFERROR(__xludf.DUMMYFUNCTION("""COMPUTED_VALUE"""),"P7224074888")</f>
        <v>P7224074888</v>
      </c>
      <c r="D1483" s="3">
        <f>IFERROR(__xludf.DUMMYFUNCTION("""COMPUTED_VALUE"""),53.0)</f>
        <v>53</v>
      </c>
      <c r="E1483" s="1"/>
    </row>
    <row r="1484">
      <c r="A1484" s="1"/>
      <c r="B1484" s="3" t="str">
        <f>IFERROR(__xludf.DUMMYFUNCTION("""COMPUTED_VALUE"""),"ELVIN NAMORA RAJA PASARIBU")</f>
        <v>ELVIN NAMORA RAJA PASARIBU</v>
      </c>
      <c r="C1484" s="3" t="str">
        <f>IFERROR(__xludf.DUMMYFUNCTION("""COMPUTED_VALUE"""),"E0724076970")</f>
        <v>E0724076970</v>
      </c>
      <c r="D1484" s="3">
        <f>IFERROR(__xludf.DUMMYFUNCTION("""COMPUTED_VALUE"""),19.0)</f>
        <v>19</v>
      </c>
      <c r="E1484" s="1"/>
    </row>
    <row r="1485">
      <c r="A1485" s="1"/>
      <c r="B1485" s="3" t="str">
        <f>IFERROR(__xludf.DUMMYFUNCTION("""COMPUTED_VALUE"""),"AMALYA SUCI WIDHIAMURTI")</f>
        <v>AMALYA SUCI WIDHIAMURTI</v>
      </c>
      <c r="C1485" s="3" t="str">
        <f>IFERROR(__xludf.DUMMYFUNCTION("""COMPUTED_VALUE"""),"A9624077408")</f>
        <v>A9624077408</v>
      </c>
      <c r="D1485" s="3">
        <f>IFERROR(__xludf.DUMMYFUNCTION("""COMPUTED_VALUE"""),30.0)</f>
        <v>30</v>
      </c>
      <c r="E1485" s="1"/>
    </row>
    <row r="1486">
      <c r="A1486" s="1"/>
      <c r="B1486" s="3" t="str">
        <f>IFERROR(__xludf.DUMMYFUNCTION("""COMPUTED_VALUE"""),"PANJI AKBAR")</f>
        <v>PANJI AKBAR</v>
      </c>
      <c r="C1486" s="3" t="str">
        <f>IFERROR(__xludf.DUMMYFUNCTION("""COMPUTED_VALUE"""),"P7924078118")</f>
        <v>P7924078118</v>
      </c>
      <c r="D1486" s="3">
        <f>IFERROR(__xludf.DUMMYFUNCTION("""COMPUTED_VALUE"""),46.0)</f>
        <v>46</v>
      </c>
      <c r="E1486" s="1"/>
    </row>
    <row r="1487">
      <c r="A1487" s="1"/>
      <c r="B1487" s="3" t="str">
        <f>IFERROR(__xludf.DUMMYFUNCTION("""COMPUTED_VALUE"""),"ABANG SUGANDI")</f>
        <v>ABANG SUGANDI</v>
      </c>
      <c r="C1487" s="3" t="str">
        <f>IFERROR(__xludf.DUMMYFUNCTION("""COMPUTED_VALUE"""),"A9424078319")</f>
        <v>A9424078319</v>
      </c>
      <c r="D1487" s="3">
        <f>IFERROR(__xludf.DUMMYFUNCTION("""COMPUTED_VALUE"""),32.0)</f>
        <v>32</v>
      </c>
      <c r="E1487" s="1"/>
    </row>
    <row r="1488">
      <c r="A1488" s="1"/>
      <c r="B1488" s="3" t="str">
        <f>IFERROR(__xludf.DUMMYFUNCTION("""COMPUTED_VALUE"""),"FATHIR MUHAMMAD ADIAMIN")</f>
        <v>FATHIR MUHAMMAD ADIAMIN</v>
      </c>
      <c r="C1488" s="3" t="str">
        <f>IFERROR(__xludf.DUMMYFUNCTION("""COMPUTED_VALUE"""),"F0724077441")</f>
        <v>F0724077441</v>
      </c>
      <c r="D1488" s="3">
        <f>IFERROR(__xludf.DUMMYFUNCTION("""COMPUTED_VALUE"""),19.0)</f>
        <v>19</v>
      </c>
      <c r="E1488" s="1"/>
    </row>
    <row r="1489">
      <c r="A1489" s="1"/>
      <c r="B1489" s="3" t="str">
        <f>IFERROR(__xludf.DUMMYFUNCTION("""COMPUTED_VALUE"""),"REZA LUQMAN FATHONI")</f>
        <v>REZA LUQMAN FATHONI</v>
      </c>
      <c r="C1489" s="3" t="str">
        <f>IFERROR(__xludf.DUMMYFUNCTION("""COMPUTED_VALUE"""),"R9424073598")</f>
        <v>R9424073598</v>
      </c>
      <c r="D1489" s="3">
        <f>IFERROR(__xludf.DUMMYFUNCTION("""COMPUTED_VALUE"""),32.0)</f>
        <v>32</v>
      </c>
      <c r="E1489" s="1"/>
    </row>
    <row r="1490">
      <c r="A1490" s="1"/>
      <c r="B1490" s="3" t="str">
        <f>IFERROR(__xludf.DUMMYFUNCTION("""COMPUTED_VALUE"""),"DIFRA HAIRULLAH")</f>
        <v>DIFRA HAIRULLAH</v>
      </c>
      <c r="C1490" s="3" t="str">
        <f>IFERROR(__xludf.DUMMYFUNCTION("""COMPUTED_VALUE"""),"D0724073753")</f>
        <v>D0724073753</v>
      </c>
      <c r="D1490" s="3">
        <f>IFERROR(__xludf.DUMMYFUNCTION("""COMPUTED_VALUE"""),19.0)</f>
        <v>19</v>
      </c>
      <c r="E1490" s="1"/>
    </row>
    <row r="1491">
      <c r="A1491" s="1"/>
      <c r="B1491" s="3" t="str">
        <f>IFERROR(__xludf.DUMMYFUNCTION("""COMPUTED_VALUE"""),"FERDY")</f>
        <v>FERDY</v>
      </c>
      <c r="C1491" s="3" t="str">
        <f>IFERROR(__xludf.DUMMYFUNCTION("""COMPUTED_VALUE"""),"F9224078140")</f>
        <v>F9224078140</v>
      </c>
      <c r="D1491" s="3">
        <f>IFERROR(__xludf.DUMMYFUNCTION("""COMPUTED_VALUE"""),34.0)</f>
        <v>34</v>
      </c>
      <c r="E1491" s="1"/>
    </row>
    <row r="1492">
      <c r="A1492" s="1"/>
      <c r="B1492" s="3" t="str">
        <f>IFERROR(__xludf.DUMMYFUNCTION("""COMPUTED_VALUE"""),"DRA. HJ. MARHAENY SUCIATIN, M.MPD")</f>
        <v>DRA. HJ. MARHAENY SUCIATIN, M.MPD</v>
      </c>
      <c r="C1492" s="3" t="str">
        <f>IFERROR(__xludf.DUMMYFUNCTION("""COMPUTED_VALUE"""),"D6024074266")</f>
        <v>D6024074266</v>
      </c>
      <c r="D1492" s="3">
        <f>IFERROR(__xludf.DUMMYFUNCTION("""COMPUTED_VALUE"""),65.0)</f>
        <v>65</v>
      </c>
      <c r="E1492" s="1"/>
    </row>
    <row r="1493">
      <c r="A1493" s="1"/>
      <c r="B1493" s="3" t="str">
        <f>IFERROR(__xludf.DUMMYFUNCTION("""COMPUTED_VALUE"""),"DAFFA DZAKY ALMAIR")</f>
        <v>DAFFA DZAKY ALMAIR</v>
      </c>
      <c r="C1493" s="3" t="str">
        <f>IFERROR(__xludf.DUMMYFUNCTION("""COMPUTED_VALUE"""),"D1424075222")</f>
        <v>D1424075222</v>
      </c>
      <c r="D1493" s="3">
        <f>IFERROR(__xludf.DUMMYFUNCTION("""COMPUTED_VALUE"""),11.0)</f>
        <v>11</v>
      </c>
      <c r="E1493" s="1"/>
    </row>
    <row r="1494">
      <c r="A1494" s="1"/>
      <c r="B1494" s="3" t="str">
        <f>IFERROR(__xludf.DUMMYFUNCTION("""COMPUTED_VALUE"""),"YA’YALATAMA IZMAYANA")</f>
        <v>YA’YALATAMA IZMAYANA</v>
      </c>
      <c r="C1494" s="3" t="str">
        <f>IFERROR(__xludf.DUMMYFUNCTION("""COMPUTED_VALUE"""),"Y0124071611")</f>
        <v>Y0124071611</v>
      </c>
      <c r="D1494" s="3">
        <f>IFERROR(__xludf.DUMMYFUNCTION("""COMPUTED_VALUE"""),25.0)</f>
        <v>25</v>
      </c>
      <c r="E1494" s="1"/>
    </row>
    <row r="1495">
      <c r="A1495" s="1"/>
      <c r="B1495" s="3" t="str">
        <f>IFERROR(__xludf.DUMMYFUNCTION("""COMPUTED_VALUE"""),"MUHAMMAD SODIQ")</f>
        <v>MUHAMMAD SODIQ</v>
      </c>
      <c r="C1495" s="3" t="str">
        <f>IFERROR(__xludf.DUMMYFUNCTION("""COMPUTED_VALUE"""),"M0124075599")</f>
        <v>M0124075599</v>
      </c>
      <c r="D1495" s="3">
        <f>IFERROR(__xludf.DUMMYFUNCTION("""COMPUTED_VALUE"""),24.0)</f>
        <v>24</v>
      </c>
      <c r="E1495" s="1"/>
    </row>
    <row r="1496">
      <c r="A1496" s="1"/>
      <c r="B1496" s="3" t="str">
        <f>IFERROR(__xludf.DUMMYFUNCTION("""COMPUTED_VALUE"""),"RULIAN")</f>
        <v>RULIAN</v>
      </c>
      <c r="C1496" s="3" t="str">
        <f>IFERROR(__xludf.DUMMYFUNCTION("""COMPUTED_VALUE"""),"R9324072383")</f>
        <v>R9324072383</v>
      </c>
      <c r="D1496" s="3">
        <f>IFERROR(__xludf.DUMMYFUNCTION("""COMPUTED_VALUE"""),32.0)</f>
        <v>32</v>
      </c>
      <c r="E1496" s="1"/>
    </row>
    <row r="1497">
      <c r="A1497" s="1"/>
      <c r="B1497" s="3" t="str">
        <f>IFERROR(__xludf.DUMMYFUNCTION("""COMPUTED_VALUE"""),"UTIN NURBAITY")</f>
        <v>UTIN NURBAITY</v>
      </c>
      <c r="C1497" s="3" t="str">
        <f>IFERROR(__xludf.DUMMYFUNCTION("""COMPUTED_VALUE"""),"U7724077949")</f>
        <v>U7724077949</v>
      </c>
      <c r="D1497" s="3">
        <f>IFERROR(__xludf.DUMMYFUNCTION("""COMPUTED_VALUE"""),49.0)</f>
        <v>49</v>
      </c>
      <c r="E1497" s="1"/>
    </row>
    <row r="1498">
      <c r="A1498" s="1"/>
      <c r="B1498" s="3" t="str">
        <f>IFERROR(__xludf.DUMMYFUNCTION("""COMPUTED_VALUE"""),"DEMI AKHIRIL SULBI MUHARRAMWATI")</f>
        <v>DEMI AKHIRIL SULBI MUHARRAMWATI</v>
      </c>
      <c r="C1498" s="3" t="str">
        <f>IFERROR(__xludf.DUMMYFUNCTION("""COMPUTED_VALUE"""),"D7724075563")</f>
        <v>D7724075563</v>
      </c>
      <c r="D1498" s="3">
        <f>IFERROR(__xludf.DUMMYFUNCTION("""COMPUTED_VALUE"""),48.0)</f>
        <v>48</v>
      </c>
      <c r="E1498" s="1"/>
    </row>
    <row r="1499">
      <c r="A1499" s="1"/>
      <c r="B1499" s="3" t="str">
        <f>IFERROR(__xludf.DUMMYFUNCTION("""COMPUTED_VALUE"""),"MUHAMAD AGUS KURNIAWAN")</f>
        <v>MUHAMAD AGUS KURNIAWAN</v>
      </c>
      <c r="C1499" s="3" t="str">
        <f>IFERROR(__xludf.DUMMYFUNCTION("""COMPUTED_VALUE"""),"M9824078882")</f>
        <v>M9824078882</v>
      </c>
      <c r="D1499" s="3">
        <f>IFERROR(__xludf.DUMMYFUNCTION("""COMPUTED_VALUE"""),27.0)</f>
        <v>27</v>
      </c>
      <c r="E1499" s="1"/>
    </row>
    <row r="1500">
      <c r="A1500" s="1"/>
      <c r="B1500" s="3" t="str">
        <f>IFERROR(__xludf.DUMMYFUNCTION("""COMPUTED_VALUE"""),"GUNTUR SISWONO")</f>
        <v>GUNTUR SISWONO</v>
      </c>
      <c r="C1500" s="3" t="str">
        <f>IFERROR(__xludf.DUMMYFUNCTION("""COMPUTED_VALUE"""),"G8324070999")</f>
        <v>G8324070999</v>
      </c>
      <c r="D1500" s="3">
        <f>IFERROR(__xludf.DUMMYFUNCTION("""COMPUTED_VALUE"""),43.0)</f>
        <v>43</v>
      </c>
      <c r="E1500" s="1"/>
    </row>
    <row r="1501">
      <c r="A1501" s="1"/>
      <c r="B1501" s="3" t="str">
        <f>IFERROR(__xludf.DUMMYFUNCTION("""COMPUTED_VALUE"""),"ANGELIA TANSURI")</f>
        <v>ANGELIA TANSURI</v>
      </c>
      <c r="C1501" s="3" t="str">
        <f>IFERROR(__xludf.DUMMYFUNCTION("""COMPUTED_VALUE"""),"A9824075140")</f>
        <v>A9824075140</v>
      </c>
      <c r="D1501" s="3">
        <f>IFERROR(__xludf.DUMMYFUNCTION("""COMPUTED_VALUE"""),28.0)</f>
        <v>28</v>
      </c>
      <c r="E1501" s="1"/>
    </row>
    <row r="1502">
      <c r="A1502" s="1"/>
      <c r="B1502" s="3" t="str">
        <f>IFERROR(__xludf.DUMMYFUNCTION("""COMPUTED_VALUE"""),"ERICTHIAMDY")</f>
        <v>ERICTHIAMDY</v>
      </c>
      <c r="C1502" s="3" t="str">
        <f>IFERROR(__xludf.DUMMYFUNCTION("""COMPUTED_VALUE"""),"E9524072177")</f>
        <v>E9524072177</v>
      </c>
      <c r="D1502" s="3">
        <f>IFERROR(__xludf.DUMMYFUNCTION("""COMPUTED_VALUE"""),31.0)</f>
        <v>31</v>
      </c>
      <c r="E1502" s="1"/>
    </row>
    <row r="1503">
      <c r="A1503" s="1"/>
      <c r="B1503" s="3" t="str">
        <f>IFERROR(__xludf.DUMMYFUNCTION("""COMPUTED_VALUE"""),"WILLIAM SIMAN")</f>
        <v>WILLIAM SIMAN</v>
      </c>
      <c r="C1503" s="3" t="str">
        <f>IFERROR(__xludf.DUMMYFUNCTION("""COMPUTED_VALUE"""),"W9924070563")</f>
        <v>W9924070563</v>
      </c>
      <c r="D1503" s="3">
        <f>IFERROR(__xludf.DUMMYFUNCTION("""COMPUTED_VALUE"""),26.0)</f>
        <v>26</v>
      </c>
      <c r="E1503" s="1"/>
    </row>
    <row r="1504">
      <c r="A1504" s="1"/>
      <c r="B1504" s="3" t="str">
        <f>IFERROR(__xludf.DUMMYFUNCTION("""COMPUTED_VALUE"""),"PRASETYO PANJI ANGGONO")</f>
        <v>PRASETYO PANJI ANGGONO</v>
      </c>
      <c r="C1504" s="3" t="str">
        <f>IFERROR(__xludf.DUMMYFUNCTION("""COMPUTED_VALUE"""),"P9024075511")</f>
        <v>P9024075511</v>
      </c>
      <c r="D1504" s="3">
        <f>IFERROR(__xludf.DUMMYFUNCTION("""COMPUTED_VALUE"""),35.0)</f>
        <v>35</v>
      </c>
      <c r="E1504" s="1"/>
    </row>
    <row r="1505">
      <c r="A1505" s="1"/>
      <c r="B1505" s="3" t="str">
        <f>IFERROR(__xludf.DUMMYFUNCTION("""COMPUTED_VALUE"""),"FAHRURROZI NURAHIM")</f>
        <v>FAHRURROZI NURAHIM</v>
      </c>
      <c r="C1505" s="3" t="str">
        <f>IFERROR(__xludf.DUMMYFUNCTION("""COMPUTED_VALUE"""),"F0224072778")</f>
        <v>F0224072778</v>
      </c>
      <c r="D1505" s="3">
        <f>IFERROR(__xludf.DUMMYFUNCTION("""COMPUTED_VALUE"""),24.0)</f>
        <v>24</v>
      </c>
      <c r="E1505" s="1"/>
    </row>
    <row r="1506">
      <c r="A1506" s="1"/>
      <c r="B1506" s="3" t="str">
        <f>IFERROR(__xludf.DUMMYFUNCTION("""COMPUTED_VALUE"""),"ADE APRIYANSYAH")</f>
        <v>ADE APRIYANSYAH</v>
      </c>
      <c r="C1506" s="3" t="str">
        <f>IFERROR(__xludf.DUMMYFUNCTION("""COMPUTED_VALUE"""),"A9324074330")</f>
        <v>A9324074330</v>
      </c>
      <c r="D1506" s="3">
        <f>IFERROR(__xludf.DUMMYFUNCTION("""COMPUTED_VALUE"""),33.0)</f>
        <v>33</v>
      </c>
      <c r="E1506" s="1"/>
    </row>
    <row r="1507">
      <c r="A1507" s="1"/>
      <c r="B1507" s="3" t="str">
        <f>IFERROR(__xludf.DUMMYFUNCTION("""COMPUTED_VALUE"""),"MARYANA")</f>
        <v>MARYANA</v>
      </c>
      <c r="C1507" s="3" t="str">
        <f>IFERROR(__xludf.DUMMYFUNCTION("""COMPUTED_VALUE"""),"M6924078913")</f>
        <v>M6924078913</v>
      </c>
      <c r="D1507" s="3">
        <f>IFERROR(__xludf.DUMMYFUNCTION("""COMPUTED_VALUE"""),56.0)</f>
        <v>56</v>
      </c>
      <c r="E1507" s="1"/>
    </row>
    <row r="1508">
      <c r="A1508" s="1"/>
      <c r="B1508" s="3" t="str">
        <f>IFERROR(__xludf.DUMMYFUNCTION("""COMPUTED_VALUE"""),"ALFREDO JHON KENZO")</f>
        <v>ALFREDO JHON KENZO</v>
      </c>
      <c r="C1508" s="3" t="str">
        <f>IFERROR(__xludf.DUMMYFUNCTION("""COMPUTED_VALUE"""),"A0924072172")</f>
        <v>A0924072172</v>
      </c>
      <c r="D1508" s="3">
        <f>IFERROR(__xludf.DUMMYFUNCTION("""COMPUTED_VALUE"""),17.0)</f>
        <v>17</v>
      </c>
      <c r="E1508" s="1"/>
    </row>
    <row r="1509">
      <c r="A1509" s="1"/>
      <c r="B1509" s="3" t="str">
        <f>IFERROR(__xludf.DUMMYFUNCTION("""COMPUTED_VALUE"""),"ALI IBRAHIM")</f>
        <v>ALI IBRAHIM</v>
      </c>
      <c r="C1509" s="3" t="str">
        <f>IFERROR(__xludf.DUMMYFUNCTION("""COMPUTED_VALUE"""),"A9424070374")</f>
        <v>A9424070374</v>
      </c>
      <c r="D1509" s="3">
        <f>IFERROR(__xludf.DUMMYFUNCTION("""COMPUTED_VALUE"""),31.0)</f>
        <v>31</v>
      </c>
      <c r="E1509" s="1"/>
    </row>
    <row r="1510">
      <c r="A1510" s="1"/>
      <c r="B1510" s="3" t="str">
        <f>IFERROR(__xludf.DUMMYFUNCTION("""COMPUTED_VALUE"""),"KIERA PRANATA")</f>
        <v>KIERA PRANATA</v>
      </c>
      <c r="C1510" s="3" t="str">
        <f>IFERROR(__xludf.DUMMYFUNCTION("""COMPUTED_VALUE"""),"K1224078129")</f>
        <v>K1224078129</v>
      </c>
      <c r="D1510" s="3">
        <f>IFERROR(__xludf.DUMMYFUNCTION("""COMPUTED_VALUE"""),14.0)</f>
        <v>14</v>
      </c>
      <c r="E1510" s="1"/>
    </row>
    <row r="1511">
      <c r="A1511" s="1"/>
      <c r="B1511" s="3" t="str">
        <f>IFERROR(__xludf.DUMMYFUNCTION("""COMPUTED_VALUE"""),"DITTA KRISJAYANTI")</f>
        <v>DITTA KRISJAYANTI</v>
      </c>
      <c r="C1511" s="3" t="str">
        <f>IFERROR(__xludf.DUMMYFUNCTION("""COMPUTED_VALUE"""),"D9524071864")</f>
        <v>D9524071864</v>
      </c>
      <c r="D1511" s="3">
        <f>IFERROR(__xludf.DUMMYFUNCTION("""COMPUTED_VALUE"""),31.0)</f>
        <v>31</v>
      </c>
      <c r="E1511" s="1"/>
    </row>
    <row r="1512">
      <c r="A1512" s="1"/>
      <c r="B1512" s="3" t="str">
        <f>IFERROR(__xludf.DUMMYFUNCTION("""COMPUTED_VALUE"""),"WAHYUDI SRIDADI")</f>
        <v>WAHYUDI SRIDADI</v>
      </c>
      <c r="C1512" s="3" t="str">
        <f>IFERROR(__xludf.DUMMYFUNCTION("""COMPUTED_VALUE"""),"W8024079678")</f>
        <v>W8024079678</v>
      </c>
      <c r="D1512" s="3">
        <f>IFERROR(__xludf.DUMMYFUNCTION("""COMPUTED_VALUE"""),46.0)</f>
        <v>46</v>
      </c>
      <c r="E1512" s="1"/>
    </row>
    <row r="1513">
      <c r="A1513" s="1"/>
      <c r="B1513" s="3" t="str">
        <f>IFERROR(__xludf.DUMMYFUNCTION("""COMPUTED_VALUE"""),"TANTRI HIDAYAH NINGTYAS")</f>
        <v>TANTRI HIDAYAH NINGTYAS</v>
      </c>
      <c r="C1513" s="3" t="str">
        <f>IFERROR(__xludf.DUMMYFUNCTION("""COMPUTED_VALUE"""),"T0624073059")</f>
        <v>T0624073059</v>
      </c>
      <c r="D1513" s="3">
        <f>IFERROR(__xludf.DUMMYFUNCTION("""COMPUTED_VALUE"""),19.0)</f>
        <v>19</v>
      </c>
      <c r="E1513" s="1"/>
    </row>
    <row r="1514">
      <c r="A1514" s="1"/>
      <c r="B1514" s="3" t="str">
        <f>IFERROR(__xludf.DUMMYFUNCTION("""COMPUTED_VALUE"""),"AMANDA YANASARI UTAMI")</f>
        <v>AMANDA YANASARI UTAMI</v>
      </c>
      <c r="C1514" s="3" t="str">
        <f>IFERROR(__xludf.DUMMYFUNCTION("""COMPUTED_VALUE"""),"A0224072092")</f>
        <v>A0224072092</v>
      </c>
      <c r="D1514" s="3">
        <f>IFERROR(__xludf.DUMMYFUNCTION("""COMPUTED_VALUE"""),23.0)</f>
        <v>23</v>
      </c>
      <c r="E1514" s="1"/>
    </row>
    <row r="1515">
      <c r="A1515" s="1"/>
      <c r="B1515" s="3" t="str">
        <f>IFERROR(__xludf.DUMMYFUNCTION("""COMPUTED_VALUE"""),"ABANG ARI TRI DARMAWAN")</f>
        <v>ABANG ARI TRI DARMAWAN</v>
      </c>
      <c r="C1515" s="3" t="str">
        <f>IFERROR(__xludf.DUMMYFUNCTION("""COMPUTED_VALUE"""),"A0224072527")</f>
        <v>A0224072527</v>
      </c>
      <c r="D1515" s="3">
        <f>IFERROR(__xludf.DUMMYFUNCTION("""COMPUTED_VALUE"""),23.0)</f>
        <v>23</v>
      </c>
      <c r="E1515" s="1"/>
    </row>
    <row r="1516">
      <c r="A1516" s="1"/>
      <c r="B1516" s="3" t="str">
        <f>IFERROR(__xludf.DUMMYFUNCTION("""COMPUTED_VALUE"""),"DOMINIKUS SAVIO JANIEL")</f>
        <v>DOMINIKUS SAVIO JANIEL</v>
      </c>
      <c r="C1516" s="3" t="str">
        <f>IFERROR(__xludf.DUMMYFUNCTION("""COMPUTED_VALUE"""),"D0524078570")</f>
        <v>D0524078570</v>
      </c>
      <c r="D1516" s="3">
        <f>IFERROR(__xludf.DUMMYFUNCTION("""COMPUTED_VALUE"""),21.0)</f>
        <v>21</v>
      </c>
      <c r="E1516" s="1"/>
    </row>
    <row r="1517">
      <c r="A1517" s="1"/>
      <c r="B1517" s="3" t="str">
        <f>IFERROR(__xludf.DUMMYFUNCTION("""COMPUTED_VALUE"""),"SARIJAN")</f>
        <v>SARIJAN</v>
      </c>
      <c r="C1517" s="3" t="str">
        <f>IFERROR(__xludf.DUMMYFUNCTION("""COMPUTED_VALUE"""),"S6324071456")</f>
        <v>S6324071456</v>
      </c>
      <c r="D1517" s="3">
        <f>IFERROR(__xludf.DUMMYFUNCTION("""COMPUTED_VALUE"""),63.0)</f>
        <v>63</v>
      </c>
      <c r="E1517" s="1"/>
    </row>
    <row r="1518">
      <c r="A1518" s="1"/>
      <c r="B1518" s="3" t="str">
        <f>IFERROR(__xludf.DUMMYFUNCTION("""COMPUTED_VALUE"""),"HAMDAN KURNIAWAN")</f>
        <v>HAMDAN KURNIAWAN</v>
      </c>
      <c r="C1518" s="3" t="str">
        <f>IFERROR(__xludf.DUMMYFUNCTION("""COMPUTED_VALUE"""),"H9024077488")</f>
        <v>H9024077488</v>
      </c>
      <c r="D1518" s="3">
        <f>IFERROR(__xludf.DUMMYFUNCTION("""COMPUTED_VALUE"""),36.0)</f>
        <v>36</v>
      </c>
      <c r="E1518" s="1"/>
    </row>
    <row r="1519">
      <c r="A1519" s="1"/>
      <c r="B1519" s="3" t="str">
        <f>IFERROR(__xludf.DUMMYFUNCTION("""COMPUTED_VALUE"""),"DIMAS IBNU HAZAR")</f>
        <v>DIMAS IBNU HAZAR</v>
      </c>
      <c r="C1519" s="3" t="str">
        <f>IFERROR(__xludf.DUMMYFUNCTION("""COMPUTED_VALUE"""),"D0024071908")</f>
        <v>D0024071908</v>
      </c>
      <c r="D1519" s="3">
        <f>IFERROR(__xludf.DUMMYFUNCTION("""COMPUTED_VALUE"""),25.0)</f>
        <v>25</v>
      </c>
      <c r="E1519" s="1"/>
    </row>
    <row r="1520">
      <c r="A1520" s="1"/>
      <c r="B1520" s="3" t="str">
        <f>IFERROR(__xludf.DUMMYFUNCTION("""COMPUTED_VALUE"""),"JACKLYN")</f>
        <v>JACKLYN</v>
      </c>
      <c r="C1520" s="3" t="str">
        <f>IFERROR(__xludf.DUMMYFUNCTION("""COMPUTED_VALUE"""),"J0724070909")</f>
        <v>J0724070909</v>
      </c>
      <c r="D1520" s="3">
        <f>IFERROR(__xludf.DUMMYFUNCTION("""COMPUTED_VALUE"""),18.0)</f>
        <v>18</v>
      </c>
      <c r="E1520" s="1"/>
    </row>
    <row r="1521">
      <c r="A1521" s="1"/>
      <c r="B1521" s="3" t="str">
        <f>IFERROR(__xludf.DUMMYFUNCTION("""COMPUTED_VALUE"""),"FITRIANA LATHIFAH")</f>
        <v>FITRIANA LATHIFAH</v>
      </c>
      <c r="C1521" s="3" t="str">
        <f>IFERROR(__xludf.DUMMYFUNCTION("""COMPUTED_VALUE"""),"F9324074539")</f>
        <v>F9324074539</v>
      </c>
      <c r="D1521" s="3">
        <f>IFERROR(__xludf.DUMMYFUNCTION("""COMPUTED_VALUE"""),32.0)</f>
        <v>32</v>
      </c>
      <c r="E1521" s="1"/>
    </row>
    <row r="1522">
      <c r="A1522" s="1"/>
      <c r="B1522" s="3" t="str">
        <f>IFERROR(__xludf.DUMMYFUNCTION("""COMPUTED_VALUE"""),"RAHAYU MARIA")</f>
        <v>RAHAYU MARIA</v>
      </c>
      <c r="C1522" s="3" t="str">
        <f>IFERROR(__xludf.DUMMYFUNCTION("""COMPUTED_VALUE"""),"R9524072395")</f>
        <v>R9524072395</v>
      </c>
      <c r="D1522" s="3">
        <f>IFERROR(__xludf.DUMMYFUNCTION("""COMPUTED_VALUE"""),30.0)</f>
        <v>30</v>
      </c>
      <c r="E1522" s="1"/>
    </row>
    <row r="1523">
      <c r="A1523" s="1"/>
      <c r="B1523" s="3" t="str">
        <f>IFERROR(__xludf.DUMMYFUNCTION("""COMPUTED_VALUE"""),"ELISKA NATALIA")</f>
        <v>ELISKA NATALIA</v>
      </c>
      <c r="C1523" s="3" t="str">
        <f>IFERROR(__xludf.DUMMYFUNCTION("""COMPUTED_VALUE"""),"E9524076996")</f>
        <v>E9524076996</v>
      </c>
      <c r="D1523" s="3">
        <f>IFERROR(__xludf.DUMMYFUNCTION("""COMPUTED_VALUE"""),30.0)</f>
        <v>30</v>
      </c>
      <c r="E1523" s="1"/>
    </row>
    <row r="1524">
      <c r="A1524" s="1"/>
      <c r="B1524" s="3" t="str">
        <f>IFERROR(__xludf.DUMMYFUNCTION("""COMPUTED_VALUE"""),"SELVI LOSIANA")</f>
        <v>SELVI LOSIANA</v>
      </c>
      <c r="C1524" s="3" t="str">
        <f>IFERROR(__xludf.DUMMYFUNCTION("""COMPUTED_VALUE"""),"S9524070417")</f>
        <v>S9524070417</v>
      </c>
      <c r="D1524" s="3">
        <f>IFERROR(__xludf.DUMMYFUNCTION("""COMPUTED_VALUE"""),31.0)</f>
        <v>31</v>
      </c>
      <c r="E1524" s="1"/>
    </row>
    <row r="1525">
      <c r="A1525" s="1"/>
      <c r="B1525" s="3" t="str">
        <f>IFERROR(__xludf.DUMMYFUNCTION("""COMPUTED_VALUE"""),"SURIANSYAH")</f>
        <v>SURIANSYAH</v>
      </c>
      <c r="C1525" s="3" t="str">
        <f>IFERROR(__xludf.DUMMYFUNCTION("""COMPUTED_VALUE"""),"S8424076006")</f>
        <v>S8424076006</v>
      </c>
      <c r="D1525" s="3">
        <f>IFERROR(__xludf.DUMMYFUNCTION("""COMPUTED_VALUE"""),41.0)</f>
        <v>41</v>
      </c>
      <c r="E1525" s="1"/>
    </row>
    <row r="1526">
      <c r="A1526" s="1"/>
      <c r="B1526" s="3" t="str">
        <f>IFERROR(__xludf.DUMMYFUNCTION("""COMPUTED_VALUE"""),"ENGKUS KUSNADI")</f>
        <v>ENGKUS KUSNADI</v>
      </c>
      <c r="C1526" s="3" t="str">
        <f>IFERROR(__xludf.DUMMYFUNCTION("""COMPUTED_VALUE"""),"E7124073212")</f>
        <v>E7124073212</v>
      </c>
      <c r="D1526" s="3">
        <f>IFERROR(__xludf.DUMMYFUNCTION("""COMPUTED_VALUE"""),54.0)</f>
        <v>54</v>
      </c>
      <c r="E1526" s="1"/>
    </row>
    <row r="1527">
      <c r="A1527" s="1"/>
      <c r="B1527" s="3" t="str">
        <f>IFERROR(__xludf.DUMMYFUNCTION("""COMPUTED_VALUE"""),"HAFIDZAKY HAYKAL")</f>
        <v>HAFIDZAKY HAYKAL</v>
      </c>
      <c r="C1527" s="3" t="str">
        <f>IFERROR(__xludf.DUMMYFUNCTION("""COMPUTED_VALUE"""),"H1124079019")</f>
        <v>H1124079019</v>
      </c>
      <c r="D1527" s="3">
        <f>IFERROR(__xludf.DUMMYFUNCTION("""COMPUTED_VALUE"""),14.0)</f>
        <v>14</v>
      </c>
      <c r="E1527" s="1"/>
    </row>
    <row r="1528">
      <c r="A1528" s="1"/>
      <c r="B1528" s="3" t="str">
        <f>IFERROR(__xludf.DUMMYFUNCTION("""COMPUTED_VALUE"""),"RESTU RAGYL HARIYANTO")</f>
        <v>RESTU RAGYL HARIYANTO</v>
      </c>
      <c r="C1528" s="3" t="str">
        <f>IFERROR(__xludf.DUMMYFUNCTION("""COMPUTED_VALUE"""),"R0124077723")</f>
        <v>R0124077723</v>
      </c>
      <c r="D1528" s="3">
        <f>IFERROR(__xludf.DUMMYFUNCTION("""COMPUTED_VALUE"""),24.0)</f>
        <v>24</v>
      </c>
      <c r="E1528" s="1"/>
    </row>
    <row r="1529">
      <c r="A1529" s="1"/>
      <c r="B1529" s="3" t="str">
        <f>IFERROR(__xludf.DUMMYFUNCTION("""COMPUTED_VALUE"""),"DHAIFULLAH IRFAN HAFIZH")</f>
        <v>DHAIFULLAH IRFAN HAFIZH</v>
      </c>
      <c r="C1529" s="3" t="str">
        <f>IFERROR(__xludf.DUMMYFUNCTION("""COMPUTED_VALUE"""),"D0924079294")</f>
        <v>D0924079294</v>
      </c>
      <c r="D1529" s="3">
        <f>IFERROR(__xludf.DUMMYFUNCTION("""COMPUTED_VALUE"""),17.0)</f>
        <v>17</v>
      </c>
      <c r="E1529" s="1"/>
    </row>
    <row r="1530">
      <c r="A1530" s="1"/>
      <c r="B1530" s="3" t="str">
        <f>IFERROR(__xludf.DUMMYFUNCTION("""COMPUTED_VALUE"""),"ABDIAS ANDESTA LASENO KAGAUK")</f>
        <v>ABDIAS ANDESTA LASENO KAGAUK</v>
      </c>
      <c r="C1530" s="3" t="str">
        <f>IFERROR(__xludf.DUMMYFUNCTION("""COMPUTED_VALUE"""),"A9624079070")</f>
        <v>A9624079070</v>
      </c>
      <c r="D1530" s="3">
        <f>IFERROR(__xludf.DUMMYFUNCTION("""COMPUTED_VALUE"""),29.0)</f>
        <v>29</v>
      </c>
      <c r="E1530" s="1"/>
    </row>
    <row r="1531">
      <c r="A1531" s="1"/>
      <c r="B1531" s="3" t="str">
        <f>IFERROR(__xludf.DUMMYFUNCTION("""COMPUTED_VALUE"""),"GALIH NOFRIO NANDA")</f>
        <v>GALIH NOFRIO NANDA</v>
      </c>
      <c r="C1531" s="3" t="str">
        <f>IFERROR(__xludf.DUMMYFUNCTION("""COMPUTED_VALUE"""),"G8424078873")</f>
        <v>G8424078873</v>
      </c>
      <c r="D1531" s="3">
        <f>IFERROR(__xludf.DUMMYFUNCTION("""COMPUTED_VALUE"""),41.0)</f>
        <v>41</v>
      </c>
      <c r="E1531" s="1"/>
    </row>
    <row r="1532">
      <c r="A1532" s="1"/>
      <c r="B1532" s="3" t="str">
        <f>IFERROR(__xludf.DUMMYFUNCTION("""COMPUTED_VALUE"""),"GUNAWAN")</f>
        <v>GUNAWAN</v>
      </c>
      <c r="C1532" s="3" t="str">
        <f>IFERROR(__xludf.DUMMYFUNCTION("""COMPUTED_VALUE"""),"G5724071605")</f>
        <v>G5724071605</v>
      </c>
      <c r="D1532" s="3">
        <f>IFERROR(__xludf.DUMMYFUNCTION("""COMPUTED_VALUE"""),69.0)</f>
        <v>69</v>
      </c>
      <c r="E1532" s="1"/>
    </row>
    <row r="1533">
      <c r="A1533" s="1"/>
      <c r="B1533" s="3" t="str">
        <f>IFERROR(__xludf.DUMMYFUNCTION("""COMPUTED_VALUE"""),"SARIMIN")</f>
        <v>SARIMIN</v>
      </c>
      <c r="C1533" s="3" t="str">
        <f>IFERROR(__xludf.DUMMYFUNCTION("""COMPUTED_VALUE"""),"S5024073330")</f>
        <v>S5024073330</v>
      </c>
      <c r="D1533" s="3">
        <f>IFERROR(__xludf.DUMMYFUNCTION("""COMPUTED_VALUE"""),76.0)</f>
        <v>76</v>
      </c>
      <c r="E1533" s="1"/>
    </row>
    <row r="1534">
      <c r="A1534" s="1"/>
      <c r="B1534" s="3" t="str">
        <f>IFERROR(__xludf.DUMMYFUNCTION("""COMPUTED_VALUE"""),"MARCO TJAYADI")</f>
        <v>MARCO TJAYADI</v>
      </c>
      <c r="C1534" s="3" t="str">
        <f>IFERROR(__xludf.DUMMYFUNCTION("""COMPUTED_VALUE"""),"M8924078828")</f>
        <v>M8924078828</v>
      </c>
      <c r="D1534" s="3">
        <f>IFERROR(__xludf.DUMMYFUNCTION("""COMPUTED_VALUE"""),37.0)</f>
        <v>37</v>
      </c>
      <c r="E1534" s="1"/>
    </row>
    <row r="1535">
      <c r="A1535" s="1"/>
      <c r="B1535" s="3" t="str">
        <f>IFERROR(__xludf.DUMMYFUNCTION("""COMPUTED_VALUE"""),"LUSI NURYANTI")</f>
        <v>LUSI NURYANTI</v>
      </c>
      <c r="C1535" s="3" t="str">
        <f>IFERROR(__xludf.DUMMYFUNCTION("""COMPUTED_VALUE"""),"L8524078597")</f>
        <v>L8524078597</v>
      </c>
      <c r="D1535" s="3">
        <f>IFERROR(__xludf.DUMMYFUNCTION("""COMPUTED_VALUE"""),41.0)</f>
        <v>41</v>
      </c>
      <c r="E1535" s="1"/>
    </row>
    <row r="1536">
      <c r="A1536" s="1"/>
      <c r="B1536" s="3" t="str">
        <f>IFERROR(__xludf.DUMMYFUNCTION("""COMPUTED_VALUE"""),"NURBAYA")</f>
        <v>NURBAYA</v>
      </c>
      <c r="C1536" s="3" t="str">
        <f>IFERROR(__xludf.DUMMYFUNCTION("""COMPUTED_VALUE"""),"N5124077864")</f>
        <v>N5124077864</v>
      </c>
      <c r="D1536" s="3">
        <f>IFERROR(__xludf.DUMMYFUNCTION("""COMPUTED_VALUE"""),75.0)</f>
        <v>75</v>
      </c>
      <c r="E1536" s="1"/>
    </row>
    <row r="1537">
      <c r="A1537" s="1"/>
      <c r="B1537" s="3" t="str">
        <f>IFERROR(__xludf.DUMMYFUNCTION("""COMPUTED_VALUE"""),"BINTANG NUGROHO")</f>
        <v>BINTANG NUGROHO</v>
      </c>
      <c r="C1537" s="3" t="str">
        <f>IFERROR(__xludf.DUMMYFUNCTION("""COMPUTED_VALUE"""),"B0824070067")</f>
        <v>B0824070067</v>
      </c>
      <c r="D1537" s="3">
        <f>IFERROR(__xludf.DUMMYFUNCTION("""COMPUTED_VALUE"""),17.0)</f>
        <v>17</v>
      </c>
      <c r="E1537" s="1"/>
    </row>
    <row r="1538">
      <c r="A1538" s="1"/>
      <c r="B1538" s="3" t="str">
        <f>IFERROR(__xludf.DUMMYFUNCTION("""COMPUTED_VALUE"""),"MARLON BERNARD NATHANAEL")</f>
        <v>MARLON BERNARD NATHANAEL</v>
      </c>
      <c r="C1538" s="3" t="str">
        <f>IFERROR(__xludf.DUMMYFUNCTION("""COMPUTED_VALUE"""),"M9524072381")</f>
        <v>M9524072381</v>
      </c>
      <c r="D1538" s="3">
        <f>IFERROR(__xludf.DUMMYFUNCTION("""COMPUTED_VALUE"""),31.0)</f>
        <v>31</v>
      </c>
      <c r="E1538" s="1"/>
    </row>
    <row r="1539">
      <c r="A1539" s="1"/>
      <c r="B1539" s="3" t="str">
        <f>IFERROR(__xludf.DUMMYFUNCTION("""COMPUTED_VALUE"""),"MOCH TOPAN")</f>
        <v>MOCH TOPAN</v>
      </c>
      <c r="C1539" s="3" t="str">
        <f>IFERROR(__xludf.DUMMYFUNCTION("""COMPUTED_VALUE"""),"M6824079692")</f>
        <v>M6824079692</v>
      </c>
      <c r="D1539" s="3">
        <f>IFERROR(__xludf.DUMMYFUNCTION("""COMPUTED_VALUE"""),57.0)</f>
        <v>57</v>
      </c>
      <c r="E1539" s="1"/>
    </row>
    <row r="1540">
      <c r="A1540" s="1"/>
      <c r="B1540" s="3" t="str">
        <f>IFERROR(__xludf.DUMMYFUNCTION("""COMPUTED_VALUE"""),"CORISINEA")</f>
        <v>CORISINEA</v>
      </c>
      <c r="C1540" s="3" t="str">
        <f>IFERROR(__xludf.DUMMYFUNCTION("""COMPUTED_VALUE"""),"C9724073403")</f>
        <v>C9724073403</v>
      </c>
      <c r="D1540" s="3">
        <f>IFERROR(__xludf.DUMMYFUNCTION("""COMPUTED_VALUE"""),28.0)</f>
        <v>28</v>
      </c>
      <c r="E1540" s="1"/>
    </row>
    <row r="1541">
      <c r="A1541" s="1"/>
      <c r="B1541" s="3" t="str">
        <f>IFERROR(__xludf.DUMMYFUNCTION("""COMPUTED_VALUE"""),"MERCIA CHARISTA")</f>
        <v>MERCIA CHARISTA</v>
      </c>
      <c r="C1541" s="3" t="str">
        <f>IFERROR(__xludf.DUMMYFUNCTION("""COMPUTED_VALUE"""),"M0924073800")</f>
        <v>M0924073800</v>
      </c>
      <c r="D1541" s="3">
        <f>IFERROR(__xludf.DUMMYFUNCTION("""COMPUTED_VALUE"""),17.0)</f>
        <v>17</v>
      </c>
      <c r="E1541" s="1"/>
    </row>
    <row r="1542">
      <c r="A1542" s="1"/>
      <c r="B1542" s="3" t="str">
        <f>IFERROR(__xludf.DUMMYFUNCTION("""COMPUTED_VALUE"""),"NADYA MUTMAINAH")</f>
        <v>NADYA MUTMAINAH</v>
      </c>
      <c r="C1542" s="3" t="str">
        <f>IFERROR(__xludf.DUMMYFUNCTION("""COMPUTED_VALUE"""),"N8524074321")</f>
        <v>N8524074321</v>
      </c>
      <c r="D1542" s="3">
        <f>IFERROR(__xludf.DUMMYFUNCTION("""COMPUTED_VALUE"""),40.0)</f>
        <v>40</v>
      </c>
      <c r="E1542" s="1"/>
    </row>
    <row r="1543">
      <c r="A1543" s="1"/>
      <c r="B1543" s="3" t="str">
        <f>IFERROR(__xludf.DUMMYFUNCTION("""COMPUTED_VALUE"""),"MUHAMMAD KHADAFI BOFA")</f>
        <v>MUHAMMAD KHADAFI BOFA</v>
      </c>
      <c r="C1543" s="3" t="str">
        <f>IFERROR(__xludf.DUMMYFUNCTION("""COMPUTED_VALUE"""),"M0924078200")</f>
        <v>M0924078200</v>
      </c>
      <c r="D1543" s="3">
        <f>IFERROR(__xludf.DUMMYFUNCTION("""COMPUTED_VALUE"""),17.0)</f>
        <v>17</v>
      </c>
      <c r="E1543" s="1"/>
    </row>
    <row r="1544">
      <c r="A1544" s="1"/>
      <c r="B1544" s="3" t="str">
        <f>IFERROR(__xludf.DUMMYFUNCTION("""COMPUTED_VALUE"""),"ANDY DARWIN KASAN HIDAYAT")</f>
        <v>ANDY DARWIN KASAN HIDAYAT</v>
      </c>
      <c r="C1544" s="3" t="str">
        <f>IFERROR(__xludf.DUMMYFUNCTION("""COMPUTED_VALUE"""),"A8424077888")</f>
        <v>A8424077888</v>
      </c>
      <c r="D1544" s="3">
        <f>IFERROR(__xludf.DUMMYFUNCTION("""COMPUTED_VALUE"""),41.0)</f>
        <v>41</v>
      </c>
      <c r="E1544" s="1"/>
    </row>
    <row r="1545">
      <c r="A1545" s="1"/>
      <c r="B1545" s="3" t="str">
        <f>IFERROR(__xludf.DUMMYFUNCTION("""COMPUTED_VALUE"""),"SITI MUALIFAH")</f>
        <v>SITI MUALIFAH</v>
      </c>
      <c r="C1545" s="3" t="str">
        <f>IFERROR(__xludf.DUMMYFUNCTION("""COMPUTED_VALUE"""),"S8224078010")</f>
        <v>S8224078010</v>
      </c>
      <c r="D1545" s="3">
        <f>IFERROR(__xludf.DUMMYFUNCTION("""COMPUTED_VALUE"""),44.0)</f>
        <v>44</v>
      </c>
      <c r="E1545" s="1"/>
    </row>
    <row r="1546">
      <c r="A1546" s="1"/>
      <c r="B1546" s="3" t="str">
        <f>IFERROR(__xludf.DUMMYFUNCTION("""COMPUTED_VALUE"""),"PUJI LESTARI")</f>
        <v>PUJI LESTARI</v>
      </c>
      <c r="C1546" s="3" t="str">
        <f>IFERROR(__xludf.DUMMYFUNCTION("""COMPUTED_VALUE"""),"P8924072133")</f>
        <v>P8924072133</v>
      </c>
      <c r="D1546" s="3">
        <f>IFERROR(__xludf.DUMMYFUNCTION("""COMPUTED_VALUE"""),36.0)</f>
        <v>36</v>
      </c>
      <c r="E1546" s="1"/>
    </row>
    <row r="1547">
      <c r="A1547" s="1"/>
      <c r="B1547" s="3" t="str">
        <f>IFERROR(__xludf.DUMMYFUNCTION("""COMPUTED_VALUE"""),"ARTON ARDIMANSYAH")</f>
        <v>ARTON ARDIMANSYAH</v>
      </c>
      <c r="C1547" s="3" t="str">
        <f>IFERROR(__xludf.DUMMYFUNCTION("""COMPUTED_VALUE"""),"A9624078908")</f>
        <v>A9624078908</v>
      </c>
      <c r="D1547" s="3">
        <f>IFERROR(__xludf.DUMMYFUNCTION("""COMPUTED_VALUE"""),30.0)</f>
        <v>30</v>
      </c>
      <c r="E1547" s="1"/>
    </row>
    <row r="1548">
      <c r="A1548" s="1"/>
      <c r="B1548" s="3" t="str">
        <f>IFERROR(__xludf.DUMMYFUNCTION("""COMPUTED_VALUE"""),"BUCHARI")</f>
        <v>BUCHARI</v>
      </c>
      <c r="C1548" s="3" t="str">
        <f>IFERROR(__xludf.DUMMYFUNCTION("""COMPUTED_VALUE"""),"B5524073253")</f>
        <v>B5524073253</v>
      </c>
      <c r="D1548" s="3">
        <f>IFERROR(__xludf.DUMMYFUNCTION("""COMPUTED_VALUE"""),70.0)</f>
        <v>70</v>
      </c>
      <c r="E1548" s="1"/>
    </row>
    <row r="1549">
      <c r="A1549" s="1"/>
      <c r="B1549" s="3" t="str">
        <f>IFERROR(__xludf.DUMMYFUNCTION("""COMPUTED_VALUE"""),"YOGIE TIRTANA ANSOR")</f>
        <v>YOGIE TIRTANA ANSOR</v>
      </c>
      <c r="C1549" s="3" t="str">
        <f>IFERROR(__xludf.DUMMYFUNCTION("""COMPUTED_VALUE"""),"Y8524079991")</f>
        <v>Y8524079991</v>
      </c>
      <c r="D1549" s="3">
        <f>IFERROR(__xludf.DUMMYFUNCTION("""COMPUTED_VALUE"""),41.0)</f>
        <v>41</v>
      </c>
      <c r="E1549" s="1"/>
    </row>
    <row r="1550">
      <c r="A1550" s="1"/>
      <c r="B1550" s="3" t="str">
        <f>IFERROR(__xludf.DUMMYFUNCTION("""COMPUTED_VALUE"""),"CANDRA WH LUMBANTORUAN")</f>
        <v>CANDRA WH LUMBANTORUAN</v>
      </c>
      <c r="C1550" s="3" t="str">
        <f>IFERROR(__xludf.DUMMYFUNCTION("""COMPUTED_VALUE"""),"C9124073456")</f>
        <v>C9124073456</v>
      </c>
      <c r="D1550" s="3">
        <f>IFERROR(__xludf.DUMMYFUNCTION("""COMPUTED_VALUE"""),35.0)</f>
        <v>35</v>
      </c>
      <c r="E1550" s="1"/>
    </row>
    <row r="1551">
      <c r="A1551" s="1"/>
      <c r="B1551" s="3" t="str">
        <f>IFERROR(__xludf.DUMMYFUNCTION("""COMPUTED_VALUE"""),"RINALDY ANDARSIH")</f>
        <v>RINALDY ANDARSIH</v>
      </c>
      <c r="C1551" s="3" t="str">
        <f>IFERROR(__xludf.DUMMYFUNCTION("""COMPUTED_VALUE"""),"R9824071044")</f>
        <v>R9824071044</v>
      </c>
      <c r="D1551" s="3">
        <f>IFERROR(__xludf.DUMMYFUNCTION("""COMPUTED_VALUE"""),27.0)</f>
        <v>27</v>
      </c>
      <c r="E1551" s="1"/>
    </row>
    <row r="1552">
      <c r="A1552" s="1"/>
      <c r="B1552" s="3" t="str">
        <f>IFERROR(__xludf.DUMMYFUNCTION("""COMPUTED_VALUE"""),"SITI KHOTIJAH")</f>
        <v>SITI KHOTIJAH</v>
      </c>
      <c r="C1552" s="3" t="str">
        <f>IFERROR(__xludf.DUMMYFUNCTION("""COMPUTED_VALUE"""),"S9324077992")</f>
        <v>S9324077992</v>
      </c>
      <c r="D1552" s="3">
        <f>IFERROR(__xludf.DUMMYFUNCTION("""COMPUTED_VALUE"""),33.0)</f>
        <v>33</v>
      </c>
      <c r="E1552" s="1"/>
    </row>
    <row r="1553">
      <c r="A1553" s="1"/>
      <c r="B1553" s="3" t="str">
        <f>IFERROR(__xludf.DUMMYFUNCTION("""COMPUTED_VALUE"""),"AGNI NUR ANNISA")</f>
        <v>AGNI NUR ANNISA</v>
      </c>
      <c r="C1553" s="3" t="str">
        <f>IFERROR(__xludf.DUMMYFUNCTION("""COMPUTED_VALUE"""),"A0724070715")</f>
        <v>A0724070715</v>
      </c>
      <c r="D1553" s="3">
        <f>IFERROR(__xludf.DUMMYFUNCTION("""COMPUTED_VALUE"""),18.0)</f>
        <v>18</v>
      </c>
      <c r="E1553" s="1"/>
    </row>
    <row r="1554">
      <c r="A1554" s="1"/>
      <c r="B1554" s="3" t="str">
        <f>IFERROR(__xludf.DUMMYFUNCTION("""COMPUTED_VALUE"""),"YESSY MAYASARI")</f>
        <v>YESSY MAYASARI</v>
      </c>
      <c r="C1554" s="3" t="str">
        <f>IFERROR(__xludf.DUMMYFUNCTION("""COMPUTED_VALUE"""),"Y6024076590")</f>
        <v>Y6024076590</v>
      </c>
      <c r="D1554" s="3">
        <f>IFERROR(__xludf.DUMMYFUNCTION("""COMPUTED_VALUE"""),65.0)</f>
        <v>65</v>
      </c>
      <c r="E1554" s="1"/>
    </row>
    <row r="1555">
      <c r="A1555" s="1"/>
      <c r="B1555" s="3" t="str">
        <f>IFERROR(__xludf.DUMMYFUNCTION("""COMPUTED_VALUE"""),"MUHAMMAD ASKARI AZZAM")</f>
        <v>MUHAMMAD ASKARI AZZAM</v>
      </c>
      <c r="C1555" s="3" t="str">
        <f>IFERROR(__xludf.DUMMYFUNCTION("""COMPUTED_VALUE"""),"M0924080923")</f>
        <v>M0924080923</v>
      </c>
      <c r="D1555" s="3">
        <f>IFERROR(__xludf.DUMMYFUNCTION("""COMPUTED_VALUE"""),17.0)</f>
        <v>17</v>
      </c>
      <c r="E1555" s="1"/>
    </row>
    <row r="1556">
      <c r="A1556" s="1"/>
      <c r="B1556" s="3" t="str">
        <f>IFERROR(__xludf.DUMMYFUNCTION("""COMPUTED_VALUE"""),"MUHAMMAD ZULFIKAR")</f>
        <v>MUHAMMAD ZULFIKAR</v>
      </c>
      <c r="C1556" s="3" t="str">
        <f>IFERROR(__xludf.DUMMYFUNCTION("""COMPUTED_VALUE"""),"M9424089040")</f>
        <v>M9424089040</v>
      </c>
      <c r="D1556" s="3">
        <f>IFERROR(__xludf.DUMMYFUNCTION("""COMPUTED_VALUE"""),32.0)</f>
        <v>32</v>
      </c>
      <c r="E1556" s="1"/>
    </row>
    <row r="1557">
      <c r="A1557" s="1"/>
      <c r="B1557" s="3" t="str">
        <f>IFERROR(__xludf.DUMMYFUNCTION("""COMPUTED_VALUE"""),"MARIO GOTHEDY")</f>
        <v>MARIO GOTHEDY</v>
      </c>
      <c r="C1557" s="3" t="str">
        <f>IFERROR(__xludf.DUMMYFUNCTION("""COMPUTED_VALUE"""),"M0224087001")</f>
        <v>M0224087001</v>
      </c>
      <c r="D1557" s="3">
        <f>IFERROR(__xludf.DUMMYFUNCTION("""COMPUTED_VALUE"""),24.0)</f>
        <v>24</v>
      </c>
      <c r="E1557" s="1"/>
    </row>
    <row r="1558">
      <c r="A1558" s="1"/>
      <c r="B1558" s="3" t="str">
        <f>IFERROR(__xludf.DUMMYFUNCTION("""COMPUTED_VALUE"""),"REZA RADITYA")</f>
        <v>REZA RADITYA</v>
      </c>
      <c r="C1558" s="3" t="str">
        <f>IFERROR(__xludf.DUMMYFUNCTION("""COMPUTED_VALUE"""),"R9724083584")</f>
        <v>R9724083584</v>
      </c>
      <c r="D1558" s="3">
        <f>IFERROR(__xludf.DUMMYFUNCTION("""COMPUTED_VALUE"""),28.0)</f>
        <v>28</v>
      </c>
      <c r="E1558" s="1"/>
    </row>
    <row r="1559">
      <c r="A1559" s="1"/>
      <c r="B1559" s="3" t="str">
        <f>IFERROR(__xludf.DUMMYFUNCTION("""COMPUTED_VALUE"""),"INDAH ROSANTI")</f>
        <v>INDAH ROSANTI</v>
      </c>
      <c r="C1559" s="3" t="str">
        <f>IFERROR(__xludf.DUMMYFUNCTION("""COMPUTED_VALUE"""),"I6924083855")</f>
        <v>I6924083855</v>
      </c>
      <c r="D1559" s="3">
        <f>IFERROR(__xludf.DUMMYFUNCTION("""COMPUTED_VALUE"""),56.0)</f>
        <v>56</v>
      </c>
      <c r="E1559" s="1"/>
    </row>
    <row r="1560">
      <c r="A1560" s="1"/>
      <c r="B1560" s="3" t="str">
        <f>IFERROR(__xludf.DUMMYFUNCTION("""COMPUTED_VALUE"""),"ABDURROHMAN AL FIKRI")</f>
        <v>ABDURROHMAN AL FIKRI</v>
      </c>
      <c r="C1560" s="3" t="str">
        <f>IFERROR(__xludf.DUMMYFUNCTION("""COMPUTED_VALUE"""),"A9924088313")</f>
        <v>A9924088313</v>
      </c>
      <c r="D1560" s="3">
        <f>IFERROR(__xludf.DUMMYFUNCTION("""COMPUTED_VALUE"""),26.0)</f>
        <v>26</v>
      </c>
      <c r="E1560" s="1"/>
    </row>
    <row r="1561">
      <c r="A1561" s="1"/>
      <c r="B1561" s="3" t="str">
        <f>IFERROR(__xludf.DUMMYFUNCTION("""COMPUTED_VALUE"""),"MUHAMMAD GAVIN BYANTARA")</f>
        <v>MUHAMMAD GAVIN BYANTARA</v>
      </c>
      <c r="C1561" s="3" t="str">
        <f>IFERROR(__xludf.DUMMYFUNCTION("""COMPUTED_VALUE"""),"M1424088888")</f>
        <v>M1424088888</v>
      </c>
      <c r="D1561" s="3">
        <f>IFERROR(__xludf.DUMMYFUNCTION("""COMPUTED_VALUE"""),12.0)</f>
        <v>12</v>
      </c>
      <c r="E1561" s="1"/>
    </row>
    <row r="1562">
      <c r="A1562" s="1"/>
      <c r="B1562" s="3" t="str">
        <f>IFERROR(__xludf.DUMMYFUNCTION("""COMPUTED_VALUE"""),"ROS")</f>
        <v>ROS</v>
      </c>
      <c r="C1562" s="3" t="str">
        <f>IFERROR(__xludf.DUMMYFUNCTION("""COMPUTED_VALUE"""),"R6424087967")</f>
        <v>R6424087967</v>
      </c>
      <c r="D1562" s="3">
        <f>IFERROR(__xludf.DUMMYFUNCTION("""COMPUTED_VALUE"""),62.0)</f>
        <v>62</v>
      </c>
      <c r="E1562" s="1"/>
    </row>
    <row r="1563">
      <c r="A1563" s="1"/>
      <c r="B1563" s="3" t="str">
        <f>IFERROR(__xludf.DUMMYFUNCTION("""COMPUTED_VALUE"""),"NABILAH")</f>
        <v>NABILAH</v>
      </c>
      <c r="C1563" s="3" t="str">
        <f>IFERROR(__xludf.DUMMYFUNCTION("""COMPUTED_VALUE"""),"N9824084755")</f>
        <v>N9824084755</v>
      </c>
      <c r="D1563" s="3">
        <f>IFERROR(__xludf.DUMMYFUNCTION("""COMPUTED_VALUE"""),27.0)</f>
        <v>27</v>
      </c>
      <c r="E1563" s="1"/>
    </row>
    <row r="1564">
      <c r="A1564" s="1"/>
      <c r="B1564" s="3" t="str">
        <f>IFERROR(__xludf.DUMMYFUNCTION("""COMPUTED_VALUE"""),"RAIHAN PAHRAZI")</f>
        <v>RAIHAN PAHRAZI</v>
      </c>
      <c r="C1564" s="3" t="str">
        <f>IFERROR(__xludf.DUMMYFUNCTION("""COMPUTED_VALUE"""),"R0024080705")</f>
        <v>R0024080705</v>
      </c>
      <c r="D1564" s="3">
        <f>IFERROR(__xludf.DUMMYFUNCTION("""COMPUTED_VALUE"""),26.0)</f>
        <v>26</v>
      </c>
      <c r="E1564" s="1"/>
    </row>
    <row r="1565">
      <c r="A1565" s="1"/>
      <c r="B1565" s="3" t="str">
        <f>IFERROR(__xludf.DUMMYFUNCTION("""COMPUTED_VALUE"""),"YOGI ADI FAHREZIE")</f>
        <v>YOGI ADI FAHREZIE</v>
      </c>
      <c r="C1565" s="3" t="str">
        <f>IFERROR(__xludf.DUMMYFUNCTION("""COMPUTED_VALUE"""),"Y0024087171")</f>
        <v>Y0024087171</v>
      </c>
      <c r="D1565" s="3">
        <f>IFERROR(__xludf.DUMMYFUNCTION("""COMPUTED_VALUE"""),25.0)</f>
        <v>25</v>
      </c>
      <c r="E1565" s="1"/>
    </row>
    <row r="1566">
      <c r="A1566" s="1"/>
      <c r="B1566" s="3" t="str">
        <f>IFERROR(__xludf.DUMMYFUNCTION("""COMPUTED_VALUE"""),"MARIA TETI")</f>
        <v>MARIA TETI</v>
      </c>
      <c r="C1566" s="3" t="str">
        <f>IFERROR(__xludf.DUMMYFUNCTION("""COMPUTED_VALUE"""),"M7124083553")</f>
        <v>M7124083553</v>
      </c>
      <c r="D1566" s="3">
        <f>IFERROR(__xludf.DUMMYFUNCTION("""COMPUTED_VALUE"""),55.0)</f>
        <v>55</v>
      </c>
      <c r="E1566" s="1"/>
    </row>
    <row r="1567">
      <c r="A1567" s="1"/>
      <c r="B1567" s="3" t="str">
        <f>IFERROR(__xludf.DUMMYFUNCTION("""COMPUTED_VALUE"""),"RANDI GUSNADI")</f>
        <v>RANDI GUSNADI</v>
      </c>
      <c r="C1567" s="3" t="str">
        <f>IFERROR(__xludf.DUMMYFUNCTION("""COMPUTED_VALUE"""),"R0324080181")</f>
        <v>R0324080181</v>
      </c>
      <c r="D1567" s="3">
        <f>IFERROR(__xludf.DUMMYFUNCTION("""COMPUTED_VALUE"""),23.0)</f>
        <v>23</v>
      </c>
      <c r="E1567" s="1"/>
    </row>
    <row r="1568">
      <c r="A1568" s="1"/>
      <c r="B1568" s="3" t="str">
        <f>IFERROR(__xludf.DUMMYFUNCTION("""COMPUTED_VALUE"""),"BRYAN JOHANES")</f>
        <v>BRYAN JOHANES</v>
      </c>
      <c r="C1568" s="3" t="str">
        <f>IFERROR(__xludf.DUMMYFUNCTION("""COMPUTED_VALUE"""),"B0924081489")</f>
        <v>B0924081489</v>
      </c>
      <c r="D1568" s="3">
        <f>IFERROR(__xludf.DUMMYFUNCTION("""COMPUTED_VALUE"""),16.0)</f>
        <v>16</v>
      </c>
      <c r="E1568" s="1"/>
    </row>
    <row r="1569">
      <c r="A1569" s="1"/>
      <c r="B1569" s="3" t="str">
        <f>IFERROR(__xludf.DUMMYFUNCTION("""COMPUTED_VALUE"""),"CALLISTA FERJIENIA WONG")</f>
        <v>CALLISTA FERJIENIA WONG</v>
      </c>
      <c r="C1569" s="3" t="str">
        <f>IFERROR(__xludf.DUMMYFUNCTION("""COMPUTED_VALUE"""),"C0724082394")</f>
        <v>C0724082394</v>
      </c>
      <c r="D1569" s="3">
        <f>IFERROR(__xludf.DUMMYFUNCTION("""COMPUTED_VALUE"""),18.0)</f>
        <v>18</v>
      </c>
      <c r="E1569" s="1"/>
    </row>
    <row r="1570">
      <c r="A1570" s="1"/>
      <c r="B1570" s="3" t="str">
        <f>IFERROR(__xludf.DUMMYFUNCTION("""COMPUTED_VALUE"""),"AHMADI")</f>
        <v>AHMADI</v>
      </c>
      <c r="C1570" s="3" t="str">
        <f>IFERROR(__xludf.DUMMYFUNCTION("""COMPUTED_VALUE"""),"A9624089701")</f>
        <v>A9624089701</v>
      </c>
      <c r="D1570" s="3">
        <f>IFERROR(__xludf.DUMMYFUNCTION("""COMPUTED_VALUE"""),29.0)</f>
        <v>29</v>
      </c>
      <c r="E1570" s="1"/>
    </row>
    <row r="1571">
      <c r="A1571" s="1"/>
      <c r="B1571" s="3" t="str">
        <f>IFERROR(__xludf.DUMMYFUNCTION("""COMPUTED_VALUE"""),"ABAS ARATIB")</f>
        <v>ABAS ARATIB</v>
      </c>
      <c r="C1571" s="3" t="str">
        <f>IFERROR(__xludf.DUMMYFUNCTION("""COMPUTED_VALUE"""),"A8824082559")</f>
        <v>A8824082559</v>
      </c>
      <c r="D1571" s="3">
        <f>IFERROR(__xludf.DUMMYFUNCTION("""COMPUTED_VALUE"""),37.0)</f>
        <v>37</v>
      </c>
      <c r="E1571" s="1"/>
    </row>
    <row r="1572">
      <c r="A1572" s="1"/>
      <c r="B1572" s="3" t="str">
        <f>IFERROR(__xludf.DUMMYFUNCTION("""COMPUTED_VALUE"""),"SULASTRI 6305")</f>
        <v>SULASTRI 6305</v>
      </c>
      <c r="C1572" s="3" t="str">
        <f>IFERROR(__xludf.DUMMYFUNCTION("""COMPUTED_VALUE"""),"S6324088474")</f>
        <v>S6324088474</v>
      </c>
      <c r="D1572" s="3">
        <f>IFERROR(__xludf.DUMMYFUNCTION("""COMPUTED_VALUE"""),63.0)</f>
        <v>63</v>
      </c>
      <c r="E1572" s="1"/>
    </row>
    <row r="1573">
      <c r="A1573" s="1"/>
      <c r="B1573" s="3" t="str">
        <f>IFERROR(__xludf.DUMMYFUNCTION("""COMPUTED_VALUE"""),"ABDURRAHMAN AUF LAKSAMANA")</f>
        <v>ABDURRAHMAN AUF LAKSAMANA</v>
      </c>
      <c r="C1573" s="3" t="str">
        <f>IFERROR(__xludf.DUMMYFUNCTION("""COMPUTED_VALUE"""),"A0624087321")</f>
        <v>A0624087321</v>
      </c>
      <c r="D1573" s="3">
        <f>IFERROR(__xludf.DUMMYFUNCTION("""COMPUTED_VALUE"""),19.0)</f>
        <v>19</v>
      </c>
      <c r="E1573" s="1"/>
    </row>
    <row r="1574">
      <c r="A1574" s="1"/>
      <c r="B1574" s="3" t="str">
        <f>IFERROR(__xludf.DUMMYFUNCTION("""COMPUTED_VALUE"""),"MUHAMMAD RIFQI SYABANA")</f>
        <v>MUHAMMAD RIFQI SYABANA</v>
      </c>
      <c r="C1574" s="3" t="str">
        <f>IFERROR(__xludf.DUMMYFUNCTION("""COMPUTED_VALUE"""),"M9624087645")</f>
        <v>M9624087645</v>
      </c>
      <c r="D1574" s="3">
        <f>IFERROR(__xludf.DUMMYFUNCTION("""COMPUTED_VALUE"""),30.0)</f>
        <v>30</v>
      </c>
      <c r="E1574" s="1"/>
    </row>
    <row r="1575">
      <c r="A1575" s="1"/>
      <c r="B1575" s="3" t="str">
        <f>IFERROR(__xludf.DUMMYFUNCTION("""COMPUTED_VALUE"""),"KEYLA DANANG PADHENDRA RAMADHANI")</f>
        <v>KEYLA DANANG PADHENDRA RAMADHANI</v>
      </c>
      <c r="C1575" s="3" t="str">
        <f>IFERROR(__xludf.DUMMYFUNCTION("""COMPUTED_VALUE"""),"K0224080292")</f>
        <v>K0224080292</v>
      </c>
      <c r="D1575" s="3">
        <f>IFERROR(__xludf.DUMMYFUNCTION("""COMPUTED_VALUE"""),23.0)</f>
        <v>23</v>
      </c>
      <c r="E1575" s="1"/>
    </row>
    <row r="1576">
      <c r="A1576" s="1"/>
      <c r="B1576" s="3" t="str">
        <f>IFERROR(__xludf.DUMMYFUNCTION("""COMPUTED_VALUE"""),"RIDHO")</f>
        <v>RIDHO</v>
      </c>
      <c r="C1576" s="3" t="str">
        <f>IFERROR(__xludf.DUMMYFUNCTION("""COMPUTED_VALUE"""),"R0524084736")</f>
        <v>R0524084736</v>
      </c>
      <c r="D1576" s="3">
        <f>IFERROR(__xludf.DUMMYFUNCTION("""COMPUTED_VALUE"""),20.0)</f>
        <v>20</v>
      </c>
      <c r="E1576" s="1"/>
    </row>
    <row r="1577">
      <c r="A1577" s="1"/>
      <c r="B1577" s="3" t="str">
        <f>IFERROR(__xludf.DUMMYFUNCTION("""COMPUTED_VALUE"""),"RATNA MEILIAWATI NUGRAHENI, SE")</f>
        <v>RATNA MEILIAWATI NUGRAHENI, SE</v>
      </c>
      <c r="C1577" s="3" t="str">
        <f>IFERROR(__xludf.DUMMYFUNCTION("""COMPUTED_VALUE"""),"R7224088605")</f>
        <v>R7224088605</v>
      </c>
      <c r="D1577" s="3">
        <f>IFERROR(__xludf.DUMMYFUNCTION("""COMPUTED_VALUE"""),54.0)</f>
        <v>54</v>
      </c>
      <c r="E1577" s="1"/>
    </row>
    <row r="1578">
      <c r="A1578" s="1"/>
      <c r="B1578" s="3" t="str">
        <f>IFERROR(__xludf.DUMMYFUNCTION("""COMPUTED_VALUE"""),"NINA AMINAH")</f>
        <v>NINA AMINAH</v>
      </c>
      <c r="C1578" s="3" t="str">
        <f>IFERROR(__xludf.DUMMYFUNCTION("""COMPUTED_VALUE"""),"N7924086790")</f>
        <v>N7924086790</v>
      </c>
      <c r="D1578" s="3">
        <f>IFERROR(__xludf.DUMMYFUNCTION("""COMPUTED_VALUE"""),47.0)</f>
        <v>47</v>
      </c>
      <c r="E1578" s="1"/>
    </row>
    <row r="1579">
      <c r="A1579" s="1"/>
      <c r="B1579" s="3" t="str">
        <f>IFERROR(__xludf.DUMMYFUNCTION("""COMPUTED_VALUE"""),"FERRY ISKANDAR")</f>
        <v>FERRY ISKANDAR</v>
      </c>
      <c r="C1579" s="3" t="str">
        <f>IFERROR(__xludf.DUMMYFUNCTION("""COMPUTED_VALUE"""),"F7524087907")</f>
        <v>F7524087907</v>
      </c>
      <c r="D1579" s="3">
        <f>IFERROR(__xludf.DUMMYFUNCTION("""COMPUTED_VALUE"""),50.0)</f>
        <v>50</v>
      </c>
      <c r="E1579" s="1"/>
    </row>
    <row r="1580">
      <c r="A1580" s="1"/>
      <c r="B1580" s="3" t="str">
        <f>IFERROR(__xludf.DUMMYFUNCTION("""COMPUTED_VALUE"""),"OLLY ANWAR")</f>
        <v>OLLY ANWAR</v>
      </c>
      <c r="C1580" s="3" t="str">
        <f>IFERROR(__xludf.DUMMYFUNCTION("""COMPUTED_VALUE"""),"O6424087777")</f>
        <v>O6424087777</v>
      </c>
      <c r="D1580" s="3">
        <f>IFERROR(__xludf.DUMMYFUNCTION("""COMPUTED_VALUE"""),61.0)</f>
        <v>61</v>
      </c>
      <c r="E1580" s="1"/>
    </row>
    <row r="1581">
      <c r="A1581" s="1"/>
      <c r="B1581" s="3" t="str">
        <f>IFERROR(__xludf.DUMMYFUNCTION("""COMPUTED_VALUE"""),"MARGARETHA KOYONGIAN")</f>
        <v>MARGARETHA KOYONGIAN</v>
      </c>
      <c r="C1581" s="3" t="str">
        <f>IFERROR(__xludf.DUMMYFUNCTION("""COMPUTED_VALUE"""),"M5224088131")</f>
        <v>M5224088131</v>
      </c>
      <c r="D1581" s="3">
        <f>IFERROR(__xludf.DUMMYFUNCTION("""COMPUTED_VALUE"""),74.0)</f>
        <v>74</v>
      </c>
      <c r="E1581" s="1"/>
    </row>
    <row r="1582">
      <c r="A1582" s="1"/>
      <c r="B1582" s="3" t="str">
        <f>IFERROR(__xludf.DUMMYFUNCTION("""COMPUTED_VALUE"""),"AGUS SAPUTRA")</f>
        <v>AGUS SAPUTRA</v>
      </c>
      <c r="C1582" s="3" t="str">
        <f>IFERROR(__xludf.DUMMYFUNCTION("""COMPUTED_VALUE"""),"A9324087798")</f>
        <v>A9324087798</v>
      </c>
      <c r="D1582" s="3">
        <f>IFERROR(__xludf.DUMMYFUNCTION("""COMPUTED_VALUE"""),32.0)</f>
        <v>32</v>
      </c>
      <c r="E1582" s="1"/>
    </row>
    <row r="1583">
      <c r="A1583" s="1"/>
      <c r="B1583" s="3" t="str">
        <f>IFERROR(__xludf.DUMMYFUNCTION("""COMPUTED_VALUE"""),"SUPARJONO")</f>
        <v>SUPARJONO</v>
      </c>
      <c r="C1583" s="3" t="str">
        <f>IFERROR(__xludf.DUMMYFUNCTION("""COMPUTED_VALUE"""),"S6424088095")</f>
        <v>S6424088095</v>
      </c>
      <c r="D1583" s="3">
        <f>IFERROR(__xludf.DUMMYFUNCTION("""COMPUTED_VALUE"""),62.0)</f>
        <v>62</v>
      </c>
      <c r="E1583" s="1"/>
    </row>
    <row r="1584">
      <c r="A1584" s="1"/>
      <c r="B1584" s="3" t="str">
        <f>IFERROR(__xludf.DUMMYFUNCTION("""COMPUTED_VALUE"""),"ZULKARNAIN 9803")</f>
        <v>ZULKARNAIN 9803</v>
      </c>
      <c r="C1584" s="3" t="str">
        <f>IFERROR(__xludf.DUMMYFUNCTION("""COMPUTED_VALUE"""),"Z9824082920")</f>
        <v>Z9824082920</v>
      </c>
      <c r="D1584" s="3">
        <f>IFERROR(__xludf.DUMMYFUNCTION("""COMPUTED_VALUE"""),28.0)</f>
        <v>28</v>
      </c>
      <c r="E1584" s="1"/>
    </row>
    <row r="1585">
      <c r="A1585" s="1"/>
      <c r="B1585" s="3" t="str">
        <f>IFERROR(__xludf.DUMMYFUNCTION("""COMPUTED_VALUE"""),"HABIBI QURRATA A'YUNI")</f>
        <v>HABIBI QURRATA A'YUNI</v>
      </c>
      <c r="C1585" s="3" t="str">
        <f>IFERROR(__xludf.DUMMYFUNCTION("""COMPUTED_VALUE"""),"H9424081013")</f>
        <v>H9424081013</v>
      </c>
      <c r="D1585" s="3">
        <f>IFERROR(__xludf.DUMMYFUNCTION("""COMPUTED_VALUE"""),31.0)</f>
        <v>31</v>
      </c>
      <c r="E1585" s="1"/>
    </row>
    <row r="1586">
      <c r="A1586" s="1"/>
      <c r="B1586" s="3" t="str">
        <f>IFERROR(__xludf.DUMMYFUNCTION("""COMPUTED_VALUE"""),"HAMIDAH")</f>
        <v>HAMIDAH</v>
      </c>
      <c r="C1586" s="3" t="str">
        <f>IFERROR(__xludf.DUMMYFUNCTION("""COMPUTED_VALUE"""),"H7124088885")</f>
        <v>H7124088885</v>
      </c>
      <c r="D1586" s="3">
        <f>IFERROR(__xludf.DUMMYFUNCTION("""COMPUTED_VALUE"""),55.0)</f>
        <v>55</v>
      </c>
      <c r="E1586" s="1"/>
    </row>
    <row r="1587">
      <c r="A1587" s="1"/>
      <c r="B1587" s="3" t="str">
        <f>IFERROR(__xludf.DUMMYFUNCTION("""COMPUTED_VALUE"""),"AGUS RIYANTO")</f>
        <v>AGUS RIYANTO</v>
      </c>
      <c r="C1587" s="3" t="str">
        <f>IFERROR(__xludf.DUMMYFUNCTION("""COMPUTED_VALUE"""),"A8224081655")</f>
        <v>A8224081655</v>
      </c>
      <c r="D1587" s="3">
        <f>IFERROR(__xludf.DUMMYFUNCTION("""COMPUTED_VALUE"""),43.0)</f>
        <v>43</v>
      </c>
      <c r="E1587" s="1"/>
    </row>
    <row r="1588">
      <c r="A1588" s="1"/>
      <c r="B1588" s="3" t="str">
        <f>IFERROR(__xludf.DUMMYFUNCTION("""COMPUTED_VALUE"""),"IDRIS 7807")</f>
        <v>IDRIS 7807</v>
      </c>
      <c r="C1588" s="3" t="str">
        <f>IFERROR(__xludf.DUMMYFUNCTION("""COMPUTED_VALUE"""),"I7824084676")</f>
        <v>I7824084676</v>
      </c>
      <c r="D1588" s="3">
        <f>IFERROR(__xludf.DUMMYFUNCTION("""COMPUTED_VALUE"""),47.0)</f>
        <v>47</v>
      </c>
      <c r="E1588" s="1"/>
    </row>
    <row r="1589">
      <c r="A1589" s="1"/>
      <c r="B1589" s="3" t="str">
        <f>IFERROR(__xludf.DUMMYFUNCTION("""COMPUTED_VALUE"""),"ENDANG SUSWATI")</f>
        <v>ENDANG SUSWATI</v>
      </c>
      <c r="C1589" s="3" t="str">
        <f>IFERROR(__xludf.DUMMYFUNCTION("""COMPUTED_VALUE"""),"E7424085423")</f>
        <v>E7424085423</v>
      </c>
      <c r="D1589" s="3">
        <f>IFERROR(__xludf.DUMMYFUNCTION("""COMPUTED_VALUE"""),51.0)</f>
        <v>51</v>
      </c>
      <c r="E1589" s="1"/>
    </row>
    <row r="1590">
      <c r="A1590" s="1"/>
      <c r="B1590" s="3" t="str">
        <f>IFERROR(__xludf.DUMMYFUNCTION("""COMPUTED_VALUE"""),"AHMADINEJAD AL FIQRI")</f>
        <v>AHMADINEJAD AL FIQRI</v>
      </c>
      <c r="C1590" s="3" t="str">
        <f>IFERROR(__xludf.DUMMYFUNCTION("""COMPUTED_VALUE"""),"A0724080558")</f>
        <v>A0724080558</v>
      </c>
      <c r="D1590" s="3">
        <f>IFERROR(__xludf.DUMMYFUNCTION("""COMPUTED_VALUE"""),18.0)</f>
        <v>18</v>
      </c>
      <c r="E1590" s="1"/>
    </row>
    <row r="1591">
      <c r="A1591" s="1"/>
      <c r="B1591" s="3" t="str">
        <f>IFERROR(__xludf.DUMMYFUNCTION("""COMPUTED_VALUE"""),"JUSTIN MANGGALA")</f>
        <v>JUSTIN MANGGALA</v>
      </c>
      <c r="C1591" s="3" t="str">
        <f>IFERROR(__xludf.DUMMYFUNCTION("""COMPUTED_VALUE"""),"J0724085418")</f>
        <v>J0724085418</v>
      </c>
      <c r="D1591" s="3">
        <f>IFERROR(__xludf.DUMMYFUNCTION("""COMPUTED_VALUE"""),19.0)</f>
        <v>19</v>
      </c>
      <c r="E1591" s="1"/>
    </row>
    <row r="1592">
      <c r="A1592" s="1"/>
      <c r="B1592" s="3" t="str">
        <f>IFERROR(__xludf.DUMMYFUNCTION("""COMPUTED_VALUE"""),"SIM HARTINI")</f>
        <v>SIM HARTINI</v>
      </c>
      <c r="C1592" s="3" t="str">
        <f>IFERROR(__xludf.DUMMYFUNCTION("""COMPUTED_VALUE"""),"S6424080356")</f>
        <v>S6424080356</v>
      </c>
      <c r="D1592" s="3">
        <f>IFERROR(__xludf.DUMMYFUNCTION("""COMPUTED_VALUE"""),61.0)</f>
        <v>61</v>
      </c>
      <c r="E1592" s="1"/>
    </row>
    <row r="1593">
      <c r="A1593" s="1"/>
      <c r="B1593" s="3" t="str">
        <f>IFERROR(__xludf.DUMMYFUNCTION("""COMPUTED_VALUE"""),"SUPARYANI")</f>
        <v>SUPARYANI</v>
      </c>
      <c r="C1593" s="3" t="str">
        <f>IFERROR(__xludf.DUMMYFUNCTION("""COMPUTED_VALUE"""),"S7024086880")</f>
        <v>S7024086880</v>
      </c>
      <c r="D1593" s="3">
        <f>IFERROR(__xludf.DUMMYFUNCTION("""COMPUTED_VALUE"""),56.0)</f>
        <v>56</v>
      </c>
      <c r="E1593" s="1"/>
    </row>
    <row r="1594">
      <c r="A1594" s="1"/>
      <c r="B1594" s="3" t="str">
        <f>IFERROR(__xludf.DUMMYFUNCTION("""COMPUTED_VALUE"""),"DAHLIA 6804")</f>
        <v>DAHLIA 6804</v>
      </c>
      <c r="C1594" s="3" t="str">
        <f>IFERROR(__xludf.DUMMYFUNCTION("""COMPUTED_VALUE"""),"D6824086725")</f>
        <v>D6824086725</v>
      </c>
      <c r="D1594" s="3">
        <f>IFERROR(__xludf.DUMMYFUNCTION("""COMPUTED_VALUE"""),58.0)</f>
        <v>58</v>
      </c>
      <c r="E1594" s="1"/>
    </row>
    <row r="1595">
      <c r="A1595" s="1"/>
      <c r="B1595" s="3" t="str">
        <f>IFERROR(__xludf.DUMMYFUNCTION("""COMPUTED_VALUE"""),"HAKAM RADJA UCCA MAHENDRA")</f>
        <v>HAKAM RADJA UCCA MAHENDRA</v>
      </c>
      <c r="C1595" s="3" t="str">
        <f>IFERROR(__xludf.DUMMYFUNCTION("""COMPUTED_VALUE"""),"H0124081100")</f>
        <v>H0124081100</v>
      </c>
      <c r="D1595" s="3">
        <f>IFERROR(__xludf.DUMMYFUNCTION("""COMPUTED_VALUE"""),24.0)</f>
        <v>24</v>
      </c>
      <c r="E1595" s="1"/>
    </row>
    <row r="1596">
      <c r="A1596" s="1"/>
      <c r="B1596" s="3" t="str">
        <f>IFERROR(__xludf.DUMMYFUNCTION("""COMPUTED_VALUE"""),"M. ADI WIBOWO")</f>
        <v>M. ADI WIBOWO</v>
      </c>
      <c r="C1596" s="3" t="str">
        <f>IFERROR(__xludf.DUMMYFUNCTION("""COMPUTED_VALUE"""),"M0024086800")</f>
        <v>M0024086800</v>
      </c>
      <c r="D1596" s="3">
        <f>IFERROR(__xludf.DUMMYFUNCTION("""COMPUTED_VALUE"""),25.0)</f>
        <v>25</v>
      </c>
      <c r="E1596" s="1"/>
    </row>
    <row r="1597">
      <c r="A1597" s="1"/>
      <c r="B1597" s="3" t="str">
        <f>IFERROR(__xludf.DUMMYFUNCTION("""COMPUTED_VALUE"""),"KHAIRUL ARIFIN KUSYAIRI")</f>
        <v>KHAIRUL ARIFIN KUSYAIRI</v>
      </c>
      <c r="C1597" s="3" t="str">
        <f>IFERROR(__xludf.DUMMYFUNCTION("""COMPUTED_VALUE"""),"K0724082956")</f>
        <v>K0724082956</v>
      </c>
      <c r="D1597" s="3">
        <f>IFERROR(__xludf.DUMMYFUNCTION("""COMPUTED_VALUE"""),19.0)</f>
        <v>19</v>
      </c>
      <c r="E1597" s="1"/>
    </row>
    <row r="1598">
      <c r="A1598" s="1"/>
      <c r="B1598" s="3" t="str">
        <f>IFERROR(__xludf.DUMMYFUNCTION("""COMPUTED_VALUE"""),"RIVANI KESWARA")</f>
        <v>RIVANI KESWARA</v>
      </c>
      <c r="C1598" s="3" t="str">
        <f>IFERROR(__xludf.DUMMYFUNCTION("""COMPUTED_VALUE"""),"R7124082374")</f>
        <v>R7124082374</v>
      </c>
      <c r="D1598" s="3">
        <f>IFERROR(__xludf.DUMMYFUNCTION("""COMPUTED_VALUE"""),55.0)</f>
        <v>55</v>
      </c>
      <c r="E1598" s="1"/>
    </row>
    <row r="1599">
      <c r="A1599" s="1"/>
      <c r="B1599" s="3" t="str">
        <f>IFERROR(__xludf.DUMMYFUNCTION("""COMPUTED_VALUE"""),"AQIL ANIRSYAH")</f>
        <v>AQIL ANIRSYAH</v>
      </c>
      <c r="C1599" s="3" t="str">
        <f>IFERROR(__xludf.DUMMYFUNCTION("""COMPUTED_VALUE"""),"A0724084604")</f>
        <v>A0724084604</v>
      </c>
      <c r="D1599" s="3">
        <f>IFERROR(__xludf.DUMMYFUNCTION("""COMPUTED_VALUE"""),18.0)</f>
        <v>18</v>
      </c>
      <c r="E1599" s="1"/>
    </row>
    <row r="1600">
      <c r="A1600" s="1"/>
      <c r="B1600" s="3" t="str">
        <f>IFERROR(__xludf.DUMMYFUNCTION("""COMPUTED_VALUE"""),"RIKO SYAFUTRA")</f>
        <v>RIKO SYAFUTRA</v>
      </c>
      <c r="C1600" s="3" t="str">
        <f>IFERROR(__xludf.DUMMYFUNCTION("""COMPUTED_VALUE"""),"R8424082429")</f>
        <v>R8424082429</v>
      </c>
      <c r="D1600" s="3">
        <f>IFERROR(__xludf.DUMMYFUNCTION("""COMPUTED_VALUE"""),42.0)</f>
        <v>42</v>
      </c>
      <c r="E1600" s="1"/>
    </row>
    <row r="1601">
      <c r="A1601" s="1"/>
      <c r="B1601" s="3" t="str">
        <f>IFERROR(__xludf.DUMMYFUNCTION("""COMPUTED_VALUE"""),"THALIA FELECIA")</f>
        <v>THALIA FELECIA</v>
      </c>
      <c r="C1601" s="3" t="str">
        <f>IFERROR(__xludf.DUMMYFUNCTION("""COMPUTED_VALUE"""),"T0324089369")</f>
        <v>T0324089369</v>
      </c>
      <c r="D1601" s="3">
        <f>IFERROR(__xludf.DUMMYFUNCTION("""COMPUTED_VALUE"""),22.0)</f>
        <v>22</v>
      </c>
      <c r="E1601" s="1"/>
    </row>
    <row r="1602">
      <c r="A1602" s="1"/>
      <c r="B1602" s="3" t="str">
        <f>IFERROR(__xludf.DUMMYFUNCTION("""COMPUTED_VALUE"""),"YANA MARDIANA")</f>
        <v>YANA MARDIANA</v>
      </c>
      <c r="C1602" s="3" t="str">
        <f>IFERROR(__xludf.DUMMYFUNCTION("""COMPUTED_VALUE"""),"Y8724082652")</f>
        <v>Y8724082652</v>
      </c>
      <c r="D1602" s="3">
        <f>IFERROR(__xludf.DUMMYFUNCTION("""COMPUTED_VALUE"""),39.0)</f>
        <v>39</v>
      </c>
      <c r="E1602" s="1"/>
    </row>
    <row r="1603">
      <c r="A1603" s="1"/>
      <c r="B1603" s="3" t="str">
        <f>IFERROR(__xludf.DUMMYFUNCTION("""COMPUTED_VALUE"""),"RODIYAH MUNAWWARAH")</f>
        <v>RODIYAH MUNAWWARAH</v>
      </c>
      <c r="C1603" s="3" t="str">
        <f>IFERROR(__xludf.DUMMYFUNCTION("""COMPUTED_VALUE"""),"R9624081112")</f>
        <v>R9624081112</v>
      </c>
      <c r="D1603" s="3">
        <f>IFERROR(__xludf.DUMMYFUNCTION("""COMPUTED_VALUE"""),30.0)</f>
        <v>30</v>
      </c>
      <c r="E1603" s="1"/>
    </row>
    <row r="1604">
      <c r="A1604" s="1"/>
      <c r="B1604" s="3" t="str">
        <f>IFERROR(__xludf.DUMMYFUNCTION("""COMPUTED_VALUE"""),"SYARIF FAYED FAHLEVI ALQADRIE")</f>
        <v>SYARIF FAYED FAHLEVI ALQADRIE</v>
      </c>
      <c r="C1604" s="3" t="str">
        <f>IFERROR(__xludf.DUMMYFUNCTION("""COMPUTED_VALUE"""),"S9724084270")</f>
        <v>S9724084270</v>
      </c>
      <c r="D1604" s="3">
        <f>IFERROR(__xludf.DUMMYFUNCTION("""COMPUTED_VALUE"""),28.0)</f>
        <v>28</v>
      </c>
      <c r="E1604" s="1"/>
    </row>
    <row r="1605">
      <c r="A1605" s="1"/>
      <c r="B1605" s="3" t="str">
        <f>IFERROR(__xludf.DUMMYFUNCTION("""COMPUTED_VALUE"""),"RENNY ALFINA MEKBAR PURBA")</f>
        <v>RENNY ALFINA MEKBAR PURBA</v>
      </c>
      <c r="C1605" s="3" t="str">
        <f>IFERROR(__xludf.DUMMYFUNCTION("""COMPUTED_VALUE"""),"R9024082946")</f>
        <v>R9024082946</v>
      </c>
      <c r="D1605" s="3">
        <f>IFERROR(__xludf.DUMMYFUNCTION("""COMPUTED_VALUE"""),36.0)</f>
        <v>36</v>
      </c>
      <c r="E1605" s="1"/>
    </row>
    <row r="1606">
      <c r="A1606" s="1"/>
      <c r="B1606" s="3" t="str">
        <f>IFERROR(__xludf.DUMMYFUNCTION("""COMPUTED_VALUE"""),"ARIF RAHMAN")</f>
        <v>ARIF RAHMAN</v>
      </c>
      <c r="C1606" s="3" t="str">
        <f>IFERROR(__xludf.DUMMYFUNCTION("""COMPUTED_VALUE"""),"A0124085166")</f>
        <v>A0124085166</v>
      </c>
      <c r="D1606" s="3">
        <f>IFERROR(__xludf.DUMMYFUNCTION("""COMPUTED_VALUE"""),25.0)</f>
        <v>25</v>
      </c>
      <c r="E1606" s="1"/>
    </row>
    <row r="1607">
      <c r="A1607" s="1"/>
      <c r="B1607" s="3" t="str">
        <f>IFERROR(__xludf.DUMMYFUNCTION("""COMPUTED_VALUE"""),"FADLI SITOMPUL")</f>
        <v>FADLI SITOMPUL</v>
      </c>
      <c r="C1607" s="3" t="str">
        <f>IFERROR(__xludf.DUMMYFUNCTION("""COMPUTED_VALUE"""),"F8224088826")</f>
        <v>F8224088826</v>
      </c>
      <c r="D1607" s="3">
        <f>IFERROR(__xludf.DUMMYFUNCTION("""COMPUTED_VALUE"""),44.0)</f>
        <v>44</v>
      </c>
      <c r="E1607" s="1"/>
    </row>
    <row r="1608">
      <c r="A1608" s="1"/>
      <c r="B1608" s="3" t="str">
        <f>IFERROR(__xludf.DUMMYFUNCTION("""COMPUTED_VALUE"""),"RUDI RIYANTAMA")</f>
        <v>RUDI RIYANTAMA</v>
      </c>
      <c r="C1608" s="3" t="str">
        <f>IFERROR(__xludf.DUMMYFUNCTION("""COMPUTED_VALUE"""),"R0024087369")</f>
        <v>R0024087369</v>
      </c>
      <c r="D1608" s="3">
        <f>IFERROR(__xludf.DUMMYFUNCTION("""COMPUTED_VALUE"""),25.0)</f>
        <v>25</v>
      </c>
      <c r="E1608" s="1"/>
    </row>
    <row r="1609">
      <c r="A1609" s="1"/>
      <c r="B1609" s="3" t="str">
        <f>IFERROR(__xludf.DUMMYFUNCTION("""COMPUTED_VALUE"""),"DIAN PRIMAYUDI")</f>
        <v>DIAN PRIMAYUDI</v>
      </c>
      <c r="C1609" s="3" t="str">
        <f>IFERROR(__xludf.DUMMYFUNCTION("""COMPUTED_VALUE"""),"D8524082221")</f>
        <v>D8524082221</v>
      </c>
      <c r="D1609" s="3">
        <f>IFERROR(__xludf.DUMMYFUNCTION("""COMPUTED_VALUE"""),40.0)</f>
        <v>40</v>
      </c>
      <c r="E1609" s="1"/>
    </row>
    <row r="1610">
      <c r="A1610" s="1"/>
      <c r="B1610" s="3" t="str">
        <f>IFERROR(__xludf.DUMMYFUNCTION("""COMPUTED_VALUE"""),"NURMARDIAH")</f>
        <v>NURMARDIAH</v>
      </c>
      <c r="C1610" s="3" t="str">
        <f>IFERROR(__xludf.DUMMYFUNCTION("""COMPUTED_VALUE"""),"N7024089668")</f>
        <v>N7024089668</v>
      </c>
      <c r="D1610" s="3">
        <f>IFERROR(__xludf.DUMMYFUNCTION("""COMPUTED_VALUE"""),55.0)</f>
        <v>55</v>
      </c>
      <c r="E1610" s="1"/>
    </row>
    <row r="1611">
      <c r="A1611" s="1"/>
      <c r="B1611" s="3" t="str">
        <f>IFERROR(__xludf.DUMMYFUNCTION("""COMPUTED_VALUE"""),"CHAIRIL ANWAR")</f>
        <v>CHAIRIL ANWAR</v>
      </c>
      <c r="C1611" s="3" t="str">
        <f>IFERROR(__xludf.DUMMYFUNCTION("""COMPUTED_VALUE"""),"C5124083366")</f>
        <v>C5124083366</v>
      </c>
      <c r="D1611" s="3">
        <f>IFERROR(__xludf.DUMMYFUNCTION("""COMPUTED_VALUE"""),74.0)</f>
        <v>74</v>
      </c>
      <c r="E1611" s="1"/>
    </row>
    <row r="1612">
      <c r="A1612" s="1"/>
      <c r="B1612" s="3" t="str">
        <f>IFERROR(__xludf.DUMMYFUNCTION("""COMPUTED_VALUE"""),"AREF RISMANTO")</f>
        <v>AREF RISMANTO</v>
      </c>
      <c r="C1612" s="3" t="str">
        <f>IFERROR(__xludf.DUMMYFUNCTION("""COMPUTED_VALUE"""),"A9824084841")</f>
        <v>A9824084841</v>
      </c>
      <c r="D1612" s="3">
        <f>IFERROR(__xludf.DUMMYFUNCTION("""COMPUTED_VALUE"""),28.0)</f>
        <v>28</v>
      </c>
      <c r="E1612" s="1"/>
    </row>
    <row r="1613">
      <c r="A1613" s="1"/>
      <c r="B1613" s="3" t="str">
        <f>IFERROR(__xludf.DUMMYFUNCTION("""COMPUTED_VALUE"""),"MUHAMMAD OMAR ATTA")</f>
        <v>MUHAMMAD OMAR ATTA</v>
      </c>
      <c r="C1613" s="3" t="str">
        <f>IFERROR(__xludf.DUMMYFUNCTION("""COMPUTED_VALUE"""),"M1324088118")</f>
        <v>M1324088118</v>
      </c>
      <c r="D1613" s="3">
        <f>IFERROR(__xludf.DUMMYFUNCTION("""COMPUTED_VALUE"""),12.0)</f>
        <v>12</v>
      </c>
      <c r="E1613" s="1"/>
    </row>
    <row r="1614">
      <c r="A1614" s="1"/>
      <c r="B1614" s="3" t="str">
        <f>IFERROR(__xludf.DUMMYFUNCTION("""COMPUTED_VALUE"""),"AHMAD DHIYAUL HAQ")</f>
        <v>AHMAD DHIYAUL HAQ</v>
      </c>
      <c r="C1614" s="3" t="str">
        <f>IFERROR(__xludf.DUMMYFUNCTION("""COMPUTED_VALUE"""),"A9724082123")</f>
        <v>A9724082123</v>
      </c>
      <c r="D1614" s="3">
        <f>IFERROR(__xludf.DUMMYFUNCTION("""COMPUTED_VALUE"""),28.0)</f>
        <v>28</v>
      </c>
      <c r="E1614" s="1"/>
    </row>
    <row r="1615">
      <c r="A1615" s="1"/>
      <c r="B1615" s="3" t="str">
        <f>IFERROR(__xludf.DUMMYFUNCTION("""COMPUTED_VALUE"""),"ADI BAIHAQI")</f>
        <v>ADI BAIHAQI</v>
      </c>
      <c r="C1615" s="3" t="str">
        <f>IFERROR(__xludf.DUMMYFUNCTION("""COMPUTED_VALUE"""),"A7824082013")</f>
        <v>A7824082013</v>
      </c>
      <c r="D1615" s="3">
        <f>IFERROR(__xludf.DUMMYFUNCTION("""COMPUTED_VALUE"""),47.0)</f>
        <v>47</v>
      </c>
      <c r="E1615" s="1"/>
    </row>
    <row r="1616">
      <c r="A1616" s="1"/>
      <c r="B1616" s="3" t="str">
        <f>IFERROR(__xludf.DUMMYFUNCTION("""COMPUTED_VALUE"""),"AKHMAD RIFKY SETYA ANUGRAH")</f>
        <v>AKHMAD RIFKY SETYA ANUGRAH</v>
      </c>
      <c r="C1616" s="3" t="str">
        <f>IFERROR(__xludf.DUMMYFUNCTION("""COMPUTED_VALUE"""),"A9224087137")</f>
        <v>A9224087137</v>
      </c>
      <c r="D1616" s="3">
        <f>IFERROR(__xludf.DUMMYFUNCTION("""COMPUTED_VALUE"""),33.0)</f>
        <v>33</v>
      </c>
      <c r="E1616" s="1"/>
    </row>
    <row r="1617">
      <c r="A1617" s="1"/>
      <c r="B1617" s="3" t="str">
        <f>IFERROR(__xludf.DUMMYFUNCTION("""COMPUTED_VALUE"""),"MUSLIMIN")</f>
        <v>MUSLIMIN</v>
      </c>
      <c r="C1617" s="3" t="str">
        <f>IFERROR(__xludf.DUMMYFUNCTION("""COMPUTED_VALUE"""),"M8724085261")</f>
        <v>M8724085261</v>
      </c>
      <c r="D1617" s="3">
        <f>IFERROR(__xludf.DUMMYFUNCTION("""COMPUTED_VALUE"""),38.0)</f>
        <v>38</v>
      </c>
      <c r="E1617" s="1"/>
    </row>
    <row r="1618">
      <c r="A1618" s="1"/>
      <c r="B1618" s="3" t="str">
        <f>IFERROR(__xludf.DUMMYFUNCTION("""COMPUTED_VALUE"""),"RIDLEY BORIS")</f>
        <v>RIDLEY BORIS</v>
      </c>
      <c r="C1618" s="3" t="str">
        <f>IFERROR(__xludf.DUMMYFUNCTION("""COMPUTED_VALUE"""),"R8924087777")</f>
        <v>R8924087777</v>
      </c>
      <c r="D1618" s="3">
        <f>IFERROR(__xludf.DUMMYFUNCTION("""COMPUTED_VALUE"""),36.0)</f>
        <v>36</v>
      </c>
      <c r="E1618" s="1"/>
    </row>
    <row r="1619">
      <c r="A1619" s="1"/>
      <c r="B1619" s="3" t="str">
        <f>IFERROR(__xludf.DUMMYFUNCTION("""COMPUTED_VALUE"""),"SRI SUSANTI AMD KEB")</f>
        <v>SRI SUSANTI AMD KEB</v>
      </c>
      <c r="C1619" s="3" t="str">
        <f>IFERROR(__xludf.DUMMYFUNCTION("""COMPUTED_VALUE"""),"S7724088455")</f>
        <v>S7724088455</v>
      </c>
      <c r="D1619" s="3">
        <f>IFERROR(__xludf.DUMMYFUNCTION("""COMPUTED_VALUE"""),48.0)</f>
        <v>48</v>
      </c>
      <c r="E1619" s="1"/>
    </row>
    <row r="1620">
      <c r="A1620" s="1"/>
      <c r="B1620" s="3" t="str">
        <f>IFERROR(__xludf.DUMMYFUNCTION("""COMPUTED_VALUE"""),"BAGUS TEGUH HARTONO")</f>
        <v>BAGUS TEGUH HARTONO</v>
      </c>
      <c r="C1620" s="3" t="str">
        <f>IFERROR(__xludf.DUMMYFUNCTION("""COMPUTED_VALUE"""),"B9324088276")</f>
        <v>B9324088276</v>
      </c>
      <c r="D1620" s="3">
        <f>IFERROR(__xludf.DUMMYFUNCTION("""COMPUTED_VALUE"""),33.0)</f>
        <v>33</v>
      </c>
      <c r="E1620" s="1"/>
    </row>
    <row r="1621">
      <c r="A1621" s="1"/>
      <c r="B1621" s="3" t="str">
        <f>IFERROR(__xludf.DUMMYFUNCTION("""COMPUTED_VALUE"""),"MUSLEHUDDIN")</f>
        <v>MUSLEHUDDIN</v>
      </c>
      <c r="C1621" s="3" t="str">
        <f>IFERROR(__xludf.DUMMYFUNCTION("""COMPUTED_VALUE"""),"M0424084316")</f>
        <v>M0424084316</v>
      </c>
      <c r="D1621" s="3">
        <f>IFERROR(__xludf.DUMMYFUNCTION("""COMPUTED_VALUE"""),21.0)</f>
        <v>21</v>
      </c>
      <c r="E1621" s="1"/>
    </row>
    <row r="1622">
      <c r="A1622" s="1"/>
      <c r="B1622" s="3" t="str">
        <f>IFERROR(__xludf.DUMMYFUNCTION("""COMPUTED_VALUE"""),"RAMA")</f>
        <v>RAMA</v>
      </c>
      <c r="C1622" s="3" t="str">
        <f>IFERROR(__xludf.DUMMYFUNCTION("""COMPUTED_VALUE"""),"R8624082890")</f>
        <v>R8624082890</v>
      </c>
      <c r="D1622" s="3">
        <f>IFERROR(__xludf.DUMMYFUNCTION("""COMPUTED_VALUE"""),39.0)</f>
        <v>39</v>
      </c>
      <c r="E1622" s="1"/>
    </row>
    <row r="1623">
      <c r="A1623" s="1"/>
      <c r="B1623" s="3" t="str">
        <f>IFERROR(__xludf.DUMMYFUNCTION("""COMPUTED_VALUE"""),"VICKA LAIFA APRILYA")</f>
        <v>VICKA LAIFA APRILYA</v>
      </c>
      <c r="C1623" s="3" t="str">
        <f>IFERROR(__xludf.DUMMYFUNCTION("""COMPUTED_VALUE"""),"V9124082026")</f>
        <v>V9124082026</v>
      </c>
      <c r="D1623" s="3">
        <f>IFERROR(__xludf.DUMMYFUNCTION("""COMPUTED_VALUE"""),35.0)</f>
        <v>35</v>
      </c>
      <c r="E1623" s="1"/>
    </row>
    <row r="1624">
      <c r="A1624" s="1"/>
      <c r="B1624" s="3" t="str">
        <f>IFERROR(__xludf.DUMMYFUNCTION("""COMPUTED_VALUE"""),"TRI DEWI PURWANTI")</f>
        <v>TRI DEWI PURWANTI</v>
      </c>
      <c r="C1624" s="3" t="str">
        <f>IFERROR(__xludf.DUMMYFUNCTION("""COMPUTED_VALUE"""),"T8624082229")</f>
        <v>T8624082229</v>
      </c>
      <c r="D1624" s="3">
        <f>IFERROR(__xludf.DUMMYFUNCTION("""COMPUTED_VALUE"""),39.0)</f>
        <v>39</v>
      </c>
      <c r="E1624" s="1"/>
    </row>
    <row r="1625">
      <c r="A1625" s="1"/>
      <c r="B1625" s="3" t="str">
        <f>IFERROR(__xludf.DUMMYFUNCTION("""COMPUTED_VALUE"""),"RATNA DEWI")</f>
        <v>RATNA DEWI</v>
      </c>
      <c r="C1625" s="3" t="str">
        <f>IFERROR(__xludf.DUMMYFUNCTION("""COMPUTED_VALUE"""),"R9024087560")</f>
        <v>R9024087560</v>
      </c>
      <c r="D1625" s="3">
        <f>IFERROR(__xludf.DUMMYFUNCTION("""COMPUTED_VALUE"""),35.0)</f>
        <v>35</v>
      </c>
      <c r="E1625" s="1"/>
    </row>
    <row r="1626">
      <c r="A1626" s="1"/>
      <c r="B1626" s="3" t="str">
        <f>IFERROR(__xludf.DUMMYFUNCTION("""COMPUTED_VALUE"""),"ALY AL DASTAN")</f>
        <v>ALY AL DASTAN</v>
      </c>
      <c r="C1626" s="3" t="str">
        <f>IFERROR(__xludf.DUMMYFUNCTION("""COMPUTED_VALUE"""),"A2424089584")</f>
        <v>A2424089584</v>
      </c>
      <c r="D1626" s="3">
        <f>IFERROR(__xludf.DUMMYFUNCTION("""COMPUTED_VALUE"""),1.0)</f>
        <v>1</v>
      </c>
      <c r="E1626" s="1"/>
    </row>
    <row r="1627">
      <c r="A1627" s="1"/>
      <c r="B1627" s="3" t="str">
        <f>IFERROR(__xludf.DUMMYFUNCTION("""COMPUTED_VALUE"""),"BUNGA MITASARI")</f>
        <v>BUNGA MITASARI</v>
      </c>
      <c r="C1627" s="3" t="str">
        <f>IFERROR(__xludf.DUMMYFUNCTION("""COMPUTED_VALUE"""),"B9324087527")</f>
        <v>B9324087527</v>
      </c>
      <c r="D1627" s="3">
        <f>IFERROR(__xludf.DUMMYFUNCTION("""COMPUTED_VALUE"""),33.0)</f>
        <v>33</v>
      </c>
      <c r="E1627" s="1"/>
    </row>
    <row r="1628">
      <c r="A1628" s="1"/>
      <c r="B1628" s="3" t="str">
        <f>IFERROR(__xludf.DUMMYFUNCTION("""COMPUTED_VALUE"""),"HERY 9107")</f>
        <v>HERY 9107</v>
      </c>
      <c r="C1628" s="3" t="str">
        <f>IFERROR(__xludf.DUMMYFUNCTION("""COMPUTED_VALUE"""),"H9124088998")</f>
        <v>H9124088998</v>
      </c>
      <c r="D1628" s="3">
        <f>IFERROR(__xludf.DUMMYFUNCTION("""COMPUTED_VALUE"""),34.0)</f>
        <v>34</v>
      </c>
      <c r="E1628" s="1"/>
    </row>
    <row r="1629">
      <c r="A1629" s="1"/>
      <c r="B1629" s="3" t="str">
        <f>IFERROR(__xludf.DUMMYFUNCTION("""COMPUTED_VALUE"""),"SILVIA LARASATY DEWI")</f>
        <v>SILVIA LARASATY DEWI</v>
      </c>
      <c r="C1629" s="3" t="str">
        <f>IFERROR(__xludf.DUMMYFUNCTION("""COMPUTED_VALUE"""),"S9924085802")</f>
        <v>S9924085802</v>
      </c>
      <c r="D1629" s="3">
        <f>IFERROR(__xludf.DUMMYFUNCTION("""COMPUTED_VALUE"""),26.0)</f>
        <v>26</v>
      </c>
      <c r="E1629" s="1"/>
    </row>
    <row r="1630">
      <c r="A1630" s="1"/>
      <c r="B1630" s="3" t="str">
        <f>IFERROR(__xludf.DUMMYFUNCTION("""COMPUTED_VALUE"""),"MENTARI RACHMANIAZ RIZKI")</f>
        <v>MENTARI RACHMANIAZ RIZKI</v>
      </c>
      <c r="C1630" s="3" t="str">
        <f>IFERROR(__xludf.DUMMYFUNCTION("""COMPUTED_VALUE"""),"M9924081266")</f>
        <v>M9924081266</v>
      </c>
      <c r="D1630" s="3">
        <f>IFERROR(__xludf.DUMMYFUNCTION("""COMPUTED_VALUE"""),27.0)</f>
        <v>27</v>
      </c>
      <c r="E1630" s="1"/>
    </row>
    <row r="1631">
      <c r="A1631" s="1"/>
      <c r="B1631" s="3" t="str">
        <f>IFERROR(__xludf.DUMMYFUNCTION("""COMPUTED_VALUE"""),"JENSHEN DARMA")</f>
        <v>JENSHEN DARMA</v>
      </c>
      <c r="C1631" s="3" t="str">
        <f>IFERROR(__xludf.DUMMYFUNCTION("""COMPUTED_VALUE"""),"J0324089832")</f>
        <v>J0324089832</v>
      </c>
      <c r="D1631" s="3">
        <f>IFERROR(__xludf.DUMMYFUNCTION("""COMPUTED_VALUE"""),23.0)</f>
        <v>23</v>
      </c>
      <c r="E1631" s="1"/>
    </row>
    <row r="1632">
      <c r="A1632" s="1"/>
      <c r="B1632" s="3" t="str">
        <f>IFERROR(__xludf.DUMMYFUNCTION("""COMPUTED_VALUE"""),"YONG REN AUGUSTO")</f>
        <v>YONG REN AUGUSTO</v>
      </c>
      <c r="C1632" s="3" t="str">
        <f>IFERROR(__xludf.DUMMYFUNCTION("""COMPUTED_VALUE"""),"Y0524086988")</f>
        <v>Y0524086988</v>
      </c>
      <c r="D1632" s="3">
        <f>IFERROR(__xludf.DUMMYFUNCTION("""COMPUTED_VALUE"""),20.0)</f>
        <v>20</v>
      </c>
      <c r="E1632" s="1"/>
    </row>
    <row r="1633">
      <c r="A1633" s="1"/>
      <c r="B1633" s="3" t="str">
        <f>IFERROR(__xludf.DUMMYFUNCTION("""COMPUTED_VALUE"""),"FARIS RAHMADIAN ARMADHANI")</f>
        <v>FARIS RAHMADIAN ARMADHANI</v>
      </c>
      <c r="C1633" s="3" t="str">
        <f>IFERROR(__xludf.DUMMYFUNCTION("""COMPUTED_VALUE"""),"F9424084583")</f>
        <v>F9424084583</v>
      </c>
      <c r="D1633" s="3">
        <f>IFERROR(__xludf.DUMMYFUNCTION("""COMPUTED_VALUE"""),32.0)</f>
        <v>32</v>
      </c>
      <c r="E1633" s="1"/>
    </row>
    <row r="1634">
      <c r="A1634" s="1"/>
      <c r="B1634" s="3" t="str">
        <f>IFERROR(__xludf.DUMMYFUNCTION("""COMPUTED_VALUE"""),"AFIF ZULFA NURHAYATI")</f>
        <v>AFIF ZULFA NURHAYATI</v>
      </c>
      <c r="C1634" s="3" t="str">
        <f>IFERROR(__xludf.DUMMYFUNCTION("""COMPUTED_VALUE"""),"A9924081439")</f>
        <v>A9924081439</v>
      </c>
      <c r="D1634" s="3">
        <f>IFERROR(__xludf.DUMMYFUNCTION("""COMPUTED_VALUE"""),26.0)</f>
        <v>26</v>
      </c>
      <c r="E1634" s="1"/>
    </row>
    <row r="1635">
      <c r="A1635" s="1"/>
      <c r="B1635" s="3" t="str">
        <f>IFERROR(__xludf.DUMMYFUNCTION("""COMPUTED_VALUE"""),"ERWIN CHUA")</f>
        <v>ERWIN CHUA</v>
      </c>
      <c r="C1635" s="3" t="str">
        <f>IFERROR(__xludf.DUMMYFUNCTION("""COMPUTED_VALUE"""),"E9524080950")</f>
        <v>E9524080950</v>
      </c>
      <c r="D1635" s="3">
        <f>IFERROR(__xludf.DUMMYFUNCTION("""COMPUTED_VALUE"""),31.0)</f>
        <v>31</v>
      </c>
      <c r="E1635" s="1"/>
    </row>
    <row r="1636">
      <c r="A1636" s="1"/>
      <c r="B1636" s="3" t="str">
        <f>IFERROR(__xludf.DUMMYFUNCTION("""COMPUTED_VALUE"""),"ALFANI AMINUDDIN")</f>
        <v>ALFANI AMINUDDIN</v>
      </c>
      <c r="C1636" s="3" t="str">
        <f>IFERROR(__xludf.DUMMYFUNCTION("""COMPUTED_VALUE"""),"A9124080813")</f>
        <v>A9124080813</v>
      </c>
      <c r="D1636" s="3">
        <f>IFERROR(__xludf.DUMMYFUNCTION("""COMPUTED_VALUE"""),34.0)</f>
        <v>34</v>
      </c>
      <c r="E1636" s="1"/>
    </row>
    <row r="1637">
      <c r="A1637" s="1"/>
      <c r="B1637" s="3" t="str">
        <f>IFERROR(__xludf.DUMMYFUNCTION("""COMPUTED_VALUE"""),"VEREN HALIM")</f>
        <v>VEREN HALIM</v>
      </c>
      <c r="C1637" s="3" t="str">
        <f>IFERROR(__xludf.DUMMYFUNCTION("""COMPUTED_VALUE"""),"V0324086033")</f>
        <v>V0324086033</v>
      </c>
      <c r="D1637" s="3">
        <f>IFERROR(__xludf.DUMMYFUNCTION("""COMPUTED_VALUE"""),23.0)</f>
        <v>23</v>
      </c>
      <c r="E1637" s="1"/>
    </row>
    <row r="1638">
      <c r="A1638" s="1"/>
      <c r="B1638" s="3" t="str">
        <f>IFERROR(__xludf.DUMMYFUNCTION("""COMPUTED_VALUE"""),"YENI ANDIKAWATI")</f>
        <v>YENI ANDIKAWATI</v>
      </c>
      <c r="C1638" s="3" t="str">
        <f>IFERROR(__xludf.DUMMYFUNCTION("""COMPUTED_VALUE"""),"Y2424089584")</f>
        <v>Y2424089584</v>
      </c>
      <c r="D1638" s="3">
        <f>IFERROR(__xludf.DUMMYFUNCTION("""COMPUTED_VALUE"""),1.0)</f>
        <v>1</v>
      </c>
      <c r="E1638" s="1"/>
    </row>
    <row r="1639">
      <c r="A1639" s="1"/>
      <c r="B1639" s="3" t="str">
        <f>IFERROR(__xludf.DUMMYFUNCTION("""COMPUTED_VALUE"""),"ALAN NUARI")</f>
        <v>ALAN NUARI</v>
      </c>
      <c r="C1639" s="3" t="str">
        <f>IFERROR(__xludf.DUMMYFUNCTION("""COMPUTED_VALUE"""),"A9024082325")</f>
        <v>A9024082325</v>
      </c>
      <c r="D1639" s="3">
        <f>IFERROR(__xludf.DUMMYFUNCTION("""COMPUTED_VALUE"""),36.0)</f>
        <v>36</v>
      </c>
      <c r="E1639" s="1"/>
    </row>
    <row r="1640">
      <c r="A1640" s="1"/>
      <c r="B1640" s="3" t="str">
        <f>IFERROR(__xludf.DUMMYFUNCTION("""COMPUTED_VALUE"""),"MUHAMMAD MURDIAN")</f>
        <v>MUHAMMAD MURDIAN</v>
      </c>
      <c r="C1640" s="3" t="str">
        <f>IFERROR(__xludf.DUMMYFUNCTION("""COMPUTED_VALUE"""),"M9924086918")</f>
        <v>M9924086918</v>
      </c>
      <c r="D1640" s="3">
        <f>IFERROR(__xludf.DUMMYFUNCTION("""COMPUTED_VALUE"""),26.0)</f>
        <v>26</v>
      </c>
      <c r="E1640" s="1"/>
    </row>
    <row r="1641">
      <c r="A1641" s="1"/>
      <c r="B1641" s="3" t="str">
        <f>IFERROR(__xludf.DUMMYFUNCTION("""COMPUTED_VALUE"""),"RAHMIATI DUWIK SUARNI")</f>
        <v>RAHMIATI DUWIK SUARNI</v>
      </c>
      <c r="C1641" s="3" t="str">
        <f>IFERROR(__xludf.DUMMYFUNCTION("""COMPUTED_VALUE"""),"R0324083730")</f>
        <v>R0324083730</v>
      </c>
      <c r="D1641" s="3">
        <f>IFERROR(__xludf.DUMMYFUNCTION("""COMPUTED_VALUE"""),22.0)</f>
        <v>22</v>
      </c>
      <c r="E1641" s="1"/>
    </row>
    <row r="1642">
      <c r="A1642" s="1"/>
      <c r="B1642" s="3" t="str">
        <f>IFERROR(__xludf.DUMMYFUNCTION("""COMPUTED_VALUE"""),"TIANAR SIMANJUNTAK")</f>
        <v>TIANAR SIMANJUNTAK</v>
      </c>
      <c r="C1642" s="3" t="str">
        <f>IFERROR(__xludf.DUMMYFUNCTION("""COMPUTED_VALUE"""),"T5824082036")</f>
        <v>T5824082036</v>
      </c>
      <c r="D1642" s="3">
        <f>IFERROR(__xludf.DUMMYFUNCTION("""COMPUTED_VALUE"""),68.0)</f>
        <v>68</v>
      </c>
      <c r="E1642" s="1"/>
    </row>
    <row r="1643">
      <c r="A1643" s="1"/>
      <c r="B1643" s="3" t="str">
        <f>IFERROR(__xludf.DUMMYFUNCTION("""COMPUTED_VALUE"""),"BENYAMIN BAYE")</f>
        <v>BENYAMIN BAYE</v>
      </c>
      <c r="C1643" s="3" t="str">
        <f>IFERROR(__xludf.DUMMYFUNCTION("""COMPUTED_VALUE"""),"B2424086325")</f>
        <v>B2424086325</v>
      </c>
      <c r="D1643" s="3">
        <f>IFERROR(__xludf.DUMMYFUNCTION("""COMPUTED_VALUE"""),1.0)</f>
        <v>1</v>
      </c>
      <c r="E1643" s="1"/>
    </row>
    <row r="1644">
      <c r="A1644" s="1"/>
      <c r="B1644" s="3" t="str">
        <f>IFERROR(__xludf.DUMMYFUNCTION("""COMPUTED_VALUE"""),"HENGKY KAKI")</f>
        <v>HENGKY KAKI</v>
      </c>
      <c r="C1644" s="3" t="str">
        <f>IFERROR(__xludf.DUMMYFUNCTION("""COMPUTED_VALUE"""),"H8024086788")</f>
        <v>H8024086788</v>
      </c>
      <c r="D1644" s="3">
        <f>IFERROR(__xludf.DUMMYFUNCTION("""COMPUTED_VALUE"""),45.0)</f>
        <v>45</v>
      </c>
      <c r="E1644" s="1"/>
    </row>
    <row r="1645">
      <c r="A1645" s="1"/>
      <c r="B1645" s="3" t="str">
        <f>IFERROR(__xludf.DUMMYFUNCTION("""COMPUTED_VALUE"""),"HENDRA BUDIMAN")</f>
        <v>HENDRA BUDIMAN</v>
      </c>
      <c r="C1645" s="3" t="str">
        <f>IFERROR(__xludf.DUMMYFUNCTION("""COMPUTED_VALUE"""),"H8624085048")</f>
        <v>H8624085048</v>
      </c>
      <c r="D1645" s="3">
        <f>IFERROR(__xludf.DUMMYFUNCTION("""COMPUTED_VALUE"""),40.0)</f>
        <v>40</v>
      </c>
      <c r="E1645" s="1"/>
    </row>
    <row r="1646">
      <c r="A1646" s="1"/>
      <c r="B1646" s="3" t="str">
        <f>IFERROR(__xludf.DUMMYFUNCTION("""COMPUTED_VALUE"""),"DEWI KURNIATI")</f>
        <v>DEWI KURNIATI</v>
      </c>
      <c r="C1646" s="3" t="str">
        <f>IFERROR(__xludf.DUMMYFUNCTION("""COMPUTED_VALUE"""),"D7724087711")</f>
        <v>D7724087711</v>
      </c>
      <c r="D1646" s="3">
        <f>IFERROR(__xludf.DUMMYFUNCTION("""COMPUTED_VALUE"""),48.0)</f>
        <v>48</v>
      </c>
      <c r="E1646" s="1"/>
    </row>
    <row r="1647">
      <c r="A1647" s="1"/>
      <c r="B1647" s="3" t="str">
        <f>IFERROR(__xludf.DUMMYFUNCTION("""COMPUTED_VALUE"""),"ELIS YUNELITA")</f>
        <v>ELIS YUNELITA</v>
      </c>
      <c r="C1647" s="3" t="str">
        <f>IFERROR(__xludf.DUMMYFUNCTION("""COMPUTED_VALUE"""),"E6624089477")</f>
        <v>E6624089477</v>
      </c>
      <c r="D1647" s="3">
        <f>IFERROR(__xludf.DUMMYFUNCTION("""COMPUTED_VALUE"""),59.0)</f>
        <v>59</v>
      </c>
      <c r="E1647" s="1"/>
    </row>
    <row r="1648">
      <c r="A1648" s="1"/>
      <c r="B1648" s="3" t="str">
        <f>IFERROR(__xludf.DUMMYFUNCTION("""COMPUTED_VALUE"""),"EVI SILVANA")</f>
        <v>EVI SILVANA</v>
      </c>
      <c r="C1648" s="3" t="str">
        <f>IFERROR(__xludf.DUMMYFUNCTION("""COMPUTED_VALUE"""),"E6324084907")</f>
        <v>E6324084907</v>
      </c>
      <c r="D1648" s="3">
        <f>IFERROR(__xludf.DUMMYFUNCTION("""COMPUTED_VALUE"""),63.0)</f>
        <v>63</v>
      </c>
      <c r="E1648" s="1"/>
    </row>
    <row r="1649">
      <c r="A1649" s="1"/>
      <c r="B1649" s="3" t="str">
        <f>IFERROR(__xludf.DUMMYFUNCTION("""COMPUTED_VALUE"""),"SIGIT PRAYOGA")</f>
        <v>SIGIT PRAYOGA</v>
      </c>
      <c r="C1649" s="3" t="str">
        <f>IFERROR(__xludf.DUMMYFUNCTION("""COMPUTED_VALUE"""),"S0324084073")</f>
        <v>S0324084073</v>
      </c>
      <c r="D1649" s="3">
        <f>IFERROR(__xludf.DUMMYFUNCTION("""COMPUTED_VALUE"""),23.0)</f>
        <v>23</v>
      </c>
      <c r="E1649" s="1"/>
    </row>
    <row r="1650">
      <c r="A1650" s="1"/>
      <c r="B1650" s="3" t="str">
        <f>IFERROR(__xludf.DUMMYFUNCTION("""COMPUTED_VALUE"""),"LILIK INDRAWATI")</f>
        <v>LILIK INDRAWATI</v>
      </c>
      <c r="C1650" s="3" t="str">
        <f>IFERROR(__xludf.DUMMYFUNCTION("""COMPUTED_VALUE"""),"L7324084510")</f>
        <v>L7324084510</v>
      </c>
      <c r="D1650" s="3">
        <f>IFERROR(__xludf.DUMMYFUNCTION("""COMPUTED_VALUE"""),53.0)</f>
        <v>53</v>
      </c>
      <c r="E1650" s="1"/>
    </row>
    <row r="1651">
      <c r="A1651" s="1"/>
      <c r="B1651" s="3" t="str">
        <f>IFERROR(__xludf.DUMMYFUNCTION("""COMPUTED_VALUE"""),"ANKLE KANAN TERKILIR ")</f>
        <v>ANKLE KANAN TERKILIR </v>
      </c>
      <c r="C1651" s="3" t="str">
        <f>IFERROR(__xludf.DUMMYFUNCTION("""COMPUTED_VALUE"""),"A0424089008")</f>
        <v>A0424089008</v>
      </c>
      <c r="D1651" s="3">
        <f>IFERROR(__xludf.DUMMYFUNCTION("""COMPUTED_VALUE"""),22.0)</f>
        <v>22</v>
      </c>
      <c r="E1651" s="1"/>
    </row>
    <row r="1652">
      <c r="A1652" s="1"/>
      <c r="B1652" s="3" t="str">
        <f>IFERROR(__xludf.DUMMYFUNCTION("""COMPUTED_VALUE"""),"MUHAMMAD FAJRIYAN")</f>
        <v>MUHAMMAD FAJRIYAN</v>
      </c>
      <c r="C1652" s="3" t="str">
        <f>IFERROR(__xludf.DUMMYFUNCTION("""COMPUTED_VALUE"""),"M9724085312")</f>
        <v>M9724085312</v>
      </c>
      <c r="D1652" s="3">
        <f>IFERROR(__xludf.DUMMYFUNCTION("""COMPUTED_VALUE"""),28.0)</f>
        <v>28</v>
      </c>
      <c r="E1652" s="1"/>
    </row>
    <row r="1653">
      <c r="A1653" s="1"/>
      <c r="B1653" s="3" t="str">
        <f>IFERROR(__xludf.DUMMYFUNCTION("""COMPUTED_VALUE"""),"ZULFITA")</f>
        <v>ZULFITA</v>
      </c>
      <c r="C1653" s="3" t="str">
        <f>IFERROR(__xludf.DUMMYFUNCTION("""COMPUTED_VALUE"""),"Z6624087005")</f>
        <v>Z6624087005</v>
      </c>
      <c r="D1653" s="3">
        <f>IFERROR(__xludf.DUMMYFUNCTION("""COMPUTED_VALUE"""),60.0)</f>
        <v>60</v>
      </c>
      <c r="E1653" s="1"/>
    </row>
    <row r="1654">
      <c r="A1654" s="1"/>
      <c r="B1654" s="3" t="str">
        <f>IFERROR(__xludf.DUMMYFUNCTION("""COMPUTED_VALUE"""),"DANANG BAYU TRANGGONO")</f>
        <v>DANANG BAYU TRANGGONO</v>
      </c>
      <c r="C1654" s="3" t="str">
        <f>IFERROR(__xludf.DUMMYFUNCTION("""COMPUTED_VALUE"""),"D9024082492")</f>
        <v>D9024082492</v>
      </c>
      <c r="D1654" s="3">
        <f>IFERROR(__xludf.DUMMYFUNCTION("""COMPUTED_VALUE"""),36.0)</f>
        <v>36</v>
      </c>
      <c r="E1654" s="1"/>
    </row>
    <row r="1655">
      <c r="A1655" s="1"/>
      <c r="B1655" s="3" t="str">
        <f>IFERROR(__xludf.DUMMYFUNCTION("""COMPUTED_VALUE"""),"SUTAN RAIHAN ALIFRYAN")</f>
        <v>SUTAN RAIHAN ALIFRYAN</v>
      </c>
      <c r="C1655" s="3" t="str">
        <f>IFERROR(__xludf.DUMMYFUNCTION("""COMPUTED_VALUE"""),"S0724088254")</f>
        <v>S0724088254</v>
      </c>
      <c r="D1655" s="3">
        <f>IFERROR(__xludf.DUMMYFUNCTION("""COMPUTED_VALUE"""),19.0)</f>
        <v>19</v>
      </c>
      <c r="E1655" s="1"/>
    </row>
    <row r="1656">
      <c r="A1656" s="1"/>
      <c r="B1656" s="3" t="str">
        <f>IFERROR(__xludf.DUMMYFUNCTION("""COMPUTED_VALUE"""),"DWI ZULFITA")</f>
        <v>DWI ZULFITA</v>
      </c>
      <c r="C1656" s="3" t="str">
        <f>IFERROR(__xludf.DUMMYFUNCTION("""COMPUTED_VALUE"""),"D8624089243")</f>
        <v>D8624089243</v>
      </c>
      <c r="D1656" s="3">
        <f>IFERROR(__xludf.DUMMYFUNCTION("""COMPUTED_VALUE"""),39.0)</f>
        <v>39</v>
      </c>
      <c r="E1656" s="1"/>
    </row>
    <row r="1657">
      <c r="A1657" s="1"/>
      <c r="B1657" s="3" t="str">
        <f>IFERROR(__xludf.DUMMYFUNCTION("""COMPUTED_VALUE"""),"NOVIANTY")</f>
        <v>NOVIANTY</v>
      </c>
      <c r="C1657" s="3" t="str">
        <f>IFERROR(__xludf.DUMMYFUNCTION("""COMPUTED_VALUE"""),"N8424083002")</f>
        <v>N8424083002</v>
      </c>
      <c r="D1657" s="3">
        <f>IFERROR(__xludf.DUMMYFUNCTION("""COMPUTED_VALUE"""),41.0)</f>
        <v>41</v>
      </c>
      <c r="E1657" s="1"/>
    </row>
    <row r="1658">
      <c r="A1658" s="1"/>
      <c r="B1658" s="3" t="str">
        <f>IFERROR(__xludf.DUMMYFUNCTION("""COMPUTED_VALUE"""),"HENGKY PINGGANG")</f>
        <v>HENGKY PINGGANG</v>
      </c>
      <c r="C1658" s="3" t="str">
        <f>IFERROR(__xludf.DUMMYFUNCTION("""COMPUTED_VALUE"""),"H7924082626")</f>
        <v>H7924082626</v>
      </c>
      <c r="D1658" s="3">
        <f>IFERROR(__xludf.DUMMYFUNCTION("""COMPUTED_VALUE"""),46.0)</f>
        <v>46</v>
      </c>
      <c r="E1658" s="1"/>
    </row>
    <row r="1659">
      <c r="A1659" s="1"/>
      <c r="B1659" s="3" t="str">
        <f>IFERROR(__xludf.DUMMYFUNCTION("""COMPUTED_VALUE"""),"OPIC ADRIANSYAH")</f>
        <v>OPIC ADRIANSYAH</v>
      </c>
      <c r="C1659" s="3" t="str">
        <f>IFERROR(__xludf.DUMMYFUNCTION("""COMPUTED_VALUE"""),"O0624098314")</f>
        <v>O0624098314</v>
      </c>
      <c r="D1659" s="3">
        <f>IFERROR(__xludf.DUMMYFUNCTION("""COMPUTED_VALUE"""),20.0)</f>
        <v>20</v>
      </c>
      <c r="E1659" s="1"/>
    </row>
    <row r="1660">
      <c r="A1660" s="1"/>
      <c r="B1660" s="3" t="str">
        <f>IFERROR(__xludf.DUMMYFUNCTION("""COMPUTED_VALUE"""),"DELSY KARINZA PUTA")</f>
        <v>DELSY KARINZA PUTA</v>
      </c>
      <c r="C1660" s="3" t="str">
        <f>IFERROR(__xludf.DUMMYFUNCTION("""COMPUTED_VALUE"""),"D0024096983")</f>
        <v>D0024096983</v>
      </c>
      <c r="D1660" s="3">
        <f>IFERROR(__xludf.DUMMYFUNCTION("""COMPUTED_VALUE"""),26.0)</f>
        <v>26</v>
      </c>
      <c r="E1660" s="1"/>
    </row>
    <row r="1661">
      <c r="A1661" s="1"/>
      <c r="B1661" s="3" t="str">
        <f>IFERROR(__xludf.DUMMYFUNCTION("""COMPUTED_VALUE"""),"REINALDO DEDE PUTRA")</f>
        <v>REINALDO DEDE PUTRA</v>
      </c>
      <c r="C1661" s="3" t="str">
        <f>IFERROR(__xludf.DUMMYFUNCTION("""COMPUTED_VALUE"""),"R0424094609")</f>
        <v>R0424094609</v>
      </c>
      <c r="D1661" s="3">
        <f>IFERROR(__xludf.DUMMYFUNCTION("""COMPUTED_VALUE"""),22.0)</f>
        <v>22</v>
      </c>
      <c r="E1661" s="1"/>
    </row>
    <row r="1662">
      <c r="A1662" s="1"/>
      <c r="B1662" s="3" t="str">
        <f>IFERROR(__xludf.DUMMYFUNCTION("""COMPUTED_VALUE"""),"NENENG SUNDARI")</f>
        <v>NENENG SUNDARI</v>
      </c>
      <c r="C1662" s="3" t="str">
        <f>IFERROR(__xludf.DUMMYFUNCTION("""COMPUTED_VALUE"""),"N7224091197")</f>
        <v>N7224091197</v>
      </c>
      <c r="D1662" s="3">
        <f>IFERROR(__xludf.DUMMYFUNCTION("""COMPUTED_VALUE"""),53.0)</f>
        <v>53</v>
      </c>
      <c r="E1662" s="1"/>
    </row>
    <row r="1663">
      <c r="A1663" s="1"/>
      <c r="B1663" s="3" t="str">
        <f>IFERROR(__xludf.DUMMYFUNCTION("""COMPUTED_VALUE"""),"FATRUHAFID")</f>
        <v>FATRUHAFID</v>
      </c>
      <c r="C1663" s="3" t="str">
        <f>IFERROR(__xludf.DUMMYFUNCTION("""COMPUTED_VALUE"""),"F8924095341")</f>
        <v>F8924095341</v>
      </c>
      <c r="D1663" s="3">
        <f>IFERROR(__xludf.DUMMYFUNCTION("""COMPUTED_VALUE"""),36.0)</f>
        <v>36</v>
      </c>
      <c r="E1663" s="1"/>
    </row>
    <row r="1664">
      <c r="A1664" s="1"/>
      <c r="B1664" s="3" t="str">
        <f>IFERROR(__xludf.DUMMYFUNCTION("""COMPUTED_VALUE"""),"FEBERLINDA PURBA")</f>
        <v>FEBERLINDA PURBA</v>
      </c>
      <c r="C1664" s="3" t="str">
        <f>IFERROR(__xludf.DUMMYFUNCTION("""COMPUTED_VALUE"""),"F7424099974")</f>
        <v>F7424099974</v>
      </c>
      <c r="D1664" s="3">
        <f>IFERROR(__xludf.DUMMYFUNCTION("""COMPUTED_VALUE"""),52.0)</f>
        <v>52</v>
      </c>
      <c r="E1664" s="1"/>
    </row>
    <row r="1665">
      <c r="A1665" s="1"/>
      <c r="B1665" s="3" t="str">
        <f>IFERROR(__xludf.DUMMYFUNCTION("""COMPUTED_VALUE"""),"ERWANSYAH")</f>
        <v>ERWANSYAH</v>
      </c>
      <c r="C1665" s="3" t="str">
        <f>IFERROR(__xludf.DUMMYFUNCTION("""COMPUTED_VALUE"""),"E8624096655")</f>
        <v>E8624096655</v>
      </c>
      <c r="D1665" s="3">
        <f>IFERROR(__xludf.DUMMYFUNCTION("""COMPUTED_VALUE"""),40.0)</f>
        <v>40</v>
      </c>
      <c r="E1665" s="1"/>
    </row>
    <row r="1666">
      <c r="A1666" s="1"/>
      <c r="B1666" s="3" t="str">
        <f>IFERROR(__xludf.DUMMYFUNCTION("""COMPUTED_VALUE"""),"ABQARY RAFFA PRAMANA")</f>
        <v>ABQARY RAFFA PRAMANA</v>
      </c>
      <c r="C1666" s="3" t="str">
        <f>IFERROR(__xludf.DUMMYFUNCTION("""COMPUTED_VALUE"""),"A1024090212")</f>
        <v>A1024090212</v>
      </c>
      <c r="D1666" s="3">
        <f>IFERROR(__xludf.DUMMYFUNCTION("""COMPUTED_VALUE"""),16.0)</f>
        <v>16</v>
      </c>
      <c r="E1666" s="1"/>
    </row>
    <row r="1667">
      <c r="A1667" s="1"/>
      <c r="B1667" s="3" t="str">
        <f>IFERROR(__xludf.DUMMYFUNCTION("""COMPUTED_VALUE"""),"M. MALIK AL-FAJRI")</f>
        <v>M. MALIK AL-FAJRI</v>
      </c>
      <c r="C1667" s="3" t="str">
        <f>IFERROR(__xludf.DUMMYFUNCTION("""COMPUTED_VALUE"""),"M1124091600")</f>
        <v>M1124091600</v>
      </c>
      <c r="D1667" s="3">
        <f>IFERROR(__xludf.DUMMYFUNCTION("""COMPUTED_VALUE"""),15.0)</f>
        <v>15</v>
      </c>
      <c r="E1667" s="1"/>
    </row>
    <row r="1668">
      <c r="A1668" s="1"/>
      <c r="B1668" s="3" t="str">
        <f>IFERROR(__xludf.DUMMYFUNCTION("""COMPUTED_VALUE"""),"AEIRA SABILLAH AGRI TRIYANTI")</f>
        <v>AEIRA SABILLAH AGRI TRIYANTI</v>
      </c>
      <c r="C1668" s="3" t="str">
        <f>IFERROR(__xludf.DUMMYFUNCTION("""COMPUTED_VALUE"""),"A0824098041")</f>
        <v>A0824098041</v>
      </c>
      <c r="D1668" s="3">
        <f>IFERROR(__xludf.DUMMYFUNCTION("""COMPUTED_VALUE"""),17.0)</f>
        <v>17</v>
      </c>
      <c r="E1668" s="1"/>
    </row>
    <row r="1669">
      <c r="A1669" s="1"/>
      <c r="B1669" s="3" t="str">
        <f>IFERROR(__xludf.DUMMYFUNCTION("""COMPUTED_VALUE"""),"AHMAD FATHU ROJI")</f>
        <v>AHMAD FATHU ROJI</v>
      </c>
      <c r="C1669" s="3" t="str">
        <f>IFERROR(__xludf.DUMMYFUNCTION("""COMPUTED_VALUE"""),"A0024096054")</f>
        <v>A0024096054</v>
      </c>
      <c r="D1669" s="3">
        <f>IFERROR(__xludf.DUMMYFUNCTION("""COMPUTED_VALUE"""),26.0)</f>
        <v>26</v>
      </c>
      <c r="E1669" s="1"/>
    </row>
    <row r="1670">
      <c r="A1670" s="1"/>
      <c r="B1670" s="3" t="str">
        <f>IFERROR(__xludf.DUMMYFUNCTION("""COMPUTED_VALUE"""),"WINDA EVELUN")</f>
        <v>WINDA EVELUN</v>
      </c>
      <c r="C1670" s="3" t="str">
        <f>IFERROR(__xludf.DUMMYFUNCTION("""COMPUTED_VALUE"""),"W8924098998")</f>
        <v>W8924098998</v>
      </c>
      <c r="D1670" s="3">
        <f>IFERROR(__xludf.DUMMYFUNCTION("""COMPUTED_VALUE"""),37.0)</f>
        <v>37</v>
      </c>
      <c r="E1670" s="1"/>
    </row>
    <row r="1671">
      <c r="A1671" s="1"/>
      <c r="B1671" s="3" t="str">
        <f>IFERROR(__xludf.DUMMYFUNCTION("""COMPUTED_VALUE"""),"HO HIAN KI")</f>
        <v>HO HIAN KI</v>
      </c>
      <c r="C1671" s="3" t="str">
        <f>IFERROR(__xludf.DUMMYFUNCTION("""COMPUTED_VALUE"""),"H5024091565")</f>
        <v>H5024091565</v>
      </c>
      <c r="D1671" s="3">
        <f>IFERROR(__xludf.DUMMYFUNCTION("""COMPUTED_VALUE"""),75.0)</f>
        <v>75</v>
      </c>
      <c r="E1671" s="1"/>
    </row>
    <row r="1672">
      <c r="A1672" s="1"/>
      <c r="B1672" s="3" t="str">
        <f>IFERROR(__xludf.DUMMYFUNCTION("""COMPUTED_VALUE"""),"LISA")</f>
        <v>LISA</v>
      </c>
      <c r="C1672" s="3" t="str">
        <f>IFERROR(__xludf.DUMMYFUNCTION("""COMPUTED_VALUE"""),"L0624097337")</f>
        <v>L0624097337</v>
      </c>
      <c r="D1672" s="3">
        <f>IFERROR(__xludf.DUMMYFUNCTION("""COMPUTED_VALUE"""),19.0)</f>
        <v>19</v>
      </c>
      <c r="E1672" s="1"/>
    </row>
    <row r="1673">
      <c r="A1673" s="1"/>
      <c r="B1673" s="3" t="str">
        <f>IFERROR(__xludf.DUMMYFUNCTION("""COMPUTED_VALUE"""),"MEDIANA")</f>
        <v>MEDIANA</v>
      </c>
      <c r="C1673" s="3" t="str">
        <f>IFERROR(__xludf.DUMMYFUNCTION("""COMPUTED_VALUE"""),"M8624092030")</f>
        <v>M8624092030</v>
      </c>
      <c r="D1673" s="3">
        <f>IFERROR(__xludf.DUMMYFUNCTION("""COMPUTED_VALUE"""),39.0)</f>
        <v>39</v>
      </c>
      <c r="E1673" s="1"/>
    </row>
    <row r="1674">
      <c r="A1674" s="1"/>
      <c r="B1674" s="3" t="str">
        <f>IFERROR(__xludf.DUMMYFUNCTION("""COMPUTED_VALUE"""),"SUSAN BAHU")</f>
        <v>SUSAN BAHU</v>
      </c>
      <c r="C1674" s="3" t="str">
        <f>IFERROR(__xludf.DUMMYFUNCTION("""COMPUTED_VALUE"""),"S8324092435")</f>
        <v>S8324092435</v>
      </c>
      <c r="D1674" s="3">
        <f>IFERROR(__xludf.DUMMYFUNCTION("""COMPUTED_VALUE"""),43.0)</f>
        <v>43</v>
      </c>
      <c r="E1674" s="1"/>
    </row>
    <row r="1675">
      <c r="A1675" s="1"/>
      <c r="B1675" s="3" t="str">
        <f>IFERROR(__xludf.DUMMYFUNCTION("""COMPUTED_VALUE"""),"VIVI SUSANTI")</f>
        <v>VIVI SUSANTI</v>
      </c>
      <c r="C1675" s="3" t="str">
        <f>IFERROR(__xludf.DUMMYFUNCTION("""COMPUTED_VALUE"""),"V8824092657")</f>
        <v>V8824092657</v>
      </c>
      <c r="D1675" s="3">
        <f>IFERROR(__xludf.DUMMYFUNCTION("""COMPUTED_VALUE"""),38.0)</f>
        <v>38</v>
      </c>
      <c r="E1675" s="1"/>
    </row>
    <row r="1676">
      <c r="A1676" s="1"/>
      <c r="B1676" s="3" t="str">
        <f>IFERROR(__xludf.DUMMYFUNCTION("""COMPUTED_VALUE"""),"ISKANDAR 7512")</f>
        <v>ISKANDAR 7512</v>
      </c>
      <c r="C1676" s="3" t="str">
        <f>IFERROR(__xludf.DUMMYFUNCTION("""COMPUTED_VALUE"""),"I7524093781")</f>
        <v>I7524093781</v>
      </c>
      <c r="D1676" s="3">
        <f>IFERROR(__xludf.DUMMYFUNCTION("""COMPUTED_VALUE"""),50.0)</f>
        <v>50</v>
      </c>
      <c r="E1676" s="1"/>
    </row>
    <row r="1677">
      <c r="A1677" s="1"/>
      <c r="B1677" s="3" t="str">
        <f>IFERROR(__xludf.DUMMYFUNCTION("""COMPUTED_VALUE"""),"KALSUM")</f>
        <v>KALSUM</v>
      </c>
      <c r="C1677" s="3" t="str">
        <f>IFERROR(__xludf.DUMMYFUNCTION("""COMPUTED_VALUE"""),"K5724099990")</f>
        <v>K5724099990</v>
      </c>
      <c r="D1677" s="3">
        <f>IFERROR(__xludf.DUMMYFUNCTION("""COMPUTED_VALUE"""),68.0)</f>
        <v>68</v>
      </c>
      <c r="E1677" s="1"/>
    </row>
    <row r="1678">
      <c r="A1678" s="1"/>
      <c r="B1678" s="3" t="str">
        <f>IFERROR(__xludf.DUMMYFUNCTION("""COMPUTED_VALUE"""),"ELISABET NETTY")</f>
        <v>ELISABET NETTY</v>
      </c>
      <c r="C1678" s="3" t="str">
        <f>IFERROR(__xludf.DUMMYFUNCTION("""COMPUTED_VALUE"""),"E6924096234")</f>
        <v>E6924096234</v>
      </c>
      <c r="D1678" s="3">
        <f>IFERROR(__xludf.DUMMYFUNCTION("""COMPUTED_VALUE"""),56.0)</f>
        <v>56</v>
      </c>
      <c r="E1678" s="1"/>
    </row>
    <row r="1679">
      <c r="A1679" s="1"/>
      <c r="B1679" s="3" t="str">
        <f>IFERROR(__xludf.DUMMYFUNCTION("""COMPUTED_VALUE"""),"ARIF IFRAN NGALIMAN")</f>
        <v>ARIF IFRAN NGALIMAN</v>
      </c>
      <c r="C1679" s="3" t="str">
        <f>IFERROR(__xludf.DUMMYFUNCTION("""COMPUTED_VALUE"""),"A9424090524")</f>
        <v>A9424090524</v>
      </c>
      <c r="D1679" s="3">
        <f>IFERROR(__xludf.DUMMYFUNCTION("""COMPUTED_VALUE"""),31.0)</f>
        <v>31</v>
      </c>
      <c r="E1679" s="1"/>
    </row>
    <row r="1680">
      <c r="A1680" s="1"/>
      <c r="B1680" s="3" t="str">
        <f>IFERROR(__xludf.DUMMYFUNCTION("""COMPUTED_VALUE"""),"YAU SIANG")</f>
        <v>YAU SIANG</v>
      </c>
      <c r="C1680" s="3" t="str">
        <f>IFERROR(__xludf.DUMMYFUNCTION("""COMPUTED_VALUE"""),"Y8824092626")</f>
        <v>Y8824092626</v>
      </c>
      <c r="D1680" s="3">
        <f>IFERROR(__xludf.DUMMYFUNCTION("""COMPUTED_VALUE"""),38.0)</f>
        <v>38</v>
      </c>
      <c r="E1680" s="1"/>
    </row>
    <row r="1681">
      <c r="A1681" s="1"/>
      <c r="B1681" s="3" t="str">
        <f>IFERROR(__xludf.DUMMYFUNCTION("""COMPUTED_VALUE"""),"RENALDI PUTRA MARSELTYO")</f>
        <v>RENALDI PUTRA MARSELTYO</v>
      </c>
      <c r="C1681" s="3" t="str">
        <f>IFERROR(__xludf.DUMMYFUNCTION("""COMPUTED_VALUE"""),"R0524098236")</f>
        <v>R0524098236</v>
      </c>
      <c r="D1681" s="3">
        <f>IFERROR(__xludf.DUMMYFUNCTION("""COMPUTED_VALUE"""),21.0)</f>
        <v>21</v>
      </c>
      <c r="E1681" s="1"/>
    </row>
    <row r="1682">
      <c r="A1682" s="1"/>
      <c r="B1682" s="3" t="str">
        <f>IFERROR(__xludf.DUMMYFUNCTION("""COMPUTED_VALUE"""),"MUYES")</f>
        <v>MUYES</v>
      </c>
      <c r="C1682" s="3" t="str">
        <f>IFERROR(__xludf.DUMMYFUNCTION("""COMPUTED_VALUE"""),"M6024090699")</f>
        <v>M6024090699</v>
      </c>
      <c r="D1682" s="3">
        <f>IFERROR(__xludf.DUMMYFUNCTION("""COMPUTED_VALUE"""),66.0)</f>
        <v>66</v>
      </c>
      <c r="E1682" s="1"/>
    </row>
    <row r="1683">
      <c r="A1683" s="1"/>
      <c r="B1683" s="3" t="str">
        <f>IFERROR(__xludf.DUMMYFUNCTION("""COMPUTED_VALUE"""),"KLAUDIUS DEO")</f>
        <v>KLAUDIUS DEO</v>
      </c>
      <c r="C1683" s="3" t="str">
        <f>IFERROR(__xludf.DUMMYFUNCTION("""COMPUTED_VALUE"""),"K0424094556")</f>
        <v>K0424094556</v>
      </c>
      <c r="D1683" s="3">
        <f>IFERROR(__xludf.DUMMYFUNCTION("""COMPUTED_VALUE"""),22.0)</f>
        <v>22</v>
      </c>
      <c r="E1683" s="1"/>
    </row>
    <row r="1684">
      <c r="A1684" s="1"/>
      <c r="B1684" s="3" t="str">
        <f>IFERROR(__xludf.DUMMYFUNCTION("""COMPUTED_VALUE"""),"BAMBANG WIJIANTO")</f>
        <v>BAMBANG WIJIANTO</v>
      </c>
      <c r="C1684" s="3" t="str">
        <f>IFERROR(__xludf.DUMMYFUNCTION("""COMPUTED_VALUE"""),"B8424095588")</f>
        <v>B8424095588</v>
      </c>
      <c r="D1684" s="3">
        <f>IFERROR(__xludf.DUMMYFUNCTION("""COMPUTED_VALUE"""),41.0)</f>
        <v>41</v>
      </c>
      <c r="E1684" s="1"/>
    </row>
    <row r="1685">
      <c r="A1685" s="1"/>
      <c r="B1685" s="3" t="str">
        <f>IFERROR(__xludf.DUMMYFUNCTION("""COMPUTED_VALUE"""),"LIATRIYANI")</f>
        <v>LIATRIYANI</v>
      </c>
      <c r="C1685" s="3" t="str">
        <f>IFERROR(__xludf.DUMMYFUNCTION("""COMPUTED_VALUE"""),"L0124091962")</f>
        <v>L0124091962</v>
      </c>
      <c r="D1685" s="3">
        <f>IFERROR(__xludf.DUMMYFUNCTION("""COMPUTED_VALUE"""),25.0)</f>
        <v>25</v>
      </c>
      <c r="E1685" s="1"/>
    </row>
    <row r="1686">
      <c r="A1686" s="1"/>
      <c r="B1686" s="3" t="str">
        <f>IFERROR(__xludf.DUMMYFUNCTION("""COMPUTED_VALUE"""),"HIAGIANTARA FERNANDA")</f>
        <v>HIAGIANTARA FERNANDA</v>
      </c>
      <c r="C1686" s="3" t="str">
        <f>IFERROR(__xludf.DUMMYFUNCTION("""COMPUTED_VALUE"""),"H9024091923")</f>
        <v>H9024091923</v>
      </c>
      <c r="D1686" s="3">
        <f>IFERROR(__xludf.DUMMYFUNCTION("""COMPUTED_VALUE"""),36.0)</f>
        <v>36</v>
      </c>
      <c r="E1686" s="1"/>
    </row>
    <row r="1687">
      <c r="A1687" s="1"/>
      <c r="B1687" s="3" t="str">
        <f>IFERROR(__xludf.DUMMYFUNCTION("""COMPUTED_VALUE"""),"TAUFIK NUR FITRIANTO")</f>
        <v>TAUFIK NUR FITRIANTO</v>
      </c>
      <c r="C1687" s="3" t="str">
        <f>IFERROR(__xludf.DUMMYFUNCTION("""COMPUTED_VALUE"""),"T9424090333")</f>
        <v>T9424090333</v>
      </c>
      <c r="D1687" s="3">
        <f>IFERROR(__xludf.DUMMYFUNCTION("""COMPUTED_VALUE"""),32.0)</f>
        <v>32</v>
      </c>
      <c r="E1687" s="1"/>
    </row>
    <row r="1688">
      <c r="A1688" s="1"/>
      <c r="B1688" s="3" t="str">
        <f>IFERROR(__xludf.DUMMYFUNCTION("""COMPUTED_VALUE"""),"ANASTASIA")</f>
        <v>ANASTASIA</v>
      </c>
      <c r="C1688" s="3" t="str">
        <f>IFERROR(__xludf.DUMMYFUNCTION("""COMPUTED_VALUE"""),"A6424098891")</f>
        <v>A6424098891</v>
      </c>
      <c r="D1688" s="3">
        <f>IFERROR(__xludf.DUMMYFUNCTION("""COMPUTED_VALUE"""),61.0)</f>
        <v>61</v>
      </c>
      <c r="E1688" s="1"/>
    </row>
    <row r="1689">
      <c r="A1689" s="1"/>
      <c r="B1689" s="3" t="str">
        <f>IFERROR(__xludf.DUMMYFUNCTION("""COMPUTED_VALUE"""),"MOH. HILMAN ZAKIRI")</f>
        <v>MOH. HILMAN ZAKIRI</v>
      </c>
      <c r="C1689" s="3" t="str">
        <f>IFERROR(__xludf.DUMMYFUNCTION("""COMPUTED_VALUE"""),"M9224097571")</f>
        <v>M9224097571</v>
      </c>
      <c r="D1689" s="3">
        <f>IFERROR(__xludf.DUMMYFUNCTION("""COMPUTED_VALUE"""),34.0)</f>
        <v>34</v>
      </c>
      <c r="E1689" s="1"/>
    </row>
    <row r="1690">
      <c r="A1690" s="1"/>
      <c r="B1690" s="3" t="str">
        <f>IFERROR(__xludf.DUMMYFUNCTION("""COMPUTED_VALUE"""),"LARASATI ERMA FEBRANINGRUM")</f>
        <v>LARASATI ERMA FEBRANINGRUM</v>
      </c>
      <c r="C1690" s="3" t="str">
        <f>IFERROR(__xludf.DUMMYFUNCTION("""COMPUTED_VALUE"""),"L9824098428")</f>
        <v>L9824098428</v>
      </c>
      <c r="D1690" s="3">
        <f>IFERROR(__xludf.DUMMYFUNCTION("""COMPUTED_VALUE"""),28.0)</f>
        <v>28</v>
      </c>
      <c r="E1690" s="1"/>
    </row>
    <row r="1691">
      <c r="A1691" s="1"/>
      <c r="B1691" s="3" t="str">
        <f>IFERROR(__xludf.DUMMYFUNCTION("""COMPUTED_VALUE"""),"ENDANG MASRONI")</f>
        <v>ENDANG MASRONI</v>
      </c>
      <c r="C1691" s="3" t="str">
        <f>IFERROR(__xludf.DUMMYFUNCTION("""COMPUTED_VALUE"""),"E6824099926")</f>
        <v>E6824099926</v>
      </c>
      <c r="D1691" s="3">
        <f>IFERROR(__xludf.DUMMYFUNCTION("""COMPUTED_VALUE"""),57.0)</f>
        <v>57</v>
      </c>
      <c r="E1691" s="1"/>
    </row>
    <row r="1692">
      <c r="A1692" s="1"/>
      <c r="B1692" s="3" t="str">
        <f>IFERROR(__xludf.DUMMYFUNCTION("""COMPUTED_VALUE"""),"EDY SUMANTO")</f>
        <v>EDY SUMANTO</v>
      </c>
      <c r="C1692" s="3" t="str">
        <f>IFERROR(__xludf.DUMMYFUNCTION("""COMPUTED_VALUE"""),"E9024090888")</f>
        <v>E9024090888</v>
      </c>
      <c r="D1692" s="3">
        <f>IFERROR(__xludf.DUMMYFUNCTION("""COMPUTED_VALUE"""),1937.0)</f>
        <v>1937</v>
      </c>
      <c r="E1692" s="1"/>
    </row>
    <row r="1693">
      <c r="A1693" s="1"/>
      <c r="B1693" s="3" t="str">
        <f>IFERROR(__xludf.DUMMYFUNCTION("""COMPUTED_VALUE"""),"HENGKI KURNIAWAN")</f>
        <v>HENGKI KURNIAWAN</v>
      </c>
      <c r="C1693" s="3" t="str">
        <f>IFERROR(__xludf.DUMMYFUNCTION("""COMPUTED_VALUE"""),"H9624094749")</f>
        <v>H9624094749</v>
      </c>
      <c r="D1693" s="3">
        <f>IFERROR(__xludf.DUMMYFUNCTION("""COMPUTED_VALUE"""),30.0)</f>
        <v>30</v>
      </c>
      <c r="E1693" s="1"/>
    </row>
    <row r="1694">
      <c r="A1694" s="1"/>
      <c r="B1694" s="3" t="str">
        <f>IFERROR(__xludf.DUMMYFUNCTION("""COMPUTED_VALUE"""),"CORDELIA QUEENNA LAI")</f>
        <v>CORDELIA QUEENNA LAI</v>
      </c>
      <c r="C1694" s="3" t="str">
        <f>IFERROR(__xludf.DUMMYFUNCTION("""COMPUTED_VALUE"""),"C0324094226")</f>
        <v>C0324094226</v>
      </c>
      <c r="D1694" s="3">
        <f>IFERROR(__xludf.DUMMYFUNCTION("""COMPUTED_VALUE"""),22.0)</f>
        <v>22</v>
      </c>
      <c r="E1694" s="1"/>
    </row>
    <row r="1695">
      <c r="A1695" s="1"/>
      <c r="B1695" s="3" t="str">
        <f>IFERROR(__xludf.DUMMYFUNCTION("""COMPUTED_VALUE"""),"LATIFAH")</f>
        <v>LATIFAH</v>
      </c>
      <c r="C1695" s="3" t="str">
        <f>IFERROR(__xludf.DUMMYFUNCTION("""COMPUTED_VALUE"""),"L6824098333")</f>
        <v>L6824098333</v>
      </c>
      <c r="D1695" s="3">
        <f>IFERROR(__xludf.DUMMYFUNCTION("""COMPUTED_VALUE"""),57.0)</f>
        <v>57</v>
      </c>
      <c r="E1695" s="1"/>
    </row>
    <row r="1696">
      <c r="A1696" s="1"/>
      <c r="B1696" s="3" t="str">
        <f>IFERROR(__xludf.DUMMYFUNCTION("""COMPUTED_VALUE"""),"TURMIATI")</f>
        <v>TURMIATI</v>
      </c>
      <c r="C1696" s="3" t="str">
        <f>IFERROR(__xludf.DUMMYFUNCTION("""COMPUTED_VALUE"""),"T7124094030")</f>
        <v>T7124094030</v>
      </c>
      <c r="D1696" s="3">
        <f>IFERROR(__xludf.DUMMYFUNCTION("""COMPUTED_VALUE"""),54.0)</f>
        <v>54</v>
      </c>
      <c r="E1696" s="1"/>
    </row>
    <row r="1697">
      <c r="A1697" s="1"/>
      <c r="B1697" s="3" t="str">
        <f>IFERROR(__xludf.DUMMYFUNCTION("""COMPUTED_VALUE"""),"HIZKIA SHANDIKA GABRIEL")</f>
        <v>HIZKIA SHANDIKA GABRIEL</v>
      </c>
      <c r="C1697" s="3" t="str">
        <f>IFERROR(__xludf.DUMMYFUNCTION("""COMPUTED_VALUE"""),"H0624094112")</f>
        <v>H0624094112</v>
      </c>
      <c r="D1697" s="3">
        <f>IFERROR(__xludf.DUMMYFUNCTION("""COMPUTED_VALUE"""),19.0)</f>
        <v>19</v>
      </c>
      <c r="E1697" s="1"/>
    </row>
    <row r="1698">
      <c r="A1698" s="1"/>
      <c r="B1698" s="3" t="str">
        <f>IFERROR(__xludf.DUMMYFUNCTION("""COMPUTED_VALUE"""),"RIDWANSYAH WD")</f>
        <v>RIDWANSYAH WD</v>
      </c>
      <c r="C1698" s="3" t="str">
        <f>IFERROR(__xludf.DUMMYFUNCTION("""COMPUTED_VALUE"""),"R8324091505")</f>
        <v>R8324091505</v>
      </c>
      <c r="D1698" s="3">
        <f>IFERROR(__xludf.DUMMYFUNCTION("""COMPUTED_VALUE"""),42.0)</f>
        <v>42</v>
      </c>
      <c r="E1698" s="1"/>
    </row>
    <row r="1699">
      <c r="A1699" s="1"/>
      <c r="B1699" s="3" t="str">
        <f>IFERROR(__xludf.DUMMYFUNCTION("""COMPUTED_VALUE"""),"SUMIATI SUTONO")</f>
        <v>SUMIATI SUTONO</v>
      </c>
      <c r="C1699" s="3" t="str">
        <f>IFERROR(__xludf.DUMMYFUNCTION("""COMPUTED_VALUE"""),"S6424093373")</f>
        <v>S6424093373</v>
      </c>
      <c r="D1699" s="3">
        <f>IFERROR(__xludf.DUMMYFUNCTION("""COMPUTED_VALUE"""),61.0)</f>
        <v>61</v>
      </c>
      <c r="E1699" s="1"/>
    </row>
    <row r="1700">
      <c r="A1700" s="1"/>
      <c r="B1700" s="3" t="str">
        <f>IFERROR(__xludf.DUMMYFUNCTION("""COMPUTED_VALUE"""),"MIRACLLE FREDI")</f>
        <v>MIRACLLE FREDI</v>
      </c>
      <c r="C1700" s="3" t="str">
        <f>IFERROR(__xludf.DUMMYFUNCTION("""COMPUTED_VALUE"""),"M9824096777")</f>
        <v>M9824096777</v>
      </c>
      <c r="D1700" s="3">
        <f>IFERROR(__xludf.DUMMYFUNCTION("""COMPUTED_VALUE"""),27.0)</f>
        <v>27</v>
      </c>
      <c r="E1700" s="1"/>
    </row>
    <row r="1701">
      <c r="A1701" s="1"/>
      <c r="B1701" s="3" t="str">
        <f>IFERROR(__xludf.DUMMYFUNCTION("""COMPUTED_VALUE"""),"IBNU HABIB SHETA ADHIPRAYA")</f>
        <v>IBNU HABIB SHETA ADHIPRAYA</v>
      </c>
      <c r="C1701" s="3" t="str">
        <f>IFERROR(__xludf.DUMMYFUNCTION("""COMPUTED_VALUE"""),"I0424090618")</f>
        <v>I0424090618</v>
      </c>
      <c r="D1701" s="3">
        <f>IFERROR(__xludf.DUMMYFUNCTION("""COMPUTED_VALUE"""),21.0)</f>
        <v>21</v>
      </c>
      <c r="E1701" s="1"/>
    </row>
    <row r="1702">
      <c r="A1702" s="1"/>
      <c r="B1702" s="3" t="str">
        <f>IFERROR(__xludf.DUMMYFUNCTION("""COMPUTED_VALUE"""),"MAULIANDRA ALVARO KURNIAWAN")</f>
        <v>MAULIANDRA ALVARO KURNIAWAN</v>
      </c>
      <c r="C1702" s="3" t="str">
        <f>IFERROR(__xludf.DUMMYFUNCTION("""COMPUTED_VALUE"""),"M1124090767")</f>
        <v>M1124090767</v>
      </c>
      <c r="D1702" s="3">
        <f>IFERROR(__xludf.DUMMYFUNCTION("""COMPUTED_VALUE"""),15.0)</f>
        <v>15</v>
      </c>
      <c r="E1702" s="1"/>
    </row>
    <row r="1703">
      <c r="A1703" s="1"/>
      <c r="B1703" s="3" t="str">
        <f>IFERROR(__xludf.DUMMYFUNCTION("""COMPUTED_VALUE"""),"RENDI SUPIYANTO")</f>
        <v>RENDI SUPIYANTO</v>
      </c>
      <c r="C1703" s="3" t="str">
        <f>IFERROR(__xludf.DUMMYFUNCTION("""COMPUTED_VALUE"""),"R0424090842")</f>
        <v>R0424090842</v>
      </c>
      <c r="D1703" s="3">
        <f>IFERROR(__xludf.DUMMYFUNCTION("""COMPUTED_VALUE"""),21.0)</f>
        <v>21</v>
      </c>
      <c r="E1703" s="1"/>
    </row>
    <row r="1704">
      <c r="A1704" s="1"/>
      <c r="B1704" s="3" t="str">
        <f>IFERROR(__xludf.DUMMYFUNCTION("""COMPUTED_VALUE"""),"ABDURRACHMAN RIZLEY AL GHIFARI")</f>
        <v>ABDURRACHMAN RIZLEY AL GHIFARI</v>
      </c>
      <c r="C1704" s="3" t="str">
        <f>IFERROR(__xludf.DUMMYFUNCTION("""COMPUTED_VALUE"""),"A1124096060")</f>
        <v>A1124096060</v>
      </c>
      <c r="D1704" s="3">
        <f>IFERROR(__xludf.DUMMYFUNCTION("""COMPUTED_VALUE"""),15.0)</f>
        <v>15</v>
      </c>
      <c r="E1704" s="1"/>
    </row>
    <row r="1705">
      <c r="A1705" s="1"/>
      <c r="B1705" s="3" t="str">
        <f>IFERROR(__xludf.DUMMYFUNCTION("""COMPUTED_VALUE"""),"ADI CHANDRA")</f>
        <v>ADI CHANDRA</v>
      </c>
      <c r="C1705" s="3" t="str">
        <f>IFERROR(__xludf.DUMMYFUNCTION("""COMPUTED_VALUE"""),"A0624097305")</f>
        <v>A0624097305</v>
      </c>
      <c r="D1705" s="3">
        <f>IFERROR(__xludf.DUMMYFUNCTION("""COMPUTED_VALUE"""),20.0)</f>
        <v>20</v>
      </c>
      <c r="E1705" s="1"/>
    </row>
    <row r="1706">
      <c r="A1706" s="1"/>
      <c r="B1706" s="3" t="str">
        <f>IFERROR(__xludf.DUMMYFUNCTION("""COMPUTED_VALUE"""),"MAKPUL SOFWAN")</f>
        <v>MAKPUL SOFWAN</v>
      </c>
      <c r="C1706" s="3" t="str">
        <f>IFERROR(__xludf.DUMMYFUNCTION("""COMPUTED_VALUE"""),"M6524090093")</f>
        <v>M6524090093</v>
      </c>
      <c r="D1706" s="3">
        <f>IFERROR(__xludf.DUMMYFUNCTION("""COMPUTED_VALUE"""),60.0)</f>
        <v>60</v>
      </c>
      <c r="E1706" s="1"/>
    </row>
    <row r="1707">
      <c r="A1707" s="1"/>
      <c r="B1707" s="3" t="str">
        <f>IFERROR(__xludf.DUMMYFUNCTION("""COMPUTED_VALUE"""),"DWI MELANI")</f>
        <v>DWI MELANI</v>
      </c>
      <c r="C1707" s="3" t="str">
        <f>IFERROR(__xludf.DUMMYFUNCTION("""COMPUTED_VALUE"""),"D8224095471")</f>
        <v>D8224095471</v>
      </c>
      <c r="D1707" s="3">
        <f>IFERROR(__xludf.DUMMYFUNCTION("""COMPUTED_VALUE"""),44.0)</f>
        <v>44</v>
      </c>
      <c r="E1707" s="1"/>
    </row>
    <row r="1708">
      <c r="A1708" s="1"/>
      <c r="B1708" s="3" t="str">
        <f>IFERROR(__xludf.DUMMYFUNCTION("""COMPUTED_VALUE"""),"EKA SUNARYA")</f>
        <v>EKA SUNARYA</v>
      </c>
      <c r="C1708" s="3" t="str">
        <f>IFERROR(__xludf.DUMMYFUNCTION("""COMPUTED_VALUE"""),"E9524098006")</f>
        <v>E9524098006</v>
      </c>
      <c r="D1708" s="3">
        <f>IFERROR(__xludf.DUMMYFUNCTION("""COMPUTED_VALUE"""),31.0)</f>
        <v>31</v>
      </c>
      <c r="E1708" s="1"/>
    </row>
    <row r="1709">
      <c r="A1709" s="1"/>
      <c r="B1709" s="3" t="str">
        <f>IFERROR(__xludf.DUMMYFUNCTION("""COMPUTED_VALUE"""),"RIDHO DOSEN")</f>
        <v>RIDHO DOSEN</v>
      </c>
      <c r="C1709" s="3" t="str">
        <f>IFERROR(__xludf.DUMMYFUNCTION("""COMPUTED_VALUE"""),"R9024096527")</f>
        <v>R9024096527</v>
      </c>
      <c r="D1709" s="3">
        <f>IFERROR(__xludf.DUMMYFUNCTION("""COMPUTED_VALUE"""),35.0)</f>
        <v>35</v>
      </c>
      <c r="E1709" s="1"/>
    </row>
    <row r="1710">
      <c r="A1710" s="1"/>
      <c r="B1710" s="3" t="str">
        <f>IFERROR(__xludf.DUMMYFUNCTION("""COMPUTED_VALUE"""),"DIMAS ZAKI DHAIFULLAH")</f>
        <v>DIMAS ZAKI DHAIFULLAH</v>
      </c>
      <c r="C1710" s="3" t="str">
        <f>IFERROR(__xludf.DUMMYFUNCTION("""COMPUTED_VALUE"""),"D0724098341")</f>
        <v>D0724098341</v>
      </c>
      <c r="D1710" s="3">
        <f>IFERROR(__xludf.DUMMYFUNCTION("""COMPUTED_VALUE"""),18.0)</f>
        <v>18</v>
      </c>
      <c r="E1710" s="1"/>
    </row>
    <row r="1711">
      <c r="A1711" s="1"/>
      <c r="B1711" s="3" t="str">
        <f>IFERROR(__xludf.DUMMYFUNCTION("""COMPUTED_VALUE"""),"AGUSTINA")</f>
        <v>AGUSTINA</v>
      </c>
      <c r="C1711" s="3" t="str">
        <f>IFERROR(__xludf.DUMMYFUNCTION("""COMPUTED_VALUE"""),"A6024092004")</f>
        <v>A6024092004</v>
      </c>
      <c r="D1711" s="3">
        <f>IFERROR(__xludf.DUMMYFUNCTION("""COMPUTED_VALUE"""),65.0)</f>
        <v>65</v>
      </c>
      <c r="E1711" s="1"/>
    </row>
    <row r="1712">
      <c r="A1712" s="1"/>
      <c r="B1712" s="3" t="str">
        <f>IFERROR(__xludf.DUMMYFUNCTION("""COMPUTED_VALUE"""),"REZKA YUDHA DN")</f>
        <v>REZKA YUDHA DN</v>
      </c>
      <c r="C1712" s="3" t="str">
        <f>IFERROR(__xludf.DUMMYFUNCTION("""COMPUTED_VALUE"""),"R8824096629")</f>
        <v>R8824096629</v>
      </c>
      <c r="D1712" s="3">
        <f>IFERROR(__xludf.DUMMYFUNCTION("""COMPUTED_VALUE"""),37.0)</f>
        <v>37</v>
      </c>
      <c r="E1712" s="1"/>
    </row>
    <row r="1713">
      <c r="A1713" s="1"/>
      <c r="B1713" s="3" t="str">
        <f>IFERROR(__xludf.DUMMYFUNCTION("""COMPUTED_VALUE"""),"RIDUANSAH")</f>
        <v>RIDUANSAH</v>
      </c>
      <c r="C1713" s="3" t="str">
        <f>IFERROR(__xludf.DUMMYFUNCTION("""COMPUTED_VALUE"""),"R8624098779")</f>
        <v>R8624098779</v>
      </c>
      <c r="D1713" s="3">
        <f>IFERROR(__xludf.DUMMYFUNCTION("""COMPUTED_VALUE"""),39.0)</f>
        <v>39</v>
      </c>
      <c r="E1713" s="1"/>
    </row>
    <row r="1714">
      <c r="A1714" s="1"/>
      <c r="B1714" s="3" t="str">
        <f>IFERROR(__xludf.DUMMYFUNCTION("""COMPUTED_VALUE"""),"CHIA LI FA")</f>
        <v>CHIA LI FA</v>
      </c>
      <c r="C1714" s="3" t="str">
        <f>IFERROR(__xludf.DUMMYFUNCTION("""COMPUTED_VALUE"""),"C7224092673")</f>
        <v>C7224092673</v>
      </c>
      <c r="D1714" s="3">
        <f>IFERROR(__xludf.DUMMYFUNCTION("""COMPUTED_VALUE"""),54.0)</f>
        <v>54</v>
      </c>
      <c r="E1714" s="1"/>
    </row>
    <row r="1715">
      <c r="A1715" s="1"/>
      <c r="B1715" s="3" t="str">
        <f>IFERROR(__xludf.DUMMYFUNCTION("""COMPUTED_VALUE"""),"MAULENI")</f>
        <v>MAULENI</v>
      </c>
      <c r="C1715" s="3" t="str">
        <f>IFERROR(__xludf.DUMMYFUNCTION("""COMPUTED_VALUE"""),"M7824094987")</f>
        <v>M7824094987</v>
      </c>
      <c r="D1715" s="3">
        <f>IFERROR(__xludf.DUMMYFUNCTION("""COMPUTED_VALUE"""),48.0)</f>
        <v>48</v>
      </c>
      <c r="E1715" s="1"/>
    </row>
    <row r="1716">
      <c r="A1716" s="1"/>
      <c r="B1716" s="3" t="str">
        <f>IFERROR(__xludf.DUMMYFUNCTION("""COMPUTED_VALUE"""),"LUTHFI AL-HAKIM HARAHAP")</f>
        <v>LUTHFI AL-HAKIM HARAHAP</v>
      </c>
      <c r="C1716" s="3" t="str">
        <f>IFERROR(__xludf.DUMMYFUNCTION("""COMPUTED_VALUE"""),"L0924090922")</f>
        <v>L0924090922</v>
      </c>
      <c r="D1716" s="3">
        <f>IFERROR(__xludf.DUMMYFUNCTION("""COMPUTED_VALUE"""),16.0)</f>
        <v>16</v>
      </c>
      <c r="E1716" s="1"/>
    </row>
    <row r="1717">
      <c r="A1717" s="1"/>
      <c r="B1717" s="3" t="str">
        <f>IFERROR(__xludf.DUMMYFUNCTION("""COMPUTED_VALUE"""),"RAHMAWATI PINGGANG")</f>
        <v>RAHMAWATI PINGGANG</v>
      </c>
      <c r="C1717" s="3" t="str">
        <f>IFERROR(__xludf.DUMMYFUNCTION("""COMPUTED_VALUE"""),"R0024095355")</f>
        <v>R0024095355</v>
      </c>
      <c r="D1717" s="3">
        <f>IFERROR(__xludf.DUMMYFUNCTION("""COMPUTED_VALUE"""),25.0)</f>
        <v>25</v>
      </c>
      <c r="E1717" s="1"/>
    </row>
    <row r="1718">
      <c r="A1718" s="1"/>
      <c r="B1718" s="3" t="str">
        <f>IFERROR(__xludf.DUMMYFUNCTION("""COMPUTED_VALUE"""),"ANGGORO HASTOMO PUTRA")</f>
        <v>ANGGORO HASTOMO PUTRA</v>
      </c>
      <c r="C1718" s="3" t="str">
        <f>IFERROR(__xludf.DUMMYFUNCTION("""COMPUTED_VALUE"""),"A8724096367")</f>
        <v>A8724096367</v>
      </c>
      <c r="D1718" s="3">
        <f>IFERROR(__xludf.DUMMYFUNCTION("""COMPUTED_VALUE"""),39.0)</f>
        <v>39</v>
      </c>
      <c r="E1718" s="1"/>
    </row>
    <row r="1719">
      <c r="A1719" s="1"/>
      <c r="B1719" s="3" t="str">
        <f>IFERROR(__xludf.DUMMYFUNCTION("""COMPUTED_VALUE"""),"LENTEK")</f>
        <v>LENTEK</v>
      </c>
      <c r="C1719" s="3" t="str">
        <f>IFERROR(__xludf.DUMMYFUNCTION("""COMPUTED_VALUE"""),"L5024093300")</f>
        <v>L5024093300</v>
      </c>
      <c r="D1719" s="3">
        <f>IFERROR(__xludf.DUMMYFUNCTION("""COMPUTED_VALUE"""),76.0)</f>
        <v>76</v>
      </c>
      <c r="E1719" s="1"/>
    </row>
    <row r="1720">
      <c r="A1720" s="1"/>
      <c r="B1720" s="3" t="str">
        <f>IFERROR(__xludf.DUMMYFUNCTION("""COMPUTED_VALUE"""),"AMALIA GIOWINDA ISLAMI")</f>
        <v>AMALIA GIOWINDA ISLAMI</v>
      </c>
      <c r="C1720" s="3" t="str">
        <f>IFERROR(__xludf.DUMMYFUNCTION("""COMPUTED_VALUE"""),"A9524092185")</f>
        <v>A9524092185</v>
      </c>
      <c r="D1720" s="3">
        <f>IFERROR(__xludf.DUMMYFUNCTION("""COMPUTED_VALUE"""),30.0)</f>
        <v>30</v>
      </c>
      <c r="E1720" s="1"/>
    </row>
    <row r="1721">
      <c r="A1721" s="1"/>
      <c r="B1721" s="3" t="str">
        <f>IFERROR(__xludf.DUMMYFUNCTION("""COMPUTED_VALUE"""),"MARSIANA RIKA")</f>
        <v>MARSIANA RIKA</v>
      </c>
      <c r="C1721" s="3" t="str">
        <f>IFERROR(__xludf.DUMMYFUNCTION("""COMPUTED_VALUE"""),"M9324091171")</f>
        <v>M9324091171</v>
      </c>
      <c r="D1721" s="3">
        <f>IFERROR(__xludf.DUMMYFUNCTION("""COMPUTED_VALUE"""),33.0)</f>
        <v>33</v>
      </c>
      <c r="E1721" s="1"/>
    </row>
    <row r="1722">
      <c r="A1722" s="1"/>
      <c r="B1722" s="3" t="str">
        <f>IFERROR(__xludf.DUMMYFUNCTION("""COMPUTED_VALUE"""),"M. BYAN FARRELDIPO CAHYADI")</f>
        <v>M. BYAN FARRELDIPO CAHYADI</v>
      </c>
      <c r="C1722" s="3" t="str">
        <f>IFERROR(__xludf.DUMMYFUNCTION("""COMPUTED_VALUE"""),"M9924091461")</f>
        <v>M9924091461</v>
      </c>
      <c r="D1722" s="3">
        <f>IFERROR(__xludf.DUMMYFUNCTION("""COMPUTED_VALUE"""),26.0)</f>
        <v>26</v>
      </c>
      <c r="E1722" s="1"/>
    </row>
    <row r="1723">
      <c r="A1723" s="1"/>
      <c r="B1723" s="3" t="str">
        <f>IFERROR(__xludf.DUMMYFUNCTION("""COMPUTED_VALUE"""),"JURI")</f>
        <v>JURI</v>
      </c>
      <c r="C1723" s="3" t="str">
        <f>IFERROR(__xludf.DUMMYFUNCTION("""COMPUTED_VALUE"""),"J0124095418")</f>
        <v>J0124095418</v>
      </c>
      <c r="D1723" s="3">
        <f>IFERROR(__xludf.DUMMYFUNCTION("""COMPUTED_VALUE"""),25.0)</f>
        <v>25</v>
      </c>
      <c r="E1723" s="1"/>
    </row>
    <row r="1724">
      <c r="A1724" s="1"/>
      <c r="B1724" s="3" t="str">
        <f>IFERROR(__xludf.DUMMYFUNCTION("""COMPUTED_VALUE"""),"SABTO JULINO")</f>
        <v>SABTO JULINO</v>
      </c>
      <c r="C1724" s="3" t="str">
        <f>IFERROR(__xludf.DUMMYFUNCTION("""COMPUTED_VALUE"""),"S9124093030")</f>
        <v>S9124093030</v>
      </c>
      <c r="D1724" s="3">
        <f>IFERROR(__xludf.DUMMYFUNCTION("""COMPUTED_VALUE"""),35.0)</f>
        <v>35</v>
      </c>
      <c r="E1724" s="1"/>
    </row>
    <row r="1725">
      <c r="A1725" s="1"/>
      <c r="B1725" s="3" t="str">
        <f>IFERROR(__xludf.DUMMYFUNCTION("""COMPUTED_VALUE"""),"MICHAEL RYAN BIMA SUPARMAN SIANIPAR")</f>
        <v>MICHAEL RYAN BIMA SUPARMAN SIANIPAR</v>
      </c>
      <c r="C1725" s="3" t="str">
        <f>IFERROR(__xludf.DUMMYFUNCTION("""COMPUTED_VALUE"""),"M9324093583")</f>
        <v>M9324093583</v>
      </c>
      <c r="D1725" s="3">
        <f>IFERROR(__xludf.DUMMYFUNCTION("""COMPUTED_VALUE"""),33.0)</f>
        <v>33</v>
      </c>
      <c r="E1725" s="1"/>
    </row>
    <row r="1726">
      <c r="A1726" s="1"/>
      <c r="B1726" s="3" t="str">
        <f>IFERROR(__xludf.DUMMYFUNCTION("""COMPUTED_VALUE"""),"SAFIRA PUSPITA PRASASYA AULIA")</f>
        <v>SAFIRA PUSPITA PRASASYA AULIA</v>
      </c>
      <c r="C1726" s="3" t="str">
        <f>IFERROR(__xludf.DUMMYFUNCTION("""COMPUTED_VALUE"""),"S9824097619")</f>
        <v>S9824097619</v>
      </c>
      <c r="D1726" s="3">
        <f>IFERROR(__xludf.DUMMYFUNCTION("""COMPUTED_VALUE"""),27.0)</f>
        <v>27</v>
      </c>
      <c r="E1726" s="1"/>
    </row>
    <row r="1727">
      <c r="A1727" s="1"/>
      <c r="B1727" s="3" t="str">
        <f>IFERROR(__xludf.DUMMYFUNCTION("""COMPUTED_VALUE"""),"ANDREAS TRI PUTRA")</f>
        <v>ANDREAS TRI PUTRA</v>
      </c>
      <c r="C1727" s="3" t="str">
        <f>IFERROR(__xludf.DUMMYFUNCTION("""COMPUTED_VALUE"""),"A9924094156")</f>
        <v>A9924094156</v>
      </c>
      <c r="D1727" s="3">
        <f>IFERROR(__xludf.DUMMYFUNCTION("""COMPUTED_VALUE"""),26.0)</f>
        <v>26</v>
      </c>
      <c r="E1727" s="1"/>
    </row>
    <row r="1728">
      <c r="A1728" s="1"/>
      <c r="B1728" s="3" t="str">
        <f>IFERROR(__xludf.DUMMYFUNCTION("""COMPUTED_VALUE"""),"DEVID")</f>
        <v>DEVID</v>
      </c>
      <c r="C1728" s="3" t="str">
        <f>IFERROR(__xludf.DUMMYFUNCTION("""COMPUTED_VALUE"""),"D9924099063")</f>
        <v>D9924099063</v>
      </c>
      <c r="D1728" s="3">
        <f>IFERROR(__xludf.DUMMYFUNCTION("""COMPUTED_VALUE"""),27.0)</f>
        <v>27</v>
      </c>
      <c r="E1728" s="1"/>
    </row>
    <row r="1729">
      <c r="A1729" s="1"/>
      <c r="B1729" s="3" t="str">
        <f>IFERROR(__xludf.DUMMYFUNCTION("""COMPUTED_VALUE"""),"ALFA GILBERD")</f>
        <v>ALFA GILBERD</v>
      </c>
      <c r="C1729" s="3" t="str">
        <f>IFERROR(__xludf.DUMMYFUNCTION("""COMPUTED_VALUE"""),"A9424099103")</f>
        <v>A9424099103</v>
      </c>
      <c r="D1729" s="3">
        <f>IFERROR(__xludf.DUMMYFUNCTION("""COMPUTED_VALUE"""),32.0)</f>
        <v>32</v>
      </c>
      <c r="E1729" s="1"/>
    </row>
    <row r="1730">
      <c r="A1730" s="1"/>
      <c r="B1730" s="3" t="str">
        <f>IFERROR(__xludf.DUMMYFUNCTION("""COMPUTED_VALUE"""),"ALYA NDASARI MARASIN")</f>
        <v>ALYA NDASARI MARASIN</v>
      </c>
      <c r="C1730" s="3" t="str">
        <f>IFERROR(__xludf.DUMMYFUNCTION("""COMPUTED_VALUE"""),"A0224091046")</f>
        <v>A0224091046</v>
      </c>
      <c r="D1730" s="3">
        <f>IFERROR(__xludf.DUMMYFUNCTION("""COMPUTED_VALUE"""),23.0)</f>
        <v>23</v>
      </c>
      <c r="E1730" s="1"/>
    </row>
    <row r="1731">
      <c r="A1731" s="1"/>
      <c r="B1731" s="3" t="str">
        <f>IFERROR(__xludf.DUMMYFUNCTION("""COMPUTED_VALUE"""),"RAMA PURNOMO")</f>
        <v>RAMA PURNOMO</v>
      </c>
      <c r="C1731" s="3" t="str">
        <f>IFERROR(__xludf.DUMMYFUNCTION("""COMPUTED_VALUE"""),"R9824094962")</f>
        <v>R9824094962</v>
      </c>
      <c r="D1731" s="3">
        <f>IFERROR(__xludf.DUMMYFUNCTION("""COMPUTED_VALUE"""),28.0)</f>
        <v>28</v>
      </c>
      <c r="E1731" s="1"/>
    </row>
    <row r="1732">
      <c r="A1732" s="1"/>
      <c r="B1732" s="3" t="str">
        <f>IFERROR(__xludf.DUMMYFUNCTION("""COMPUTED_VALUE"""),"ABDURAHMAN")</f>
        <v>ABDURAHMAN</v>
      </c>
      <c r="C1732" s="3" t="str">
        <f>IFERROR(__xludf.DUMMYFUNCTION("""COMPUTED_VALUE"""),"A6324097081")</f>
        <v>A6324097081</v>
      </c>
      <c r="D1732" s="3">
        <f>IFERROR(__xludf.DUMMYFUNCTION("""COMPUTED_VALUE"""),62.0)</f>
        <v>62</v>
      </c>
      <c r="E1732" s="1"/>
    </row>
    <row r="1733">
      <c r="A1733" s="1"/>
      <c r="B1733" s="3" t="str">
        <f>IFERROR(__xludf.DUMMYFUNCTION("""COMPUTED_VALUE"""),"MUHAMMAD ILHAM")</f>
        <v>MUHAMMAD ILHAM</v>
      </c>
      <c r="C1733" s="3" t="str">
        <f>IFERROR(__xludf.DUMMYFUNCTION("""COMPUTED_VALUE"""),"M9424094291")</f>
        <v>M9424094291</v>
      </c>
      <c r="D1733" s="3">
        <f>IFERROR(__xludf.DUMMYFUNCTION("""COMPUTED_VALUE"""),32.0)</f>
        <v>32</v>
      </c>
      <c r="E1733" s="1"/>
    </row>
    <row r="1734">
      <c r="A1734" s="1"/>
      <c r="B1734" s="3" t="str">
        <f>IFERROR(__xludf.DUMMYFUNCTION("""COMPUTED_VALUE"""),"SYARIF FAEYZA NAZMI")</f>
        <v>SYARIF FAEYZA NAZMI</v>
      </c>
      <c r="C1734" s="3" t="str">
        <f>IFERROR(__xludf.DUMMYFUNCTION("""COMPUTED_VALUE"""),"S0224095266")</f>
        <v>S0224095266</v>
      </c>
      <c r="D1734" s="3">
        <f>IFERROR(__xludf.DUMMYFUNCTION("""COMPUTED_VALUE"""),24.0)</f>
        <v>24</v>
      </c>
      <c r="E1734" s="1"/>
    </row>
    <row r="1735">
      <c r="A1735" s="1"/>
      <c r="B1735" s="3" t="str">
        <f>IFERROR(__xludf.DUMMYFUNCTION("""COMPUTED_VALUE"""),"FREMITAMA NABILA ZAHRA")</f>
        <v>FREMITAMA NABILA ZAHRA</v>
      </c>
      <c r="C1735" s="3" t="str">
        <f>IFERROR(__xludf.DUMMYFUNCTION("""COMPUTED_VALUE"""),"F0924093867")</f>
        <v>F0924093867</v>
      </c>
      <c r="D1735" s="3">
        <f>IFERROR(__xludf.DUMMYFUNCTION("""COMPUTED_VALUE"""),17.0)</f>
        <v>17</v>
      </c>
      <c r="E1735" s="1"/>
    </row>
    <row r="1736">
      <c r="A1736" s="1"/>
      <c r="B1736" s="3" t="str">
        <f>IFERROR(__xludf.DUMMYFUNCTION("""COMPUTED_VALUE"""),"EKO DERMAWAN")</f>
        <v>EKO DERMAWAN</v>
      </c>
      <c r="C1736" s="3" t="str">
        <f>IFERROR(__xludf.DUMMYFUNCTION("""COMPUTED_VALUE"""),"E8724093400")</f>
        <v>E8724093400</v>
      </c>
      <c r="D1736" s="3">
        <f>IFERROR(__xludf.DUMMYFUNCTION("""COMPUTED_VALUE"""),38.0)</f>
        <v>38</v>
      </c>
      <c r="E1736" s="1"/>
    </row>
    <row r="1737">
      <c r="A1737" s="1"/>
      <c r="B1737" s="3" t="str">
        <f>IFERROR(__xludf.DUMMYFUNCTION("""COMPUTED_VALUE"""),"FEBRILINI")</f>
        <v>FEBRILINI</v>
      </c>
      <c r="C1737" s="3" t="str">
        <f>IFERROR(__xludf.DUMMYFUNCTION("""COMPUTED_VALUE"""),"F9724092882")</f>
        <v>F9724092882</v>
      </c>
      <c r="D1737" s="3">
        <f>IFERROR(__xludf.DUMMYFUNCTION("""COMPUTED_VALUE"""),29.0)</f>
        <v>29</v>
      </c>
      <c r="E1737" s="1"/>
    </row>
    <row r="1738">
      <c r="A1738" s="1"/>
      <c r="B1738" s="3" t="str">
        <f>IFERROR(__xludf.DUMMYFUNCTION("""COMPUTED_VALUE"""),"HENDRA SASTRA")</f>
        <v>HENDRA SASTRA</v>
      </c>
      <c r="C1738" s="3" t="str">
        <f>IFERROR(__xludf.DUMMYFUNCTION("""COMPUTED_VALUE"""),"H7824096076")</f>
        <v>H7824096076</v>
      </c>
      <c r="D1738" s="3">
        <f>IFERROR(__xludf.DUMMYFUNCTION("""COMPUTED_VALUE"""),47.0)</f>
        <v>47</v>
      </c>
      <c r="E1738" s="1"/>
    </row>
    <row r="1739">
      <c r="A1739" s="1"/>
      <c r="B1739" s="3" t="str">
        <f>IFERROR(__xludf.DUMMYFUNCTION("""COMPUTED_VALUE"""),"MARGULAN")</f>
        <v>MARGULAN</v>
      </c>
      <c r="C1739" s="3" t="str">
        <f>IFERROR(__xludf.DUMMYFUNCTION("""COMPUTED_VALUE"""),"M6424096540")</f>
        <v>M6424096540</v>
      </c>
      <c r="D1739" s="3">
        <f>IFERROR(__xludf.DUMMYFUNCTION("""COMPUTED_VALUE"""),61.0)</f>
        <v>61</v>
      </c>
      <c r="E1739" s="1"/>
    </row>
    <row r="1740">
      <c r="A1740" s="1"/>
      <c r="B1740" s="3" t="str">
        <f>IFERROR(__xludf.DUMMYFUNCTION("""COMPUTED_VALUE"""),"APRILIA ISTI ASMOROWATO")</f>
        <v>APRILIA ISTI ASMOROWATO</v>
      </c>
      <c r="C1740" s="3" t="str">
        <f>IFERROR(__xludf.DUMMYFUNCTION("""COMPUTED_VALUE"""),"A9524090357")</f>
        <v>A9524090357</v>
      </c>
      <c r="D1740" s="3">
        <f>IFERROR(__xludf.DUMMYFUNCTION("""COMPUTED_VALUE"""),31.0)</f>
        <v>31</v>
      </c>
      <c r="E1740" s="1"/>
    </row>
    <row r="1741">
      <c r="A1741" s="1"/>
      <c r="B1741" s="3" t="str">
        <f>IFERROR(__xludf.DUMMYFUNCTION("""COMPUTED_VALUE"""),"WAHYU SETYO WIJAYA KUSUMA")</f>
        <v>WAHYU SETYO WIJAYA KUSUMA</v>
      </c>
      <c r="C1741" s="3" t="str">
        <f>IFERROR(__xludf.DUMMYFUNCTION("""COMPUTED_VALUE"""),"W9224099325")</f>
        <v>W9224099325</v>
      </c>
      <c r="D1741" s="3">
        <f>IFERROR(__xludf.DUMMYFUNCTION("""COMPUTED_VALUE"""),34.0)</f>
        <v>34</v>
      </c>
      <c r="E1741" s="1"/>
    </row>
    <row r="1742">
      <c r="A1742" s="1"/>
      <c r="B1742" s="3" t="str">
        <f>IFERROR(__xludf.DUMMYFUNCTION("""COMPUTED_VALUE"""),"RIO FERDY ERANIO")</f>
        <v>RIO FERDY ERANIO</v>
      </c>
      <c r="C1742" s="3" t="str">
        <f>IFERROR(__xludf.DUMMYFUNCTION("""COMPUTED_VALUE"""),"R9924093707")</f>
        <v>R9924093707</v>
      </c>
      <c r="D1742" s="3">
        <f>IFERROR(__xludf.DUMMYFUNCTION("""COMPUTED_VALUE"""),27.0)</f>
        <v>27</v>
      </c>
      <c r="E1742" s="1"/>
    </row>
    <row r="1743">
      <c r="A1743" s="1"/>
      <c r="B1743" s="3" t="str">
        <f>IFERROR(__xludf.DUMMYFUNCTION("""COMPUTED_VALUE"""),"CHARIS TRIJAYANTO WELLY")</f>
        <v>CHARIS TRIJAYANTO WELLY</v>
      </c>
      <c r="C1743" s="3" t="str">
        <f>IFERROR(__xludf.DUMMYFUNCTION("""COMPUTED_VALUE"""),"C9824098240")</f>
        <v>C9824098240</v>
      </c>
      <c r="D1743" s="3">
        <f>IFERROR(__xludf.DUMMYFUNCTION("""COMPUTED_VALUE"""),28.0)</f>
        <v>28</v>
      </c>
      <c r="E1743" s="1"/>
    </row>
    <row r="1744">
      <c r="A1744" s="1"/>
      <c r="B1744" s="3" t="str">
        <f>IFERROR(__xludf.DUMMYFUNCTION("""COMPUTED_VALUE"""),"IDA ISMAIL")</f>
        <v>IDA ISMAIL</v>
      </c>
      <c r="C1744" s="3" t="str">
        <f>IFERROR(__xludf.DUMMYFUNCTION("""COMPUTED_VALUE"""),"I6824099799")</f>
        <v>I6824099799</v>
      </c>
      <c r="D1744" s="3">
        <f>IFERROR(__xludf.DUMMYFUNCTION("""COMPUTED_VALUE"""),57.0)</f>
        <v>57</v>
      </c>
      <c r="E1744" s="1"/>
    </row>
    <row r="1745">
      <c r="A1745" s="1"/>
      <c r="B1745" s="3" t="str">
        <f>IFERROR(__xludf.DUMMYFUNCTION("""COMPUTED_VALUE"""),"TAN ANANDA MERDEKA")</f>
        <v>TAN ANANDA MERDEKA</v>
      </c>
      <c r="C1745" s="3" t="str">
        <f>IFERROR(__xludf.DUMMYFUNCTION("""COMPUTED_VALUE"""),"T0124099043")</f>
        <v>T0124099043</v>
      </c>
      <c r="D1745" s="3">
        <f>IFERROR(__xludf.DUMMYFUNCTION("""COMPUTED_VALUE"""),25.0)</f>
        <v>25</v>
      </c>
      <c r="E1745" s="1"/>
    </row>
    <row r="1746">
      <c r="A1746" s="1"/>
      <c r="B1746" s="3" t="str">
        <f>IFERROR(__xludf.DUMMYFUNCTION("""COMPUTED_VALUE"""),"MICHAEL GONSALES PARERA")</f>
        <v>MICHAEL GONSALES PARERA</v>
      </c>
      <c r="C1746" s="3" t="str">
        <f>IFERROR(__xludf.DUMMYFUNCTION("""COMPUTED_VALUE"""),"M0324099484")</f>
        <v>M0324099484</v>
      </c>
      <c r="D1746" s="3">
        <f>IFERROR(__xludf.DUMMYFUNCTION("""COMPUTED_VALUE"""),23.0)</f>
        <v>23</v>
      </c>
      <c r="E1746" s="1"/>
    </row>
    <row r="1747">
      <c r="A1747" s="1"/>
      <c r="B1747" s="3" t="str">
        <f>IFERROR(__xludf.DUMMYFUNCTION("""COMPUTED_VALUE"""),"SHEREN CHARISTA")</f>
        <v>SHEREN CHARISTA</v>
      </c>
      <c r="C1747" s="3" t="str">
        <f>IFERROR(__xludf.DUMMYFUNCTION("""COMPUTED_VALUE"""),"S0124094836")</f>
        <v>S0124094836</v>
      </c>
      <c r="D1747" s="3">
        <f>IFERROR(__xludf.DUMMYFUNCTION("""COMPUTED_VALUE"""),24.0)</f>
        <v>24</v>
      </c>
      <c r="E1747" s="1"/>
    </row>
    <row r="1748">
      <c r="A1748" s="1"/>
      <c r="B1748" s="3" t="str">
        <f>IFERROR(__xludf.DUMMYFUNCTION("""COMPUTED_VALUE"""),"SAHIRA BIBIE")</f>
        <v>SAHIRA BIBIE</v>
      </c>
      <c r="C1748" s="3" t="str">
        <f>IFERROR(__xludf.DUMMYFUNCTION("""COMPUTED_VALUE"""),"S7624098484")</f>
        <v>S7624098484</v>
      </c>
      <c r="D1748" s="3">
        <f>IFERROR(__xludf.DUMMYFUNCTION("""COMPUTED_VALUE"""),49.0)</f>
        <v>49</v>
      </c>
      <c r="E1748" s="1"/>
    </row>
    <row r="1749">
      <c r="A1749" s="1"/>
      <c r="B1749" s="3" t="str">
        <f>IFERROR(__xludf.DUMMYFUNCTION("""COMPUTED_VALUE"""),"ANDRIANTO")</f>
        <v>ANDRIANTO</v>
      </c>
      <c r="C1749" s="3" t="str">
        <f>IFERROR(__xludf.DUMMYFUNCTION("""COMPUTED_VALUE"""),"A9424097788")</f>
        <v>A9424097788</v>
      </c>
      <c r="D1749" s="3">
        <f>IFERROR(__xludf.DUMMYFUNCTION("""COMPUTED_VALUE"""),32.0)</f>
        <v>32</v>
      </c>
      <c r="E1749" s="1"/>
    </row>
    <row r="1750">
      <c r="A1750" s="1"/>
      <c r="B1750" s="3" t="str">
        <f>IFERROR(__xludf.DUMMYFUNCTION("""COMPUTED_VALUE"""),"LIZA JULIARTY")</f>
        <v>LIZA JULIARTY</v>
      </c>
      <c r="C1750" s="3" t="str">
        <f>IFERROR(__xludf.DUMMYFUNCTION("""COMPUTED_VALUE"""),"L8924090999")</f>
        <v>L8924090999</v>
      </c>
      <c r="D1750" s="3">
        <f>IFERROR(__xludf.DUMMYFUNCTION("""COMPUTED_VALUE"""),36.0)</f>
        <v>36</v>
      </c>
      <c r="E1750" s="1"/>
    </row>
    <row r="1751">
      <c r="A1751" s="1"/>
      <c r="B1751" s="3" t="str">
        <f>IFERROR(__xludf.DUMMYFUNCTION("""COMPUTED_VALUE"""),"ENOK ASMANAH")</f>
        <v>ENOK ASMANAH</v>
      </c>
      <c r="C1751" s="3" t="str">
        <f>IFERROR(__xludf.DUMMYFUNCTION("""COMPUTED_VALUE"""),"E7824091820")</f>
        <v>E7824091820</v>
      </c>
      <c r="D1751" s="3">
        <f>IFERROR(__xludf.DUMMYFUNCTION("""COMPUTED_VALUE"""),48.0)</f>
        <v>48</v>
      </c>
      <c r="E1751" s="1"/>
    </row>
    <row r="1752">
      <c r="A1752" s="1"/>
      <c r="B1752" s="3" t="str">
        <f>IFERROR(__xludf.DUMMYFUNCTION("""COMPUTED_VALUE"""),"MOCHAMMAD FADHIIL NAUFAL SYAUQI S. PSI")</f>
        <v>MOCHAMMAD FADHIIL NAUFAL SYAUQI S. PSI</v>
      </c>
      <c r="C1752" s="3" t="str">
        <f>IFERROR(__xludf.DUMMYFUNCTION("""COMPUTED_VALUE"""),"M9624090922")</f>
        <v>M9624090922</v>
      </c>
      <c r="D1752" s="3">
        <f>IFERROR(__xludf.DUMMYFUNCTION("""COMPUTED_VALUE"""),29.0)</f>
        <v>29</v>
      </c>
      <c r="E1752" s="1"/>
    </row>
    <row r="1753">
      <c r="A1753" s="1"/>
      <c r="B1753" s="3" t="str">
        <f>IFERROR(__xludf.DUMMYFUNCTION("""COMPUTED_VALUE"""),"NURIDAWATI")</f>
        <v>NURIDAWATI</v>
      </c>
      <c r="C1753" s="3" t="str">
        <f>IFERROR(__xludf.DUMMYFUNCTION("""COMPUTED_VALUE"""),"N6624090790")</f>
        <v>N6624090790</v>
      </c>
      <c r="D1753" s="3">
        <f>IFERROR(__xludf.DUMMYFUNCTION("""COMPUTED_VALUE"""),60.0)</f>
        <v>60</v>
      </c>
      <c r="E1753" s="1"/>
    </row>
    <row r="1754">
      <c r="A1754" s="1"/>
      <c r="B1754" s="3" t="str">
        <f>IFERROR(__xludf.DUMMYFUNCTION("""COMPUTED_VALUE"""),"IDA JULIANTI")</f>
        <v>IDA JULIANTI</v>
      </c>
      <c r="C1754" s="3" t="str">
        <f>IFERROR(__xludf.DUMMYFUNCTION("""COMPUTED_VALUE"""),"I5824099786")</f>
        <v>I5824099786</v>
      </c>
      <c r="D1754" s="3">
        <f>IFERROR(__xludf.DUMMYFUNCTION("""COMPUTED_VALUE"""),67.0)</f>
        <v>67</v>
      </c>
      <c r="E1754" s="1"/>
    </row>
    <row r="1755">
      <c r="A1755" s="1"/>
      <c r="B1755" s="3" t="str">
        <f>IFERROR(__xludf.DUMMYFUNCTION("""COMPUTED_VALUE"""),"SULIANDI")</f>
        <v>SULIANDI</v>
      </c>
      <c r="C1755" s="3" t="str">
        <f>IFERROR(__xludf.DUMMYFUNCTION("""COMPUTED_VALUE"""),"S7224091950")</f>
        <v>S7224091950</v>
      </c>
      <c r="D1755" s="3">
        <f>IFERROR(__xludf.DUMMYFUNCTION("""COMPUTED_VALUE"""),53.0)</f>
        <v>53</v>
      </c>
      <c r="E1755" s="1"/>
    </row>
    <row r="1756">
      <c r="A1756" s="1"/>
      <c r="B1756" s="3" t="str">
        <f>IFERROR(__xludf.DUMMYFUNCTION("""COMPUTED_VALUE"""),"RONY GUNAWAN")</f>
        <v>RONY GUNAWAN</v>
      </c>
      <c r="C1756" s="3" t="str">
        <f>IFERROR(__xludf.DUMMYFUNCTION("""COMPUTED_VALUE"""),"R9324090370")</f>
        <v>R9324090370</v>
      </c>
      <c r="D1756" s="3">
        <f>IFERROR(__xludf.DUMMYFUNCTION("""COMPUTED_VALUE"""),33.0)</f>
        <v>33</v>
      </c>
      <c r="E1756" s="1"/>
    </row>
    <row r="1757">
      <c r="A1757" s="1"/>
      <c r="B1757" s="3" t="str">
        <f>IFERROR(__xludf.DUMMYFUNCTION("""COMPUTED_VALUE"""),"ETTY MARWATI")</f>
        <v>ETTY MARWATI</v>
      </c>
      <c r="C1757" s="3" t="str">
        <f>IFERROR(__xludf.DUMMYFUNCTION("""COMPUTED_VALUE"""),"E7624097458")</f>
        <v>E7624097458</v>
      </c>
      <c r="D1757" s="3">
        <f>IFERROR(__xludf.DUMMYFUNCTION("""COMPUTED_VALUE"""),49.0)</f>
        <v>49</v>
      </c>
      <c r="E1757" s="1"/>
    </row>
    <row r="1758">
      <c r="A1758" s="1"/>
      <c r="B1758" s="3" t="str">
        <f>IFERROR(__xludf.DUMMYFUNCTION("""COMPUTED_VALUE"""),"TUNGGAL ADIGORO")</f>
        <v>TUNGGAL ADIGORO</v>
      </c>
      <c r="C1758" s="3" t="str">
        <f>IFERROR(__xludf.DUMMYFUNCTION("""COMPUTED_VALUE"""),"T9424092013")</f>
        <v>T9424092013</v>
      </c>
      <c r="D1758" s="3">
        <f>IFERROR(__xludf.DUMMYFUNCTION("""COMPUTED_VALUE"""),31.0)</f>
        <v>31</v>
      </c>
      <c r="E1758" s="1"/>
    </row>
    <row r="1759">
      <c r="A1759" s="1"/>
      <c r="B1759" s="3" t="str">
        <f>IFERROR(__xludf.DUMMYFUNCTION("""COMPUTED_VALUE"""),"YOHANES ADAM ABBAH")</f>
        <v>YOHANES ADAM ABBAH</v>
      </c>
      <c r="C1759" s="3" t="str">
        <f>IFERROR(__xludf.DUMMYFUNCTION("""COMPUTED_VALUE"""),"Y8624101986")</f>
        <v>Y8624101986</v>
      </c>
      <c r="D1759" s="3">
        <f>IFERROR(__xludf.DUMMYFUNCTION("""COMPUTED_VALUE"""),40.0)</f>
        <v>40</v>
      </c>
      <c r="E1759" s="1"/>
    </row>
    <row r="1760">
      <c r="A1760" s="1"/>
      <c r="B1760" s="3" t="str">
        <f>IFERROR(__xludf.DUMMYFUNCTION("""COMPUTED_VALUE"""),"TALITHA NOREEN NITYA")</f>
        <v>TALITHA NOREEN NITYA</v>
      </c>
      <c r="C1760" s="3" t="str">
        <f>IFERROR(__xludf.DUMMYFUNCTION("""COMPUTED_VALUE"""),"T0924105735")</f>
        <v>T0924105735</v>
      </c>
      <c r="D1760" s="3">
        <f>IFERROR(__xludf.DUMMYFUNCTION("""COMPUTED_VALUE"""),16.0)</f>
        <v>16</v>
      </c>
      <c r="E1760" s="1"/>
    </row>
    <row r="1761">
      <c r="A1761" s="1"/>
      <c r="B1761" s="3" t="str">
        <f>IFERROR(__xludf.DUMMYFUNCTION("""COMPUTED_VALUE"""),"FRIESCHA SEPTIYANI")</f>
        <v>FRIESCHA SEPTIYANI</v>
      </c>
      <c r="C1761" s="3" t="str">
        <f>IFERROR(__xludf.DUMMYFUNCTION("""COMPUTED_VALUE"""),"F9324104783")</f>
        <v>F9324104783</v>
      </c>
      <c r="D1761" s="3">
        <f>IFERROR(__xludf.DUMMYFUNCTION("""COMPUTED_VALUE"""),32.0)</f>
        <v>32</v>
      </c>
      <c r="E1761" s="1"/>
    </row>
    <row r="1762">
      <c r="A1762" s="1"/>
      <c r="B1762" s="3" t="str">
        <f>IFERROR(__xludf.DUMMYFUNCTION("""COMPUTED_VALUE"""),"DWI YADI")</f>
        <v>DWI YADI</v>
      </c>
      <c r="C1762" s="3" t="str">
        <f>IFERROR(__xludf.DUMMYFUNCTION("""COMPUTED_VALUE"""),"D8724103845")</f>
        <v>D8724103845</v>
      </c>
      <c r="D1762" s="3">
        <f>IFERROR(__xludf.DUMMYFUNCTION("""COMPUTED_VALUE"""),39.0)</f>
        <v>39</v>
      </c>
      <c r="E1762" s="1"/>
    </row>
    <row r="1763">
      <c r="A1763" s="1"/>
      <c r="B1763" s="3" t="str">
        <f>IFERROR(__xludf.DUMMYFUNCTION("""COMPUTED_VALUE"""),"ALI/SYAWALLUDIN")</f>
        <v>ALI/SYAWALLUDIN</v>
      </c>
      <c r="C1763" s="3" t="str">
        <f>IFERROR(__xludf.DUMMYFUNCTION("""COMPUTED_VALUE"""),"A9224100307")</f>
        <v>A9224100307</v>
      </c>
      <c r="D1763" s="3">
        <f>IFERROR(__xludf.DUMMYFUNCTION("""COMPUTED_VALUE"""),34.0)</f>
        <v>34</v>
      </c>
      <c r="E1763" s="1"/>
    </row>
    <row r="1764">
      <c r="A1764" s="1"/>
      <c r="B1764" s="3" t="str">
        <f>IFERROR(__xludf.DUMMYFUNCTION("""COMPUTED_VALUE"""),"SAMSUL SANI")</f>
        <v>SAMSUL SANI</v>
      </c>
      <c r="C1764" s="3" t="str">
        <f>IFERROR(__xludf.DUMMYFUNCTION("""COMPUTED_VALUE"""),"S7424104411")</f>
        <v>S7424104411</v>
      </c>
      <c r="D1764" s="3">
        <f>IFERROR(__xludf.DUMMYFUNCTION("""COMPUTED_VALUE"""),52.0)</f>
        <v>52</v>
      </c>
      <c r="E1764" s="1"/>
    </row>
    <row r="1765">
      <c r="A1765" s="1"/>
      <c r="B1765" s="3" t="str">
        <f>IFERROR(__xludf.DUMMYFUNCTION("""COMPUTED_VALUE"""),"RAINA AINUN NOOR")</f>
        <v>RAINA AINUN NOOR</v>
      </c>
      <c r="C1765" s="3" t="str">
        <f>IFERROR(__xludf.DUMMYFUNCTION("""COMPUTED_VALUE"""),"R5124105756")</f>
        <v>R5124105756</v>
      </c>
      <c r="D1765" s="3">
        <f>IFERROR(__xludf.DUMMYFUNCTION("""COMPUTED_VALUE"""),74.0)</f>
        <v>74</v>
      </c>
      <c r="E1765" s="1"/>
    </row>
    <row r="1766">
      <c r="A1766" s="1"/>
      <c r="B1766" s="3" t="str">
        <f>IFERROR(__xludf.DUMMYFUNCTION("""COMPUTED_VALUE"""),"ABDULLAH SALMAN HARIZ")</f>
        <v>ABDULLAH SALMAN HARIZ</v>
      </c>
      <c r="C1766" s="3" t="str">
        <f>IFERROR(__xludf.DUMMYFUNCTION("""COMPUTED_VALUE"""),"A0924102496")</f>
        <v>A0924102496</v>
      </c>
      <c r="D1766" s="3">
        <f>IFERROR(__xludf.DUMMYFUNCTION("""COMPUTED_VALUE"""),17.0)</f>
        <v>17</v>
      </c>
      <c r="E1766" s="1"/>
    </row>
    <row r="1767">
      <c r="A1767" s="1"/>
      <c r="B1767" s="3" t="str">
        <f>IFERROR(__xludf.DUMMYFUNCTION("""COMPUTED_VALUE"""),"WILLI")</f>
        <v>WILLI</v>
      </c>
      <c r="C1767" s="3" t="str">
        <f>IFERROR(__xludf.DUMMYFUNCTION("""COMPUTED_VALUE"""),"W9524101624")</f>
        <v>W9524101624</v>
      </c>
      <c r="D1767" s="3">
        <f>IFERROR(__xludf.DUMMYFUNCTION("""COMPUTED_VALUE"""),30.0)</f>
        <v>30</v>
      </c>
      <c r="E1767" s="1"/>
    </row>
    <row r="1768">
      <c r="A1768" s="1"/>
      <c r="B1768" s="3" t="str">
        <f>IFERROR(__xludf.DUMMYFUNCTION("""COMPUTED_VALUE"""),"FAUZIAH BATUBARA")</f>
        <v>FAUZIAH BATUBARA</v>
      </c>
      <c r="C1768" s="3" t="str">
        <f>IFERROR(__xludf.DUMMYFUNCTION("""COMPUTED_VALUE"""),"F9224109183")</f>
        <v>F9224109183</v>
      </c>
      <c r="D1768" s="3">
        <f>IFERROR(__xludf.DUMMYFUNCTION("""COMPUTED_VALUE"""),33.0)</f>
        <v>33</v>
      </c>
      <c r="E1768" s="1"/>
    </row>
    <row r="1769">
      <c r="A1769" s="1"/>
      <c r="B1769" s="3" t="str">
        <f>IFERROR(__xludf.DUMMYFUNCTION("""COMPUTED_VALUE"""),"SULAIMAN 9601")</f>
        <v>SULAIMAN 9601</v>
      </c>
      <c r="C1769" s="3" t="str">
        <f>IFERROR(__xludf.DUMMYFUNCTION("""COMPUTED_VALUE"""),"S9624106365")</f>
        <v>S9624106365</v>
      </c>
      <c r="D1769" s="3">
        <f>IFERROR(__xludf.DUMMYFUNCTION("""COMPUTED_VALUE"""),30.0)</f>
        <v>30</v>
      </c>
      <c r="E1769" s="1"/>
    </row>
    <row r="1770">
      <c r="A1770" s="1"/>
      <c r="B1770" s="3" t="str">
        <f>IFERROR(__xludf.DUMMYFUNCTION("""COMPUTED_VALUE"""),"IKEU SUGIARTI")</f>
        <v>IKEU SUGIARTI</v>
      </c>
      <c r="C1770" s="3" t="str">
        <f>IFERROR(__xludf.DUMMYFUNCTION("""COMPUTED_VALUE"""),"I8624101030")</f>
        <v>I8624101030</v>
      </c>
      <c r="D1770" s="3">
        <f>IFERROR(__xludf.DUMMYFUNCTION("""COMPUTED_VALUE"""),39.0)</f>
        <v>39</v>
      </c>
      <c r="E1770" s="1"/>
    </row>
    <row r="1771">
      <c r="A1771" s="1"/>
      <c r="B1771" s="3" t="str">
        <f>IFERROR(__xludf.DUMMYFUNCTION("""COMPUTED_VALUE"""),"MEIKO SYAHPUTRA")</f>
        <v>MEIKO SYAHPUTRA</v>
      </c>
      <c r="C1771" s="3" t="str">
        <f>IFERROR(__xludf.DUMMYFUNCTION("""COMPUTED_VALUE"""),"M0224105894")</f>
        <v>M0224105894</v>
      </c>
      <c r="D1771" s="3">
        <f>IFERROR(__xludf.DUMMYFUNCTION("""COMPUTED_VALUE"""),23.0)</f>
        <v>23</v>
      </c>
      <c r="E1771" s="1"/>
    </row>
    <row r="1772">
      <c r="A1772" s="1"/>
      <c r="B1772" s="3" t="str">
        <f>IFERROR(__xludf.DUMMYFUNCTION("""COMPUTED_VALUE"""),"DARWIN")</f>
        <v>DARWIN</v>
      </c>
      <c r="C1772" s="3" t="str">
        <f>IFERROR(__xludf.DUMMYFUNCTION("""COMPUTED_VALUE"""),"D8024104918")</f>
        <v>D8024104918</v>
      </c>
      <c r="D1772" s="3">
        <f>IFERROR(__xludf.DUMMYFUNCTION("""COMPUTED_VALUE"""),45.0)</f>
        <v>45</v>
      </c>
      <c r="E1772" s="1"/>
    </row>
    <row r="1773">
      <c r="A1773" s="1"/>
      <c r="B1773" s="3" t="str">
        <f>IFERROR(__xludf.DUMMYFUNCTION("""COMPUTED_VALUE"""),"JEFFRY SURYADI")</f>
        <v>JEFFRY SURYADI</v>
      </c>
      <c r="C1773" s="3" t="str">
        <f>IFERROR(__xludf.DUMMYFUNCTION("""COMPUTED_VALUE"""),"J6724103118")</f>
        <v>J6724103118</v>
      </c>
      <c r="D1773" s="3">
        <f>IFERROR(__xludf.DUMMYFUNCTION("""COMPUTED_VALUE"""),58.0)</f>
        <v>58</v>
      </c>
      <c r="E1773" s="1"/>
    </row>
    <row r="1774">
      <c r="A1774" s="1"/>
      <c r="B1774" s="3" t="str">
        <f>IFERROR(__xludf.DUMMYFUNCTION("""COMPUTED_VALUE"""),"LIE FUN")</f>
        <v>LIE FUN</v>
      </c>
      <c r="C1774" s="3" t="str">
        <f>IFERROR(__xludf.DUMMYFUNCTION("""COMPUTED_VALUE"""),"L7124106558")</f>
        <v>L7124106558</v>
      </c>
      <c r="D1774" s="3">
        <f>IFERROR(__xludf.DUMMYFUNCTION("""COMPUTED_VALUE"""),55.0)</f>
        <v>55</v>
      </c>
      <c r="E1774" s="1"/>
    </row>
    <row r="1775">
      <c r="A1775" s="1"/>
      <c r="B1775" s="3" t="str">
        <f>IFERROR(__xludf.DUMMYFUNCTION("""COMPUTED_VALUE"""),"RIZKY ARDIANSYAH")</f>
        <v>RIZKY ARDIANSYAH</v>
      </c>
      <c r="C1775" s="3" t="str">
        <f>IFERROR(__xludf.DUMMYFUNCTION("""COMPUTED_VALUE"""),"R0624106967")</f>
        <v>R0624106967</v>
      </c>
      <c r="D1775" s="3">
        <f>IFERROR(__xludf.DUMMYFUNCTION("""COMPUTED_VALUE"""),20.0)</f>
        <v>20</v>
      </c>
      <c r="E1775" s="1"/>
    </row>
    <row r="1776">
      <c r="A1776" s="1"/>
      <c r="B1776" s="3" t="str">
        <f>IFERROR(__xludf.DUMMYFUNCTION("""COMPUTED_VALUE"""),"NEFRI MATIPA")</f>
        <v>NEFRI MATIPA</v>
      </c>
      <c r="C1776" s="3" t="str">
        <f>IFERROR(__xludf.DUMMYFUNCTION("""COMPUTED_VALUE"""),"N8224100407")</f>
        <v>N8224100407</v>
      </c>
      <c r="D1776" s="3">
        <f>IFERROR(__xludf.DUMMYFUNCTION("""COMPUTED_VALUE"""),44.0)</f>
        <v>44</v>
      </c>
      <c r="E1776" s="1"/>
    </row>
    <row r="1777">
      <c r="A1777" s="1"/>
      <c r="B1777" s="3" t="str">
        <f>IFERROR(__xludf.DUMMYFUNCTION("""COMPUTED_VALUE"""),"M REDHA MAULINDRA")</f>
        <v>M REDHA MAULINDRA</v>
      </c>
      <c r="C1777" s="3" t="str">
        <f>IFERROR(__xludf.DUMMYFUNCTION("""COMPUTED_VALUE"""),"M9724105171")</f>
        <v>M9724105171</v>
      </c>
      <c r="D1777" s="3">
        <f>IFERROR(__xludf.DUMMYFUNCTION("""COMPUTED_VALUE"""),29.0)</f>
        <v>29</v>
      </c>
      <c r="E1777" s="1"/>
    </row>
    <row r="1778">
      <c r="A1778" s="1"/>
      <c r="B1778" s="3" t="str">
        <f>IFERROR(__xludf.DUMMYFUNCTION("""COMPUTED_VALUE"""),"IRFAN MAHDI")</f>
        <v>IRFAN MAHDI</v>
      </c>
      <c r="C1778" s="3" t="str">
        <f>IFERROR(__xludf.DUMMYFUNCTION("""COMPUTED_VALUE"""),"I9324104890")</f>
        <v>I9324104890</v>
      </c>
      <c r="D1778" s="3">
        <f>IFERROR(__xludf.DUMMYFUNCTION("""COMPUTED_VALUE"""),33.0)</f>
        <v>33</v>
      </c>
      <c r="E1778" s="1"/>
    </row>
    <row r="1779">
      <c r="A1779" s="1"/>
      <c r="B1779" s="3" t="str">
        <f>IFERROR(__xludf.DUMMYFUNCTION("""COMPUTED_VALUE"""),"AYU ARTIKANDI")</f>
        <v>AYU ARTIKANDI</v>
      </c>
      <c r="C1779" s="3" t="str">
        <f>IFERROR(__xludf.DUMMYFUNCTION("""COMPUTED_VALUE"""),"A9124107890")</f>
        <v>A9124107890</v>
      </c>
      <c r="D1779" s="3">
        <f>IFERROR(__xludf.DUMMYFUNCTION("""COMPUTED_VALUE"""),35.0)</f>
        <v>35</v>
      </c>
      <c r="E1779" s="1"/>
    </row>
    <row r="1780">
      <c r="A1780" s="1"/>
      <c r="B1780" s="3" t="str">
        <f>IFERROR(__xludf.DUMMYFUNCTION("""COMPUTED_VALUE"""),"ABDUL AZIS")</f>
        <v>ABDUL AZIS</v>
      </c>
      <c r="C1780" s="3" t="str">
        <f>IFERROR(__xludf.DUMMYFUNCTION("""COMPUTED_VALUE"""),"A9324103375")</f>
        <v>A9324103375</v>
      </c>
      <c r="D1780" s="3">
        <f>IFERROR(__xludf.DUMMYFUNCTION("""COMPUTED_VALUE"""),32.0)</f>
        <v>32</v>
      </c>
      <c r="E1780" s="1"/>
    </row>
    <row r="1781">
      <c r="A1781" s="1"/>
      <c r="B1781" s="3" t="str">
        <f>IFERROR(__xludf.DUMMYFUNCTION("""COMPUTED_VALUE"""),"STEFANUS ANDHIKA PUTRA UTAMA")</f>
        <v>STEFANUS ANDHIKA PUTRA UTAMA</v>
      </c>
      <c r="C1781" s="3" t="str">
        <f>IFERROR(__xludf.DUMMYFUNCTION("""COMPUTED_VALUE"""),"S8624103421")</f>
        <v>S8624103421</v>
      </c>
      <c r="D1781" s="3">
        <f>IFERROR(__xludf.DUMMYFUNCTION("""COMPUTED_VALUE"""),40.0)</f>
        <v>40</v>
      </c>
      <c r="E1781" s="1"/>
    </row>
    <row r="1782">
      <c r="A1782" s="1"/>
      <c r="B1782" s="3" t="str">
        <f>IFERROR(__xludf.DUMMYFUNCTION("""COMPUTED_VALUE"""),"MEITY")</f>
        <v>MEITY</v>
      </c>
      <c r="C1782" s="3" t="str">
        <f>IFERROR(__xludf.DUMMYFUNCTION("""COMPUTED_VALUE"""),"M8624106229")</f>
        <v>M8624106229</v>
      </c>
      <c r="D1782" s="3">
        <f>IFERROR(__xludf.DUMMYFUNCTION("""COMPUTED_VALUE"""),40.0)</f>
        <v>40</v>
      </c>
      <c r="E1782" s="1"/>
    </row>
    <row r="1783">
      <c r="A1783" s="1"/>
      <c r="B1783" s="3" t="str">
        <f>IFERROR(__xludf.DUMMYFUNCTION("""COMPUTED_VALUE"""),"HENKI")</f>
        <v>HENKI</v>
      </c>
      <c r="C1783" s="3" t="str">
        <f>IFERROR(__xludf.DUMMYFUNCTION("""COMPUTED_VALUE"""),"H8224102675")</f>
        <v>H8224102675</v>
      </c>
      <c r="D1783" s="3">
        <f>IFERROR(__xludf.DUMMYFUNCTION("""COMPUTED_VALUE"""),43.0)</f>
        <v>43</v>
      </c>
      <c r="E1783" s="1"/>
    </row>
    <row r="1784">
      <c r="A1784" s="1"/>
      <c r="B1784" s="3" t="str">
        <f>IFERROR(__xludf.DUMMYFUNCTION("""COMPUTED_VALUE"""),"VERY")</f>
        <v>VERY</v>
      </c>
      <c r="C1784" s="3" t="str">
        <f>IFERROR(__xludf.DUMMYFUNCTION("""COMPUTED_VALUE"""),"V9524108771")</f>
        <v>V9524108771</v>
      </c>
      <c r="D1784" s="3">
        <f>IFERROR(__xludf.DUMMYFUNCTION("""COMPUTED_VALUE"""),31.0)</f>
        <v>31</v>
      </c>
      <c r="E1784" s="1"/>
    </row>
    <row r="1785">
      <c r="A1785" s="1"/>
      <c r="B1785" s="3" t="str">
        <f>IFERROR(__xludf.DUMMYFUNCTION("""COMPUTED_VALUE"""),"WISNU PRABOWO")</f>
        <v>WISNU PRABOWO</v>
      </c>
      <c r="C1785" s="3" t="str">
        <f>IFERROR(__xludf.DUMMYFUNCTION("""COMPUTED_VALUE"""),"W9424109880")</f>
        <v>W9424109880</v>
      </c>
      <c r="D1785" s="3">
        <f>IFERROR(__xludf.DUMMYFUNCTION("""COMPUTED_VALUE"""),32.0)</f>
        <v>32</v>
      </c>
      <c r="E1785" s="1"/>
    </row>
    <row r="1786">
      <c r="A1786" s="1"/>
      <c r="B1786" s="3" t="str">
        <f>IFERROR(__xludf.DUMMYFUNCTION("""COMPUTED_VALUE"""),"TOMMY SURYA ATMAJA")</f>
        <v>TOMMY SURYA ATMAJA</v>
      </c>
      <c r="C1786" s="3" t="str">
        <f>IFERROR(__xludf.DUMMYFUNCTION("""COMPUTED_VALUE"""),"T9224101112")</f>
        <v>T9224101112</v>
      </c>
      <c r="D1786" s="3">
        <f>IFERROR(__xludf.DUMMYFUNCTION("""COMPUTED_VALUE"""),34.0)</f>
        <v>34</v>
      </c>
      <c r="E1786" s="1"/>
    </row>
    <row r="1787">
      <c r="A1787" s="1"/>
      <c r="B1787" s="3" t="str">
        <f>IFERROR(__xludf.DUMMYFUNCTION("""COMPUTED_VALUE"""),"EDI HADANI")</f>
        <v>EDI HADANI</v>
      </c>
      <c r="C1787" s="3" t="str">
        <f>IFERROR(__xludf.DUMMYFUNCTION("""COMPUTED_VALUE"""),"E9424106349")</f>
        <v>E9424106349</v>
      </c>
      <c r="D1787" s="3">
        <f>IFERROR(__xludf.DUMMYFUNCTION("""COMPUTED_VALUE"""),31.0)</f>
        <v>31</v>
      </c>
      <c r="E1787" s="1"/>
    </row>
    <row r="1788">
      <c r="A1788" s="1"/>
      <c r="B1788" s="3" t="str">
        <f>IFERROR(__xludf.DUMMYFUNCTION("""COMPUTED_VALUE"""),"DJUNG TONG")</f>
        <v>DJUNG TONG</v>
      </c>
      <c r="C1788" s="3" t="str">
        <f>IFERROR(__xludf.DUMMYFUNCTION("""COMPUTED_VALUE"""),"D7824104286")</f>
        <v>D7824104286</v>
      </c>
      <c r="D1788" s="3">
        <f>IFERROR(__xludf.DUMMYFUNCTION("""COMPUTED_VALUE"""),47.0)</f>
        <v>47</v>
      </c>
      <c r="E1788" s="1"/>
    </row>
    <row r="1789">
      <c r="A1789" s="1"/>
      <c r="B1789" s="3" t="str">
        <f>IFERROR(__xludf.DUMMYFUNCTION("""COMPUTED_VALUE"""),"LINA JULINA, SE")</f>
        <v>LINA JULINA, SE</v>
      </c>
      <c r="C1789" s="3" t="str">
        <f>IFERROR(__xludf.DUMMYFUNCTION("""COMPUTED_VALUE"""),"L7324104090")</f>
        <v>L7324104090</v>
      </c>
      <c r="D1789" s="3">
        <f>IFERROR(__xludf.DUMMYFUNCTION("""COMPUTED_VALUE"""),52.0)</f>
        <v>52</v>
      </c>
      <c r="E1789" s="1"/>
    </row>
    <row r="1790">
      <c r="A1790" s="1"/>
      <c r="B1790" s="3" t="str">
        <f>IFERROR(__xludf.DUMMYFUNCTION("""COMPUTED_VALUE"""),"WENDY WIJAYA")</f>
        <v>WENDY WIJAYA</v>
      </c>
      <c r="C1790" s="3" t="str">
        <f>IFERROR(__xludf.DUMMYFUNCTION("""COMPUTED_VALUE"""),"W9324108899")</f>
        <v>W9324108899</v>
      </c>
      <c r="D1790" s="3">
        <f>IFERROR(__xludf.DUMMYFUNCTION("""COMPUTED_VALUE"""),33.0)</f>
        <v>33</v>
      </c>
      <c r="E1790" s="1"/>
    </row>
    <row r="1791">
      <c r="A1791" s="1"/>
      <c r="B1791" s="3" t="str">
        <f>IFERROR(__xludf.DUMMYFUNCTION("""COMPUTED_VALUE"""),"LAILA HUSNA")</f>
        <v>LAILA HUSNA</v>
      </c>
      <c r="C1791" s="3" t="str">
        <f>IFERROR(__xludf.DUMMYFUNCTION("""COMPUTED_VALUE"""),"L6224108253")</f>
        <v>L6224108253</v>
      </c>
      <c r="D1791" s="3">
        <f>IFERROR(__xludf.DUMMYFUNCTION("""COMPUTED_VALUE"""),63.0)</f>
        <v>63</v>
      </c>
      <c r="E1791" s="1"/>
    </row>
    <row r="1792">
      <c r="A1792" s="1"/>
      <c r="B1792" s="3" t="str">
        <f>IFERROR(__xludf.DUMMYFUNCTION("""COMPUTED_VALUE"""),"AGISCA MAULIDYAH PERMANA")</f>
        <v>AGISCA MAULIDYAH PERMANA</v>
      </c>
      <c r="C1792" s="3" t="str">
        <f>IFERROR(__xludf.DUMMYFUNCTION("""COMPUTED_VALUE"""),"A0724100417")</f>
        <v>A0724100417</v>
      </c>
      <c r="D1792" s="3">
        <f>IFERROR(__xludf.DUMMYFUNCTION("""COMPUTED_VALUE"""),19.0)</f>
        <v>19</v>
      </c>
      <c r="E1792" s="1"/>
    </row>
    <row r="1793">
      <c r="A1793" s="1"/>
      <c r="B1793" s="3" t="str">
        <f>IFERROR(__xludf.DUMMYFUNCTION("""COMPUTED_VALUE"""),"WINDA ANGGRAINI")</f>
        <v>WINDA ANGGRAINI</v>
      </c>
      <c r="C1793" s="3" t="str">
        <f>IFERROR(__xludf.DUMMYFUNCTION("""COMPUTED_VALUE"""),"W7224108009")</f>
        <v>W7224108009</v>
      </c>
      <c r="D1793" s="3">
        <f>IFERROR(__xludf.DUMMYFUNCTION("""COMPUTED_VALUE"""),53.0)</f>
        <v>53</v>
      </c>
      <c r="E1793" s="1"/>
    </row>
    <row r="1794">
      <c r="A1794" s="1"/>
      <c r="B1794" s="3" t="str">
        <f>IFERROR(__xludf.DUMMYFUNCTION("""COMPUTED_VALUE"""),"SURYA YULIYANTO")</f>
        <v>SURYA YULIYANTO</v>
      </c>
      <c r="C1794" s="3" t="str">
        <f>IFERROR(__xludf.DUMMYFUNCTION("""COMPUTED_VALUE"""),"S0524104015")</f>
        <v>S0524104015</v>
      </c>
      <c r="D1794" s="3">
        <f>IFERROR(__xludf.DUMMYFUNCTION("""COMPUTED_VALUE"""),20.0)</f>
        <v>20</v>
      </c>
      <c r="E1794" s="1"/>
    </row>
    <row r="1795">
      <c r="A1795" s="1"/>
      <c r="B1795" s="3" t="str">
        <f>IFERROR(__xludf.DUMMYFUNCTION("""COMPUTED_VALUE"""),"NAJWA ANANDA DESFIRIANI")</f>
        <v>NAJWA ANANDA DESFIRIANI</v>
      </c>
      <c r="C1795" s="3" t="str">
        <f>IFERROR(__xludf.DUMMYFUNCTION("""COMPUTED_VALUE"""),"N0724105061")</f>
        <v>N0724105061</v>
      </c>
      <c r="D1795" s="3">
        <f>IFERROR(__xludf.DUMMYFUNCTION("""COMPUTED_VALUE"""),18.0)</f>
        <v>18</v>
      </c>
      <c r="E1795" s="1"/>
    </row>
    <row r="1796">
      <c r="A1796" s="1"/>
      <c r="B1796" s="3" t="str">
        <f>IFERROR(__xludf.DUMMYFUNCTION("""COMPUTED_VALUE"""),"ANUGRAH DWI SATTRIO")</f>
        <v>ANUGRAH DWI SATTRIO</v>
      </c>
      <c r="C1796" s="3" t="str">
        <f>IFERROR(__xludf.DUMMYFUNCTION("""COMPUTED_VALUE"""),"A0624102006")</f>
        <v>A0624102006</v>
      </c>
      <c r="D1796" s="3">
        <f>IFERROR(__xludf.DUMMYFUNCTION("""COMPUTED_VALUE"""),19.0)</f>
        <v>19</v>
      </c>
      <c r="E1796" s="1"/>
    </row>
    <row r="1797">
      <c r="A1797" s="1"/>
      <c r="B1797" s="3" t="str">
        <f>IFERROR(__xludf.DUMMYFUNCTION("""COMPUTED_VALUE"""),"RIKA HAFIANTI")</f>
        <v>RIKA HAFIANTI</v>
      </c>
      <c r="C1797" s="3" t="str">
        <f>IFERROR(__xludf.DUMMYFUNCTION("""COMPUTED_VALUE"""),"R7724104227")</f>
        <v>R7724104227</v>
      </c>
      <c r="D1797" s="3">
        <f>IFERROR(__xludf.DUMMYFUNCTION("""COMPUTED_VALUE"""),49.0)</f>
        <v>49</v>
      </c>
      <c r="E1797" s="1"/>
    </row>
    <row r="1798">
      <c r="A1798" s="1"/>
      <c r="B1798" s="3" t="str">
        <f>IFERROR(__xludf.DUMMYFUNCTION("""COMPUTED_VALUE"""),"MARLENI")</f>
        <v>MARLENI</v>
      </c>
      <c r="C1798" s="3" t="str">
        <f>IFERROR(__xludf.DUMMYFUNCTION("""COMPUTED_VALUE"""),"M7824100000")</f>
        <v>M7824100000</v>
      </c>
      <c r="D1798" s="3">
        <f>IFERROR(__xludf.DUMMYFUNCTION("""COMPUTED_VALUE"""),48.0)</f>
        <v>48</v>
      </c>
      <c r="E1798" s="1"/>
    </row>
    <row r="1799">
      <c r="A1799" s="1"/>
      <c r="B1799" s="3" t="str">
        <f>IFERROR(__xludf.DUMMYFUNCTION("""COMPUTED_VALUE"""),"ARIEP NURALAM")</f>
        <v>ARIEP NURALAM</v>
      </c>
      <c r="C1799" s="3" t="str">
        <f>IFERROR(__xludf.DUMMYFUNCTION("""COMPUTED_VALUE"""),"A9924102495")</f>
        <v>A9924102495</v>
      </c>
      <c r="D1799" s="3">
        <f>IFERROR(__xludf.DUMMYFUNCTION("""COMPUTED_VALUE"""),26.0)</f>
        <v>26</v>
      </c>
      <c r="E1799" s="1"/>
    </row>
    <row r="1800">
      <c r="A1800" s="1"/>
      <c r="B1800" s="3" t="str">
        <f>IFERROR(__xludf.DUMMYFUNCTION("""COMPUTED_VALUE"""),"RAVLI AGUS VASHIA")</f>
        <v>RAVLI AGUS VASHIA</v>
      </c>
      <c r="C1800" s="3" t="str">
        <f>IFERROR(__xludf.DUMMYFUNCTION("""COMPUTED_VALUE"""),"R9824106383")</f>
        <v>R9824106383</v>
      </c>
      <c r="D1800" s="3">
        <f>IFERROR(__xludf.DUMMYFUNCTION("""COMPUTED_VALUE"""),27.0)</f>
        <v>27</v>
      </c>
      <c r="E1800" s="1"/>
    </row>
    <row r="1801">
      <c r="A1801" s="1"/>
      <c r="B1801" s="3" t="str">
        <f>IFERROR(__xludf.DUMMYFUNCTION("""COMPUTED_VALUE"""),"HENRIS")</f>
        <v>HENRIS</v>
      </c>
      <c r="C1801" s="3" t="str">
        <f>IFERROR(__xludf.DUMMYFUNCTION("""COMPUTED_VALUE"""),"H0024107515")</f>
        <v>H0024107515</v>
      </c>
      <c r="D1801" s="3">
        <f>IFERROR(__xludf.DUMMYFUNCTION("""COMPUTED_VALUE"""),26.0)</f>
        <v>26</v>
      </c>
      <c r="E1801" s="1"/>
    </row>
    <row r="1802">
      <c r="A1802" s="1"/>
      <c r="B1802" s="3" t="str">
        <f>IFERROR(__xludf.DUMMYFUNCTION("""COMPUTED_VALUE"""),"SOLIHIN AGUS")</f>
        <v>SOLIHIN AGUS</v>
      </c>
      <c r="C1802" s="3" t="str">
        <f>IFERROR(__xludf.DUMMYFUNCTION("""COMPUTED_VALUE"""),"S6724108986")</f>
        <v>S6724108986</v>
      </c>
      <c r="D1802" s="3">
        <f>IFERROR(__xludf.DUMMYFUNCTION("""COMPUTED_VALUE"""),59.0)</f>
        <v>59</v>
      </c>
      <c r="E1802" s="1"/>
    </row>
    <row r="1803">
      <c r="A1803" s="1"/>
      <c r="B1803" s="3" t="str">
        <f>IFERROR(__xludf.DUMMYFUNCTION("""COMPUTED_VALUE"""),"KRISTIN")</f>
        <v>KRISTIN</v>
      </c>
      <c r="C1803" s="3" t="str">
        <f>IFERROR(__xludf.DUMMYFUNCTION("""COMPUTED_VALUE"""),"K7724104788")</f>
        <v>K7724104788</v>
      </c>
      <c r="D1803" s="3">
        <f>IFERROR(__xludf.DUMMYFUNCTION("""COMPUTED_VALUE"""),48.0)</f>
        <v>48</v>
      </c>
      <c r="E1803" s="1"/>
    </row>
    <row r="1804">
      <c r="A1804" s="1"/>
      <c r="B1804" s="3" t="str">
        <f>IFERROR(__xludf.DUMMYFUNCTION("""COMPUTED_VALUE"""),"SUTARMO")</f>
        <v>SUTARMO</v>
      </c>
      <c r="C1804" s="3" t="str">
        <f>IFERROR(__xludf.DUMMYFUNCTION("""COMPUTED_VALUE"""),"S9624103200")</f>
        <v>S9624103200</v>
      </c>
      <c r="D1804" s="3">
        <f>IFERROR(__xludf.DUMMYFUNCTION("""COMPUTED_VALUE"""),30.0)</f>
        <v>30</v>
      </c>
      <c r="E1804" s="1"/>
    </row>
    <row r="1805">
      <c r="A1805" s="1"/>
      <c r="B1805" s="3" t="str">
        <f>IFERROR(__xludf.DUMMYFUNCTION("""COMPUTED_VALUE"""),"SUMARNI,S.STP")</f>
        <v>SUMARNI,S.STP</v>
      </c>
      <c r="C1805" s="3" t="str">
        <f>IFERROR(__xludf.DUMMYFUNCTION("""COMPUTED_VALUE"""),"S8224100509")</f>
        <v>S8224100509</v>
      </c>
      <c r="D1805" s="3">
        <f>IFERROR(__xludf.DUMMYFUNCTION("""COMPUTED_VALUE"""),44.0)</f>
        <v>44</v>
      </c>
      <c r="E1805" s="1"/>
    </row>
    <row r="1806">
      <c r="A1806" s="1"/>
      <c r="B1806" s="3" t="str">
        <f>IFERROR(__xludf.DUMMYFUNCTION("""COMPUTED_VALUE"""),"MOHAMAD SYAZIMMI HERSYAPUTRA")</f>
        <v>MOHAMAD SYAZIMMI HERSYAPUTRA</v>
      </c>
      <c r="C1806" s="3" t="str">
        <f>IFERROR(__xludf.DUMMYFUNCTION("""COMPUTED_VALUE"""),"M0024102451")</f>
        <v>M0024102451</v>
      </c>
      <c r="D1806" s="3">
        <f>IFERROR(__xludf.DUMMYFUNCTION("""COMPUTED_VALUE"""),26.0)</f>
        <v>26</v>
      </c>
      <c r="E1806" s="1"/>
    </row>
    <row r="1807">
      <c r="A1807" s="1"/>
      <c r="B1807" s="3" t="str">
        <f>IFERROR(__xludf.DUMMYFUNCTION("""COMPUTED_VALUE"""),"SAMUEL DAZHILL")</f>
        <v>SAMUEL DAZHILL</v>
      </c>
      <c r="C1807" s="3" t="str">
        <f>IFERROR(__xludf.DUMMYFUNCTION("""COMPUTED_VALUE"""),"S0824108899")</f>
        <v>S0824108899</v>
      </c>
      <c r="D1807" s="3">
        <f>IFERROR(__xludf.DUMMYFUNCTION("""COMPUTED_VALUE"""),17.0)</f>
        <v>17</v>
      </c>
      <c r="E1807" s="1"/>
    </row>
    <row r="1808">
      <c r="A1808" s="1"/>
      <c r="B1808" s="3" t="str">
        <f>IFERROR(__xludf.DUMMYFUNCTION("""COMPUTED_VALUE"""),"RISKI FEBRIADI")</f>
        <v>RISKI FEBRIADI</v>
      </c>
      <c r="C1808" s="3" t="str">
        <f>IFERROR(__xludf.DUMMYFUNCTION("""COMPUTED_VALUE"""),"R9624109097")</f>
        <v>R9624109097</v>
      </c>
      <c r="D1808" s="3">
        <f>IFERROR(__xludf.DUMMYFUNCTION("""COMPUTED_VALUE"""),30.0)</f>
        <v>30</v>
      </c>
      <c r="E1808" s="1"/>
    </row>
    <row r="1809">
      <c r="A1809" s="1"/>
      <c r="B1809" s="3" t="str">
        <f>IFERROR(__xludf.DUMMYFUNCTION("""COMPUTED_VALUE"""),"YOHANITHA LIZA OKTAVIANI")</f>
        <v>YOHANITHA LIZA OKTAVIANI</v>
      </c>
      <c r="C1809" s="3" t="str">
        <f>IFERROR(__xludf.DUMMYFUNCTION("""COMPUTED_VALUE"""),"Y9324109873")</f>
        <v>Y9324109873</v>
      </c>
      <c r="D1809" s="3">
        <f>IFERROR(__xludf.DUMMYFUNCTION("""COMPUTED_VALUE"""),32.0)</f>
        <v>32</v>
      </c>
      <c r="E1809" s="1"/>
    </row>
    <row r="1810">
      <c r="A1810" s="1"/>
      <c r="B1810" s="3" t="str">
        <f>IFERROR(__xludf.DUMMYFUNCTION("""COMPUTED_VALUE"""),"ROBY SUGIANTARA")</f>
        <v>ROBY SUGIANTARA</v>
      </c>
      <c r="C1810" s="3" t="str">
        <f>IFERROR(__xludf.DUMMYFUNCTION("""COMPUTED_VALUE"""),"R9124108100")</f>
        <v>R9124108100</v>
      </c>
      <c r="D1810" s="3">
        <f>IFERROR(__xludf.DUMMYFUNCTION("""COMPUTED_VALUE"""),35.0)</f>
        <v>35</v>
      </c>
      <c r="E1810" s="1"/>
    </row>
    <row r="1811">
      <c r="A1811" s="1"/>
      <c r="B1811" s="3" t="str">
        <f>IFERROR(__xludf.DUMMYFUNCTION("""COMPUTED_VALUE"""),"MASRINI")</f>
        <v>MASRINI</v>
      </c>
      <c r="C1811" s="3" t="str">
        <f>IFERROR(__xludf.DUMMYFUNCTION("""COMPUTED_VALUE"""),"M5024101477")</f>
        <v>M5024101477</v>
      </c>
      <c r="D1811" s="3">
        <f>IFERROR(__xludf.DUMMYFUNCTION("""COMPUTED_VALUE"""),76.0)</f>
        <v>76</v>
      </c>
      <c r="E1811" s="1"/>
    </row>
    <row r="1812">
      <c r="A1812" s="1"/>
      <c r="B1812" s="3" t="str">
        <f>IFERROR(__xludf.DUMMYFUNCTION("""COMPUTED_VALUE"""),"LEONARDO WONG")</f>
        <v>LEONARDO WONG</v>
      </c>
      <c r="C1812" s="3" t="str">
        <f>IFERROR(__xludf.DUMMYFUNCTION("""COMPUTED_VALUE"""),"L9824109191")</f>
        <v>L9824109191</v>
      </c>
      <c r="D1812" s="3">
        <f>IFERROR(__xludf.DUMMYFUNCTION("""COMPUTED_VALUE"""),27.0)</f>
        <v>27</v>
      </c>
      <c r="E1812" s="1"/>
    </row>
    <row r="1813">
      <c r="A1813" s="1"/>
      <c r="B1813" s="3" t="str">
        <f>IFERROR(__xludf.DUMMYFUNCTION("""COMPUTED_VALUE"""),"ILHAM ROSI AKBAR")</f>
        <v>ILHAM ROSI AKBAR</v>
      </c>
      <c r="C1813" s="3" t="str">
        <f>IFERROR(__xludf.DUMMYFUNCTION("""COMPUTED_VALUE"""),"I9524108125")</f>
        <v>I9524108125</v>
      </c>
      <c r="D1813" s="3">
        <f>IFERROR(__xludf.DUMMYFUNCTION("""COMPUTED_VALUE"""),30.0)</f>
        <v>30</v>
      </c>
      <c r="E1813" s="1"/>
    </row>
    <row r="1814">
      <c r="A1814" s="1"/>
      <c r="B1814" s="3" t="str">
        <f>IFERROR(__xludf.DUMMYFUNCTION("""COMPUTED_VALUE"""),"SUMIATI (PENITI)")</f>
        <v>SUMIATI (PENITI)</v>
      </c>
      <c r="C1814" s="3" t="str">
        <f>IFERROR(__xludf.DUMMYFUNCTION("""COMPUTED_VALUE"""),"S7224106820")</f>
        <v>S7224106820</v>
      </c>
      <c r="D1814" s="3">
        <f>IFERROR(__xludf.DUMMYFUNCTION("""COMPUTED_VALUE"""),53.0)</f>
        <v>53</v>
      </c>
      <c r="E1814" s="1"/>
    </row>
    <row r="1815">
      <c r="A1815" s="1"/>
      <c r="B1815" s="3" t="str">
        <f>IFERROR(__xludf.DUMMYFUNCTION("""COMPUTED_VALUE"""),"TJAN TIONG HONG")</f>
        <v>TJAN TIONG HONG</v>
      </c>
      <c r="C1815" s="3" t="str">
        <f>IFERROR(__xludf.DUMMYFUNCTION("""COMPUTED_VALUE"""),"T7524104338")</f>
        <v>T7524104338</v>
      </c>
      <c r="D1815" s="3">
        <f>IFERROR(__xludf.DUMMYFUNCTION("""COMPUTED_VALUE"""),51.0)</f>
        <v>51</v>
      </c>
      <c r="E1815" s="1"/>
    </row>
    <row r="1816">
      <c r="A1816" s="1"/>
      <c r="B1816" s="3" t="str">
        <f>IFERROR(__xludf.DUMMYFUNCTION("""COMPUTED_VALUE"""),"UTIN NADIA JUWITA")</f>
        <v>UTIN NADIA JUWITA</v>
      </c>
      <c r="C1816" s="3" t="str">
        <f>IFERROR(__xludf.DUMMYFUNCTION("""COMPUTED_VALUE"""),"U8224105120")</f>
        <v>U8224105120</v>
      </c>
      <c r="D1816" s="3">
        <f>IFERROR(__xludf.DUMMYFUNCTION("""COMPUTED_VALUE"""),44.0)</f>
        <v>44</v>
      </c>
      <c r="E1816" s="1"/>
    </row>
    <row r="1817">
      <c r="A1817" s="1"/>
      <c r="B1817" s="3" t="str">
        <f>IFERROR(__xludf.DUMMYFUNCTION("""COMPUTED_VALUE"""),"ETHAN EFFENDY")</f>
        <v>ETHAN EFFENDY</v>
      </c>
      <c r="C1817" s="3" t="str">
        <f>IFERROR(__xludf.DUMMYFUNCTION("""COMPUTED_VALUE"""),"E1824109688")</f>
        <v>E1824109688</v>
      </c>
      <c r="D1817" s="3">
        <f>IFERROR(__xludf.DUMMYFUNCTION("""COMPUTED_VALUE"""),7.0)</f>
        <v>7</v>
      </c>
      <c r="E1817" s="1"/>
    </row>
    <row r="1818">
      <c r="A1818" s="1"/>
      <c r="B1818" s="3" t="str">
        <f>IFERROR(__xludf.DUMMYFUNCTION("""COMPUTED_VALUE"""),"YOGA PRASETIA RAMADHANI")</f>
        <v>YOGA PRASETIA RAMADHANI</v>
      </c>
      <c r="C1818" s="3" t="str">
        <f>IFERROR(__xludf.DUMMYFUNCTION("""COMPUTED_VALUE"""),"Y9824108905")</f>
        <v>Y9824108905</v>
      </c>
      <c r="D1818" s="3">
        <f>IFERROR(__xludf.DUMMYFUNCTION("""COMPUTED_VALUE"""),28.0)</f>
        <v>28</v>
      </c>
      <c r="E1818" s="1"/>
    </row>
    <row r="1819">
      <c r="A1819" s="1"/>
      <c r="B1819" s="3" t="str">
        <f>IFERROR(__xludf.DUMMYFUNCTION("""COMPUTED_VALUE"""),"TJIA SUI NGIAM")</f>
        <v>TJIA SUI NGIAM</v>
      </c>
      <c r="C1819" s="3" t="str">
        <f>IFERROR(__xludf.DUMMYFUNCTION("""COMPUTED_VALUE"""),"T7124107338")</f>
        <v>T7124107338</v>
      </c>
      <c r="D1819" s="3">
        <f>IFERROR(__xludf.DUMMYFUNCTION("""COMPUTED_VALUE"""),54.0)</f>
        <v>54</v>
      </c>
      <c r="E1819" s="1"/>
    </row>
    <row r="1820">
      <c r="A1820" s="1"/>
      <c r="B1820" s="3" t="str">
        <f>IFERROR(__xludf.DUMMYFUNCTION("""COMPUTED_VALUE"""),"RAHMADHANI ADIYATMA")</f>
        <v>RAHMADHANI ADIYATMA</v>
      </c>
      <c r="C1820" s="3" t="str">
        <f>IFERROR(__xludf.DUMMYFUNCTION("""COMPUTED_VALUE"""),"R9724105694")</f>
        <v>R9724105694</v>
      </c>
      <c r="D1820" s="3">
        <f>IFERROR(__xludf.DUMMYFUNCTION("""COMPUTED_VALUE"""),29.0)</f>
        <v>29</v>
      </c>
      <c r="E1820" s="1"/>
    </row>
    <row r="1821">
      <c r="A1821" s="1"/>
      <c r="B1821" s="3" t="str">
        <f>IFERROR(__xludf.DUMMYFUNCTION("""COMPUTED_VALUE"""),"MUHAMMAD IRZA ALFARIZI")</f>
        <v>MUHAMMAD IRZA ALFARIZI</v>
      </c>
      <c r="C1821" s="3" t="str">
        <f>IFERROR(__xludf.DUMMYFUNCTION("""COMPUTED_VALUE"""),"M0024104285")</f>
        <v>M0024104285</v>
      </c>
      <c r="D1821" s="3">
        <f>IFERROR(__xludf.DUMMYFUNCTION("""COMPUTED_VALUE"""),25.0)</f>
        <v>25</v>
      </c>
      <c r="E1821" s="1"/>
    </row>
    <row r="1822">
      <c r="A1822" s="1"/>
      <c r="B1822" s="3" t="str">
        <f>IFERROR(__xludf.DUMMYFUNCTION("""COMPUTED_VALUE"""),"FERI KURNIAWAN")</f>
        <v>FERI KURNIAWAN</v>
      </c>
      <c r="C1822" s="3" t="str">
        <f>IFERROR(__xludf.DUMMYFUNCTION("""COMPUTED_VALUE"""),"F9224107928")</f>
        <v>F9224107928</v>
      </c>
      <c r="D1822" s="3">
        <f>IFERROR(__xludf.DUMMYFUNCTION("""COMPUTED_VALUE"""),34.0)</f>
        <v>34</v>
      </c>
      <c r="E1822" s="1"/>
    </row>
    <row r="1823">
      <c r="A1823" s="1"/>
      <c r="B1823" s="3" t="str">
        <f>IFERROR(__xludf.DUMMYFUNCTION("""COMPUTED_VALUE"""),"ANTHONY")</f>
        <v>ANTHONY</v>
      </c>
      <c r="C1823" s="3" t="str">
        <f>IFERROR(__xludf.DUMMYFUNCTION("""COMPUTED_VALUE"""),"A9424104742")</f>
        <v>A9424104742</v>
      </c>
      <c r="D1823" s="3">
        <f>IFERROR(__xludf.DUMMYFUNCTION("""COMPUTED_VALUE"""),31.0)</f>
        <v>31</v>
      </c>
      <c r="E1823" s="1"/>
    </row>
    <row r="1824">
      <c r="A1824" s="1"/>
      <c r="B1824" s="3" t="str">
        <f>IFERROR(__xludf.DUMMYFUNCTION("""COMPUTED_VALUE"""),"ROMI YUNIARDI")</f>
        <v>ROMI YUNIARDI</v>
      </c>
      <c r="C1824" s="3" t="str">
        <f>IFERROR(__xludf.DUMMYFUNCTION("""COMPUTED_VALUE"""),"R8924100046")</f>
        <v>R8924100046</v>
      </c>
      <c r="D1824" s="3">
        <f>IFERROR(__xludf.DUMMYFUNCTION("""COMPUTED_VALUE"""),37.0)</f>
        <v>37</v>
      </c>
      <c r="E1824" s="1"/>
    </row>
    <row r="1825">
      <c r="A1825" s="1"/>
      <c r="B1825" s="3" t="str">
        <f>IFERROR(__xludf.DUMMYFUNCTION("""COMPUTED_VALUE"""),"WILDA")</f>
        <v>WILDA</v>
      </c>
      <c r="C1825" s="3" t="str">
        <f>IFERROR(__xludf.DUMMYFUNCTION("""COMPUTED_VALUE"""),"W9324106433")</f>
        <v>W9324106433</v>
      </c>
      <c r="D1825" s="3">
        <f>IFERROR(__xludf.DUMMYFUNCTION("""COMPUTED_VALUE"""),32.0)</f>
        <v>32</v>
      </c>
      <c r="E1825" s="1"/>
    </row>
    <row r="1826">
      <c r="A1826" s="1"/>
      <c r="B1826" s="3" t="str">
        <f>IFERROR(__xludf.DUMMYFUNCTION("""COMPUTED_VALUE"""),"CHRISTY THIA HARTIANA")</f>
        <v>CHRISTY THIA HARTIANA</v>
      </c>
      <c r="C1826" s="3" t="str">
        <f>IFERROR(__xludf.DUMMYFUNCTION("""COMPUTED_VALUE"""),"C8724100311")</f>
        <v>C8724100311</v>
      </c>
      <c r="D1826" s="3">
        <f>IFERROR(__xludf.DUMMYFUNCTION("""COMPUTED_VALUE"""),38.0)</f>
        <v>38</v>
      </c>
      <c r="E1826" s="1"/>
    </row>
    <row r="1827">
      <c r="A1827" s="1"/>
      <c r="B1827" s="3" t="str">
        <f>IFERROR(__xludf.DUMMYFUNCTION("""COMPUTED_VALUE"""),"HARIS FIRMANSYAH")</f>
        <v>HARIS FIRMANSYAH</v>
      </c>
      <c r="C1827" s="3" t="str">
        <f>IFERROR(__xludf.DUMMYFUNCTION("""COMPUTED_VALUE"""),"H8924108463")</f>
        <v>H8924108463</v>
      </c>
      <c r="D1827" s="3">
        <f>IFERROR(__xludf.DUMMYFUNCTION("""COMPUTED_VALUE"""),37.0)</f>
        <v>37</v>
      </c>
      <c r="E1827" s="1"/>
    </row>
    <row r="1828">
      <c r="A1828" s="1"/>
      <c r="B1828" s="3" t="str">
        <f>IFERROR(__xludf.DUMMYFUNCTION("""COMPUTED_VALUE"""),"ZASKIA BUNGA SENJA")</f>
        <v>ZASKIA BUNGA SENJA</v>
      </c>
      <c r="C1828" s="3" t="str">
        <f>IFERROR(__xludf.DUMMYFUNCTION("""COMPUTED_VALUE"""),"Z1024104619")</f>
        <v>Z1024104619</v>
      </c>
      <c r="D1828" s="3">
        <f>IFERROR(__xludf.DUMMYFUNCTION("""COMPUTED_VALUE"""),16.0)</f>
        <v>16</v>
      </c>
      <c r="E1828" s="1"/>
    </row>
    <row r="1829">
      <c r="A1829" s="1"/>
      <c r="B1829" s="3" t="str">
        <f>IFERROR(__xludf.DUMMYFUNCTION("""COMPUTED_VALUE"""),"ZEIN GIBRAN ALGHIFARY")</f>
        <v>ZEIN GIBRAN ALGHIFARY</v>
      </c>
      <c r="C1829" s="3" t="str">
        <f>IFERROR(__xludf.DUMMYFUNCTION("""COMPUTED_VALUE"""),"Z1224100240")</f>
        <v>Z1224100240</v>
      </c>
      <c r="D1829" s="3">
        <f>IFERROR(__xludf.DUMMYFUNCTION("""COMPUTED_VALUE"""),14.0)</f>
        <v>14</v>
      </c>
      <c r="E1829" s="1"/>
    </row>
    <row r="1830">
      <c r="A1830" s="1"/>
      <c r="B1830" s="3" t="str">
        <f>IFERROR(__xludf.DUMMYFUNCTION("""COMPUTED_VALUE"""),"MUHAMMAD FATHIIN MUYASSAR")</f>
        <v>MUHAMMAD FATHIIN MUYASSAR</v>
      </c>
      <c r="C1830" s="3" t="str">
        <f>IFERROR(__xludf.DUMMYFUNCTION("""COMPUTED_VALUE"""),"M1124109997")</f>
        <v>M1124109997</v>
      </c>
      <c r="D1830" s="3">
        <f>IFERROR(__xludf.DUMMYFUNCTION("""COMPUTED_VALUE"""),15.0)</f>
        <v>15</v>
      </c>
      <c r="E1830" s="1"/>
    </row>
    <row r="1831">
      <c r="A1831" s="1"/>
      <c r="B1831" s="3" t="str">
        <f>IFERROR(__xludf.DUMMYFUNCTION("""COMPUTED_VALUE"""),"MUHAMMAD ISNU FAHRURROZI")</f>
        <v>MUHAMMAD ISNU FAHRURROZI</v>
      </c>
      <c r="C1831" s="3" t="str">
        <f>IFERROR(__xludf.DUMMYFUNCTION("""COMPUTED_VALUE"""),"M9824105171")</f>
        <v>M9824105171</v>
      </c>
      <c r="D1831" s="3">
        <f>IFERROR(__xludf.DUMMYFUNCTION("""COMPUTED_VALUE"""),27.0)</f>
        <v>27</v>
      </c>
      <c r="E1831" s="1"/>
    </row>
    <row r="1832">
      <c r="A1832" s="1"/>
      <c r="B1832" s="3" t="str">
        <f>IFERROR(__xludf.DUMMYFUNCTION("""COMPUTED_VALUE"""),"NICHOLAS ARINDA PRASETYO")</f>
        <v>NICHOLAS ARINDA PRASETYO</v>
      </c>
      <c r="C1832" s="3" t="str">
        <f>IFERROR(__xludf.DUMMYFUNCTION("""COMPUTED_VALUE"""),"N0324108818")</f>
        <v>N0324108818</v>
      </c>
      <c r="D1832" s="3">
        <f>IFERROR(__xludf.DUMMYFUNCTION("""COMPUTED_VALUE"""),23.0)</f>
        <v>23</v>
      </c>
      <c r="E1832" s="1"/>
    </row>
    <row r="1833">
      <c r="A1833" s="1"/>
      <c r="B1833" s="3" t="str">
        <f>IFERROR(__xludf.DUMMYFUNCTION("""COMPUTED_VALUE"""),"MUHAMMAD MUSA HARAHAP")</f>
        <v>MUHAMMAD MUSA HARAHAP</v>
      </c>
      <c r="C1833" s="3" t="str">
        <f>IFERROR(__xludf.DUMMYFUNCTION("""COMPUTED_VALUE"""),"M0124109721")</f>
        <v>M0124109721</v>
      </c>
      <c r="D1833" s="3">
        <f>IFERROR(__xludf.DUMMYFUNCTION("""COMPUTED_VALUE"""),25.0)</f>
        <v>25</v>
      </c>
      <c r="E1833" s="1"/>
    </row>
    <row r="1834">
      <c r="A1834" s="1"/>
      <c r="B1834" s="3" t="str">
        <f>IFERROR(__xludf.DUMMYFUNCTION("""COMPUTED_VALUE"""),"MUHAMMAD NAGIB FARHAN")</f>
        <v>MUHAMMAD NAGIB FARHAN</v>
      </c>
      <c r="C1834" s="3" t="str">
        <f>IFERROR(__xludf.DUMMYFUNCTION("""COMPUTED_VALUE"""),"M9724105951")</f>
        <v>M9724105951</v>
      </c>
      <c r="D1834" s="3">
        <f>IFERROR(__xludf.DUMMYFUNCTION("""COMPUTED_VALUE"""),29.0)</f>
        <v>29</v>
      </c>
      <c r="E1834" s="1"/>
    </row>
    <row r="1835">
      <c r="A1835" s="1"/>
      <c r="B1835" s="3" t="str">
        <f>IFERROR(__xludf.DUMMYFUNCTION("""COMPUTED_VALUE"""),"RIFWARTI")</f>
        <v>RIFWARTI</v>
      </c>
      <c r="C1835" s="3" t="str">
        <f>IFERROR(__xludf.DUMMYFUNCTION("""COMPUTED_VALUE"""),"R5724104031")</f>
        <v>R5724104031</v>
      </c>
      <c r="D1835" s="3">
        <f>IFERROR(__xludf.DUMMYFUNCTION("""COMPUTED_VALUE"""),69.0)</f>
        <v>69</v>
      </c>
      <c r="E1835" s="1"/>
    </row>
    <row r="1836">
      <c r="A1836" s="1"/>
      <c r="B1836" s="3" t="str">
        <f>IFERROR(__xludf.DUMMYFUNCTION("""COMPUTED_VALUE"""),"USMAN ARIF MURTOPO")</f>
        <v>USMAN ARIF MURTOPO</v>
      </c>
      <c r="C1836" s="3" t="str">
        <f>IFERROR(__xludf.DUMMYFUNCTION("""COMPUTED_VALUE"""),"U7624100738")</f>
        <v>U7624100738</v>
      </c>
      <c r="D1836" s="3">
        <f>IFERROR(__xludf.DUMMYFUNCTION("""COMPUTED_VALUE"""),50.0)</f>
        <v>50</v>
      </c>
      <c r="E1836" s="1"/>
    </row>
    <row r="1837">
      <c r="A1837" s="1"/>
      <c r="B1837" s="3" t="str">
        <f>IFERROR(__xludf.DUMMYFUNCTION("""COMPUTED_VALUE"""),"SY YUSUF")</f>
        <v>SY YUSUF</v>
      </c>
      <c r="C1837" s="3" t="str">
        <f>IFERROR(__xludf.DUMMYFUNCTION("""COMPUTED_VALUE"""),"S7524101869")</f>
        <v>S7524101869</v>
      </c>
      <c r="D1837" s="3">
        <f>IFERROR(__xludf.DUMMYFUNCTION("""COMPUTED_VALUE"""),50.0)</f>
        <v>50</v>
      </c>
      <c r="E1837" s="1"/>
    </row>
    <row r="1838">
      <c r="A1838" s="1"/>
      <c r="B1838" s="3" t="str">
        <f>IFERROR(__xludf.DUMMYFUNCTION("""COMPUTED_VALUE"""),"ARDIKA GUMILANG KAMAJAYA")</f>
        <v>ARDIKA GUMILANG KAMAJAYA</v>
      </c>
      <c r="C1838" s="3" t="str">
        <f>IFERROR(__xludf.DUMMYFUNCTION("""COMPUTED_VALUE"""),"A9424116266")</f>
        <v>A9424116266</v>
      </c>
      <c r="D1838" s="3">
        <f>IFERROR(__xludf.DUMMYFUNCTION("""COMPUTED_VALUE"""),31.0)</f>
        <v>31</v>
      </c>
      <c r="E1838" s="1"/>
    </row>
    <row r="1839">
      <c r="A1839" s="1"/>
      <c r="B1839" s="3" t="str">
        <f>IFERROR(__xludf.DUMMYFUNCTION("""COMPUTED_VALUE"""),"SUYANTO 9210")</f>
        <v>SUYANTO 9210</v>
      </c>
      <c r="C1839" s="3" t="str">
        <f>IFERROR(__xludf.DUMMYFUNCTION("""COMPUTED_VALUE"""),"S9224119037")</f>
        <v>S9224119037</v>
      </c>
      <c r="D1839" s="3">
        <f>IFERROR(__xludf.DUMMYFUNCTION("""COMPUTED_VALUE"""),33.0)</f>
        <v>33</v>
      </c>
      <c r="E1839" s="1"/>
    </row>
    <row r="1840">
      <c r="A1840" s="1"/>
      <c r="B1840" s="3" t="str">
        <f>IFERROR(__xludf.DUMMYFUNCTION("""COMPUTED_VALUE"""),"ALVIN DWI APRIYADHI")</f>
        <v>ALVIN DWI APRIYADHI</v>
      </c>
      <c r="C1840" s="3" t="str">
        <f>IFERROR(__xludf.DUMMYFUNCTION("""COMPUTED_VALUE"""),"A0724111041")</f>
        <v>A0724111041</v>
      </c>
      <c r="D1840" s="3">
        <f>IFERROR(__xludf.DUMMYFUNCTION("""COMPUTED_VALUE"""),19.0)</f>
        <v>19</v>
      </c>
      <c r="E1840" s="1"/>
    </row>
    <row r="1841">
      <c r="A1841" s="1"/>
      <c r="B1841" s="3" t="str">
        <f>IFERROR(__xludf.DUMMYFUNCTION("""COMPUTED_VALUE"""),"SURIRAH")</f>
        <v>SURIRAH</v>
      </c>
      <c r="C1841" s="3" t="str">
        <f>IFERROR(__xludf.DUMMYFUNCTION("""COMPUTED_VALUE"""),"S7624116404")</f>
        <v>S7624116404</v>
      </c>
      <c r="D1841" s="3">
        <f>IFERROR(__xludf.DUMMYFUNCTION("""COMPUTED_VALUE"""),50.0)</f>
        <v>50</v>
      </c>
      <c r="E1841" s="1"/>
    </row>
    <row r="1842">
      <c r="A1842" s="1"/>
      <c r="B1842" s="3" t="str">
        <f>IFERROR(__xludf.DUMMYFUNCTION("""COMPUTED_VALUE"""),"CHRESTELLA NOVEDA")</f>
        <v>CHRESTELLA NOVEDA</v>
      </c>
      <c r="C1842" s="3" t="str">
        <f>IFERROR(__xludf.DUMMYFUNCTION("""COMPUTED_VALUE"""),"C9424111787")</f>
        <v>C9424111787</v>
      </c>
      <c r="D1842" s="3">
        <f>IFERROR(__xludf.DUMMYFUNCTION("""COMPUTED_VALUE"""),31.0)</f>
        <v>31</v>
      </c>
      <c r="E1842" s="1"/>
    </row>
    <row r="1843">
      <c r="A1843" s="1"/>
      <c r="B1843" s="3" t="str">
        <f>IFERROR(__xludf.DUMMYFUNCTION("""COMPUTED_VALUE"""),"PARSIYEM")</f>
        <v>PARSIYEM</v>
      </c>
      <c r="C1843" s="3" t="str">
        <f>IFERROR(__xludf.DUMMYFUNCTION("""COMPUTED_VALUE"""),"P6224114722")</f>
        <v>P6224114722</v>
      </c>
      <c r="D1843" s="3">
        <f>IFERROR(__xludf.DUMMYFUNCTION("""COMPUTED_VALUE"""),64.0)</f>
        <v>64</v>
      </c>
      <c r="E1843" s="1"/>
    </row>
    <row r="1844">
      <c r="A1844" s="1"/>
      <c r="B1844" s="3" t="str">
        <f>IFERROR(__xludf.DUMMYFUNCTION("""COMPUTED_VALUE"""),"BUDI SATRIO")</f>
        <v>BUDI SATRIO</v>
      </c>
      <c r="C1844" s="3" t="str">
        <f>IFERROR(__xludf.DUMMYFUNCTION("""COMPUTED_VALUE"""),"B9224111126")</f>
        <v>B9224111126</v>
      </c>
      <c r="D1844" s="3">
        <f>IFERROR(__xludf.DUMMYFUNCTION("""COMPUTED_VALUE"""),34.0)</f>
        <v>34</v>
      </c>
      <c r="E1844" s="1"/>
    </row>
    <row r="1845">
      <c r="A1845" s="1"/>
      <c r="B1845" s="3" t="str">
        <f>IFERROR(__xludf.DUMMYFUNCTION("""COMPUTED_VALUE"""),"DELIMA FAJAR LIANA")</f>
        <v>DELIMA FAJAR LIANA</v>
      </c>
      <c r="C1845" s="3" t="str">
        <f>IFERROR(__xludf.DUMMYFUNCTION("""COMPUTED_VALUE"""),"D8624112017")</f>
        <v>D8624112017</v>
      </c>
      <c r="D1845" s="3">
        <f>IFERROR(__xludf.DUMMYFUNCTION("""COMPUTED_VALUE"""),39.0)</f>
        <v>39</v>
      </c>
      <c r="E1845" s="1"/>
    </row>
    <row r="1846">
      <c r="A1846" s="1"/>
      <c r="B1846" s="3" t="str">
        <f>IFERROR(__xludf.DUMMYFUNCTION("""COMPUTED_VALUE"""),"MUHAMMAD ARIF PUTRA SH MH")</f>
        <v>MUHAMMAD ARIF PUTRA SH MH</v>
      </c>
      <c r="C1846" s="3" t="str">
        <f>IFERROR(__xludf.DUMMYFUNCTION("""COMPUTED_VALUE"""),"M9424116640")</f>
        <v>M9424116640</v>
      </c>
      <c r="D1846" s="3">
        <f>IFERROR(__xludf.DUMMYFUNCTION("""COMPUTED_VALUE"""),31.0)</f>
        <v>31</v>
      </c>
      <c r="E1846" s="1"/>
    </row>
    <row r="1847">
      <c r="A1847" s="1"/>
      <c r="B1847" s="3" t="str">
        <f>IFERROR(__xludf.DUMMYFUNCTION("""COMPUTED_VALUE"""),"M. IDRIS MACHMUD")</f>
        <v>M. IDRIS MACHMUD</v>
      </c>
      <c r="C1847" s="3" t="str">
        <f>IFERROR(__xludf.DUMMYFUNCTION("""COMPUTED_VALUE"""),"M7024117374")</f>
        <v>M7024117374</v>
      </c>
      <c r="D1847" s="3">
        <f>IFERROR(__xludf.DUMMYFUNCTION("""COMPUTED_VALUE"""),56.0)</f>
        <v>56</v>
      </c>
      <c r="E1847" s="1"/>
    </row>
    <row r="1848">
      <c r="A1848" s="1"/>
      <c r="B1848" s="3" t="str">
        <f>IFERROR(__xludf.DUMMYFUNCTION("""COMPUTED_VALUE"""),"ARIF HIDAYAT")</f>
        <v>ARIF HIDAYAT</v>
      </c>
      <c r="C1848" s="3" t="str">
        <f>IFERROR(__xludf.DUMMYFUNCTION("""COMPUTED_VALUE"""),"A9524112021")</f>
        <v>A9524112021</v>
      </c>
      <c r="D1848" s="3">
        <f>IFERROR(__xludf.DUMMYFUNCTION("""COMPUTED_VALUE"""),30.0)</f>
        <v>30</v>
      </c>
      <c r="E1848" s="1"/>
    </row>
    <row r="1849">
      <c r="A1849" s="1"/>
      <c r="B1849" s="3" t="str">
        <f>IFERROR(__xludf.DUMMYFUNCTION("""COMPUTED_VALUE"""),"M.YANIS")</f>
        <v>M.YANIS</v>
      </c>
      <c r="C1849" s="3" t="str">
        <f>IFERROR(__xludf.DUMMYFUNCTION("""COMPUTED_VALUE"""),"M6224119945")</f>
        <v>M6224119945</v>
      </c>
      <c r="D1849" s="3">
        <f>IFERROR(__xludf.DUMMYFUNCTION("""COMPUTED_VALUE"""),63.0)</f>
        <v>63</v>
      </c>
      <c r="E1849" s="1"/>
    </row>
    <row r="1850">
      <c r="A1850" s="1"/>
      <c r="B1850" s="3" t="str">
        <f>IFERROR(__xludf.DUMMYFUNCTION("""COMPUTED_VALUE"""),"WANTIKA YUNINGTYAS")</f>
        <v>WANTIKA YUNINGTYAS</v>
      </c>
      <c r="C1850" s="3" t="str">
        <f>IFERROR(__xludf.DUMMYFUNCTION("""COMPUTED_VALUE"""),"W8924115368")</f>
        <v>W8924115368</v>
      </c>
      <c r="D1850" s="3">
        <f>IFERROR(__xludf.DUMMYFUNCTION("""COMPUTED_VALUE"""),36.0)</f>
        <v>36</v>
      </c>
      <c r="E1850" s="1"/>
    </row>
    <row r="1851">
      <c r="A1851" s="1"/>
      <c r="B1851" s="3" t="str">
        <f>IFERROR(__xludf.DUMMYFUNCTION("""COMPUTED_VALUE"""),"CIN JUNG")</f>
        <v>CIN JUNG</v>
      </c>
      <c r="C1851" s="3" t="str">
        <f>IFERROR(__xludf.DUMMYFUNCTION("""COMPUTED_VALUE"""),"C6224117033")</f>
        <v>C6224117033</v>
      </c>
      <c r="D1851" s="3">
        <f>IFERROR(__xludf.DUMMYFUNCTION("""COMPUTED_VALUE"""),63.0)</f>
        <v>63</v>
      </c>
      <c r="E1851" s="1"/>
    </row>
    <row r="1852">
      <c r="A1852" s="1"/>
      <c r="B1852" s="3" t="str">
        <f>IFERROR(__xludf.DUMMYFUNCTION("""COMPUTED_VALUE"""),"MERRY SONYA")</f>
        <v>MERRY SONYA</v>
      </c>
      <c r="C1852" s="3" t="str">
        <f>IFERROR(__xludf.DUMMYFUNCTION("""COMPUTED_VALUE"""),"M9224118835")</f>
        <v>M9224118835</v>
      </c>
      <c r="D1852" s="3">
        <f>IFERROR(__xludf.DUMMYFUNCTION("""COMPUTED_VALUE"""),33.0)</f>
        <v>33</v>
      </c>
      <c r="E1852" s="1"/>
    </row>
    <row r="1853">
      <c r="A1853" s="1"/>
      <c r="B1853" s="3" t="str">
        <f>IFERROR(__xludf.DUMMYFUNCTION("""COMPUTED_VALUE"""),"SRI HARTIN6708")</f>
        <v>SRI HARTIN6708</v>
      </c>
      <c r="C1853" s="3" t="str">
        <f>IFERROR(__xludf.DUMMYFUNCTION("""COMPUTED_VALUE"""),"S6724114505")</f>
        <v>S6724114505</v>
      </c>
      <c r="D1853" s="3">
        <f>IFERROR(__xludf.DUMMYFUNCTION("""COMPUTED_VALUE"""),58.0)</f>
        <v>58</v>
      </c>
      <c r="E1853" s="1"/>
    </row>
    <row r="1854">
      <c r="A1854" s="1"/>
      <c r="B1854" s="3" t="str">
        <f>IFERROR(__xludf.DUMMYFUNCTION("""COMPUTED_VALUE"""),"HENDRI 9004")</f>
        <v>HENDRI 9004</v>
      </c>
      <c r="C1854" s="3" t="str">
        <f>IFERROR(__xludf.DUMMYFUNCTION("""COMPUTED_VALUE"""),"H9024119477")</f>
        <v>H9024119477</v>
      </c>
      <c r="D1854" s="3">
        <f>IFERROR(__xludf.DUMMYFUNCTION("""COMPUTED_VALUE"""),36.0)</f>
        <v>36</v>
      </c>
      <c r="E1854" s="1"/>
    </row>
    <row r="1855">
      <c r="A1855" s="1"/>
      <c r="B1855" s="3" t="str">
        <f>IFERROR(__xludf.DUMMYFUNCTION("""COMPUTED_VALUE"""),"DESANDO VAVA BANJARNAHOR")</f>
        <v>DESANDO VAVA BANJARNAHOR</v>
      </c>
      <c r="C1855" s="3" t="str">
        <f>IFERROR(__xludf.DUMMYFUNCTION("""COMPUTED_VALUE"""),"D0924117420")</f>
        <v>D0924117420</v>
      </c>
      <c r="D1855" s="3">
        <f>IFERROR(__xludf.DUMMYFUNCTION("""COMPUTED_VALUE"""),16.0)</f>
        <v>16</v>
      </c>
      <c r="E1855" s="1"/>
    </row>
    <row r="1856">
      <c r="A1856" s="1"/>
      <c r="B1856" s="3" t="str">
        <f>IFERROR(__xludf.DUMMYFUNCTION("""COMPUTED_VALUE"""),"KAMAL SUMARJI")</f>
        <v>KAMAL SUMARJI</v>
      </c>
      <c r="C1856" s="3" t="str">
        <f>IFERROR(__xludf.DUMMYFUNCTION("""COMPUTED_VALUE"""),"K9424111365")</f>
        <v>K9424111365</v>
      </c>
      <c r="D1856" s="3">
        <f>IFERROR(__xludf.DUMMYFUNCTION("""COMPUTED_VALUE"""),31.0)</f>
        <v>31</v>
      </c>
      <c r="E1856" s="1"/>
    </row>
    <row r="1857">
      <c r="A1857" s="1"/>
      <c r="B1857" s="3" t="str">
        <f>IFERROR(__xludf.DUMMYFUNCTION("""COMPUTED_VALUE"""),"WIWI RESITA JUNIARTI")</f>
        <v>WIWI RESITA JUNIARTI</v>
      </c>
      <c r="C1857" s="3" t="str">
        <f>IFERROR(__xludf.DUMMYFUNCTION("""COMPUTED_VALUE"""),"W9324118119")</f>
        <v>W9324118119</v>
      </c>
      <c r="D1857" s="3">
        <f>IFERROR(__xludf.DUMMYFUNCTION("""COMPUTED_VALUE"""),32.0)</f>
        <v>32</v>
      </c>
      <c r="E1857" s="1"/>
    </row>
    <row r="1858">
      <c r="A1858" s="1"/>
      <c r="B1858" s="3" t="str">
        <f>IFERROR(__xludf.DUMMYFUNCTION("""COMPUTED_VALUE"""),"ERDIANTI")</f>
        <v>ERDIANTI</v>
      </c>
      <c r="C1858" s="3" t="str">
        <f>IFERROR(__xludf.DUMMYFUNCTION("""COMPUTED_VALUE"""),"E6524112905")</f>
        <v>E6524112905</v>
      </c>
      <c r="D1858" s="3">
        <f>IFERROR(__xludf.DUMMYFUNCTION("""COMPUTED_VALUE"""),61.0)</f>
        <v>61</v>
      </c>
      <c r="E1858" s="1"/>
    </row>
    <row r="1859">
      <c r="A1859" s="1"/>
      <c r="B1859" s="3" t="str">
        <f>IFERROR(__xludf.DUMMYFUNCTION("""COMPUTED_VALUE"""),"IKA NURHASANA")</f>
        <v>IKA NURHASANA</v>
      </c>
      <c r="C1859" s="3" t="str">
        <f>IFERROR(__xludf.DUMMYFUNCTION("""COMPUTED_VALUE"""),"I9424119075")</f>
        <v>I9424119075</v>
      </c>
      <c r="D1859" s="3">
        <f>IFERROR(__xludf.DUMMYFUNCTION("""COMPUTED_VALUE"""),31.0)</f>
        <v>31</v>
      </c>
      <c r="E1859" s="1"/>
    </row>
    <row r="1860">
      <c r="A1860" s="1"/>
      <c r="B1860" s="3" t="str">
        <f>IFERROR(__xludf.DUMMYFUNCTION("""COMPUTED_VALUE"""),"GIVEN SHAHIENOV CHAVA")</f>
        <v>GIVEN SHAHIENOV CHAVA</v>
      </c>
      <c r="C1860" s="3" t="str">
        <f>IFERROR(__xludf.DUMMYFUNCTION("""COMPUTED_VALUE"""),"G1024118551")</f>
        <v>G1024118551</v>
      </c>
      <c r="D1860" s="3">
        <f>IFERROR(__xludf.DUMMYFUNCTION("""COMPUTED_VALUE"""),15.0)</f>
        <v>15</v>
      </c>
      <c r="E1860" s="1"/>
    </row>
    <row r="1861">
      <c r="A1861" s="1"/>
      <c r="B1861" s="3" t="str">
        <f>IFERROR(__xludf.DUMMYFUNCTION("""COMPUTED_VALUE"""),"AMALIA VEGA")</f>
        <v>AMALIA VEGA</v>
      </c>
      <c r="C1861" s="3" t="str">
        <f>IFERROR(__xludf.DUMMYFUNCTION("""COMPUTED_VALUE"""),"A0324110628")</f>
        <v>A0324110628</v>
      </c>
      <c r="D1861" s="3">
        <f>IFERROR(__xludf.DUMMYFUNCTION("""COMPUTED_VALUE"""),22.0)</f>
        <v>22</v>
      </c>
      <c r="E1861" s="1"/>
    </row>
    <row r="1862">
      <c r="A1862" s="1"/>
      <c r="B1862" s="3" t="str">
        <f>IFERROR(__xludf.DUMMYFUNCTION("""COMPUTED_VALUE"""),"HASEP PURWALID")</f>
        <v>HASEP PURWALID</v>
      </c>
      <c r="C1862" s="3" t="str">
        <f>IFERROR(__xludf.DUMMYFUNCTION("""COMPUTED_VALUE"""),"H8124112533")</f>
        <v>H8124112533</v>
      </c>
      <c r="D1862" s="3">
        <f>IFERROR(__xludf.DUMMYFUNCTION("""COMPUTED_VALUE"""),45.0)</f>
        <v>45</v>
      </c>
      <c r="E1862" s="1"/>
    </row>
    <row r="1863">
      <c r="A1863" s="1"/>
      <c r="B1863" s="3" t="str">
        <f>IFERROR(__xludf.DUMMYFUNCTION("""COMPUTED_VALUE"""),"YUDI WIDODO")</f>
        <v>YUDI WIDODO</v>
      </c>
      <c r="C1863" s="3" t="str">
        <f>IFERROR(__xludf.DUMMYFUNCTION("""COMPUTED_VALUE"""),"Y7524118079")</f>
        <v>Y7524118079</v>
      </c>
      <c r="D1863" s="3">
        <f>IFERROR(__xludf.DUMMYFUNCTION("""COMPUTED_VALUE"""),50.0)</f>
        <v>50</v>
      </c>
      <c r="E1863" s="1"/>
    </row>
    <row r="1864">
      <c r="A1864" s="1"/>
      <c r="B1864" s="3" t="str">
        <f>IFERROR(__xludf.DUMMYFUNCTION("""COMPUTED_VALUE"""),"MUHAMMAD FIRMAN RUSTANDI")</f>
        <v>MUHAMMAD FIRMAN RUSTANDI</v>
      </c>
      <c r="C1864" s="3" t="str">
        <f>IFERROR(__xludf.DUMMYFUNCTION("""COMPUTED_VALUE"""),"M0724118512")</f>
        <v>M0724118512</v>
      </c>
      <c r="D1864" s="3">
        <f>IFERROR(__xludf.DUMMYFUNCTION("""COMPUTED_VALUE"""),18.0)</f>
        <v>18</v>
      </c>
      <c r="E1864" s="1"/>
    </row>
    <row r="1865">
      <c r="A1865" s="1"/>
      <c r="B1865" s="3" t="str">
        <f>IFERROR(__xludf.DUMMYFUNCTION("""COMPUTED_VALUE"""),"ARZIWANSYAH")</f>
        <v>ARZIWANSYAH</v>
      </c>
      <c r="C1865" s="3" t="str">
        <f>IFERROR(__xludf.DUMMYFUNCTION("""COMPUTED_VALUE"""),"A9524119414")</f>
        <v>A9524119414</v>
      </c>
      <c r="D1865" s="3">
        <f>IFERROR(__xludf.DUMMYFUNCTION("""COMPUTED_VALUE"""),30.0)</f>
        <v>30</v>
      </c>
      <c r="E1865" s="1"/>
    </row>
    <row r="1866">
      <c r="A1866" s="1"/>
      <c r="B1866" s="3" t="str">
        <f>IFERROR(__xludf.DUMMYFUNCTION("""COMPUTED_VALUE"""),"BINTI")</f>
        <v>BINTI</v>
      </c>
      <c r="C1866" s="3" t="str">
        <f>IFERROR(__xludf.DUMMYFUNCTION("""COMPUTED_VALUE"""),"B6624119000")</f>
        <v>B6624119000</v>
      </c>
      <c r="D1866" s="3">
        <f>IFERROR(__xludf.DUMMYFUNCTION("""COMPUTED_VALUE"""),60.0)</f>
        <v>60</v>
      </c>
      <c r="E1866" s="1"/>
    </row>
    <row r="1867">
      <c r="A1867" s="1"/>
      <c r="B1867" s="3" t="str">
        <f>IFERROR(__xludf.DUMMYFUNCTION("""COMPUTED_VALUE"""),"REIHAN FAHREZA")</f>
        <v>REIHAN FAHREZA</v>
      </c>
      <c r="C1867" s="3" t="str">
        <f>IFERROR(__xludf.DUMMYFUNCTION("""COMPUTED_VALUE"""),"R0724111379")</f>
        <v>R0724111379</v>
      </c>
      <c r="D1867" s="3">
        <f>IFERROR(__xludf.DUMMYFUNCTION("""COMPUTED_VALUE"""),19.0)</f>
        <v>19</v>
      </c>
      <c r="E1867" s="1"/>
    </row>
    <row r="1868">
      <c r="A1868" s="1"/>
      <c r="B1868" s="3" t="str">
        <f>IFERROR(__xludf.DUMMYFUNCTION("""COMPUTED_VALUE"""),"YULIANA 7307")</f>
        <v>YULIANA 7307</v>
      </c>
      <c r="C1868" s="3" t="str">
        <f>IFERROR(__xludf.DUMMYFUNCTION("""COMPUTED_VALUE"""),"Y7324111717")</f>
        <v>Y7324111717</v>
      </c>
      <c r="D1868" s="3">
        <f>IFERROR(__xludf.DUMMYFUNCTION("""COMPUTED_VALUE"""),52.0)</f>
        <v>52</v>
      </c>
      <c r="E1868" s="1"/>
    </row>
    <row r="1869">
      <c r="A1869" s="1"/>
      <c r="B1869" s="3" t="str">
        <f>IFERROR(__xludf.DUMMYFUNCTION("""COMPUTED_VALUE"""),"TJIE LIE LIE")</f>
        <v>TJIE LIE LIE</v>
      </c>
      <c r="C1869" s="3" t="str">
        <f>IFERROR(__xludf.DUMMYFUNCTION("""COMPUTED_VALUE"""),"T8724107982")</f>
        <v>T8724107982</v>
      </c>
      <c r="D1869" s="3">
        <f>IFERROR(__xludf.DUMMYFUNCTION("""COMPUTED_VALUE"""),38.0)</f>
        <v>38</v>
      </c>
      <c r="E1869" s="1"/>
    </row>
    <row r="1870">
      <c r="A1870" s="1"/>
      <c r="B1870" s="3" t="str">
        <f>IFERROR(__xludf.DUMMYFUNCTION("""COMPUTED_VALUE"""),"PAINO")</f>
        <v>PAINO</v>
      </c>
      <c r="C1870" s="3" t="str">
        <f>IFERROR(__xludf.DUMMYFUNCTION("""COMPUTED_VALUE"""),"P8224110388")</f>
        <v>P8224110388</v>
      </c>
      <c r="D1870" s="3">
        <f>IFERROR(__xludf.DUMMYFUNCTION("""COMPUTED_VALUE"""),43.0)</f>
        <v>43</v>
      </c>
      <c r="E1870" s="1"/>
    </row>
    <row r="1871">
      <c r="A1871" s="1"/>
      <c r="B1871" s="3" t="str">
        <f>IFERROR(__xludf.DUMMYFUNCTION("""COMPUTED_VALUE"""),"DARREL OZORA SIGIRO")</f>
        <v>DARREL OZORA SIGIRO</v>
      </c>
      <c r="C1871" s="3" t="str">
        <f>IFERROR(__xludf.DUMMYFUNCTION("""COMPUTED_VALUE"""),"D1424104746")</f>
        <v>D1424104746</v>
      </c>
      <c r="D1871" s="3">
        <f>IFERROR(__xludf.DUMMYFUNCTION("""COMPUTED_VALUE"""),12.0)</f>
        <v>12</v>
      </c>
      <c r="E1871" s="1"/>
    </row>
    <row r="1872">
      <c r="A1872" s="1"/>
      <c r="B1872" s="3" t="str">
        <f>IFERROR(__xludf.DUMMYFUNCTION("""COMPUTED_VALUE"""),"KUKUH HERMONO")</f>
        <v>KUKUH HERMONO</v>
      </c>
      <c r="C1872" s="3" t="str">
        <f>IFERROR(__xludf.DUMMYFUNCTION("""COMPUTED_VALUE"""),"K6824109020")</f>
        <v>K6824109020</v>
      </c>
      <c r="D1872" s="3">
        <f>IFERROR(__xludf.DUMMYFUNCTION("""COMPUTED_VALUE"""),58.0)</f>
        <v>58</v>
      </c>
      <c r="E1872" s="1"/>
    </row>
    <row r="1873">
      <c r="A1873" s="1"/>
      <c r="B1873" s="3" t="str">
        <f>IFERROR(__xludf.DUMMYFUNCTION("""COMPUTED_VALUE"""),"NUNUNG NURYANA")</f>
        <v>NUNUNG NURYANA</v>
      </c>
      <c r="C1873" s="3" t="str">
        <f>IFERROR(__xludf.DUMMYFUNCTION("""COMPUTED_VALUE"""),"N7624100026")</f>
        <v>N7624100026</v>
      </c>
      <c r="D1873" s="3">
        <f>IFERROR(__xludf.DUMMYFUNCTION("""COMPUTED_VALUE"""),49.0)</f>
        <v>49</v>
      </c>
      <c r="E1873" s="1"/>
    </row>
    <row r="1874">
      <c r="A1874" s="1"/>
      <c r="B1874" s="3" t="str">
        <f>IFERROR(__xludf.DUMMYFUNCTION("""COMPUTED_VALUE"""),"YADI")</f>
        <v>YADI</v>
      </c>
      <c r="C1874" s="3" t="str">
        <f>IFERROR(__xludf.DUMMYFUNCTION("""COMPUTED_VALUE"""),"Y7824109596")</f>
        <v>Y7824109596</v>
      </c>
      <c r="D1874" s="3">
        <f>IFERROR(__xludf.DUMMYFUNCTION("""COMPUTED_VALUE"""),47.0)</f>
        <v>47</v>
      </c>
      <c r="E1874" s="1"/>
    </row>
    <row r="1875">
      <c r="A1875" s="1"/>
      <c r="B1875" s="3" t="str">
        <f>IFERROR(__xludf.DUMMYFUNCTION("""COMPUTED_VALUE"""),"HAIKAL")</f>
        <v>HAIKAL</v>
      </c>
      <c r="C1875" s="3" t="str">
        <f>IFERROR(__xludf.DUMMYFUNCTION("""COMPUTED_VALUE"""),"H0024101188")</f>
        <v>H0024101188</v>
      </c>
      <c r="D1875" s="3">
        <f>IFERROR(__xludf.DUMMYFUNCTION("""COMPUTED_VALUE"""),25.0)</f>
        <v>25</v>
      </c>
      <c r="E1875" s="1"/>
    </row>
    <row r="1876">
      <c r="A1876" s="1"/>
      <c r="B1876" s="3" t="str">
        <f>IFERROR(__xludf.DUMMYFUNCTION("""COMPUTED_VALUE"""),"IDA FARIDA")</f>
        <v>IDA FARIDA</v>
      </c>
      <c r="C1876" s="3" t="str">
        <f>IFERROR(__xludf.DUMMYFUNCTION("""COMPUTED_VALUE"""),"I8024103828")</f>
        <v>I8024103828</v>
      </c>
      <c r="D1876" s="3">
        <f>IFERROR(__xludf.DUMMYFUNCTION("""COMPUTED_VALUE"""),46.0)</f>
        <v>46</v>
      </c>
      <c r="E1876" s="1"/>
    </row>
    <row r="1877">
      <c r="A1877" s="1"/>
      <c r="B1877" s="3" t="str">
        <f>IFERROR(__xludf.DUMMYFUNCTION("""COMPUTED_VALUE"""),"BAGAS BIMANTORO HARYONO")</f>
        <v>BAGAS BIMANTORO HARYONO</v>
      </c>
      <c r="C1877" s="3" t="str">
        <f>IFERROR(__xludf.DUMMYFUNCTION("""COMPUTED_VALUE"""),"B0924114293")</f>
        <v>B0924114293</v>
      </c>
      <c r="D1877" s="3">
        <f>IFERROR(__xludf.DUMMYFUNCTION("""COMPUTED_VALUE"""),16.0)</f>
        <v>16</v>
      </c>
      <c r="E1877" s="1"/>
    </row>
    <row r="1878">
      <c r="A1878" s="1"/>
      <c r="B1878" s="3" t="str">
        <f>IFERROR(__xludf.DUMMYFUNCTION("""COMPUTED_VALUE"""),"FAHRURRAZI")</f>
        <v>FAHRURRAZI</v>
      </c>
      <c r="C1878" s="3" t="str">
        <f>IFERROR(__xludf.DUMMYFUNCTION("""COMPUTED_VALUE"""),"F8624117888")</f>
        <v>F8624117888</v>
      </c>
      <c r="D1878" s="3">
        <f>IFERROR(__xludf.DUMMYFUNCTION("""COMPUTED_VALUE"""),39.0)</f>
        <v>39</v>
      </c>
      <c r="E1878" s="1"/>
    </row>
    <row r="1879">
      <c r="A1879" s="1"/>
      <c r="B1879" s="3" t="str">
        <f>IFERROR(__xludf.DUMMYFUNCTION("""COMPUTED_VALUE"""),"CAHAYA RAMADANI")</f>
        <v>CAHAYA RAMADANI</v>
      </c>
      <c r="C1879" s="3" t="str">
        <f>IFERROR(__xludf.DUMMYFUNCTION("""COMPUTED_VALUE"""),"C1024113135")</f>
        <v>C1024113135</v>
      </c>
      <c r="D1879" s="3">
        <f>IFERROR(__xludf.DUMMYFUNCTION("""COMPUTED_VALUE"""),15.0)</f>
        <v>15</v>
      </c>
      <c r="E1879" s="1"/>
    </row>
    <row r="1880">
      <c r="A1880" s="1"/>
      <c r="B1880" s="3" t="str">
        <f>IFERROR(__xludf.DUMMYFUNCTION("""COMPUTED_VALUE"""),"TONI")</f>
        <v>TONI</v>
      </c>
      <c r="C1880" s="3" t="str">
        <f>IFERROR(__xludf.DUMMYFUNCTION("""COMPUTED_VALUE"""),"T9424113898")</f>
        <v>T9424113898</v>
      </c>
      <c r="D1880" s="3">
        <f>IFERROR(__xludf.DUMMYFUNCTION("""COMPUTED_VALUE"""),31.0)</f>
        <v>31</v>
      </c>
      <c r="E1880" s="1"/>
    </row>
    <row r="1881">
      <c r="A1881" s="1"/>
      <c r="B1881" s="3" t="str">
        <f>IFERROR(__xludf.DUMMYFUNCTION("""COMPUTED_VALUE"""),"SUSI")</f>
        <v>SUSI</v>
      </c>
      <c r="C1881" s="3" t="str">
        <f>IFERROR(__xludf.DUMMYFUNCTION("""COMPUTED_VALUE"""),"S9124111289")</f>
        <v>S9124111289</v>
      </c>
      <c r="D1881" s="3">
        <f>IFERROR(__xludf.DUMMYFUNCTION("""COMPUTED_VALUE"""),35.0)</f>
        <v>35</v>
      </c>
      <c r="E1881" s="1"/>
    </row>
    <row r="1882">
      <c r="A1882" s="1"/>
      <c r="B1882" s="3" t="str">
        <f>IFERROR(__xludf.DUMMYFUNCTION("""COMPUTED_VALUE"""),"CITRA YUNITA")</f>
        <v>CITRA YUNITA</v>
      </c>
      <c r="C1882" s="3" t="str">
        <f>IFERROR(__xludf.DUMMYFUNCTION("""COMPUTED_VALUE"""),"C8324119865")</f>
        <v>C8324119865</v>
      </c>
      <c r="D1882" s="3">
        <f>IFERROR(__xludf.DUMMYFUNCTION("""COMPUTED_VALUE"""),43.0)</f>
        <v>43</v>
      </c>
      <c r="E1882" s="1"/>
    </row>
    <row r="1883">
      <c r="A1883" s="1"/>
      <c r="B1883" s="3" t="str">
        <f>IFERROR(__xludf.DUMMYFUNCTION("""COMPUTED_VALUE"""),"BNICIE LIM")</f>
        <v>BNICIE LIM</v>
      </c>
      <c r="C1883" s="3" t="str">
        <f>IFERROR(__xludf.DUMMYFUNCTION("""COMPUTED_VALUE"""),"B0424117695")</f>
        <v>B0424117695</v>
      </c>
      <c r="D1883" s="3">
        <f>IFERROR(__xludf.DUMMYFUNCTION("""COMPUTED_VALUE"""),21.0)</f>
        <v>21</v>
      </c>
      <c r="E1883" s="1"/>
    </row>
    <row r="1884">
      <c r="A1884" s="1"/>
      <c r="B1884" s="3" t="str">
        <f>IFERROR(__xludf.DUMMYFUNCTION("""COMPUTED_VALUE"""),"FERRY PANGKE")</f>
        <v>FERRY PANGKE</v>
      </c>
      <c r="C1884" s="3" t="str">
        <f>IFERROR(__xludf.DUMMYFUNCTION("""COMPUTED_VALUE"""),"F8924116996")</f>
        <v>F8924116996</v>
      </c>
      <c r="D1884" s="3">
        <f>IFERROR(__xludf.DUMMYFUNCTION("""COMPUTED_VALUE"""),37.0)</f>
        <v>37</v>
      </c>
      <c r="E1884" s="1"/>
    </row>
    <row r="1885">
      <c r="A1885" s="1"/>
      <c r="B1885" s="3" t="str">
        <f>IFERROR(__xludf.DUMMYFUNCTION("""COMPUTED_VALUE"""),"ERIN")</f>
        <v>ERIN</v>
      </c>
      <c r="C1885" s="3" t="str">
        <f>IFERROR(__xludf.DUMMYFUNCTION("""COMPUTED_VALUE"""),"E9624119244")</f>
        <v>E9624119244</v>
      </c>
      <c r="D1885" s="3">
        <f>IFERROR(__xludf.DUMMYFUNCTION("""COMPUTED_VALUE"""),30.0)</f>
        <v>30</v>
      </c>
      <c r="E1885" s="1"/>
    </row>
    <row r="1886">
      <c r="A1886" s="1"/>
      <c r="B1886" s="3" t="str">
        <f>IFERROR(__xludf.DUMMYFUNCTION("""COMPUTED_VALUE"""),"BAHARUDIN")</f>
        <v>BAHARUDIN</v>
      </c>
      <c r="C1886" s="3" t="str">
        <f>IFERROR(__xludf.DUMMYFUNCTION("""COMPUTED_VALUE"""),"B6424116506")</f>
        <v>B6424116506</v>
      </c>
      <c r="D1886" s="3">
        <f>IFERROR(__xludf.DUMMYFUNCTION("""COMPUTED_VALUE"""),62.0)</f>
        <v>62</v>
      </c>
      <c r="E1886" s="1"/>
    </row>
    <row r="1887">
      <c r="A1887" s="1"/>
      <c r="B1887" s="3" t="str">
        <f>IFERROR(__xludf.DUMMYFUNCTION("""COMPUTED_VALUE"""),"FITRI YANI")</f>
        <v>FITRI YANI</v>
      </c>
      <c r="C1887" s="3" t="str">
        <f>IFERROR(__xludf.DUMMYFUNCTION("""COMPUTED_VALUE"""),"F8324112363")</f>
        <v>F8324112363</v>
      </c>
      <c r="D1887" s="3">
        <f>IFERROR(__xludf.DUMMYFUNCTION("""COMPUTED_VALUE"""),42.0)</f>
        <v>42</v>
      </c>
      <c r="E1887" s="1"/>
    </row>
    <row r="1888">
      <c r="A1888" s="1"/>
      <c r="B1888" s="3" t="str">
        <f>IFERROR(__xludf.DUMMYFUNCTION("""COMPUTED_VALUE"""),"FRIZI ALFARIZI")</f>
        <v>FRIZI ALFARIZI</v>
      </c>
      <c r="C1888" s="3" t="str">
        <f>IFERROR(__xludf.DUMMYFUNCTION("""COMPUTED_VALUE"""),"F0824116507")</f>
        <v>F0824116507</v>
      </c>
      <c r="D1888" s="3">
        <f>IFERROR(__xludf.DUMMYFUNCTION("""COMPUTED_VALUE"""),18.0)</f>
        <v>18</v>
      </c>
      <c r="E1888" s="1"/>
    </row>
    <row r="1889">
      <c r="A1889" s="1"/>
      <c r="B1889" s="3" t="str">
        <f>IFERROR(__xludf.DUMMYFUNCTION("""COMPUTED_VALUE"""),"SUGONDO LIMIN")</f>
        <v>SUGONDO LIMIN</v>
      </c>
      <c r="C1889" s="3" t="str">
        <f>IFERROR(__xludf.DUMMYFUNCTION("""COMPUTED_VALUE"""),"S0024112112")</f>
        <v>S0024112112</v>
      </c>
      <c r="D1889" s="3">
        <f>IFERROR(__xludf.DUMMYFUNCTION("""COMPUTED_VALUE"""),25.0)</f>
        <v>25</v>
      </c>
      <c r="E1889" s="1"/>
    </row>
    <row r="1890">
      <c r="A1890" s="1"/>
      <c r="B1890" s="3" t="str">
        <f>IFERROR(__xludf.DUMMYFUNCTION("""COMPUTED_VALUE"""),"SYF. HAYATI ABDULLAH")</f>
        <v>SYF. HAYATI ABDULLAH</v>
      </c>
      <c r="C1890" s="3" t="str">
        <f>IFERROR(__xludf.DUMMYFUNCTION("""COMPUTED_VALUE"""),"S6324111358")</f>
        <v>S6324111358</v>
      </c>
      <c r="D1890" s="3">
        <f>IFERROR(__xludf.DUMMYFUNCTION("""COMPUTED_VALUE"""),62.0)</f>
        <v>62</v>
      </c>
      <c r="E1890" s="1"/>
    </row>
    <row r="1891">
      <c r="A1891" s="1"/>
      <c r="B1891" s="3" t="str">
        <f>IFERROR(__xludf.DUMMYFUNCTION("""COMPUTED_VALUE"""),"MUHAMMAD GIBRAN DIRGANTARA")</f>
        <v>MUHAMMAD GIBRAN DIRGANTARA</v>
      </c>
      <c r="C1891" s="3" t="str">
        <f>IFERROR(__xludf.DUMMYFUNCTION("""COMPUTED_VALUE"""),"M1124115025")</f>
        <v>M1124115025</v>
      </c>
      <c r="D1891" s="3">
        <f>IFERROR(__xludf.DUMMYFUNCTION("""COMPUTED_VALUE"""),15.0)</f>
        <v>15</v>
      </c>
      <c r="E1891" s="1"/>
    </row>
    <row r="1892">
      <c r="A1892" s="1"/>
      <c r="B1892" s="3" t="str">
        <f>IFERROR(__xludf.DUMMYFUNCTION("""COMPUTED_VALUE"""),"MUHAMMAD AMMAR TASNIM")</f>
        <v>MUHAMMAD AMMAR TASNIM</v>
      </c>
      <c r="C1892" s="3" t="str">
        <f>IFERROR(__xludf.DUMMYFUNCTION("""COMPUTED_VALUE"""),"M0724113222")</f>
        <v>M0724113222</v>
      </c>
      <c r="D1892" s="3">
        <f>IFERROR(__xludf.DUMMYFUNCTION("""COMPUTED_VALUE"""),19.0)</f>
        <v>19</v>
      </c>
      <c r="E1892" s="1"/>
    </row>
    <row r="1893">
      <c r="A1893" s="1"/>
      <c r="B1893" s="3" t="str">
        <f>IFERROR(__xludf.DUMMYFUNCTION("""COMPUTED_VALUE"""),"DEDDY TANJAYA")</f>
        <v>DEDDY TANJAYA</v>
      </c>
      <c r="C1893" s="3" t="str">
        <f>IFERROR(__xludf.DUMMYFUNCTION("""COMPUTED_VALUE"""),"D9824114431")</f>
        <v>D9824114431</v>
      </c>
      <c r="D1893" s="3">
        <f>IFERROR(__xludf.DUMMYFUNCTION("""COMPUTED_VALUE"""),28.0)</f>
        <v>28</v>
      </c>
      <c r="E1893" s="1"/>
    </row>
    <row r="1894">
      <c r="A1894" s="1"/>
      <c r="B1894" s="3" t="str">
        <f>IFERROR(__xludf.DUMMYFUNCTION("""COMPUTED_VALUE"""),"NESA LISIANA")</f>
        <v>NESA LISIANA</v>
      </c>
      <c r="C1894" s="3" t="str">
        <f>IFERROR(__xludf.DUMMYFUNCTION("""COMPUTED_VALUE"""),"N8424118008")</f>
        <v>N8424118008</v>
      </c>
      <c r="D1894" s="3">
        <f>IFERROR(__xludf.DUMMYFUNCTION("""COMPUTED_VALUE"""),41.0)</f>
        <v>41</v>
      </c>
      <c r="E1894" s="1"/>
    </row>
    <row r="1895">
      <c r="A1895" s="1"/>
      <c r="B1895" s="3" t="str">
        <f>IFERROR(__xludf.DUMMYFUNCTION("""COMPUTED_VALUE"""),"DEWI ANNA RAINA")</f>
        <v>DEWI ANNA RAINA</v>
      </c>
      <c r="C1895" s="3" t="str">
        <f>IFERROR(__xludf.DUMMYFUNCTION("""COMPUTED_VALUE"""),"D7224110444")</f>
        <v>D7224110444</v>
      </c>
      <c r="D1895" s="3">
        <f>IFERROR(__xludf.DUMMYFUNCTION("""COMPUTED_VALUE"""),54.0)</f>
        <v>54</v>
      </c>
      <c r="E1895" s="1"/>
    </row>
    <row r="1896">
      <c r="A1896" s="1"/>
      <c r="B1896" s="3" t="str">
        <f>IFERROR(__xludf.DUMMYFUNCTION("""COMPUTED_VALUE"""),"DITO CAHYA RENALDI")</f>
        <v>DITO CAHYA RENALDI</v>
      </c>
      <c r="C1896" s="3" t="str">
        <f>IFERROR(__xludf.DUMMYFUNCTION("""COMPUTED_VALUE"""),"D8624112210")</f>
        <v>D8624112210</v>
      </c>
      <c r="D1896" s="3">
        <f>IFERROR(__xludf.DUMMYFUNCTION("""COMPUTED_VALUE"""),39.0)</f>
        <v>39</v>
      </c>
      <c r="E1896" s="1"/>
    </row>
    <row r="1897">
      <c r="A1897" s="1"/>
      <c r="B1897" s="3" t="str">
        <f>IFERROR(__xludf.DUMMYFUNCTION("""COMPUTED_VALUE"""),"EDBERT MARCHELYO")</f>
        <v>EDBERT MARCHELYO</v>
      </c>
      <c r="C1897" s="3" t="str">
        <f>IFERROR(__xludf.DUMMYFUNCTION("""COMPUTED_VALUE"""),"E0724112565")</f>
        <v>E0724112565</v>
      </c>
      <c r="D1897" s="3">
        <f>IFERROR(__xludf.DUMMYFUNCTION("""COMPUTED_VALUE"""),19.0)</f>
        <v>19</v>
      </c>
      <c r="E1897" s="1"/>
    </row>
    <row r="1898">
      <c r="A1898" s="1"/>
      <c r="B1898" s="3" t="str">
        <f>IFERROR(__xludf.DUMMYFUNCTION("""COMPUTED_VALUE"""),"HESTI RAMADHANTI")</f>
        <v>HESTI RAMADHANTI</v>
      </c>
      <c r="C1898" s="3" t="str">
        <f>IFERROR(__xludf.DUMMYFUNCTION("""COMPUTED_VALUE"""),"H9424119337")</f>
        <v>H9424119337</v>
      </c>
      <c r="D1898" s="3">
        <f>IFERROR(__xludf.DUMMYFUNCTION("""COMPUTED_VALUE"""),32.0)</f>
        <v>32</v>
      </c>
      <c r="E1898" s="1"/>
    </row>
    <row r="1899">
      <c r="A1899" s="1"/>
      <c r="B1899" s="3" t="str">
        <f>IFERROR(__xludf.DUMMYFUNCTION("""COMPUTED_VALUE"""),"SUNARTO 5601")</f>
        <v>SUNARTO 5601</v>
      </c>
      <c r="C1899" s="3" t="str">
        <f>IFERROR(__xludf.DUMMYFUNCTION("""COMPUTED_VALUE"""),"S5624118008")</f>
        <v>S5624118008</v>
      </c>
      <c r="D1899" s="3">
        <f>IFERROR(__xludf.DUMMYFUNCTION("""COMPUTED_VALUE"""),70.0)</f>
        <v>70</v>
      </c>
      <c r="E1899" s="1"/>
    </row>
    <row r="1900">
      <c r="A1900" s="1"/>
      <c r="B1900" s="3" t="str">
        <f>IFERROR(__xludf.DUMMYFUNCTION("""COMPUTED_VALUE"""),"SHERA MIRANDA")</f>
        <v>SHERA MIRANDA</v>
      </c>
      <c r="C1900" s="3" t="str">
        <f>IFERROR(__xludf.DUMMYFUNCTION("""COMPUTED_VALUE"""),"S9524110570")</f>
        <v>S9524110570</v>
      </c>
      <c r="D1900" s="3">
        <f>IFERROR(__xludf.DUMMYFUNCTION("""COMPUTED_VALUE"""),31.0)</f>
        <v>31</v>
      </c>
      <c r="E1900" s="1"/>
    </row>
    <row r="1901">
      <c r="A1901" s="1"/>
      <c r="B1901" s="3" t="str">
        <f>IFERROR(__xludf.DUMMYFUNCTION("""COMPUTED_VALUE"""),"DJOKO SANTOSO")</f>
        <v>DJOKO SANTOSO</v>
      </c>
      <c r="C1901" s="3" t="str">
        <f>IFERROR(__xludf.DUMMYFUNCTION("""COMPUTED_VALUE"""),"D7324116663")</f>
        <v>D7324116663</v>
      </c>
      <c r="D1901" s="3">
        <f>IFERROR(__xludf.DUMMYFUNCTION("""COMPUTED_VALUE"""),52.0)</f>
        <v>52</v>
      </c>
      <c r="E1901" s="1"/>
    </row>
    <row r="1902">
      <c r="A1902" s="1"/>
      <c r="B1902" s="3" t="str">
        <f>IFERROR(__xludf.DUMMYFUNCTION("""COMPUTED_VALUE"""),"RIDHOALDY ERISAPUTRA")</f>
        <v>RIDHOALDY ERISAPUTRA</v>
      </c>
      <c r="C1902" s="3" t="str">
        <f>IFERROR(__xludf.DUMMYFUNCTION("""COMPUTED_VALUE"""),"R9824118810")</f>
        <v>R9824118810</v>
      </c>
      <c r="D1902" s="3">
        <f>IFERROR(__xludf.DUMMYFUNCTION("""COMPUTED_VALUE"""),27.0)</f>
        <v>27</v>
      </c>
      <c r="E1902" s="1"/>
    </row>
    <row r="1903">
      <c r="A1903" s="1"/>
      <c r="B1903" s="3" t="str">
        <f>IFERROR(__xludf.DUMMYFUNCTION("""COMPUTED_VALUE"""),"ANDIEN MAHESWARI DINANTI")</f>
        <v>ANDIEN MAHESWARI DINANTI</v>
      </c>
      <c r="C1903" s="3" t="str">
        <f>IFERROR(__xludf.DUMMYFUNCTION("""COMPUTED_VALUE"""),"A1224118008")</f>
        <v>A1224118008</v>
      </c>
      <c r="D1903" s="3">
        <f>IFERROR(__xludf.DUMMYFUNCTION("""COMPUTED_VALUE"""),14.0)</f>
        <v>14</v>
      </c>
      <c r="E1903" s="1"/>
    </row>
    <row r="1904">
      <c r="A1904" s="1"/>
      <c r="B1904" s="3" t="str">
        <f>IFERROR(__xludf.DUMMYFUNCTION("""COMPUTED_VALUE"""),"MUHAMMAD ALFATIH")</f>
        <v>MUHAMMAD ALFATIH</v>
      </c>
      <c r="C1904" s="3" t="str">
        <f>IFERROR(__xludf.DUMMYFUNCTION("""COMPUTED_VALUE"""),"M1424110570")</f>
        <v>M1424110570</v>
      </c>
      <c r="D1904" s="3">
        <f>IFERROR(__xludf.DUMMYFUNCTION("""COMPUTED_VALUE"""),11.0)</f>
        <v>11</v>
      </c>
      <c r="E1904" s="1"/>
    </row>
    <row r="1905">
      <c r="A1905" s="1"/>
      <c r="B1905" s="3" t="str">
        <f>IFERROR(__xludf.DUMMYFUNCTION("""COMPUTED_VALUE"""),"NELY SUHARTINI")</f>
        <v>NELY SUHARTINI</v>
      </c>
      <c r="C1905" s="3" t="str">
        <f>IFERROR(__xludf.DUMMYFUNCTION("""COMPUTED_VALUE"""),"N6924116663")</f>
        <v>N6924116663</v>
      </c>
      <c r="D1905" s="3">
        <f>IFERROR(__xludf.DUMMYFUNCTION("""COMPUTED_VALUE"""),56.0)</f>
        <v>56</v>
      </c>
      <c r="E1905" s="1"/>
    </row>
    <row r="1906">
      <c r="A1906" s="1"/>
      <c r="B1906" s="3" t="str">
        <f>IFERROR(__xludf.DUMMYFUNCTION("""COMPUTED_VALUE"""),"KHOLIS AGUSTIAN")</f>
        <v>KHOLIS AGUSTIAN</v>
      </c>
      <c r="C1906" s="3" t="str">
        <f>IFERROR(__xludf.DUMMYFUNCTION("""COMPUTED_VALUE"""),"K9224112556")</f>
        <v>K9224112556</v>
      </c>
      <c r="D1906" s="3">
        <f>IFERROR(__xludf.DUMMYFUNCTION("""COMPUTED_VALUE"""),33.0)</f>
        <v>33</v>
      </c>
      <c r="E1906" s="1"/>
    </row>
    <row r="1907">
      <c r="A1907" s="1"/>
      <c r="B1907" s="3" t="str">
        <f>IFERROR(__xludf.DUMMYFUNCTION("""COMPUTED_VALUE"""),"R. BANU NUGROHO")</f>
        <v>R. BANU NUGROHO</v>
      </c>
      <c r="C1907" s="3" t="str">
        <f>IFERROR(__xludf.DUMMYFUNCTION("""COMPUTED_VALUE"""),"R8124118509")</f>
        <v>R8124118509</v>
      </c>
      <c r="D1907" s="3">
        <f>IFERROR(__xludf.DUMMYFUNCTION("""COMPUTED_VALUE"""),45.0)</f>
        <v>45</v>
      </c>
      <c r="E1907" s="1"/>
    </row>
    <row r="1908">
      <c r="A1908" s="1"/>
      <c r="B1908" s="3" t="str">
        <f>IFERROR(__xludf.DUMMYFUNCTION("""COMPUTED_VALUE"""),"SURYA FEBRANI")</f>
        <v>SURYA FEBRANI</v>
      </c>
      <c r="C1908" s="3" t="str">
        <f>IFERROR(__xludf.DUMMYFUNCTION("""COMPUTED_VALUE"""),"S8624110878")</f>
        <v>S8624110878</v>
      </c>
      <c r="D1908" s="3">
        <f>IFERROR(__xludf.DUMMYFUNCTION("""COMPUTED_VALUE"""),40.0)</f>
        <v>40</v>
      </c>
      <c r="E1908" s="1"/>
    </row>
    <row r="1909">
      <c r="A1909" s="1"/>
      <c r="B1909" s="3" t="str">
        <f>IFERROR(__xludf.DUMMYFUNCTION("""COMPUTED_VALUE"""),"HARRY RONALDI M.")</f>
        <v>HARRY RONALDI M.</v>
      </c>
      <c r="C1909" s="3" t="str">
        <f>IFERROR(__xludf.DUMMYFUNCTION("""COMPUTED_VALUE"""),"H7724119988")</f>
        <v>H7724119988</v>
      </c>
      <c r="D1909" s="3">
        <f>IFERROR(__xludf.DUMMYFUNCTION("""COMPUTED_VALUE"""),48.0)</f>
        <v>48</v>
      </c>
      <c r="E1909" s="1"/>
    </row>
    <row r="1910">
      <c r="A1910" s="1"/>
      <c r="B1910" s="3" t="str">
        <f>IFERROR(__xludf.DUMMYFUNCTION("""COMPUTED_VALUE"""),"MUHAMMAD HASYA UBAIDILLAH")</f>
        <v>MUHAMMAD HASYA UBAIDILLAH</v>
      </c>
      <c r="C1910" s="3" t="str">
        <f>IFERROR(__xludf.DUMMYFUNCTION("""COMPUTED_VALUE"""),"M0724114151")</f>
        <v>M0724114151</v>
      </c>
      <c r="D1910" s="3">
        <f>IFERROR(__xludf.DUMMYFUNCTION("""COMPUTED_VALUE"""),19.0)</f>
        <v>19</v>
      </c>
      <c r="E1910" s="1"/>
    </row>
    <row r="1911">
      <c r="A1911" s="1"/>
      <c r="B1911" s="3" t="str">
        <f>IFERROR(__xludf.DUMMYFUNCTION("""COMPUTED_VALUE"""),"PRICILIA FORZACHITA")</f>
        <v>PRICILIA FORZACHITA</v>
      </c>
      <c r="C1911" s="3" t="str">
        <f>IFERROR(__xludf.DUMMYFUNCTION("""COMPUTED_VALUE"""),"P0224110020")</f>
        <v>P0224110020</v>
      </c>
      <c r="D1911" s="3">
        <f>IFERROR(__xludf.DUMMYFUNCTION("""COMPUTED_VALUE"""),23.0)</f>
        <v>23</v>
      </c>
      <c r="E1911" s="1"/>
    </row>
    <row r="1912">
      <c r="A1912" s="1"/>
      <c r="B1912" s="3" t="str">
        <f>IFERROR(__xludf.DUMMYFUNCTION("""COMPUTED_VALUE"""),"FAUZAN ADI HIDAYAT")</f>
        <v>FAUZAN ADI HIDAYAT</v>
      </c>
      <c r="C1912" s="3" t="str">
        <f>IFERROR(__xludf.DUMMYFUNCTION("""COMPUTED_VALUE"""),"F1124111188")</f>
        <v>F1124111188</v>
      </c>
      <c r="D1912" s="3">
        <f>IFERROR(__xludf.DUMMYFUNCTION("""COMPUTED_VALUE"""),14.0)</f>
        <v>14</v>
      </c>
      <c r="E1912" s="1"/>
    </row>
    <row r="1913">
      <c r="A1913" s="1"/>
      <c r="B1913" s="3" t="str">
        <f>IFERROR(__xludf.DUMMYFUNCTION("""COMPUTED_VALUE"""),"KASHMIANDARI")</f>
        <v>KASHMIANDARI</v>
      </c>
      <c r="C1913" s="3" t="str">
        <f>IFERROR(__xludf.DUMMYFUNCTION("""COMPUTED_VALUE"""),"K7324118181")</f>
        <v>K7324118181</v>
      </c>
      <c r="D1913" s="3">
        <f>IFERROR(__xludf.DUMMYFUNCTION("""COMPUTED_VALUE"""),53.0)</f>
        <v>53</v>
      </c>
      <c r="E1913" s="1"/>
    </row>
    <row r="1914">
      <c r="A1914" s="1"/>
      <c r="B1914" s="3" t="str">
        <f>IFERROR(__xludf.DUMMYFUNCTION("""COMPUTED_VALUE"""),"RUGAYAH")</f>
        <v>RUGAYAH</v>
      </c>
      <c r="C1914" s="3" t="str">
        <f>IFERROR(__xludf.DUMMYFUNCTION("""COMPUTED_VALUE"""),"R5124115104")</f>
        <v>R5124115104</v>
      </c>
      <c r="D1914" s="3">
        <f>IFERROR(__xludf.DUMMYFUNCTION("""COMPUTED_VALUE"""),74.0)</f>
        <v>74</v>
      </c>
      <c r="E1914" s="1"/>
    </row>
    <row r="1915">
      <c r="A1915" s="1"/>
      <c r="B1915" s="3" t="str">
        <f>IFERROR(__xludf.DUMMYFUNCTION("""COMPUTED_VALUE"""),"MIRZAM FAHMA QIHAJ")</f>
        <v>MIRZAM FAHMA QIHAJ</v>
      </c>
      <c r="C1915" s="3" t="str">
        <f>IFERROR(__xludf.DUMMYFUNCTION("""COMPUTED_VALUE"""),"M0124118989")</f>
        <v>M0124118989</v>
      </c>
      <c r="D1915" s="3">
        <f>IFERROR(__xludf.DUMMYFUNCTION("""COMPUTED_VALUE"""),24.0)</f>
        <v>24</v>
      </c>
      <c r="E1915" s="1"/>
    </row>
    <row r="1916">
      <c r="A1916" s="1"/>
      <c r="B1916" s="3" t="str">
        <f>IFERROR(__xludf.DUMMYFUNCTION("""COMPUTED_VALUE"""),"AMALIA MAHARANI")</f>
        <v>AMALIA MAHARANI</v>
      </c>
      <c r="C1916" s="3" t="str">
        <f>IFERROR(__xludf.DUMMYFUNCTION("""COMPUTED_VALUE"""),"A0024119820")</f>
        <v>A0024119820</v>
      </c>
      <c r="D1916" s="3">
        <f>IFERROR(__xludf.DUMMYFUNCTION("""COMPUTED_VALUE"""),26.0)</f>
        <v>26</v>
      </c>
      <c r="E1916" s="1"/>
    </row>
    <row r="1917">
      <c r="A1917" s="1"/>
      <c r="B1917" s="3" t="str">
        <f>IFERROR(__xludf.DUMMYFUNCTION("""COMPUTED_VALUE"""),"BUDY SETIAWAN LIM")</f>
        <v>BUDY SETIAWAN LIM</v>
      </c>
      <c r="C1917" s="3" t="str">
        <f>IFERROR(__xludf.DUMMYFUNCTION("""COMPUTED_VALUE"""),"B5924113489")</f>
        <v>B5924113489</v>
      </c>
      <c r="D1917" s="3">
        <f>IFERROR(__xludf.DUMMYFUNCTION("""COMPUTED_VALUE"""),67.0)</f>
        <v>67</v>
      </c>
      <c r="E1917" s="1"/>
    </row>
    <row r="1918">
      <c r="A1918" s="1"/>
      <c r="B1918" s="3" t="str">
        <f>IFERROR(__xludf.DUMMYFUNCTION("""COMPUTED_VALUE"""),"REVI MARISKA")</f>
        <v>REVI MARISKA</v>
      </c>
      <c r="C1918" s="3" t="str">
        <f>IFERROR(__xludf.DUMMYFUNCTION("""COMPUTED_VALUE"""),"R9924122185")</f>
        <v>R9924122185</v>
      </c>
      <c r="D1918" s="3">
        <f>IFERROR(__xludf.DUMMYFUNCTION("""COMPUTED_VALUE"""),26.0)</f>
        <v>26</v>
      </c>
      <c r="E1918" s="1"/>
    </row>
    <row r="1919">
      <c r="A1919" s="1"/>
      <c r="B1919" s="3" t="str">
        <f>IFERROR(__xludf.DUMMYFUNCTION("""COMPUTED_VALUE"""),"FAHRI MAULINDA")</f>
        <v>FAHRI MAULINDA</v>
      </c>
      <c r="C1919" s="3" t="str">
        <f>IFERROR(__xludf.DUMMYFUNCTION("""COMPUTED_VALUE"""),"F7924114747")</f>
        <v>F7924114747</v>
      </c>
      <c r="D1919" s="3">
        <f>IFERROR(__xludf.DUMMYFUNCTION("""COMPUTED_VALUE"""),47.0)</f>
        <v>47</v>
      </c>
      <c r="E1919" s="1"/>
    </row>
    <row r="1920">
      <c r="A1920" s="1"/>
      <c r="B1920" s="3" t="str">
        <f>IFERROR(__xludf.DUMMYFUNCTION("""COMPUTED_VALUE"""),"CYNTIA STEFI FONDA")</f>
        <v>CYNTIA STEFI FONDA</v>
      </c>
      <c r="C1920" s="3" t="str">
        <f>IFERROR(__xludf.DUMMYFUNCTION("""COMPUTED_VALUE"""),"C9124113378")</f>
        <v>C9124113378</v>
      </c>
      <c r="D1920" s="3">
        <f>IFERROR(__xludf.DUMMYFUNCTION("""COMPUTED_VALUE"""),34.0)</f>
        <v>34</v>
      </c>
      <c r="E1920" s="1"/>
    </row>
    <row r="1921">
      <c r="A1921" s="1"/>
      <c r="B1921" s="3" t="str">
        <f>IFERROR(__xludf.DUMMYFUNCTION("""COMPUTED_VALUE"""),"ADIT FEBRIANTO")</f>
        <v>ADIT FEBRIANTO</v>
      </c>
      <c r="C1921" s="3" t="str">
        <f>IFERROR(__xludf.DUMMYFUNCTION("""COMPUTED_VALUE"""),"A8624112720")</f>
        <v>A8624112720</v>
      </c>
      <c r="D1921" s="3">
        <f>IFERROR(__xludf.DUMMYFUNCTION("""COMPUTED_VALUE"""),40.0)</f>
        <v>40</v>
      </c>
      <c r="E1921" s="1"/>
    </row>
    <row r="1922">
      <c r="A1922" s="1"/>
      <c r="B1922" s="3" t="str">
        <f>IFERROR(__xludf.DUMMYFUNCTION("""COMPUTED_VALUE"""),"NOVACHRISTO JOSEPH SILANGEN")</f>
        <v>NOVACHRISTO JOSEPH SILANGEN</v>
      </c>
      <c r="C1922" s="3" t="str">
        <f>IFERROR(__xludf.DUMMYFUNCTION("""COMPUTED_VALUE"""),"N6924112241")</f>
        <v>N6924112241</v>
      </c>
      <c r="D1922" s="3">
        <f>IFERROR(__xludf.DUMMYFUNCTION("""COMPUTED_VALUE"""),56.0)</f>
        <v>56</v>
      </c>
      <c r="E1922" s="1"/>
    </row>
    <row r="1923">
      <c r="A1923" s="1"/>
      <c r="B1923" s="3" t="str">
        <f>IFERROR(__xludf.DUMMYFUNCTION("""COMPUTED_VALUE"""),"DEDI HERMAWAN")</f>
        <v>DEDI HERMAWAN</v>
      </c>
      <c r="C1923" s="3" t="str">
        <f>IFERROR(__xludf.DUMMYFUNCTION("""COMPUTED_VALUE"""),"D7024114344")</f>
        <v>D7024114344</v>
      </c>
      <c r="D1923" s="3">
        <f>IFERROR(__xludf.DUMMYFUNCTION("""COMPUTED_VALUE"""),55.0)</f>
        <v>55</v>
      </c>
      <c r="E1923" s="1"/>
    </row>
    <row r="1924">
      <c r="A1924" s="1"/>
      <c r="B1924" s="3" t="str">
        <f>IFERROR(__xludf.DUMMYFUNCTION("""COMPUTED_VALUE"""),"FURQON DZAKI AZZAM")</f>
        <v>FURQON DZAKI AZZAM</v>
      </c>
      <c r="C1924" s="3" t="str">
        <f>IFERROR(__xludf.DUMMYFUNCTION("""COMPUTED_VALUE"""),"F9924116883")</f>
        <v>F9924116883</v>
      </c>
      <c r="D1924" s="3">
        <f>IFERROR(__xludf.DUMMYFUNCTION("""COMPUTED_VALUE"""),26.0)</f>
        <v>26</v>
      </c>
      <c r="E1924" s="1"/>
    </row>
    <row r="1925">
      <c r="A1925" s="1"/>
      <c r="B1925" s="3" t="str">
        <f>IFERROR(__xludf.DUMMYFUNCTION("""COMPUTED_VALUE"""),"FERENTIKA PUTRI UTAMU")</f>
        <v>FERENTIKA PUTRI UTAMU</v>
      </c>
      <c r="C1925" s="3" t="str">
        <f>IFERROR(__xludf.DUMMYFUNCTION("""COMPUTED_VALUE"""),"F9924116619")</f>
        <v>F9924116619</v>
      </c>
      <c r="D1925" s="3">
        <f>IFERROR(__xludf.DUMMYFUNCTION("""COMPUTED_VALUE"""),27.0)</f>
        <v>27</v>
      </c>
      <c r="E1925" s="1"/>
    </row>
    <row r="1926">
      <c r="A1926" s="1"/>
      <c r="B1926" s="3" t="str">
        <f>IFERROR(__xludf.DUMMYFUNCTION("""COMPUTED_VALUE"""),"STEFANUS FERDINAN")</f>
        <v>STEFANUS FERDINAN</v>
      </c>
      <c r="C1926" s="3" t="str">
        <f>IFERROR(__xludf.DUMMYFUNCTION("""COMPUTED_VALUE"""),"S8424116922")</f>
        <v>S8424116922</v>
      </c>
      <c r="D1926" s="3">
        <f>IFERROR(__xludf.DUMMYFUNCTION("""COMPUTED_VALUE"""),42.0)</f>
        <v>42</v>
      </c>
      <c r="E1926" s="1"/>
    </row>
    <row r="1927">
      <c r="A1927" s="1"/>
      <c r="B1927" s="3" t="str">
        <f>IFERROR(__xludf.DUMMYFUNCTION("""COMPUTED_VALUE"""),"NAWAL ATTAMIMI")</f>
        <v>NAWAL ATTAMIMI</v>
      </c>
      <c r="C1927" s="3" t="str">
        <f>IFERROR(__xludf.DUMMYFUNCTION("""COMPUTED_VALUE"""),"N0924113339")</f>
        <v>N0924113339</v>
      </c>
      <c r="D1927" s="3">
        <f>IFERROR(__xludf.DUMMYFUNCTION("""COMPUTED_VALUE"""),16.0)</f>
        <v>16</v>
      </c>
      <c r="E1927" s="1"/>
    </row>
    <row r="1928">
      <c r="A1928" s="1"/>
      <c r="B1928" s="3" t="str">
        <f>IFERROR(__xludf.DUMMYFUNCTION("""COMPUTED_VALUE"""),"HERRIANSYAH")</f>
        <v>HERRIANSYAH</v>
      </c>
      <c r="C1928" s="3" t="str">
        <f>IFERROR(__xludf.DUMMYFUNCTION("""COMPUTED_VALUE"""),"H6624124010")</f>
        <v>H6624124010</v>
      </c>
      <c r="D1928" s="3">
        <f>IFERROR(__xludf.DUMMYFUNCTION("""COMPUTED_VALUE"""),60.0)</f>
        <v>60</v>
      </c>
      <c r="E1928" s="1"/>
    </row>
    <row r="1929">
      <c r="A1929" s="1"/>
      <c r="B1929" s="3" t="str">
        <f>IFERROR(__xludf.DUMMYFUNCTION("""COMPUTED_VALUE"""),"HARDIANSYAH ABDI G")</f>
        <v>HARDIANSYAH ABDI G</v>
      </c>
      <c r="C1929" s="3" t="str">
        <f>IFERROR(__xludf.DUMMYFUNCTION("""COMPUTED_VALUE"""),"H9524112127")</f>
        <v>H9524112127</v>
      </c>
      <c r="D1929" s="3">
        <f>IFERROR(__xludf.DUMMYFUNCTION("""COMPUTED_VALUE"""),30.0)</f>
        <v>30</v>
      </c>
      <c r="E1929" s="1"/>
    </row>
    <row r="1930">
      <c r="A1930" s="1"/>
      <c r="B1930" s="3" t="str">
        <f>IFERROR(__xludf.DUMMYFUNCTION("""COMPUTED_VALUE"""),"KIM JUNG")</f>
        <v>KIM JUNG</v>
      </c>
      <c r="C1930" s="3" t="str">
        <f>IFERROR(__xludf.DUMMYFUNCTION("""COMPUTED_VALUE"""),"K5124111621")</f>
        <v>K5124111621</v>
      </c>
      <c r="D1930" s="3">
        <f>IFERROR(__xludf.DUMMYFUNCTION("""COMPUTED_VALUE"""),74.0)</f>
        <v>74</v>
      </c>
      <c r="E1930" s="1"/>
    </row>
    <row r="1931">
      <c r="A1931" s="1"/>
      <c r="B1931" s="3" t="str">
        <f>IFERROR(__xludf.DUMMYFUNCTION("""COMPUTED_VALUE"""),"HENDRI KOSASIH")</f>
        <v>HENDRI KOSASIH</v>
      </c>
      <c r="C1931" s="3" t="str">
        <f>IFERROR(__xludf.DUMMYFUNCTION("""COMPUTED_VALUE"""),"H9324111993")</f>
        <v>H9324111993</v>
      </c>
      <c r="D1931" s="3">
        <f>IFERROR(__xludf.DUMMYFUNCTION("""COMPUTED_VALUE"""),33.0)</f>
        <v>33</v>
      </c>
      <c r="E1931" s="1"/>
    </row>
    <row r="1932">
      <c r="A1932" s="1"/>
      <c r="B1932" s="3" t="str">
        <f>IFERROR(__xludf.DUMMYFUNCTION("""COMPUTED_VALUE"""),"TIMOTHY ANDYLIANTHO")</f>
        <v>TIMOTHY ANDYLIANTHO</v>
      </c>
      <c r="C1932" s="3" t="str">
        <f>IFERROR(__xludf.DUMMYFUNCTION("""COMPUTED_VALUE"""),"T9824114560")</f>
        <v>T9824114560</v>
      </c>
      <c r="D1932" s="3">
        <f>IFERROR(__xludf.DUMMYFUNCTION("""COMPUTED_VALUE"""),27.0)</f>
        <v>27</v>
      </c>
      <c r="E1932" s="1"/>
    </row>
    <row r="1933">
      <c r="A1933" s="1"/>
      <c r="B1933" s="3" t="str">
        <f>IFERROR(__xludf.DUMMYFUNCTION("""COMPUTED_VALUE"""),"MICHAEL 9706")</f>
        <v>MICHAEL 9706</v>
      </c>
      <c r="C1933" s="3" t="str">
        <f>IFERROR(__xludf.DUMMYFUNCTION("""COMPUTED_VALUE"""),"M9724111997")</f>
        <v>M9724111997</v>
      </c>
      <c r="D1933" s="3">
        <f>IFERROR(__xludf.DUMMYFUNCTION("""COMPUTED_VALUE"""),28.0)</f>
        <v>28</v>
      </c>
      <c r="E1933" s="1"/>
    </row>
    <row r="1934">
      <c r="A1934" s="1"/>
      <c r="B1934" s="3" t="str">
        <f>IFERROR(__xludf.DUMMYFUNCTION("""COMPUTED_VALUE"""),"SAIFUL")</f>
        <v>SAIFUL</v>
      </c>
      <c r="C1934" s="3" t="str">
        <f>IFERROR(__xludf.DUMMYFUNCTION("""COMPUTED_VALUE"""),"S7424116040")</f>
        <v>S7424116040</v>
      </c>
      <c r="D1934" s="3">
        <f>IFERROR(__xludf.DUMMYFUNCTION("""COMPUTED_VALUE"""),51.0)</f>
        <v>51</v>
      </c>
      <c r="E1934" s="1"/>
    </row>
    <row r="1935">
      <c r="A1935" s="1"/>
      <c r="B1935" s="3" t="str">
        <f>IFERROR(__xludf.DUMMYFUNCTION("""COMPUTED_VALUE"""),"ERICK MARGA LUKI PUTRA")</f>
        <v>ERICK MARGA LUKI PUTRA</v>
      </c>
      <c r="C1935" s="3" t="str">
        <f>IFERROR(__xludf.DUMMYFUNCTION("""COMPUTED_VALUE"""),"E0124117909")</f>
        <v>E0124117909</v>
      </c>
      <c r="D1935" s="3">
        <f>IFERROR(__xludf.DUMMYFUNCTION("""COMPUTED_VALUE"""),25.0)</f>
        <v>25</v>
      </c>
      <c r="E1935" s="1"/>
    </row>
    <row r="1936">
      <c r="A1936" s="1"/>
      <c r="B1936" s="3" t="str">
        <f>IFERROR(__xludf.DUMMYFUNCTION("""COMPUTED_VALUE"""),"DONI SALIM")</f>
        <v>DONI SALIM</v>
      </c>
      <c r="C1936" s="3" t="str">
        <f>IFERROR(__xludf.DUMMYFUNCTION("""COMPUTED_VALUE"""),"D0024119242")</f>
        <v>D0024119242</v>
      </c>
      <c r="D1936" s="3">
        <f>IFERROR(__xludf.DUMMYFUNCTION("""COMPUTED_VALUE"""),25.0)</f>
        <v>25</v>
      </c>
      <c r="E1936" s="1"/>
    </row>
    <row r="1937">
      <c r="A1937" s="1"/>
      <c r="B1937" s="3" t="str">
        <f>IFERROR(__xludf.DUMMYFUNCTION("""COMPUTED_VALUE"""),"FEBRY DWI ARUM SARI")</f>
        <v>FEBRY DWI ARUM SARI</v>
      </c>
      <c r="C1937" s="3" t="str">
        <f>IFERROR(__xludf.DUMMYFUNCTION("""COMPUTED_VALUE"""),"F0024113191")</f>
        <v>F0024113191</v>
      </c>
      <c r="D1937" s="3">
        <f>IFERROR(__xludf.DUMMYFUNCTION("""COMPUTED_VALUE"""),26.0)</f>
        <v>26</v>
      </c>
      <c r="E1937" s="1"/>
    </row>
    <row r="1938">
      <c r="A1938" s="1"/>
      <c r="B1938" s="3" t="str">
        <f>IFERROR(__xludf.DUMMYFUNCTION("""COMPUTED_VALUE"""),"PRADITYO LAKSONO")</f>
        <v>PRADITYO LAKSONO</v>
      </c>
      <c r="C1938" s="3" t="str">
        <f>IFERROR(__xludf.DUMMYFUNCTION("""COMPUTED_VALUE"""),"P8424113999")</f>
        <v>P8424113999</v>
      </c>
      <c r="D1938" s="3">
        <f>IFERROR(__xludf.DUMMYFUNCTION("""COMPUTED_VALUE"""),41.0)</f>
        <v>41</v>
      </c>
      <c r="E1938" s="1"/>
    </row>
    <row r="1939">
      <c r="A1939" s="1"/>
      <c r="B1939" s="3" t="str">
        <f>IFERROR(__xludf.DUMMYFUNCTION("""COMPUTED_VALUE"""),"CATHERINE")</f>
        <v>CATHERINE</v>
      </c>
      <c r="C1939" s="3" t="str">
        <f>IFERROR(__xludf.DUMMYFUNCTION("""COMPUTED_VALUE"""),"C9224119835")</f>
        <v>C9224119835</v>
      </c>
      <c r="D1939" s="3">
        <f>IFERROR(__xludf.DUMMYFUNCTION("""COMPUTED_VALUE"""),33.0)</f>
        <v>33</v>
      </c>
      <c r="E1939" s="1"/>
    </row>
    <row r="1940">
      <c r="A1940" s="1"/>
      <c r="B1940" s="3" t="str">
        <f>IFERROR(__xludf.DUMMYFUNCTION("""COMPUTED_VALUE"""),"SUYANTO 8906")</f>
        <v>SUYANTO 8906</v>
      </c>
      <c r="C1940" s="3" t="str">
        <f>IFERROR(__xludf.DUMMYFUNCTION("""COMPUTED_VALUE"""),"S8924114750")</f>
        <v>S8924114750</v>
      </c>
      <c r="D1940" s="3">
        <f>IFERROR(__xludf.DUMMYFUNCTION("""COMPUTED_VALUE"""),36.0)</f>
        <v>36</v>
      </c>
      <c r="E1940" s="1"/>
    </row>
    <row r="1941">
      <c r="A1941" s="1"/>
      <c r="B1941" s="3" t="str">
        <f>IFERROR(__xludf.DUMMYFUNCTION("""COMPUTED_VALUE"""),"LEONARDO DA VINCI")</f>
        <v>LEONARDO DA VINCI</v>
      </c>
      <c r="C1941" s="3" t="str">
        <f>IFERROR(__xludf.DUMMYFUNCTION("""COMPUTED_VALUE"""),"L0024110231")</f>
        <v>L0024110231</v>
      </c>
      <c r="D1941" s="3">
        <f>IFERROR(__xludf.DUMMYFUNCTION("""COMPUTED_VALUE"""),26.0)</f>
        <v>26</v>
      </c>
      <c r="E1941" s="1"/>
    </row>
    <row r="1942">
      <c r="A1942" s="1"/>
      <c r="B1942" s="3" t="str">
        <f>IFERROR(__xludf.DUMMYFUNCTION("""COMPUTED_VALUE"""),"SYARIF MUHAMMAD XAKI")</f>
        <v>SYARIF MUHAMMAD XAKI</v>
      </c>
      <c r="C1942" s="3" t="str">
        <f>IFERROR(__xludf.DUMMYFUNCTION("""COMPUTED_VALUE"""),"S9824117801")</f>
        <v>S9824117801</v>
      </c>
      <c r="D1942" s="3">
        <f>IFERROR(__xludf.DUMMYFUNCTION("""COMPUTED_VALUE"""),27.0)</f>
        <v>27</v>
      </c>
      <c r="E1942" s="1"/>
    </row>
    <row r="1943">
      <c r="A1943" s="1"/>
      <c r="B1943" s="3" t="str">
        <f>IFERROR(__xludf.DUMMYFUNCTION("""COMPUTED_VALUE"""),"MARZUKI PASARIBU")</f>
        <v>MARZUKI PASARIBU</v>
      </c>
      <c r="C1943" s="3" t="str">
        <f>IFERROR(__xludf.DUMMYFUNCTION("""COMPUTED_VALUE"""),"M4624118157")</f>
        <v>M4624118157</v>
      </c>
      <c r="D1943" s="3">
        <f>IFERROR(__xludf.DUMMYFUNCTION("""COMPUTED_VALUE"""),79.0)</f>
        <v>79</v>
      </c>
      <c r="E1943" s="1"/>
    </row>
    <row r="1944">
      <c r="A1944" s="1"/>
      <c r="B1944" s="3" t="str">
        <f>IFERROR(__xludf.DUMMYFUNCTION("""COMPUTED_VALUE"""),"SUGITO 6463")</f>
        <v>SUGITO 6463</v>
      </c>
      <c r="C1944" s="3" t="str">
        <f>IFERROR(__xludf.DUMMYFUNCTION("""COMPUTED_VALUE"""),"S6424113012")</f>
        <v>S6424113012</v>
      </c>
      <c r="D1944" s="3">
        <f>IFERROR(__xludf.DUMMYFUNCTION("""COMPUTED_VALUE"""),61.0)</f>
        <v>61</v>
      </c>
      <c r="E1944" s="1"/>
    </row>
    <row r="1945">
      <c r="A1945" s="1"/>
      <c r="B1945" s="3" t="str">
        <f>IFERROR(__xludf.DUMMYFUNCTION("""COMPUTED_VALUE"""),"ALIUDDIN")</f>
        <v>ALIUDDIN</v>
      </c>
      <c r="C1945" s="3" t="str">
        <f>IFERROR(__xludf.DUMMYFUNCTION("""COMPUTED_VALUE"""),"A6624118869")</f>
        <v>A6624118869</v>
      </c>
      <c r="D1945" s="3">
        <f>IFERROR(__xludf.DUMMYFUNCTION("""COMPUTED_VALUE"""),59.0)</f>
        <v>59</v>
      </c>
      <c r="E1945" s="1"/>
    </row>
    <row r="1946">
      <c r="A1946" s="1"/>
      <c r="B1946" s="3" t="str">
        <f>IFERROR(__xludf.DUMMYFUNCTION("""COMPUTED_VALUE"""),"SUNARWAN")</f>
        <v>SUNARWAN</v>
      </c>
      <c r="C1946" s="3" t="str">
        <f>IFERROR(__xludf.DUMMYFUNCTION("""COMPUTED_VALUE"""),"S7124117652")</f>
        <v>S7124117652</v>
      </c>
      <c r="D1946" s="3">
        <f>IFERROR(__xludf.DUMMYFUNCTION("""COMPUTED_VALUE"""),54.0)</f>
        <v>54</v>
      </c>
      <c r="E1946" s="1"/>
    </row>
    <row r="1947">
      <c r="A1947" s="1"/>
      <c r="B1947" s="3" t="str">
        <f>IFERROR(__xludf.DUMMYFUNCTION("""COMPUTED_VALUE"""),"NUR ASIA")</f>
        <v>NUR ASIA</v>
      </c>
      <c r="C1947" s="3" t="str">
        <f>IFERROR(__xludf.DUMMYFUNCTION("""COMPUTED_VALUE"""),"N7824110848")</f>
        <v>N7824110848</v>
      </c>
      <c r="D1947" s="3">
        <f>IFERROR(__xludf.DUMMYFUNCTION("""COMPUTED_VALUE"""),47.0)</f>
        <v>47</v>
      </c>
      <c r="E1947" s="1"/>
    </row>
    <row r="1948">
      <c r="A1948" s="1"/>
      <c r="B1948" s="3" t="str">
        <f>IFERROR(__xludf.DUMMYFUNCTION("""COMPUTED_VALUE"""),"MUHAMMAD DAVI")</f>
        <v>MUHAMMAD DAVI</v>
      </c>
      <c r="C1948" s="3" t="str">
        <f>IFERROR(__xludf.DUMMYFUNCTION("""COMPUTED_VALUE"""),"M0824113025")</f>
        <v>M0824113025</v>
      </c>
      <c r="D1948" s="3">
        <f>IFERROR(__xludf.DUMMYFUNCTION("""COMPUTED_VALUE"""),17.0)</f>
        <v>17</v>
      </c>
      <c r="E1948" s="1"/>
    </row>
    <row r="1949">
      <c r="A1949" s="1"/>
      <c r="B1949" s="3" t="str">
        <f>IFERROR(__xludf.DUMMYFUNCTION("""COMPUTED_VALUE"""),"ILHAM AZIZ")</f>
        <v>ILHAM AZIZ</v>
      </c>
      <c r="C1949" s="3" t="str">
        <f>IFERROR(__xludf.DUMMYFUNCTION("""COMPUTED_VALUE"""),"I0624117160")</f>
        <v>I0624117160</v>
      </c>
      <c r="D1949" s="3">
        <f>IFERROR(__xludf.DUMMYFUNCTION("""COMPUTED_VALUE"""),20.0)</f>
        <v>20</v>
      </c>
      <c r="E1949" s="1"/>
    </row>
    <row r="1950">
      <c r="A1950" s="1"/>
      <c r="B1950" s="3" t="str">
        <f>IFERROR(__xludf.DUMMYFUNCTION("""COMPUTED_VALUE"""),"VIVA DARMA PUTRI")</f>
        <v>VIVA DARMA PUTRI</v>
      </c>
      <c r="C1950" s="3" t="str">
        <f>IFERROR(__xludf.DUMMYFUNCTION("""COMPUTED_VALUE"""),"V8924117131")</f>
        <v>V8924117131</v>
      </c>
      <c r="D1950" s="3">
        <f>IFERROR(__xludf.DUMMYFUNCTION("""COMPUTED_VALUE"""),36.0)</f>
        <v>36</v>
      </c>
      <c r="E1950" s="1"/>
    </row>
    <row r="1951">
      <c r="A1951" s="1"/>
      <c r="B1951" s="3" t="str">
        <f>IFERROR(__xludf.DUMMYFUNCTION("""COMPUTED_VALUE"""),"SRI SETIATI")</f>
        <v>SRI SETIATI</v>
      </c>
      <c r="C1951" s="3" t="str">
        <f>IFERROR(__xludf.DUMMYFUNCTION("""COMPUTED_VALUE"""),"S5224111226")</f>
        <v>S5224111226</v>
      </c>
      <c r="D1951" s="3">
        <f>IFERROR(__xludf.DUMMYFUNCTION("""COMPUTED_VALUE"""),73.0)</f>
        <v>73</v>
      </c>
      <c r="E1951" s="1"/>
    </row>
    <row r="1952">
      <c r="A1952" s="1"/>
      <c r="B1952" s="3" t="str">
        <f>IFERROR(__xludf.DUMMYFUNCTION("""COMPUTED_VALUE"""),"ANGGER CHESTA HIDAYAT")</f>
        <v>ANGGER CHESTA HIDAYAT</v>
      </c>
      <c r="C1952" s="3" t="str">
        <f>IFERROR(__xludf.DUMMYFUNCTION("""COMPUTED_VALUE"""),"A0724125118")</f>
        <v>A0724125118</v>
      </c>
      <c r="D1952" s="3">
        <f>IFERROR(__xludf.DUMMYFUNCTION("""COMPUTED_VALUE"""),18.0)</f>
        <v>18</v>
      </c>
      <c r="E1952" s="1"/>
    </row>
    <row r="1953">
      <c r="A1953" s="1"/>
      <c r="B1953" s="3" t="str">
        <f>IFERROR(__xludf.DUMMYFUNCTION("""COMPUTED_VALUE"""),"HENDRA KRISMA")</f>
        <v>HENDRA KRISMA</v>
      </c>
      <c r="C1953" s="3" t="str">
        <f>IFERROR(__xludf.DUMMYFUNCTION("""COMPUTED_VALUE"""),"H9524120422")</f>
        <v>H9524120422</v>
      </c>
      <c r="D1953" s="3">
        <f>IFERROR(__xludf.DUMMYFUNCTION("""COMPUTED_VALUE"""),30.0)</f>
        <v>30</v>
      </c>
      <c r="E1953" s="1"/>
    </row>
    <row r="1954">
      <c r="A1954" s="1"/>
      <c r="B1954" s="3" t="str">
        <f>IFERROR(__xludf.DUMMYFUNCTION("""COMPUTED_VALUE"""),"FEBRIANSYAH")</f>
        <v>FEBRIANSYAH</v>
      </c>
      <c r="C1954" s="3" t="str">
        <f>IFERROR(__xludf.DUMMYFUNCTION("""COMPUTED_VALUE"""),"F0224122707")</f>
        <v>F0224122707</v>
      </c>
      <c r="D1954" s="3">
        <f>IFERROR(__xludf.DUMMYFUNCTION("""COMPUTED_VALUE"""),24.0)</f>
        <v>24</v>
      </c>
      <c r="E1954" s="1"/>
    </row>
    <row r="1955">
      <c r="A1955" s="1"/>
      <c r="B1955" s="3" t="str">
        <f>IFERROR(__xludf.DUMMYFUNCTION("""COMPUTED_VALUE"""),"DEASY TRIANA")</f>
        <v>DEASY TRIANA</v>
      </c>
      <c r="C1955" s="3" t="str">
        <f>IFERROR(__xludf.DUMMYFUNCTION("""COMPUTED_VALUE"""),"D8124125074")</f>
        <v>D8124125074</v>
      </c>
      <c r="D1955" s="3">
        <f>IFERROR(__xludf.DUMMYFUNCTION("""COMPUTED_VALUE"""),44.0)</f>
        <v>44</v>
      </c>
      <c r="E1955" s="1"/>
    </row>
    <row r="1956">
      <c r="A1956" s="1"/>
      <c r="B1956" s="3" t="str">
        <f>IFERROR(__xludf.DUMMYFUNCTION("""COMPUTED_VALUE"""),"JABARKIS")</f>
        <v>JABARKIS</v>
      </c>
      <c r="C1956" s="3" t="str">
        <f>IFERROR(__xludf.DUMMYFUNCTION("""COMPUTED_VALUE"""),"J9824127677")</f>
        <v>J9824127677</v>
      </c>
      <c r="D1956" s="3">
        <f>IFERROR(__xludf.DUMMYFUNCTION("""COMPUTED_VALUE"""),27.0)</f>
        <v>27</v>
      </c>
      <c r="E1956" s="1"/>
    </row>
    <row r="1957">
      <c r="A1957" s="1"/>
      <c r="B1957" s="3" t="str">
        <f>IFERROR(__xludf.DUMMYFUNCTION("""COMPUTED_VALUE"""),"ANDYKA FILANI")</f>
        <v>ANDYKA FILANI</v>
      </c>
      <c r="C1957" s="3" t="str">
        <f>IFERROR(__xludf.DUMMYFUNCTION("""COMPUTED_VALUE"""),"A8824129408")</f>
        <v>A8824129408</v>
      </c>
      <c r="D1957" s="3">
        <f>IFERROR(__xludf.DUMMYFUNCTION("""COMPUTED_VALUE"""),37.0)</f>
        <v>37</v>
      </c>
      <c r="E1957" s="1"/>
    </row>
    <row r="1958">
      <c r="A1958" s="1"/>
      <c r="B1958" s="3" t="str">
        <f>IFERROR(__xludf.DUMMYFUNCTION("""COMPUTED_VALUE"""),"RENTI OCTIVIANI")</f>
        <v>RENTI OCTIVIANI</v>
      </c>
      <c r="C1958" s="3" t="str">
        <f>IFERROR(__xludf.DUMMYFUNCTION("""COMPUTED_VALUE"""),"R9524125629")</f>
        <v>R9524125629</v>
      </c>
      <c r="D1958" s="3">
        <f>IFERROR(__xludf.DUMMYFUNCTION("""COMPUTED_VALUE"""),30.0)</f>
        <v>30</v>
      </c>
      <c r="E1958" s="1"/>
    </row>
    <row r="1959">
      <c r="A1959" s="1"/>
      <c r="B1959" s="3" t="str">
        <f>IFERROR(__xludf.DUMMYFUNCTION("""COMPUTED_VALUE"""),"ELOK SARASWATI")</f>
        <v>ELOK SARASWATI</v>
      </c>
      <c r="C1959" s="3" t="str">
        <f>IFERROR(__xludf.DUMMYFUNCTION("""COMPUTED_VALUE"""),"E9224129831")</f>
        <v>E9224129831</v>
      </c>
      <c r="D1959" s="3">
        <f>IFERROR(__xludf.DUMMYFUNCTION("""COMPUTED_VALUE"""),33.0)</f>
        <v>33</v>
      </c>
      <c r="E1959" s="1"/>
    </row>
    <row r="1960">
      <c r="A1960" s="1"/>
      <c r="B1960" s="3" t="str">
        <f>IFERROR(__xludf.DUMMYFUNCTION("""COMPUTED_VALUE"""),"SUTIYAH")</f>
        <v>SUTIYAH</v>
      </c>
      <c r="C1960" s="3" t="str">
        <f>IFERROR(__xludf.DUMMYFUNCTION("""COMPUTED_VALUE"""),"S3924123105")</f>
        <v>S3924123105</v>
      </c>
      <c r="D1960" s="3">
        <f>IFERROR(__xludf.DUMMYFUNCTION("""COMPUTED_VALUE"""),87.0)</f>
        <v>87</v>
      </c>
      <c r="E1960" s="1"/>
    </row>
    <row r="1961">
      <c r="A1961" s="1"/>
      <c r="B1961" s="3" t="str">
        <f>IFERROR(__xludf.DUMMYFUNCTION("""COMPUTED_VALUE"""),"SABRANI")</f>
        <v>SABRANI</v>
      </c>
      <c r="C1961" s="3" t="str">
        <f>IFERROR(__xludf.DUMMYFUNCTION("""COMPUTED_VALUE"""),"S9324121773")</f>
        <v>S9324121773</v>
      </c>
      <c r="D1961" s="3">
        <f>IFERROR(__xludf.DUMMYFUNCTION("""COMPUTED_VALUE"""),32.0)</f>
        <v>32</v>
      </c>
      <c r="E1961" s="1"/>
    </row>
    <row r="1962">
      <c r="A1962" s="1"/>
      <c r="B1962" s="3" t="str">
        <f>IFERROR(__xludf.DUMMYFUNCTION("""COMPUTED_VALUE"""),"ALFREDO ARINDA PRATAMA")</f>
        <v>ALFREDO ARINDA PRATAMA</v>
      </c>
      <c r="C1962" s="3" t="str">
        <f>IFERROR(__xludf.DUMMYFUNCTION("""COMPUTED_VALUE"""),"A9924128900")</f>
        <v>A9924128900</v>
      </c>
      <c r="D1962" s="3">
        <f>IFERROR(__xludf.DUMMYFUNCTION("""COMPUTED_VALUE"""),26.0)</f>
        <v>26</v>
      </c>
      <c r="E1962" s="1"/>
    </row>
    <row r="1963">
      <c r="A1963" s="1"/>
      <c r="B1963" s="3" t="str">
        <f>IFERROR(__xludf.DUMMYFUNCTION("""COMPUTED_VALUE"""),"ELLA PUSPITASARI")</f>
        <v>ELLA PUSPITASARI</v>
      </c>
      <c r="C1963" s="3" t="str">
        <f>IFERROR(__xludf.DUMMYFUNCTION("""COMPUTED_VALUE"""),"E8624124446")</f>
        <v>E8624124446</v>
      </c>
      <c r="D1963" s="3">
        <f>IFERROR(__xludf.DUMMYFUNCTION("""COMPUTED_VALUE"""),40.0)</f>
        <v>40</v>
      </c>
      <c r="E1963" s="1"/>
    </row>
    <row r="1964">
      <c r="A1964" s="1"/>
      <c r="B1964" s="3" t="str">
        <f>IFERROR(__xludf.DUMMYFUNCTION("""COMPUTED_VALUE"""),"FRENDI")</f>
        <v>FRENDI</v>
      </c>
      <c r="C1964" s="3" t="str">
        <f>IFERROR(__xludf.DUMMYFUNCTION("""COMPUTED_VALUE"""),"F9624127985")</f>
        <v>F9624127985</v>
      </c>
      <c r="D1964" s="3">
        <f>IFERROR(__xludf.DUMMYFUNCTION("""COMPUTED_VALUE"""),29.0)</f>
        <v>29</v>
      </c>
      <c r="E1964" s="1"/>
    </row>
    <row r="1965">
      <c r="A1965" s="1"/>
      <c r="B1965" s="3" t="str">
        <f>IFERROR(__xludf.DUMMYFUNCTION("""COMPUTED_VALUE"""),"ABDUL HAFIZH")</f>
        <v>ABDUL HAFIZH</v>
      </c>
      <c r="C1965" s="3" t="str">
        <f>IFERROR(__xludf.DUMMYFUNCTION("""COMPUTED_VALUE"""),"A9224121673")</f>
        <v>A9224121673</v>
      </c>
      <c r="D1965" s="3">
        <f>IFERROR(__xludf.DUMMYFUNCTION("""COMPUTED_VALUE"""),33.0)</f>
        <v>33</v>
      </c>
      <c r="E1965" s="1"/>
    </row>
    <row r="1966">
      <c r="A1966" s="1"/>
      <c r="B1966" s="3" t="str">
        <f>IFERROR(__xludf.DUMMYFUNCTION("""COMPUTED_VALUE"""),"FERZA SETIO MAULIDANTO")</f>
        <v>FERZA SETIO MAULIDANTO</v>
      </c>
      <c r="C1966" s="3" t="str">
        <f>IFERROR(__xludf.DUMMYFUNCTION("""COMPUTED_VALUE"""),"F1124122710")</f>
        <v>F1124122710</v>
      </c>
      <c r="D1966" s="3">
        <f>IFERROR(__xludf.DUMMYFUNCTION("""COMPUTED_VALUE"""),15.0)</f>
        <v>15</v>
      </c>
      <c r="E1966" s="1"/>
    </row>
    <row r="1967">
      <c r="A1967" s="1"/>
      <c r="B1967" s="3" t="str">
        <f>IFERROR(__xludf.DUMMYFUNCTION("""COMPUTED_VALUE"""),"YUDI PRAWIRATMAN")</f>
        <v>YUDI PRAWIRATMAN</v>
      </c>
      <c r="C1967" s="3" t="str">
        <f>IFERROR(__xludf.DUMMYFUNCTION("""COMPUTED_VALUE"""),"Y752412")</f>
        <v>Y752412</v>
      </c>
      <c r="D1967" s="3">
        <f>IFERROR(__xludf.DUMMYFUNCTION("""COMPUTED_VALUE"""),50.0)</f>
        <v>50</v>
      </c>
      <c r="E1967" s="1"/>
    </row>
    <row r="1968">
      <c r="A1968" s="1"/>
      <c r="B1968" s="3" t="str">
        <f>IFERROR(__xludf.DUMMYFUNCTION("""COMPUTED_VALUE"""),"MANIZAR")</f>
        <v>MANIZAR</v>
      </c>
      <c r="C1968" s="3" t="str">
        <f>IFERROR(__xludf.DUMMYFUNCTION("""COMPUTED_VALUE"""),"M5524129905")</f>
        <v>M5524129905</v>
      </c>
      <c r="D1968" s="3">
        <f>IFERROR(__xludf.DUMMYFUNCTION("""COMPUTED_VALUE"""),71.0)</f>
        <v>71</v>
      </c>
      <c r="E1968" s="1"/>
    </row>
    <row r="1969">
      <c r="A1969" s="1"/>
      <c r="B1969" s="3" t="str">
        <f>IFERROR(__xludf.DUMMYFUNCTION("""COMPUTED_VALUE"""),"ALVARO KAHFI RAIANDRA")</f>
        <v>ALVARO KAHFI RAIANDRA</v>
      </c>
      <c r="C1969" s="3" t="str">
        <f>IFERROR(__xludf.DUMMYFUNCTION("""COMPUTED_VALUE"""),"A1224123334")</f>
        <v>A1224123334</v>
      </c>
      <c r="D1969" s="3">
        <f>IFERROR(__xludf.DUMMYFUNCTION("""COMPUTED_VALUE"""),14.0)</f>
        <v>14</v>
      </c>
      <c r="E1969" s="1"/>
    </row>
    <row r="1970">
      <c r="A1970" s="1"/>
      <c r="B1970" s="3" t="str">
        <f>IFERROR(__xludf.DUMMYFUNCTION("""COMPUTED_VALUE"""),"FATUR MAULANA ARFANSYAH")</f>
        <v>FATUR MAULANA ARFANSYAH</v>
      </c>
      <c r="C1970" s="3" t="str">
        <f>IFERROR(__xludf.DUMMYFUNCTION("""COMPUTED_VALUE"""),"F0624125155")</f>
        <v>F0624125155</v>
      </c>
      <c r="D1970" s="3">
        <f>IFERROR(__xludf.DUMMYFUNCTION("""COMPUTED_VALUE"""),20.0)</f>
        <v>20</v>
      </c>
      <c r="E1970" s="1"/>
    </row>
    <row r="1971">
      <c r="A1971" s="1"/>
      <c r="B1971" s="3" t="str">
        <f>IFERROR(__xludf.DUMMYFUNCTION("""COMPUTED_VALUE"""),"HASAN ASY'ARY")</f>
        <v>HASAN ASY'ARY</v>
      </c>
      <c r="C1971" s="3" t="str">
        <f>IFERROR(__xludf.DUMMYFUNCTION("""COMPUTED_VALUE"""),"H8024128839")</f>
        <v>H8024128839</v>
      </c>
      <c r="D1971" s="3">
        <f>IFERROR(__xludf.DUMMYFUNCTION("""COMPUTED_VALUE"""),46.0)</f>
        <v>46</v>
      </c>
      <c r="E1971" s="1"/>
    </row>
    <row r="1972">
      <c r="A1972" s="1"/>
      <c r="B1972" s="3" t="str">
        <f>IFERROR(__xludf.DUMMYFUNCTION("""COMPUTED_VALUE"""),"ASRIFAH")</f>
        <v>ASRIFAH</v>
      </c>
      <c r="C1972" s="3" t="str">
        <f>IFERROR(__xludf.DUMMYFUNCTION("""COMPUTED_VALUE"""),"A8424124283")</f>
        <v>A8424124283</v>
      </c>
      <c r="D1972" s="3">
        <f>IFERROR(__xludf.DUMMYFUNCTION("""COMPUTED_VALUE"""),42.0)</f>
        <v>42</v>
      </c>
      <c r="E1972" s="1"/>
    </row>
    <row r="1973">
      <c r="A1973" s="1"/>
      <c r="B1973" s="3" t="str">
        <f>IFERROR(__xludf.DUMMYFUNCTION("""COMPUTED_VALUE"""),"SAPRY EKEH")</f>
        <v>SAPRY EKEH</v>
      </c>
      <c r="C1973" s="3" t="str">
        <f>IFERROR(__xludf.DUMMYFUNCTION("""COMPUTED_VALUE"""),"S5424126888")</f>
        <v>S5424126888</v>
      </c>
      <c r="D1973" s="3">
        <f>IFERROR(__xludf.DUMMYFUNCTION("""COMPUTED_VALUE"""),72.0)</f>
        <v>72</v>
      </c>
      <c r="E1973" s="1"/>
    </row>
    <row r="1974">
      <c r="A1974" s="1"/>
      <c r="B1974" s="3" t="str">
        <f>IFERROR(__xludf.DUMMYFUNCTION("""COMPUTED_VALUE"""),"ARWIN EKA SETIAWAN")</f>
        <v>ARWIN EKA SETIAWAN</v>
      </c>
      <c r="C1974" s="3" t="str">
        <f>IFERROR(__xludf.DUMMYFUNCTION("""COMPUTED_VALUE"""),"A0524127098")</f>
        <v>A0524127098</v>
      </c>
      <c r="D1974" s="3">
        <f>IFERROR(__xludf.DUMMYFUNCTION("""COMPUTED_VALUE"""),20.0)</f>
        <v>20</v>
      </c>
      <c r="E1974" s="1"/>
    </row>
    <row r="1975">
      <c r="A1975" s="1"/>
      <c r="B1975" s="3" t="str">
        <f>IFERROR(__xludf.DUMMYFUNCTION("""COMPUTED_VALUE"""),"ANDREA GUNAWAN")</f>
        <v>ANDREA GUNAWAN</v>
      </c>
      <c r="C1975" s="3" t="str">
        <f>IFERROR(__xludf.DUMMYFUNCTION("""COMPUTED_VALUE"""),"A9124121799")</f>
        <v>A9124121799</v>
      </c>
      <c r="D1975" s="3">
        <f>IFERROR(__xludf.DUMMYFUNCTION("""COMPUTED_VALUE"""),34.0)</f>
        <v>34</v>
      </c>
      <c r="E1975" s="1"/>
    </row>
    <row r="1976">
      <c r="A1976" s="1"/>
      <c r="B1976" s="3" t="str">
        <f>IFERROR(__xludf.DUMMYFUNCTION("""COMPUTED_VALUE"""),"KRISTIANUS KIMSEN")</f>
        <v>KRISTIANUS KIMSEN</v>
      </c>
      <c r="C1976" s="3" t="str">
        <f>IFERROR(__xludf.DUMMYFUNCTION("""COMPUTED_VALUE"""),"K6624121896")</f>
        <v>K6624121896</v>
      </c>
      <c r="D1976" s="3">
        <f>IFERROR(__xludf.DUMMYFUNCTION("""COMPUTED_VALUE"""),60.0)</f>
        <v>60</v>
      </c>
      <c r="E1976" s="1"/>
    </row>
    <row r="1977">
      <c r="A1977" s="1"/>
      <c r="B1977" s="3" t="str">
        <f>IFERROR(__xludf.DUMMYFUNCTION("""COMPUTED_VALUE"""),"BONG TJHU KIE")</f>
        <v>BONG TJHU KIE</v>
      </c>
      <c r="C1977" s="3" t="str">
        <f>IFERROR(__xludf.DUMMYFUNCTION("""COMPUTED_VALUE"""),"B6224124272")</f>
        <v>B6224124272</v>
      </c>
      <c r="D1977" s="3">
        <f>IFERROR(__xludf.DUMMYFUNCTION("""COMPUTED_VALUE"""),64.0)</f>
        <v>64</v>
      </c>
      <c r="E1977" s="1"/>
    </row>
    <row r="1978">
      <c r="A1978" s="1"/>
      <c r="B1978" s="3" t="str">
        <f>IFERROR(__xludf.DUMMYFUNCTION("""COMPUTED_VALUE"""),"ELSATIA HERMAWAN")</f>
        <v>ELSATIA HERMAWAN</v>
      </c>
      <c r="C1978" s="3" t="str">
        <f>IFERROR(__xludf.DUMMYFUNCTION("""COMPUTED_VALUE"""),"E9124120075")</f>
        <v>E9124120075</v>
      </c>
      <c r="D1978" s="3">
        <f>IFERROR(__xludf.DUMMYFUNCTION("""COMPUTED_VALUE"""),34.0)</f>
        <v>34</v>
      </c>
      <c r="E1978" s="1"/>
    </row>
    <row r="1979">
      <c r="A1979" s="1"/>
      <c r="B1979" s="3" t="str">
        <f>IFERROR(__xludf.DUMMYFUNCTION("""COMPUTED_VALUE"""),"SITI NURFAH")</f>
        <v>SITI NURFAH</v>
      </c>
      <c r="C1979" s="3" t="str">
        <f>IFERROR(__xludf.DUMMYFUNCTION("""COMPUTED_VALUE"""),"S9824121996")</f>
        <v>S9824121996</v>
      </c>
      <c r="D1979" s="3">
        <f>IFERROR(__xludf.DUMMYFUNCTION("""COMPUTED_VALUE"""),28.0)</f>
        <v>28</v>
      </c>
      <c r="E1979" s="1"/>
    </row>
    <row r="1980">
      <c r="A1980" s="1"/>
      <c r="B1980" s="3" t="str">
        <f>IFERROR(__xludf.DUMMYFUNCTION("""COMPUTED_VALUE"""),"DAVIN ARIFIN")</f>
        <v>DAVIN ARIFIN</v>
      </c>
      <c r="C1980" s="3" t="str">
        <f>IFERROR(__xludf.DUMMYFUNCTION("""COMPUTED_VALUE"""),"D9724128118")</f>
        <v>D9724128118</v>
      </c>
      <c r="D1980" s="3">
        <f>IFERROR(__xludf.DUMMYFUNCTION("""COMPUTED_VALUE"""),29.0)</f>
        <v>29</v>
      </c>
      <c r="E1980" s="1"/>
    </row>
    <row r="1981">
      <c r="A1981" s="1"/>
      <c r="B1981" s="3" t="str">
        <f>IFERROR(__xludf.DUMMYFUNCTION("""COMPUTED_VALUE"""),"ERWIN CIPTA WIJAYA")</f>
        <v>ERWIN CIPTA WIJAYA</v>
      </c>
      <c r="C1981" s="3" t="str">
        <f>IFERROR(__xludf.DUMMYFUNCTION("""COMPUTED_VALUE"""),"E8924128386")</f>
        <v>E8924128386</v>
      </c>
      <c r="D1981" s="3">
        <f>IFERROR(__xludf.DUMMYFUNCTION("""COMPUTED_VALUE"""),37.0)</f>
        <v>37</v>
      </c>
      <c r="E1981" s="1"/>
    </row>
    <row r="1982">
      <c r="A1982" s="1"/>
      <c r="B1982" s="3" t="str">
        <f>IFERROR(__xludf.DUMMYFUNCTION("""COMPUTED_VALUE"""),"ALI RIDHO")</f>
        <v>ALI RIDHO</v>
      </c>
      <c r="C1982" s="3" t="str">
        <f>IFERROR(__xludf.DUMMYFUNCTION("""COMPUTED_VALUE"""),"A8324120778")</f>
        <v>A8324120778</v>
      </c>
      <c r="D1982" s="3">
        <f>IFERROR(__xludf.DUMMYFUNCTION("""COMPUTED_VALUE"""),42.0)</f>
        <v>42</v>
      </c>
      <c r="E1982" s="1"/>
    </row>
    <row r="1983">
      <c r="A1983" s="1"/>
      <c r="B1983" s="3" t="str">
        <f>IFERROR(__xludf.DUMMYFUNCTION("""COMPUTED_VALUE"""),"CHANDRA ALIP PRATAMA")</f>
        <v>CHANDRA ALIP PRATAMA</v>
      </c>
      <c r="C1983" s="3" t="str">
        <f>IFERROR(__xludf.DUMMYFUNCTION("""COMPUTED_VALUE"""),"C9524123795")</f>
        <v>C9524123795</v>
      </c>
      <c r="D1983" s="3">
        <f>IFERROR(__xludf.DUMMYFUNCTION("""COMPUTED_VALUE"""),30.0)</f>
        <v>30</v>
      </c>
      <c r="E1983" s="1"/>
    </row>
    <row r="1984">
      <c r="A1984" s="1"/>
      <c r="B1984" s="3" t="str">
        <f>IFERROR(__xludf.DUMMYFUNCTION("""COMPUTED_VALUE"""),"CAREEN CHANDRA")</f>
        <v>CAREEN CHANDRA</v>
      </c>
      <c r="C1984" s="3" t="str">
        <f>IFERROR(__xludf.DUMMYFUNCTION("""COMPUTED_VALUE"""),"C9624126650")</f>
        <v>C9624126650</v>
      </c>
      <c r="D1984" s="3">
        <f>IFERROR(__xludf.DUMMYFUNCTION("""COMPUTED_VALUE"""),29.0)</f>
        <v>29</v>
      </c>
      <c r="E1984" s="1"/>
    </row>
    <row r="1985">
      <c r="A1985" s="1"/>
      <c r="B1985" s="3" t="str">
        <f>IFERROR(__xludf.DUMMYFUNCTION("""COMPUTED_VALUE"""),"DEDI KURNIAWAN")</f>
        <v>DEDI KURNIAWAN</v>
      </c>
      <c r="C1985" s="3" t="str">
        <f>IFERROR(__xludf.DUMMYFUNCTION("""COMPUTED_VALUE"""),"D0424120515")</f>
        <v>D0424120515</v>
      </c>
      <c r="D1985" s="3">
        <f>IFERROR(__xludf.DUMMYFUNCTION("""COMPUTED_VALUE"""),22.0)</f>
        <v>22</v>
      </c>
      <c r="E1985" s="1"/>
    </row>
    <row r="1986">
      <c r="A1986" s="1"/>
      <c r="B1986" s="3" t="str">
        <f>IFERROR(__xludf.DUMMYFUNCTION("""COMPUTED_VALUE"""),"MUHAMMAD ALVIN HIDAYAT")</f>
        <v>MUHAMMAD ALVIN HIDAYAT</v>
      </c>
      <c r="C1986" s="3" t="str">
        <f>IFERROR(__xludf.DUMMYFUNCTION("""COMPUTED_VALUE"""),"M1124123015")</f>
        <v>M1124123015</v>
      </c>
      <c r="D1986" s="3">
        <f>IFERROR(__xludf.DUMMYFUNCTION("""COMPUTED_VALUE"""),15.0)</f>
        <v>15</v>
      </c>
      <c r="E1986" s="1"/>
    </row>
    <row r="1987">
      <c r="A1987" s="1"/>
      <c r="B1987" s="3" t="str">
        <f>IFERROR(__xludf.DUMMYFUNCTION("""COMPUTED_VALUE"""),"RIZKI HENDRAWAN")</f>
        <v>RIZKI HENDRAWAN</v>
      </c>
      <c r="C1987" s="3" t="str">
        <f>IFERROR(__xludf.DUMMYFUNCTION("""COMPUTED_VALUE"""),"R9924126490")</f>
        <v>R9924126490</v>
      </c>
      <c r="D1987" s="3">
        <f>IFERROR(__xludf.DUMMYFUNCTION("""COMPUTED_VALUE"""),26.0)</f>
        <v>26</v>
      </c>
      <c r="E1987" s="1"/>
    </row>
    <row r="1988">
      <c r="A1988" s="1"/>
      <c r="B1988" s="3" t="str">
        <f>IFERROR(__xludf.DUMMYFUNCTION("""COMPUTED_VALUE"""),"MARIANI")</f>
        <v>MARIANI</v>
      </c>
      <c r="C1988" s="3" t="str">
        <f>IFERROR(__xludf.DUMMYFUNCTION("""COMPUTED_VALUE"""),"M7324123032")</f>
        <v>M7324123032</v>
      </c>
      <c r="D1988" s="3">
        <f>IFERROR(__xludf.DUMMYFUNCTION("""COMPUTED_VALUE"""),52.0)</f>
        <v>52</v>
      </c>
      <c r="E1988" s="1"/>
    </row>
    <row r="1989">
      <c r="A1989" s="1"/>
      <c r="B1989" s="3" t="str">
        <f>IFERROR(__xludf.DUMMYFUNCTION("""COMPUTED_VALUE"""),"PONIJO")</f>
        <v>PONIJO</v>
      </c>
      <c r="C1989" s="3" t="str">
        <f>IFERROR(__xludf.DUMMYFUNCTION("""COMPUTED_VALUE"""),"P8324126348")</f>
        <v>P8324126348</v>
      </c>
      <c r="D1989" s="3">
        <f>IFERROR(__xludf.DUMMYFUNCTION("""COMPUTED_VALUE"""),42.0)</f>
        <v>42</v>
      </c>
      <c r="E1989" s="1"/>
    </row>
    <row r="1990">
      <c r="A1990" s="1"/>
      <c r="B1990" s="3" t="str">
        <f>IFERROR(__xludf.DUMMYFUNCTION("""COMPUTED_VALUE"""),"SUKARNA")</f>
        <v>SUKARNA</v>
      </c>
      <c r="C1990" s="3" t="str">
        <f>IFERROR(__xludf.DUMMYFUNCTION("""COMPUTED_VALUE"""),"S5824126415")</f>
        <v>S5824126415</v>
      </c>
      <c r="D1990" s="3">
        <f>IFERROR(__xludf.DUMMYFUNCTION("""COMPUTED_VALUE"""),68.0)</f>
        <v>68</v>
      </c>
      <c r="E1990" s="1"/>
    </row>
    <row r="1991">
      <c r="A1991" s="1"/>
      <c r="B1991" s="3" t="str">
        <f>IFERROR(__xludf.DUMMYFUNCTION("""COMPUTED_VALUE"""),"FRANSISKUS ADI SASMITA")</f>
        <v>FRANSISKUS ADI SASMITA</v>
      </c>
      <c r="C1991" s="3" t="str">
        <f>IFERROR(__xludf.DUMMYFUNCTION("""COMPUTED_VALUE"""),"F9324124641")</f>
        <v>F9324124641</v>
      </c>
      <c r="D1991" s="3">
        <f>IFERROR(__xludf.DUMMYFUNCTION("""COMPUTED_VALUE"""),33.0)</f>
        <v>33</v>
      </c>
      <c r="E1991" s="1"/>
    </row>
    <row r="1992">
      <c r="A1992" s="1"/>
      <c r="B1992" s="3" t="str">
        <f>IFERROR(__xludf.DUMMYFUNCTION("""COMPUTED_VALUE"""),"ANDI MUHAMMAD ZAINUL ABROR")</f>
        <v>ANDI MUHAMMAD ZAINUL ABROR</v>
      </c>
      <c r="C1992" s="3" t="str">
        <f>IFERROR(__xludf.DUMMYFUNCTION("""COMPUTED_VALUE"""),"A9424120305")</f>
        <v>A9424120305</v>
      </c>
      <c r="D1992" s="3">
        <f>IFERROR(__xludf.DUMMYFUNCTION("""COMPUTED_VALUE"""),32.0)</f>
        <v>32</v>
      </c>
      <c r="E1992" s="1"/>
    </row>
    <row r="1993">
      <c r="A1993" s="1"/>
      <c r="B1993" s="3" t="str">
        <f>IFERROR(__xludf.DUMMYFUNCTION("""COMPUTED_VALUE"""),"ANNAJMUTSAQIB SIREGAR")</f>
        <v>ANNAJMUTSAQIB SIREGAR</v>
      </c>
      <c r="C1993" s="3" t="str">
        <f>IFERROR(__xludf.DUMMYFUNCTION("""COMPUTED_VALUE"""),"A0824120706")</f>
        <v>A0824120706</v>
      </c>
      <c r="D1993" s="3">
        <f>IFERROR(__xludf.DUMMYFUNCTION("""COMPUTED_VALUE"""),18.0)</f>
        <v>18</v>
      </c>
      <c r="E1993" s="1"/>
    </row>
    <row r="1994">
      <c r="A1994" s="1"/>
      <c r="B1994" s="3" t="str">
        <f>IFERROR(__xludf.DUMMYFUNCTION("""COMPUTED_VALUE"""),"SRI RAHAYU NINGSIH")</f>
        <v>SRI RAHAYU NINGSIH</v>
      </c>
      <c r="C1994" s="3" t="str">
        <f>IFERROR(__xludf.DUMMYFUNCTION("""COMPUTED_VALUE"""),"S6624127000")</f>
        <v>S6624127000</v>
      </c>
      <c r="D1994" s="3">
        <f>IFERROR(__xludf.DUMMYFUNCTION("""COMPUTED_VALUE"""),59.0)</f>
        <v>59</v>
      </c>
      <c r="E1994" s="1"/>
    </row>
    <row r="1995">
      <c r="A1995" s="1"/>
      <c r="B1995" s="3" t="str">
        <f>IFERROR(__xludf.DUMMYFUNCTION("""COMPUTED_VALUE"""),"R. WENNY AGUSTRINI")</f>
        <v>R. WENNY AGUSTRINI</v>
      </c>
      <c r="C1995" s="3" t="str">
        <f>IFERROR(__xludf.DUMMYFUNCTION("""COMPUTED_VALUE"""),"R7824123631")</f>
        <v>R7824123631</v>
      </c>
      <c r="D1995" s="3">
        <f>IFERROR(__xludf.DUMMYFUNCTION("""COMPUTED_VALUE"""),47.0)</f>
        <v>47</v>
      </c>
      <c r="E1995" s="1"/>
    </row>
    <row r="1996">
      <c r="A1996" s="1"/>
      <c r="B1996" s="3" t="str">
        <f>IFERROR(__xludf.DUMMYFUNCTION("""COMPUTED_VALUE"""),"HALIDA INDRASARI")</f>
        <v>HALIDA INDRASARI</v>
      </c>
      <c r="C1996" s="3" t="str">
        <f>IFERROR(__xludf.DUMMYFUNCTION("""COMPUTED_VALUE"""),"H7924127776")</f>
        <v>H7924127776</v>
      </c>
      <c r="D1996" s="3">
        <f>IFERROR(__xludf.DUMMYFUNCTION("""COMPUTED_VALUE"""),47.0)</f>
        <v>47</v>
      </c>
      <c r="E1996" s="1"/>
    </row>
    <row r="1997">
      <c r="A1997" s="1"/>
      <c r="B1997" s="3" t="str">
        <f>IFERROR(__xludf.DUMMYFUNCTION("""COMPUTED_VALUE"""),"ZAMAIYAH")</f>
        <v>ZAMAIYAH</v>
      </c>
      <c r="C1997" s="3" t="str">
        <f>IFERROR(__xludf.DUMMYFUNCTION("""COMPUTED_VALUE"""),"Z5824124397")</f>
        <v>Z5824124397</v>
      </c>
      <c r="D1997" s="3">
        <f>IFERROR(__xludf.DUMMYFUNCTION("""COMPUTED_VALUE"""),67.0)</f>
        <v>67</v>
      </c>
      <c r="E1997" s="1"/>
    </row>
    <row r="1998">
      <c r="A1998" s="1"/>
      <c r="B1998" s="3" t="str">
        <f>IFERROR(__xludf.DUMMYFUNCTION("""COMPUTED_VALUE"""),"CYNTHIA GRESTANTICA")</f>
        <v>CYNTHIA GRESTANTICA</v>
      </c>
      <c r="C1998" s="3" t="str">
        <f>IFERROR(__xludf.DUMMYFUNCTION("""COMPUTED_VALUE"""),"C7024128033")</f>
        <v>C7024128033</v>
      </c>
      <c r="D1998" s="3">
        <f>IFERROR(__xludf.DUMMYFUNCTION("""COMPUTED_VALUE"""),55.0)</f>
        <v>55</v>
      </c>
      <c r="E1998" s="1"/>
    </row>
    <row r="1999">
      <c r="A1999" s="1"/>
      <c r="B1999" s="3" t="str">
        <f>IFERROR(__xludf.DUMMYFUNCTION("""COMPUTED_VALUE"""),"YOSAPHAT TRI UTOMO")</f>
        <v>YOSAPHAT TRI UTOMO</v>
      </c>
      <c r="C1999" s="3" t="str">
        <f>IFERROR(__xludf.DUMMYFUNCTION("""COMPUTED_VALUE"""),"Y9425017232")</f>
        <v>Y9425017232</v>
      </c>
      <c r="D1999" s="3">
        <f>IFERROR(__xludf.DUMMYFUNCTION("""COMPUTED_VALUE"""),31.0)</f>
        <v>31</v>
      </c>
      <c r="E1999" s="1"/>
    </row>
    <row r="2000">
      <c r="A2000" s="1"/>
      <c r="B2000" s="3" t="str">
        <f>IFERROR(__xludf.DUMMYFUNCTION("""COMPUTED_VALUE"""),"HEPPY")</f>
        <v>HEPPY</v>
      </c>
      <c r="C2000" s="3" t="str">
        <f>IFERROR(__xludf.DUMMYFUNCTION("""COMPUTED_VALUE"""),"H6725017219")</f>
        <v>H6725017219</v>
      </c>
      <c r="D2000" s="3">
        <f>IFERROR(__xludf.DUMMYFUNCTION("""COMPUTED_VALUE"""),59.0)</f>
        <v>59</v>
      </c>
      <c r="E2000" s="1"/>
    </row>
    <row r="2001">
      <c r="A2001" s="1"/>
      <c r="B2001" s="3" t="str">
        <f>IFERROR(__xludf.DUMMYFUNCTION("""COMPUTED_VALUE"""),"MUHAMMAD HAMZAH")</f>
        <v>MUHAMMAD HAMZAH</v>
      </c>
      <c r="C2001" s="3" t="str">
        <f>IFERROR(__xludf.DUMMYFUNCTION("""COMPUTED_VALUE"""),"M9125019014")</f>
        <v>M9125019014</v>
      </c>
      <c r="D2001" s="3">
        <f>IFERROR(__xludf.DUMMYFUNCTION("""COMPUTED_VALUE"""),35.0)</f>
        <v>35</v>
      </c>
      <c r="E2001" s="1"/>
    </row>
    <row r="2002">
      <c r="A2002" s="1"/>
      <c r="B2002" s="3" t="str">
        <f>IFERROR(__xludf.DUMMYFUNCTION("""COMPUTED_VALUE"""),"ALIF BAINAL KHAFI")</f>
        <v>ALIF BAINAL KHAFI</v>
      </c>
      <c r="C2002" s="3" t="str">
        <f>IFERROR(__xludf.DUMMYFUNCTION("""COMPUTED_VALUE"""),"A0425014441")</f>
        <v>A0425014441</v>
      </c>
      <c r="D2002" s="3">
        <f>IFERROR(__xludf.DUMMYFUNCTION("""COMPUTED_VALUE"""),21.0)</f>
        <v>21</v>
      </c>
      <c r="E2002" s="1"/>
    </row>
    <row r="2003">
      <c r="A2003" s="1"/>
      <c r="B2003" s="3" t="str">
        <f>IFERROR(__xludf.DUMMYFUNCTION("""COMPUTED_VALUE"""),"DRAJAT SUBYAKTO")</f>
        <v>DRAJAT SUBYAKTO</v>
      </c>
      <c r="C2003" s="3" t="str">
        <f>IFERROR(__xludf.DUMMYFUNCTION("""COMPUTED_VALUE"""),"D5625014272")</f>
        <v>D5625014272</v>
      </c>
      <c r="D2003" s="3">
        <f>IFERROR(__xludf.DUMMYFUNCTION("""COMPUTED_VALUE"""),69.0)</f>
        <v>69</v>
      </c>
      <c r="E2003" s="1"/>
    </row>
    <row r="2004">
      <c r="A2004" s="1"/>
      <c r="B2004" s="3" t="str">
        <f>IFERROR(__xludf.DUMMYFUNCTION("""COMPUTED_VALUE"""),"MIRNAWATI")</f>
        <v>MIRNAWATI</v>
      </c>
      <c r="C2004" s="3" t="str">
        <f>IFERROR(__xludf.DUMMYFUNCTION("""COMPUTED_VALUE"""),"M6025016880")</f>
        <v>M6025016880</v>
      </c>
      <c r="D2004" s="3">
        <f>IFERROR(__xludf.DUMMYFUNCTION("""COMPUTED_VALUE"""),65.0)</f>
        <v>65</v>
      </c>
      <c r="E2004" s="1"/>
    </row>
    <row r="2005">
      <c r="A2005" s="1"/>
      <c r="B2005" s="3" t="str">
        <f>IFERROR(__xludf.DUMMYFUNCTION("""COMPUTED_VALUE"""),"JAM SENG")</f>
        <v>JAM SENG</v>
      </c>
      <c r="C2005" s="3" t="str">
        <f>IFERROR(__xludf.DUMMYFUNCTION("""COMPUTED_VALUE"""),"J6225015559")</f>
        <v>J6225015559</v>
      </c>
      <c r="D2005" s="3">
        <f>IFERROR(__xludf.DUMMYFUNCTION("""COMPUTED_VALUE"""),63.0)</f>
        <v>63</v>
      </c>
      <c r="E2005" s="1"/>
    </row>
    <row r="2006">
      <c r="A2006" s="1"/>
      <c r="B2006" s="3" t="str">
        <f>IFERROR(__xludf.DUMMYFUNCTION("""COMPUTED_VALUE"""),"MUHAMMAD AGUNG KURNIAWAN")</f>
        <v>MUHAMMAD AGUNG KURNIAWAN</v>
      </c>
      <c r="C2006" s="3" t="str">
        <f>IFERROR(__xludf.DUMMYFUNCTION("""COMPUTED_VALUE"""),"M0225017300")</f>
        <v>M0225017300</v>
      </c>
      <c r="D2006" s="3">
        <f>IFERROR(__xludf.DUMMYFUNCTION("""COMPUTED_VALUE"""),24.0)</f>
        <v>24</v>
      </c>
      <c r="E2006" s="1"/>
    </row>
    <row r="2007">
      <c r="A2007" s="1"/>
      <c r="B2007" s="3" t="str">
        <f>IFERROR(__xludf.DUMMYFUNCTION("""COMPUTED_VALUE"""),"MUHAMMAD RAYHAN JADDU")</f>
        <v>MUHAMMAD RAYHAN JADDU</v>
      </c>
      <c r="C2007" s="3" t="str">
        <f>IFERROR(__xludf.DUMMYFUNCTION("""COMPUTED_VALUE"""),"M0425019897")</f>
        <v>M0425019897</v>
      </c>
      <c r="D2007" s="3">
        <f>IFERROR(__xludf.DUMMYFUNCTION("""COMPUTED_VALUE"""),22.0)</f>
        <v>22</v>
      </c>
      <c r="E2007" s="1"/>
    </row>
    <row r="2008">
      <c r="A2008" s="1"/>
      <c r="B2008" s="3" t="str">
        <f>IFERROR(__xludf.DUMMYFUNCTION("""COMPUTED_VALUE"""),"BOBY GUNAWAN")</f>
        <v>BOBY GUNAWAN</v>
      </c>
      <c r="C2008" s="3" t="str">
        <f>IFERROR(__xludf.DUMMYFUNCTION("""COMPUTED_VALUE"""),"B9525013700")</f>
        <v>B9525013700</v>
      </c>
      <c r="D2008" s="3">
        <f>IFERROR(__xludf.DUMMYFUNCTION("""COMPUTED_VALUE"""),30.0)</f>
        <v>30</v>
      </c>
      <c r="E2008" s="1"/>
    </row>
    <row r="2009">
      <c r="A2009" s="1"/>
      <c r="B2009" s="3" t="str">
        <f>IFERROR(__xludf.DUMMYFUNCTION("""COMPUTED_VALUE"""),"II SUMIRAT")</f>
        <v>II SUMIRAT</v>
      </c>
      <c r="C2009" s="3" t="str">
        <f>IFERROR(__xludf.DUMMYFUNCTION("""COMPUTED_VALUE"""),"I0225016604")</f>
        <v>I0225016604</v>
      </c>
      <c r="D2009" s="3">
        <f>IFERROR(__xludf.DUMMYFUNCTION("""COMPUTED_VALUE"""),23.0)</f>
        <v>23</v>
      </c>
      <c r="E2009" s="1"/>
    </row>
    <row r="2010">
      <c r="A2010" s="1"/>
      <c r="B2010" s="3" t="str">
        <f>IFERROR(__xludf.DUMMYFUNCTION("""COMPUTED_VALUE"""),"JAMALUDIN8902")</f>
        <v>JAMALUDIN8902</v>
      </c>
      <c r="C2010" s="3" t="str">
        <f>IFERROR(__xludf.DUMMYFUNCTION("""COMPUTED_VALUE"""),"J8925018848")</f>
        <v>J8925018848</v>
      </c>
      <c r="D2010" s="3">
        <f>IFERROR(__xludf.DUMMYFUNCTION("""COMPUTED_VALUE"""),37.0)</f>
        <v>37</v>
      </c>
      <c r="E2010" s="1"/>
    </row>
    <row r="2011">
      <c r="A2011" s="1"/>
      <c r="B2011" s="3" t="str">
        <f>IFERROR(__xludf.DUMMYFUNCTION("""COMPUTED_VALUE"""),"MUHAMMAD HAZIEL GADHI")</f>
        <v>MUHAMMAD HAZIEL GADHI</v>
      </c>
      <c r="C2011" s="3" t="str">
        <f>IFERROR(__xludf.DUMMYFUNCTION("""COMPUTED_VALUE"""),"M8825015705")</f>
        <v>M8825015705</v>
      </c>
      <c r="D2011" s="3">
        <f>IFERROR(__xludf.DUMMYFUNCTION("""COMPUTED_VALUE"""),38.0)</f>
        <v>38</v>
      </c>
      <c r="E2011" s="1"/>
    </row>
    <row r="2012">
      <c r="A2012" s="1"/>
      <c r="B2012" s="3" t="str">
        <f>IFERROR(__xludf.DUMMYFUNCTION("""COMPUTED_VALUE"""),"ZULFARIDA")</f>
        <v>ZULFARIDA</v>
      </c>
      <c r="C2012" s="3" t="str">
        <f>IFERROR(__xludf.DUMMYFUNCTION("""COMPUTED_VALUE"""),"Z992501")</f>
        <v>Z992501</v>
      </c>
      <c r="D2012" s="3" t="str">
        <f>IFERROR(__xludf.DUMMYFUNCTION("""COMPUTED_VALUE"""),"")</f>
        <v/>
      </c>
      <c r="E2012" s="1"/>
    </row>
    <row r="2013">
      <c r="A2013" s="1"/>
      <c r="B2013" s="3" t="str">
        <f>IFERROR(__xludf.DUMMYFUNCTION("""COMPUTED_VALUE"""),"NOVITA")</f>
        <v>NOVITA</v>
      </c>
      <c r="C2013" s="3" t="str">
        <f>IFERROR(__xludf.DUMMYFUNCTION("""COMPUTED_VALUE"""),"N7925019928")</f>
        <v>N7925019928</v>
      </c>
      <c r="D2013" s="3">
        <f>IFERROR(__xludf.DUMMYFUNCTION("""COMPUTED_VALUE"""),47.0)</f>
        <v>47</v>
      </c>
      <c r="E2013" s="1"/>
    </row>
    <row r="2014">
      <c r="A2014" s="1"/>
      <c r="B2014" s="3" t="str">
        <f>IFERROR(__xludf.DUMMYFUNCTION("""COMPUTED_VALUE"""),"DESSY FAJARWATI")</f>
        <v>DESSY FAJARWATI</v>
      </c>
      <c r="C2014" s="3" t="str">
        <f>IFERROR(__xludf.DUMMYFUNCTION("""COMPUTED_VALUE"""),"D8825013040")</f>
        <v>D8825013040</v>
      </c>
      <c r="D2014" s="3">
        <f>IFERROR(__xludf.DUMMYFUNCTION("""COMPUTED_VALUE"""),37.0)</f>
        <v>37</v>
      </c>
      <c r="E2014" s="1"/>
    </row>
    <row r="2015">
      <c r="A2015" s="1"/>
      <c r="B2015" s="3" t="str">
        <f>IFERROR(__xludf.DUMMYFUNCTION("""COMPUTED_VALUE"""),"HENDRI PUTRA WAHYUDIN")</f>
        <v>HENDRI PUTRA WAHYUDIN</v>
      </c>
      <c r="C2015" s="3" t="str">
        <f>IFERROR(__xludf.DUMMYFUNCTION("""COMPUTED_VALUE"""),"H8625015566")</f>
        <v>H8625015566</v>
      </c>
      <c r="D2015" s="3">
        <f>IFERROR(__xludf.DUMMYFUNCTION("""COMPUTED_VALUE"""),40.0)</f>
        <v>40</v>
      </c>
      <c r="E2015" s="1"/>
    </row>
    <row r="2016">
      <c r="A2016" s="1"/>
      <c r="B2016" s="3" t="str">
        <f>IFERROR(__xludf.DUMMYFUNCTION("""COMPUTED_VALUE"""),"REI KHALFANI")</f>
        <v>REI KHALFANI</v>
      </c>
      <c r="C2016" s="3" t="str">
        <f>IFERROR(__xludf.DUMMYFUNCTION("""COMPUTED_VALUE"""),"R1125017999")</f>
        <v>R1125017999</v>
      </c>
      <c r="D2016" s="3">
        <f>IFERROR(__xludf.DUMMYFUNCTION("""COMPUTED_VALUE"""),14.0)</f>
        <v>14</v>
      </c>
      <c r="E2016" s="1"/>
    </row>
    <row r="2017">
      <c r="A2017" s="1"/>
      <c r="B2017" s="3" t="str">
        <f>IFERROR(__xludf.DUMMYFUNCTION("""COMPUTED_VALUE"""),"SRI SAMARIAH")</f>
        <v>SRI SAMARIAH</v>
      </c>
      <c r="C2017" s="3" t="str">
        <f>IFERROR(__xludf.DUMMYFUNCTION("""COMPUTED_VALUE"""),"S8325012483")</f>
        <v>S8325012483</v>
      </c>
      <c r="D2017" s="3">
        <f>IFERROR(__xludf.DUMMYFUNCTION("""COMPUTED_VALUE"""),43.0)</f>
        <v>43</v>
      </c>
      <c r="E2017" s="1"/>
    </row>
    <row r="2018">
      <c r="A2018" s="1"/>
      <c r="B2018" s="3" t="str">
        <f>IFERROR(__xludf.DUMMYFUNCTION("""COMPUTED_VALUE"""),"RIZKY FAJARIANI")</f>
        <v>RIZKY FAJARIANI</v>
      </c>
      <c r="C2018" s="3" t="str">
        <f>IFERROR(__xludf.DUMMYFUNCTION("""COMPUTED_VALUE"""),"R9325010511")</f>
        <v>R9325010511</v>
      </c>
      <c r="D2018" s="3">
        <f>IFERROR(__xludf.DUMMYFUNCTION("""COMPUTED_VALUE"""),32.0)</f>
        <v>32</v>
      </c>
      <c r="E2018" s="1"/>
    </row>
    <row r="2019">
      <c r="A2019" s="1"/>
      <c r="B2019" s="3" t="str">
        <f>IFERROR(__xludf.DUMMYFUNCTION("""COMPUTED_VALUE"""),"NURJAYA")</f>
        <v>NURJAYA</v>
      </c>
      <c r="C2019" s="3" t="str">
        <f>IFERROR(__xludf.DUMMYFUNCTION("""COMPUTED_VALUE"""),"N6925011616")</f>
        <v>N6925011616</v>
      </c>
      <c r="D2019" s="3">
        <f>IFERROR(__xludf.DUMMYFUNCTION("""COMPUTED_VALUE"""),57.0)</f>
        <v>57</v>
      </c>
      <c r="E2019" s="1"/>
    </row>
    <row r="2020">
      <c r="A2020" s="1"/>
      <c r="B2020" s="3" t="str">
        <f>IFERROR(__xludf.DUMMYFUNCTION("""COMPUTED_VALUE"""),"MUHAMMAD DZADISSAKHA ATHAR")</f>
        <v>MUHAMMAD DZADISSAKHA ATHAR</v>
      </c>
      <c r="C2020" s="3" t="str">
        <f>IFERROR(__xludf.DUMMYFUNCTION("""COMPUTED_VALUE"""),"M0625018788")</f>
        <v>M0625018788</v>
      </c>
      <c r="D2020" s="3">
        <f>IFERROR(__xludf.DUMMYFUNCTION("""COMPUTED_VALUE"""),19.0)</f>
        <v>19</v>
      </c>
      <c r="E2020" s="1"/>
    </row>
    <row r="2021">
      <c r="A2021" s="1"/>
      <c r="B2021" s="3" t="str">
        <f>IFERROR(__xludf.DUMMYFUNCTION("""COMPUTED_VALUE"""),"BENNY SEPTIYADI")</f>
        <v>BENNY SEPTIYADI</v>
      </c>
      <c r="C2021" s="3" t="str">
        <f>IFERROR(__xludf.DUMMYFUNCTION("""COMPUTED_VALUE"""),"B8625014446")</f>
        <v>B8625014446</v>
      </c>
      <c r="D2021" s="3">
        <f>IFERROR(__xludf.DUMMYFUNCTION("""COMPUTED_VALUE"""),39.0)</f>
        <v>39</v>
      </c>
      <c r="E2021" s="1"/>
    </row>
    <row r="2022">
      <c r="A2022" s="1"/>
      <c r="B2022" s="3" t="str">
        <f>IFERROR(__xludf.DUMMYFUNCTION("""COMPUTED_VALUE"""),"RAISULI")</f>
        <v>RAISULI</v>
      </c>
      <c r="C2022" s="3" t="str">
        <f>IFERROR(__xludf.DUMMYFUNCTION("""COMPUTED_VALUE"""),"R8325017271")</f>
        <v>R8325017271</v>
      </c>
      <c r="D2022" s="3">
        <f>IFERROR(__xludf.DUMMYFUNCTION("""COMPUTED_VALUE"""),42.0)</f>
        <v>42</v>
      </c>
      <c r="E2022" s="1"/>
    </row>
    <row r="2023">
      <c r="A2023" s="1"/>
      <c r="B2023" s="3" t="str">
        <f>IFERROR(__xludf.DUMMYFUNCTION("""COMPUTED_VALUE"""),"M RAFIF ALVIRDANI PUTRA SAHERMAN")</f>
        <v>M RAFIF ALVIRDANI PUTRA SAHERMAN</v>
      </c>
      <c r="C2023" s="3" t="str">
        <f>IFERROR(__xludf.DUMMYFUNCTION("""COMPUTED_VALUE"""),"M0525017055")</f>
        <v>M0525017055</v>
      </c>
      <c r="D2023" s="3">
        <f>IFERROR(__xludf.DUMMYFUNCTION("""COMPUTED_VALUE"""),20.0)</f>
        <v>20</v>
      </c>
      <c r="E2023" s="1"/>
    </row>
    <row r="2024">
      <c r="A2024" s="1"/>
      <c r="B2024" s="3" t="str">
        <f>IFERROR(__xludf.DUMMYFUNCTION("""COMPUTED_VALUE"""),"EKA FRANSISKA")</f>
        <v>EKA FRANSISKA</v>
      </c>
      <c r="C2024" s="3" t="str">
        <f>IFERROR(__xludf.DUMMYFUNCTION("""COMPUTED_VALUE"""),"E7025015900")</f>
        <v>E7025015900</v>
      </c>
      <c r="D2024" s="3">
        <f>IFERROR(__xludf.DUMMYFUNCTION("""COMPUTED_VALUE"""),55.0)</f>
        <v>55</v>
      </c>
      <c r="E2024" s="1"/>
    </row>
    <row r="2025">
      <c r="A2025" s="1"/>
      <c r="B2025" s="3" t="str">
        <f>IFERROR(__xludf.DUMMYFUNCTION("""COMPUTED_VALUE"""),"AGNES BRIGITHA YOLANDA")</f>
        <v>AGNES BRIGITHA YOLANDA</v>
      </c>
      <c r="C2025" s="3" t="str">
        <f>IFERROR(__xludf.DUMMYFUNCTION("""COMPUTED_VALUE"""),"A8725010431")</f>
        <v>A8725010431</v>
      </c>
      <c r="D2025" s="3">
        <f>IFERROR(__xludf.DUMMYFUNCTION("""COMPUTED_VALUE"""),38.0)</f>
        <v>38</v>
      </c>
      <c r="E2025" s="1"/>
    </row>
    <row r="2026">
      <c r="A2026" s="1"/>
      <c r="B2026" s="3" t="str">
        <f>IFERROR(__xludf.DUMMYFUNCTION("""COMPUTED_VALUE"""),"MUHAMMAD ALIF NABIL MUTAWAKKIL")</f>
        <v>MUHAMMAD ALIF NABIL MUTAWAKKIL</v>
      </c>
      <c r="C2026" s="3" t="str">
        <f>IFERROR(__xludf.DUMMYFUNCTION("""COMPUTED_VALUE"""),"M0725011810")</f>
        <v>M0725011810</v>
      </c>
      <c r="D2026" s="3">
        <f>IFERROR(__xludf.DUMMYFUNCTION("""COMPUTED_VALUE"""),18.0)</f>
        <v>18</v>
      </c>
      <c r="E2026" s="1"/>
    </row>
    <row r="2027">
      <c r="A2027" s="1"/>
      <c r="B2027" s="3" t="str">
        <f>IFERROR(__xludf.DUMMYFUNCTION("""COMPUTED_VALUE"""),"ACHMAD SYABID")</f>
        <v>ACHMAD SYABID</v>
      </c>
      <c r="C2027" s="3" t="str">
        <f>IFERROR(__xludf.DUMMYFUNCTION("""COMPUTED_VALUE"""),"A0225018552")</f>
        <v>A0225018552</v>
      </c>
      <c r="D2027" s="3">
        <f>IFERROR(__xludf.DUMMYFUNCTION("""COMPUTED_VALUE"""),24.0)</f>
        <v>24</v>
      </c>
      <c r="E2027" s="1"/>
    </row>
    <row r="2028">
      <c r="A2028" s="1"/>
      <c r="B2028" s="3" t="str">
        <f>IFERROR(__xludf.DUMMYFUNCTION("""COMPUTED_VALUE"""),"AMELIA")</f>
        <v>AMELIA</v>
      </c>
      <c r="C2028" s="3" t="str">
        <f>IFERROR(__xludf.DUMMYFUNCTION("""COMPUTED_VALUE"""),"A9025017002")</f>
        <v>A9025017002</v>
      </c>
      <c r="D2028" s="3">
        <f>IFERROR(__xludf.DUMMYFUNCTION("""COMPUTED_VALUE"""),36.0)</f>
        <v>36</v>
      </c>
      <c r="E2028" s="1"/>
    </row>
    <row r="2029">
      <c r="A2029" s="1"/>
      <c r="B2029" s="3" t="str">
        <f>IFERROR(__xludf.DUMMYFUNCTION("""COMPUTED_VALUE"""),"RETNO AYU WINDIATI KARTIKA")</f>
        <v>RETNO AYU WINDIATI KARTIKA</v>
      </c>
      <c r="C2029" s="3" t="str">
        <f>IFERROR(__xludf.DUMMYFUNCTION("""COMPUTED_VALUE"""),"R7825017858")</f>
        <v>R7825017858</v>
      </c>
      <c r="D2029" s="3">
        <f>IFERROR(__xludf.DUMMYFUNCTION("""COMPUTED_VALUE"""),47.0)</f>
        <v>47</v>
      </c>
      <c r="E2029" s="1"/>
    </row>
    <row r="2030">
      <c r="A2030" s="1"/>
      <c r="B2030" s="3" t="str">
        <f>IFERROR(__xludf.DUMMYFUNCTION("""COMPUTED_VALUE"""),"DWI HELIASTUTI")</f>
        <v>DWI HELIASTUTI</v>
      </c>
      <c r="C2030" s="3" t="str">
        <f>IFERROR(__xludf.DUMMYFUNCTION("""COMPUTED_VALUE"""),"D8025010077")</f>
        <v>D8025010077</v>
      </c>
      <c r="D2030" s="3">
        <f>IFERROR(__xludf.DUMMYFUNCTION("""COMPUTED_VALUE"""),46.0)</f>
        <v>46</v>
      </c>
      <c r="E2030" s="1"/>
    </row>
    <row r="2031">
      <c r="A2031" s="1"/>
      <c r="B2031" s="3" t="str">
        <f>IFERROR(__xludf.DUMMYFUNCTION("""COMPUTED_VALUE"""),"DAHLAN")</f>
        <v>DAHLAN</v>
      </c>
      <c r="C2031" s="3" t="str">
        <f>IFERROR(__xludf.DUMMYFUNCTION("""COMPUTED_VALUE"""),"D9025019992")</f>
        <v>D9025019992</v>
      </c>
      <c r="D2031" s="3">
        <f>IFERROR(__xludf.DUMMYFUNCTION("""COMPUTED_VALUE"""),36.0)</f>
        <v>36</v>
      </c>
      <c r="E2031" s="1"/>
    </row>
    <row r="2032">
      <c r="A2032" s="1"/>
      <c r="B2032" s="3" t="str">
        <f>IFERROR(__xludf.DUMMYFUNCTION("""COMPUTED_VALUE"""),"SHAFIRA ANNISA")</f>
        <v>SHAFIRA ANNISA</v>
      </c>
      <c r="C2032" s="3" t="str">
        <f>IFERROR(__xludf.DUMMYFUNCTION("""COMPUTED_VALUE"""),"S9725018060")</f>
        <v>S9725018060</v>
      </c>
      <c r="D2032" s="3">
        <f>IFERROR(__xludf.DUMMYFUNCTION("""COMPUTED_VALUE"""),28.0)</f>
        <v>28</v>
      </c>
      <c r="E2032" s="1"/>
    </row>
    <row r="2033">
      <c r="A2033" s="1"/>
      <c r="B2033" s="3" t="str">
        <f>IFERROR(__xludf.DUMMYFUNCTION("""COMPUTED_VALUE"""),"BULDANI")</f>
        <v>BULDANI</v>
      </c>
      <c r="C2033" s="3" t="str">
        <f>IFERROR(__xludf.DUMMYFUNCTION("""COMPUTED_VALUE"""),"B6325013230")</f>
        <v>B6325013230</v>
      </c>
      <c r="D2033" s="3">
        <f>IFERROR(__xludf.DUMMYFUNCTION("""COMPUTED_VALUE"""),62.0)</f>
        <v>62</v>
      </c>
      <c r="E2033" s="1"/>
    </row>
    <row r="2034">
      <c r="A2034" s="1"/>
      <c r="B2034" s="3" t="str">
        <f>IFERROR(__xludf.DUMMYFUNCTION("""COMPUTED_VALUE"""),"NINA RICI")</f>
        <v>NINA RICI</v>
      </c>
      <c r="C2034" s="3" t="str">
        <f>IFERROR(__xludf.DUMMYFUNCTION("""COMPUTED_VALUE"""),"N8925012433")</f>
        <v>N8925012433</v>
      </c>
      <c r="D2034" s="3">
        <f>IFERROR(__xludf.DUMMYFUNCTION("""COMPUTED_VALUE"""),37.0)</f>
        <v>37</v>
      </c>
      <c r="E2034" s="1"/>
    </row>
    <row r="2035">
      <c r="A2035" s="1"/>
      <c r="B2035" s="3" t="str">
        <f>IFERROR(__xludf.DUMMYFUNCTION("""COMPUTED_VALUE"""),"ASWAN HADI")</f>
        <v>ASWAN HADI</v>
      </c>
      <c r="C2035" s="3" t="str">
        <f>IFERROR(__xludf.DUMMYFUNCTION("""COMPUTED_VALUE"""),"A6225010146")</f>
        <v>A6225010146</v>
      </c>
      <c r="D2035" s="3">
        <f>IFERROR(__xludf.DUMMYFUNCTION("""COMPUTED_VALUE"""),64.0)</f>
        <v>64</v>
      </c>
      <c r="E2035" s="1"/>
    </row>
    <row r="2036">
      <c r="A2036" s="1"/>
      <c r="B2036" s="3" t="str">
        <f>IFERROR(__xludf.DUMMYFUNCTION("""COMPUTED_VALUE"""),"HAMDAN IDRIS")</f>
        <v>HAMDAN IDRIS</v>
      </c>
      <c r="C2036" s="3" t="str">
        <f>IFERROR(__xludf.DUMMYFUNCTION("""COMPUTED_VALUE"""),"H5325012017")</f>
        <v>H5325012017</v>
      </c>
      <c r="D2036" s="3">
        <f>IFERROR(__xludf.DUMMYFUNCTION("""COMPUTED_VALUE"""),72.0)</f>
        <v>72</v>
      </c>
      <c r="E2036" s="1"/>
    </row>
    <row r="2037">
      <c r="A2037" s="1"/>
      <c r="B2037" s="3" t="str">
        <f>IFERROR(__xludf.DUMMYFUNCTION("""COMPUTED_VALUE"""),"DEVINA KARINA")</f>
        <v>DEVINA KARINA</v>
      </c>
      <c r="C2037" s="3" t="str">
        <f>IFERROR(__xludf.DUMMYFUNCTION("""COMPUTED_VALUE"""),"D9225016767")</f>
        <v>D9225016767</v>
      </c>
      <c r="D2037" s="3">
        <f>IFERROR(__xludf.DUMMYFUNCTION("""COMPUTED_VALUE"""),34.0)</f>
        <v>34</v>
      </c>
      <c r="E2037" s="1"/>
    </row>
    <row r="2038">
      <c r="A2038" s="1"/>
      <c r="B2038" s="3" t="str">
        <f>IFERROR(__xludf.DUMMYFUNCTION("""COMPUTED_VALUE"""),"RICARDO MARGA CIPTA")</f>
        <v>RICARDO MARGA CIPTA</v>
      </c>
      <c r="C2038" s="3" t="str">
        <f>IFERROR(__xludf.DUMMYFUNCTION("""COMPUTED_VALUE"""),"R0025016071")</f>
        <v>R0025016071</v>
      </c>
      <c r="D2038" s="3">
        <f>IFERROR(__xludf.DUMMYFUNCTION("""COMPUTED_VALUE"""),25.0)</f>
        <v>25</v>
      </c>
      <c r="E2038" s="1"/>
    </row>
    <row r="2039">
      <c r="A2039" s="1"/>
      <c r="B2039" s="3" t="str">
        <f>IFERROR(__xludf.DUMMYFUNCTION("""COMPUTED_VALUE"""),"HENDRO 89")</f>
        <v>HENDRO 89</v>
      </c>
      <c r="C2039" s="3" t="str">
        <f>IFERROR(__xludf.DUMMYFUNCTION("""COMPUTED_VALUE"""),"H8925014479")</f>
        <v>H8925014479</v>
      </c>
      <c r="D2039" s="3">
        <f>IFERROR(__xludf.DUMMYFUNCTION("""COMPUTED_VALUE"""),36.0)</f>
        <v>36</v>
      </c>
      <c r="E2039" s="1"/>
    </row>
    <row r="2040">
      <c r="A2040" s="1"/>
      <c r="B2040" s="3" t="str">
        <f>IFERROR(__xludf.DUMMYFUNCTION("""COMPUTED_VALUE"""),"NURHAYATI (IBU BANG EDO)")</f>
        <v>NURHAYATI (IBU BANG EDO)</v>
      </c>
      <c r="C2040" s="3" t="str">
        <f>IFERROR(__xludf.DUMMYFUNCTION("""COMPUTED_VALUE"""),"N992501")</f>
        <v>N992501</v>
      </c>
      <c r="D2040" s="3" t="str">
        <f>IFERROR(__xludf.DUMMYFUNCTION("""COMPUTED_VALUE"""),"")</f>
        <v/>
      </c>
      <c r="E2040" s="1"/>
    </row>
    <row r="2041">
      <c r="A2041" s="1"/>
      <c r="B2041" s="3" t="str">
        <f>IFERROR(__xludf.DUMMYFUNCTION("""COMPUTED_VALUE"""),"MADI")</f>
        <v>MADI</v>
      </c>
      <c r="C2041" s="3" t="str">
        <f>IFERROR(__xludf.DUMMYFUNCTION("""COMPUTED_VALUE"""),"M6225018585")</f>
        <v>M6225018585</v>
      </c>
      <c r="D2041" s="3">
        <f>IFERROR(__xludf.DUMMYFUNCTION("""COMPUTED_VALUE"""),63.0)</f>
        <v>63</v>
      </c>
      <c r="E2041" s="1"/>
    </row>
    <row r="2042">
      <c r="A2042" s="1"/>
      <c r="B2042" s="3" t="str">
        <f>IFERROR(__xludf.DUMMYFUNCTION("""COMPUTED_VALUE"""),"MITCHELL VALERI FREDI")</f>
        <v>MITCHELL VALERI FREDI</v>
      </c>
      <c r="C2042" s="3" t="str">
        <f>IFERROR(__xludf.DUMMYFUNCTION("""COMPUTED_VALUE"""),"M0125016471")</f>
        <v>M0125016471</v>
      </c>
      <c r="D2042" s="3">
        <f>IFERROR(__xludf.DUMMYFUNCTION("""COMPUTED_VALUE"""),24.0)</f>
        <v>24</v>
      </c>
      <c r="E2042" s="1"/>
    </row>
    <row r="2043">
      <c r="A2043" s="1"/>
      <c r="B2043" s="3" t="str">
        <f>IFERROR(__xludf.DUMMYFUNCTION("""COMPUTED_VALUE"""),"YANTI WIDIANTARI")</f>
        <v>YANTI WIDIANTARI</v>
      </c>
      <c r="C2043" s="3" t="str">
        <f>IFERROR(__xludf.DUMMYFUNCTION("""COMPUTED_VALUE"""),"Y9425016690")</f>
        <v>Y9425016690</v>
      </c>
      <c r="D2043" s="3">
        <f>IFERROR(__xludf.DUMMYFUNCTION("""COMPUTED_VALUE"""),31.0)</f>
        <v>31</v>
      </c>
      <c r="E2043" s="1"/>
    </row>
    <row r="2044">
      <c r="A2044" s="1"/>
      <c r="B2044" s="3" t="str">
        <f>IFERROR(__xludf.DUMMYFUNCTION("""COMPUTED_VALUE"""),"DARLIANA")</f>
        <v>DARLIANA</v>
      </c>
      <c r="C2044" s="3" t="str">
        <f>IFERROR(__xludf.DUMMYFUNCTION("""COMPUTED_VALUE"""),"D6125012817")</f>
        <v>D6125012817</v>
      </c>
      <c r="D2044" s="3">
        <f>IFERROR(__xludf.DUMMYFUNCTION("""COMPUTED_VALUE"""),64.0)</f>
        <v>64</v>
      </c>
      <c r="E2044" s="1"/>
    </row>
    <row r="2045">
      <c r="A2045" s="1"/>
      <c r="B2045" s="3" t="str">
        <f>IFERROR(__xludf.DUMMYFUNCTION("""COMPUTED_VALUE"""),"GUSTI MUHAMMAD PUTRA AKBAR")</f>
        <v>GUSTI MUHAMMAD PUTRA AKBAR</v>
      </c>
      <c r="C2045" s="3" t="str">
        <f>IFERROR(__xludf.DUMMYFUNCTION("""COMPUTED_VALUE"""),"G0525019090")</f>
        <v>G0525019090</v>
      </c>
      <c r="D2045" s="3">
        <f>IFERROR(__xludf.DUMMYFUNCTION("""COMPUTED_VALUE"""),20.0)</f>
        <v>20</v>
      </c>
      <c r="E2045" s="1"/>
    </row>
    <row r="2046">
      <c r="A2046" s="1"/>
      <c r="B2046" s="3" t="str">
        <f>IFERROR(__xludf.DUMMYFUNCTION("""COMPUTED_VALUE"""),"RUMINAH")</f>
        <v>RUMINAH</v>
      </c>
      <c r="C2046" s="3" t="str">
        <f>IFERROR(__xludf.DUMMYFUNCTION("""COMPUTED_VALUE"""),"R5825012760")</f>
        <v>R5825012760</v>
      </c>
      <c r="D2046" s="3">
        <f>IFERROR(__xludf.DUMMYFUNCTION("""COMPUTED_VALUE"""),68.0)</f>
        <v>68</v>
      </c>
      <c r="E2046" s="1"/>
    </row>
    <row r="2047">
      <c r="A2047" s="1"/>
      <c r="B2047" s="3" t="str">
        <f>IFERROR(__xludf.DUMMYFUNCTION("""COMPUTED_VALUE"""),"FESTI RITA HANDINI")</f>
        <v>FESTI RITA HANDINI</v>
      </c>
      <c r="C2047" s="3" t="str">
        <f>IFERROR(__xludf.DUMMYFUNCTION("""COMPUTED_VALUE"""),"F6425014764")</f>
        <v>F6425014764</v>
      </c>
      <c r="D2047" s="3">
        <f>IFERROR(__xludf.DUMMYFUNCTION("""COMPUTED_VALUE"""),62.0)</f>
        <v>62</v>
      </c>
      <c r="E2047" s="1"/>
    </row>
    <row r="2048">
      <c r="A2048" s="1"/>
      <c r="B2048" s="3" t="str">
        <f>IFERROR(__xludf.DUMMYFUNCTION("""COMPUTED_VALUE"""),"FIDYA")</f>
        <v>FIDYA</v>
      </c>
      <c r="C2048" s="3" t="str">
        <f>IFERROR(__xludf.DUMMYFUNCTION("""COMPUTED_VALUE"""),"F7325011413")</f>
        <v>F7325011413</v>
      </c>
      <c r="D2048" s="3">
        <f>IFERROR(__xludf.DUMMYFUNCTION("""COMPUTED_VALUE"""),52.0)</f>
        <v>52</v>
      </c>
      <c r="E2048" s="1"/>
    </row>
    <row r="2049">
      <c r="A2049" s="1"/>
      <c r="B2049" s="3" t="str">
        <f>IFERROR(__xludf.DUMMYFUNCTION("""COMPUTED_VALUE"""),"BAYU AGIL SAMPURNO")</f>
        <v>BAYU AGIL SAMPURNO</v>
      </c>
      <c r="C2049" s="3" t="str">
        <f>IFERROR(__xludf.DUMMYFUNCTION("""COMPUTED_VALUE"""),"B0525015519")</f>
        <v>B0525015519</v>
      </c>
      <c r="D2049" s="3">
        <f>IFERROR(__xludf.DUMMYFUNCTION("""COMPUTED_VALUE"""),20.0)</f>
        <v>20</v>
      </c>
      <c r="E2049" s="1"/>
    </row>
    <row r="2050">
      <c r="A2050" s="1"/>
      <c r="B2050" s="3" t="str">
        <f>IFERROR(__xludf.DUMMYFUNCTION("""COMPUTED_VALUE"""),"HENGKY HERAWAN")</f>
        <v>HENGKY HERAWAN</v>
      </c>
      <c r="C2050" s="3" t="str">
        <f>IFERROR(__xludf.DUMMYFUNCTION("""COMPUTED_VALUE"""),"H7325013959")</f>
        <v>H7325013959</v>
      </c>
      <c r="D2050" s="3">
        <f>IFERROR(__xludf.DUMMYFUNCTION("""COMPUTED_VALUE"""),52.0)</f>
        <v>52</v>
      </c>
      <c r="E2050" s="1"/>
    </row>
    <row r="2051">
      <c r="A2051" s="1"/>
      <c r="B2051" s="3" t="str">
        <f>IFERROR(__xludf.DUMMYFUNCTION("""COMPUTED_VALUE"""),"MUHAMAD FIRDAUS")</f>
        <v>MUHAMAD FIRDAUS</v>
      </c>
      <c r="C2051" s="3" t="str">
        <f>IFERROR(__xludf.DUMMYFUNCTION("""COMPUTED_VALUE"""),"M8125018018")</f>
        <v>M8125018018</v>
      </c>
      <c r="D2051" s="3">
        <f>IFERROR(__xludf.DUMMYFUNCTION("""COMPUTED_VALUE"""),44.0)</f>
        <v>44</v>
      </c>
      <c r="E2051" s="1"/>
    </row>
    <row r="2052">
      <c r="A2052" s="1"/>
      <c r="B2052" s="3" t="str">
        <f>IFERROR(__xludf.DUMMYFUNCTION("""COMPUTED_VALUE"""),"CHANG SIN KOR")</f>
        <v>CHANG SIN KOR</v>
      </c>
      <c r="C2052" s="3" t="str">
        <f>IFERROR(__xludf.DUMMYFUNCTION("""COMPUTED_VALUE"""),"C9025010990")</f>
        <v>C9025010990</v>
      </c>
      <c r="D2052" s="3">
        <f>IFERROR(__xludf.DUMMYFUNCTION("""COMPUTED_VALUE"""),35.0)</f>
        <v>35</v>
      </c>
      <c r="E2052" s="1"/>
    </row>
    <row r="2053">
      <c r="A2053" s="1"/>
      <c r="B2053" s="3" t="str">
        <f>IFERROR(__xludf.DUMMYFUNCTION("""COMPUTED_VALUE"""),"MUHAMMAD FIKAR KHADAFI")</f>
        <v>MUHAMMAD FIKAR KHADAFI</v>
      </c>
      <c r="C2053" s="3" t="str">
        <f>IFERROR(__xludf.DUMMYFUNCTION("""COMPUTED_VALUE"""),"M0125019008")</f>
        <v>M0125019008</v>
      </c>
      <c r="D2053" s="3">
        <f>IFERROR(__xludf.DUMMYFUNCTION("""COMPUTED_VALUE"""),25.0)</f>
        <v>25</v>
      </c>
      <c r="E2053" s="1"/>
    </row>
    <row r="2054">
      <c r="A2054" s="1"/>
      <c r="B2054" s="3" t="str">
        <f>IFERROR(__xludf.DUMMYFUNCTION("""COMPUTED_VALUE"""),"KRESNA K")</f>
        <v>KRESNA K</v>
      </c>
      <c r="C2054" s="3" t="str">
        <f>IFERROR(__xludf.DUMMYFUNCTION("""COMPUTED_VALUE"""),"K9525013702")</f>
        <v>K9525013702</v>
      </c>
      <c r="D2054" s="3">
        <f>IFERROR(__xludf.DUMMYFUNCTION("""COMPUTED_VALUE"""),31.0)</f>
        <v>31</v>
      </c>
      <c r="E2054" s="1"/>
    </row>
    <row r="2055">
      <c r="A2055" s="1"/>
      <c r="B2055" s="3" t="str">
        <f>IFERROR(__xludf.DUMMYFUNCTION("""COMPUTED_VALUE"""),"H. SITORUS")</f>
        <v>H. SITORUS</v>
      </c>
      <c r="C2055" s="3" t="str">
        <f>IFERROR(__xludf.DUMMYFUNCTION("""COMPUTED_VALUE"""),"H3825015858")</f>
        <v>H3825015858</v>
      </c>
      <c r="D2055" s="3">
        <f>IFERROR(__xludf.DUMMYFUNCTION("""COMPUTED_VALUE"""),87.0)</f>
        <v>87</v>
      </c>
      <c r="E2055" s="1"/>
    </row>
    <row r="2056">
      <c r="A2056" s="1"/>
      <c r="B2056" s="3" t="str">
        <f>IFERROR(__xludf.DUMMYFUNCTION("""COMPUTED_VALUE"""),"LENA8403")</f>
        <v>LENA8403</v>
      </c>
      <c r="C2056" s="3" t="str">
        <f>IFERROR(__xludf.DUMMYFUNCTION("""COMPUTED_VALUE"""),"L8425016424")</f>
        <v>L8425016424</v>
      </c>
      <c r="D2056" s="3">
        <f>IFERROR(__xludf.DUMMYFUNCTION("""COMPUTED_VALUE"""),42.0)</f>
        <v>42</v>
      </c>
      <c r="E2056" s="1"/>
    </row>
    <row r="2057">
      <c r="A2057" s="1"/>
      <c r="B2057" s="3" t="str">
        <f>IFERROR(__xludf.DUMMYFUNCTION("""COMPUTED_VALUE"""),"KARJANA")</f>
        <v>KARJANA</v>
      </c>
      <c r="C2057" s="3" t="str">
        <f>IFERROR(__xludf.DUMMYFUNCTION("""COMPUTED_VALUE"""),"K6225014184")</f>
        <v>K6225014184</v>
      </c>
      <c r="D2057" s="3">
        <f>IFERROR(__xludf.DUMMYFUNCTION("""COMPUTED_VALUE"""),63.0)</f>
        <v>63</v>
      </c>
      <c r="E2057" s="1"/>
    </row>
    <row r="2058">
      <c r="A2058" s="1"/>
      <c r="B2058" s="3" t="str">
        <f>IFERROR(__xludf.DUMMYFUNCTION("""COMPUTED_VALUE"""),"RAHMAD")</f>
        <v>RAHMAD</v>
      </c>
      <c r="C2058" s="3" t="str">
        <f>IFERROR(__xludf.DUMMYFUNCTION("""COMPUTED_VALUE"""),"R6825015274")</f>
        <v>R6825015274</v>
      </c>
      <c r="D2058" s="3">
        <f>IFERROR(__xludf.DUMMYFUNCTION("""COMPUTED_VALUE"""),57.0)</f>
        <v>57</v>
      </c>
      <c r="E2058" s="1"/>
    </row>
    <row r="2059">
      <c r="A2059" s="1"/>
      <c r="B2059" s="3" t="str">
        <f>IFERROR(__xludf.DUMMYFUNCTION("""COMPUTED_VALUE"""),"PRANAYOGA")</f>
        <v>PRANAYOGA</v>
      </c>
      <c r="C2059" s="3" t="str">
        <f>IFERROR(__xludf.DUMMYFUNCTION("""COMPUTED_VALUE"""),"P8425017811")</f>
        <v>P8425017811</v>
      </c>
      <c r="D2059" s="3">
        <f>IFERROR(__xludf.DUMMYFUNCTION("""COMPUTED_VALUE"""),41.0)</f>
        <v>41</v>
      </c>
      <c r="E2059" s="1"/>
    </row>
    <row r="2060">
      <c r="A2060" s="1"/>
      <c r="B2060" s="3" t="str">
        <f>IFERROR(__xludf.DUMMYFUNCTION("""COMPUTED_VALUE"""),"ABDUL MUKTI")</f>
        <v>ABDUL MUKTI</v>
      </c>
      <c r="C2060" s="3" t="str">
        <f>IFERROR(__xludf.DUMMYFUNCTION("""COMPUTED_VALUE"""),"A0425010169")</f>
        <v>A0425010169</v>
      </c>
      <c r="D2060" s="3">
        <f>IFERROR(__xludf.DUMMYFUNCTION("""COMPUTED_VALUE"""),21.0)</f>
        <v>21</v>
      </c>
      <c r="E2060" s="1"/>
    </row>
    <row r="2061">
      <c r="A2061" s="1"/>
      <c r="B2061" s="3" t="str">
        <f>IFERROR(__xludf.DUMMYFUNCTION("""COMPUTED_VALUE"""),"CELLYNE ANDRIANNE")</f>
        <v>CELLYNE ANDRIANNE</v>
      </c>
      <c r="C2061" s="3" t="str">
        <f>IFERROR(__xludf.DUMMYFUNCTION("""COMPUTED_VALUE"""),"C0125019242")</f>
        <v>C0125019242</v>
      </c>
      <c r="D2061" s="3">
        <f>IFERROR(__xludf.DUMMYFUNCTION("""COMPUTED_VALUE"""),25.0)</f>
        <v>25</v>
      </c>
      <c r="E2061" s="1"/>
    </row>
    <row r="2062">
      <c r="A2062" s="1"/>
      <c r="B2062" s="3" t="str">
        <f>IFERROR(__xludf.DUMMYFUNCTION("""COMPUTED_VALUE"""),"KAYLA ANNISA AZZAHRA")</f>
        <v>KAYLA ANNISA AZZAHRA</v>
      </c>
      <c r="C2062" s="3" t="str">
        <f>IFERROR(__xludf.DUMMYFUNCTION("""COMPUTED_VALUE"""),"K0325013403")</f>
        <v>K0325013403</v>
      </c>
      <c r="D2062" s="3">
        <f>IFERROR(__xludf.DUMMYFUNCTION("""COMPUTED_VALUE"""),22.0)</f>
        <v>22</v>
      </c>
      <c r="E2062" s="1"/>
    </row>
    <row r="2063">
      <c r="A2063" s="1"/>
      <c r="B2063" s="3" t="str">
        <f>IFERROR(__xludf.DUMMYFUNCTION("""COMPUTED_VALUE"""),"BAGUS RINO CAHYADI")</f>
        <v>BAGUS RINO CAHYADI</v>
      </c>
      <c r="C2063" s="3" t="str">
        <f>IFERROR(__xludf.DUMMYFUNCTION("""COMPUTED_VALUE"""),"B6925019669")</f>
        <v>B6925019669</v>
      </c>
      <c r="D2063" s="3">
        <f>IFERROR(__xludf.DUMMYFUNCTION("""COMPUTED_VALUE"""),56.0)</f>
        <v>56</v>
      </c>
      <c r="E2063" s="1"/>
    </row>
    <row r="2064">
      <c r="A2064" s="1"/>
      <c r="B2064" s="3" t="str">
        <f>IFERROR(__xludf.DUMMYFUNCTION("""COMPUTED_VALUE"""),"ALBERT NUGRAHA")</f>
        <v>ALBERT NUGRAHA</v>
      </c>
      <c r="C2064" s="3" t="str">
        <f>IFERROR(__xludf.DUMMYFUNCTION("""COMPUTED_VALUE"""),"A8725012348")</f>
        <v>A8725012348</v>
      </c>
      <c r="D2064" s="3">
        <f>IFERROR(__xludf.DUMMYFUNCTION("""COMPUTED_VALUE"""),38.0)</f>
        <v>38</v>
      </c>
      <c r="E2064" s="1"/>
    </row>
    <row r="2065">
      <c r="A2065" s="1"/>
      <c r="B2065" s="3" t="str">
        <f>IFERROR(__xludf.DUMMYFUNCTION("""COMPUTED_VALUE"""),"YULIA PRATIWI")</f>
        <v>YULIA PRATIWI</v>
      </c>
      <c r="C2065" s="3" t="str">
        <f>IFERROR(__xludf.DUMMYFUNCTION("""COMPUTED_VALUE"""),"Y9625019716")</f>
        <v>Y9625019716</v>
      </c>
      <c r="D2065" s="3">
        <f>IFERROR(__xludf.DUMMYFUNCTION("""COMPUTED_VALUE"""),29.0)</f>
        <v>29</v>
      </c>
      <c r="E2065" s="1"/>
    </row>
    <row r="2066">
      <c r="A2066" s="1"/>
      <c r="B2066" s="3" t="str">
        <f>IFERROR(__xludf.DUMMYFUNCTION("""COMPUTED_VALUE"""),"LIAN DAMERO")</f>
        <v>LIAN DAMERO</v>
      </c>
      <c r="C2066" s="3" t="str">
        <f>IFERROR(__xludf.DUMMYFUNCTION("""COMPUTED_VALUE"""),"L9025012644")</f>
        <v>L9025012644</v>
      </c>
      <c r="D2066" s="3">
        <f>IFERROR(__xludf.DUMMYFUNCTION("""COMPUTED_VALUE"""),36.0)</f>
        <v>36</v>
      </c>
      <c r="E2066" s="1"/>
    </row>
    <row r="2067">
      <c r="A2067" s="1"/>
      <c r="B2067" s="3" t="str">
        <f>IFERROR(__xludf.DUMMYFUNCTION("""COMPUTED_VALUE"""),"OMNIAH M. BASRI")</f>
        <v>OMNIAH M. BASRI</v>
      </c>
      <c r="C2067" s="3" t="str">
        <f>IFERROR(__xludf.DUMMYFUNCTION("""COMPUTED_VALUE"""),"O4625012228")</f>
        <v>O4625012228</v>
      </c>
      <c r="D2067" s="3">
        <f>IFERROR(__xludf.DUMMYFUNCTION("""COMPUTED_VALUE"""),79.0)</f>
        <v>79</v>
      </c>
      <c r="E2067" s="1"/>
    </row>
    <row r="2068">
      <c r="A2068" s="1"/>
      <c r="B2068" s="3" t="str">
        <f>IFERROR(__xludf.DUMMYFUNCTION("""COMPUTED_VALUE"""),"ROBBI MUHAMMAD ILHAMI")</f>
        <v>ROBBI MUHAMMAD ILHAMI</v>
      </c>
      <c r="C2068" s="3" t="str">
        <f>IFERROR(__xludf.DUMMYFUNCTION("""COMPUTED_VALUE"""),"R9725012256")</f>
        <v>R9725012256</v>
      </c>
      <c r="D2068" s="3">
        <f>IFERROR(__xludf.DUMMYFUNCTION("""COMPUTED_VALUE"""),28.0)</f>
        <v>28</v>
      </c>
      <c r="E2068" s="1"/>
    </row>
    <row r="2069">
      <c r="A2069" s="1"/>
      <c r="B2069" s="3" t="str">
        <f>IFERROR(__xludf.DUMMYFUNCTION("""COMPUTED_VALUE"""),"ETHAN ORLANDO")</f>
        <v>ETHAN ORLANDO</v>
      </c>
      <c r="C2069" s="3" t="str">
        <f>IFERROR(__xludf.DUMMYFUNCTION("""COMPUTED_VALUE"""),"E1525018209")</f>
        <v>E1525018209</v>
      </c>
      <c r="D2069" s="3">
        <f>IFERROR(__xludf.DUMMYFUNCTION("""COMPUTED_VALUE"""),10.0)</f>
        <v>10</v>
      </c>
      <c r="E2069" s="1"/>
    </row>
    <row r="2070">
      <c r="A2070" s="1"/>
      <c r="B2070" s="3" t="str">
        <f>IFERROR(__xludf.DUMMYFUNCTION("""COMPUTED_VALUE"""),"RERY KURNIAWAN")</f>
        <v>RERY KURNIAWAN</v>
      </c>
      <c r="C2070" s="3" t="str">
        <f>IFERROR(__xludf.DUMMYFUNCTION("""COMPUTED_VALUE"""),"R9425012977")</f>
        <v>R9425012977</v>
      </c>
      <c r="D2070" s="3">
        <f>IFERROR(__xludf.DUMMYFUNCTION("""COMPUTED_VALUE"""),31.0)</f>
        <v>31</v>
      </c>
      <c r="E2070" s="1"/>
    </row>
    <row r="2071">
      <c r="A2071" s="1"/>
      <c r="B2071" s="3" t="str">
        <f>IFERROR(__xludf.DUMMYFUNCTION("""COMPUTED_VALUE"""),"M DZAKI NUR FAKHRI")</f>
        <v>M DZAKI NUR FAKHRI</v>
      </c>
      <c r="C2071" s="3" t="str">
        <f>IFERROR(__xludf.DUMMYFUNCTION("""COMPUTED_VALUE"""),"M0625012662")</f>
        <v>M0625012662</v>
      </c>
      <c r="D2071" s="3">
        <f>IFERROR(__xludf.DUMMYFUNCTION("""COMPUTED_VALUE"""),20.0)</f>
        <v>20</v>
      </c>
      <c r="E2071" s="1"/>
    </row>
    <row r="2072">
      <c r="A2072" s="1"/>
      <c r="B2072" s="3" t="str">
        <f>IFERROR(__xludf.DUMMYFUNCTION("""COMPUTED_VALUE"""),"AYI SEBASTIAN")</f>
        <v>AYI SEBASTIAN</v>
      </c>
      <c r="C2072" s="3" t="str">
        <f>IFERROR(__xludf.DUMMYFUNCTION("""COMPUTED_VALUE"""),"A0025017268")</f>
        <v>A0025017268</v>
      </c>
      <c r="D2072" s="3">
        <f>IFERROR(__xludf.DUMMYFUNCTION("""COMPUTED_VALUE"""),25.0)</f>
        <v>25</v>
      </c>
      <c r="E2072" s="1"/>
    </row>
    <row r="2073">
      <c r="A2073" s="1"/>
      <c r="B2073" s="3" t="str">
        <f>IFERROR(__xludf.DUMMYFUNCTION("""COMPUTED_VALUE"""),"RACHMI WULAN")</f>
        <v>RACHMI WULAN</v>
      </c>
      <c r="C2073" s="3" t="str">
        <f>IFERROR(__xludf.DUMMYFUNCTION("""COMPUTED_VALUE"""),"R9625012853")</f>
        <v>R9625012853</v>
      </c>
      <c r="D2073" s="3">
        <f>IFERROR(__xludf.DUMMYFUNCTION("""COMPUTED_VALUE"""),30.0)</f>
        <v>30</v>
      </c>
      <c r="E2073" s="1"/>
    </row>
    <row r="2074">
      <c r="A2074" s="1"/>
      <c r="B2074" s="3" t="str">
        <f>IFERROR(__xludf.DUMMYFUNCTION("""COMPUTED_VALUE"""),"M.RAFI ALFAID")</f>
        <v>M.RAFI ALFAID</v>
      </c>
      <c r="C2074" s="3" t="str">
        <f>IFERROR(__xludf.DUMMYFUNCTION("""COMPUTED_VALUE"""),"M1425012130")</f>
        <v>M1425012130</v>
      </c>
      <c r="D2074" s="3">
        <f>IFERROR(__xludf.DUMMYFUNCTION("""COMPUTED_VALUE"""),12.0)</f>
        <v>12</v>
      </c>
      <c r="E2074" s="1"/>
    </row>
    <row r="2075">
      <c r="A2075" s="1"/>
      <c r="B2075" s="3" t="str">
        <f>IFERROR(__xludf.DUMMYFUNCTION("""COMPUTED_VALUE"""),"EGI KARYANTO")</f>
        <v>EGI KARYANTO</v>
      </c>
      <c r="C2075" s="3" t="str">
        <f>IFERROR(__xludf.DUMMYFUNCTION("""COMPUTED_VALUE"""),"E9425013599")</f>
        <v>E9425013599</v>
      </c>
      <c r="D2075" s="3">
        <f>IFERROR(__xludf.DUMMYFUNCTION("""COMPUTED_VALUE"""),31.0)</f>
        <v>31</v>
      </c>
      <c r="E2075" s="1"/>
    </row>
    <row r="2076">
      <c r="A2076" s="1"/>
      <c r="B2076" s="3" t="str">
        <f>IFERROR(__xludf.DUMMYFUNCTION("""COMPUTED_VALUE"""),"RYANTO HARTONO")</f>
        <v>RYANTO HARTONO</v>
      </c>
      <c r="C2076" s="3" t="str">
        <f>IFERROR(__xludf.DUMMYFUNCTION("""COMPUTED_VALUE"""),"R9325015851")</f>
        <v>R9325015851</v>
      </c>
      <c r="D2076" s="3">
        <f>IFERROR(__xludf.DUMMYFUNCTION("""COMPUTED_VALUE"""),32.0)</f>
        <v>32</v>
      </c>
      <c r="E2076" s="1"/>
    </row>
    <row r="2077">
      <c r="A2077" s="1"/>
      <c r="B2077" s="3" t="str">
        <f>IFERROR(__xludf.DUMMYFUNCTION("""COMPUTED_VALUE"""),"SITI RUKASIH")</f>
        <v>SITI RUKASIH</v>
      </c>
      <c r="C2077" s="3" t="str">
        <f>IFERROR(__xludf.DUMMYFUNCTION("""COMPUTED_VALUE"""),"S5925017897")</f>
        <v>S5925017897</v>
      </c>
      <c r="D2077" s="3">
        <f>IFERROR(__xludf.DUMMYFUNCTION("""COMPUTED_VALUE"""),67.0)</f>
        <v>67</v>
      </c>
      <c r="E2077" s="1"/>
    </row>
    <row r="2078">
      <c r="A2078" s="1"/>
      <c r="B2078" s="3" t="str">
        <f>IFERROR(__xludf.DUMMYFUNCTION("""COMPUTED_VALUE"""),"AHLUN NAZHA DE'AIRLANGGA")</f>
        <v>AHLUN NAZHA DE'AIRLANGGA</v>
      </c>
      <c r="C2078" s="3" t="str">
        <f>IFERROR(__xludf.DUMMYFUNCTION("""COMPUTED_VALUE"""),"A0225013775")</f>
        <v>A0225013775</v>
      </c>
      <c r="D2078" s="3">
        <f>IFERROR(__xludf.DUMMYFUNCTION("""COMPUTED_VALUE"""),23.0)</f>
        <v>23</v>
      </c>
      <c r="E2078" s="1"/>
    </row>
    <row r="2079">
      <c r="A2079" s="1"/>
      <c r="B2079" s="3" t="str">
        <f>IFERROR(__xludf.DUMMYFUNCTION("""COMPUTED_VALUE"""),"YANTI")</f>
        <v>YANTI</v>
      </c>
      <c r="C2079" s="3" t="str">
        <f>IFERROR(__xludf.DUMMYFUNCTION("""COMPUTED_VALUE"""),"Y6225011402")</f>
        <v>Y6225011402</v>
      </c>
      <c r="D2079" s="3">
        <f>IFERROR(__xludf.DUMMYFUNCTION("""COMPUTED_VALUE"""),64.0)</f>
        <v>64</v>
      </c>
      <c r="E2079" s="1"/>
    </row>
    <row r="2080">
      <c r="A2080" s="1"/>
      <c r="B2080" s="3" t="str">
        <f>IFERROR(__xludf.DUMMYFUNCTION("""COMPUTED_VALUE"""),"SUDIRMAN")</f>
        <v>SUDIRMAN</v>
      </c>
      <c r="C2080" s="3" t="str">
        <f>IFERROR(__xludf.DUMMYFUNCTION("""COMPUTED_VALUE"""),"S8225012500")</f>
        <v>S8225012500</v>
      </c>
      <c r="D2080" s="3">
        <f>IFERROR(__xludf.DUMMYFUNCTION("""COMPUTED_VALUE"""),44.0)</f>
        <v>44</v>
      </c>
      <c r="E2080" s="1"/>
    </row>
    <row r="2081">
      <c r="A2081" s="1"/>
      <c r="B2081" s="3" t="str">
        <f>IFERROR(__xludf.DUMMYFUNCTION("""COMPUTED_VALUE"""),"HARYA PAMUNGKAS")</f>
        <v>HARYA PAMUNGKAS</v>
      </c>
      <c r="C2081" s="3" t="str">
        <f>IFERROR(__xludf.DUMMYFUNCTION("""COMPUTED_VALUE"""),"H9225017791")</f>
        <v>H9225017791</v>
      </c>
      <c r="D2081" s="3">
        <f>IFERROR(__xludf.DUMMYFUNCTION("""COMPUTED_VALUE"""),33.0)</f>
        <v>33</v>
      </c>
      <c r="E2081" s="1"/>
    </row>
    <row r="2082">
      <c r="A2082" s="1"/>
      <c r="B2082" s="3" t="str">
        <f>IFERROR(__xludf.DUMMYFUNCTION("""COMPUTED_VALUE"""),"LOUIS GERALDO LAYARDA")</f>
        <v>LOUIS GERALDO LAYARDA</v>
      </c>
      <c r="C2082" s="3" t="str">
        <f>IFERROR(__xludf.DUMMYFUNCTION("""COMPUTED_VALUE"""),"L0425016507")</f>
        <v>L0425016507</v>
      </c>
      <c r="D2082" s="3">
        <f>IFERROR(__xludf.DUMMYFUNCTION("""COMPUTED_VALUE"""),21.0)</f>
        <v>21</v>
      </c>
      <c r="E2082" s="1"/>
    </row>
    <row r="2083">
      <c r="A2083" s="1"/>
      <c r="B2083" s="3" t="str">
        <f>IFERROR(__xludf.DUMMYFUNCTION("""COMPUTED_VALUE"""),"MUHAMMAD VIKI SYURIANSAH")</f>
        <v>MUHAMMAD VIKI SYURIANSAH</v>
      </c>
      <c r="C2083" s="3" t="str">
        <f>IFERROR(__xludf.DUMMYFUNCTION("""COMPUTED_VALUE"""),"M8625010468")</f>
        <v>M8625010468</v>
      </c>
      <c r="D2083" s="3">
        <f>IFERROR(__xludf.DUMMYFUNCTION("""COMPUTED_VALUE"""),39.0)</f>
        <v>39</v>
      </c>
      <c r="E2083" s="1"/>
    </row>
    <row r="2084">
      <c r="A2084" s="1"/>
      <c r="B2084" s="3" t="str">
        <f>IFERROR(__xludf.DUMMYFUNCTION("""COMPUTED_VALUE"""),"YOGI DANAR KARISMANTO")</f>
        <v>YOGI DANAR KARISMANTO</v>
      </c>
      <c r="C2084" s="3" t="str">
        <f>IFERROR(__xludf.DUMMYFUNCTION("""COMPUTED_VALUE"""),"Y0025018210")</f>
        <v>Y0025018210</v>
      </c>
      <c r="D2084" s="3">
        <f>IFERROR(__xludf.DUMMYFUNCTION("""COMPUTED_VALUE"""),26.0)</f>
        <v>26</v>
      </c>
      <c r="E2084" s="1"/>
    </row>
    <row r="2085">
      <c r="A2085" s="1"/>
      <c r="B2085" s="3" t="str">
        <f>IFERROR(__xludf.DUMMYFUNCTION("""COMPUTED_VALUE"""),"Muhammad Oktafiriandi")</f>
        <v>Muhammad Oktafiriandi</v>
      </c>
      <c r="C2085" s="3" t="str">
        <f>IFERROR(__xludf.DUMMYFUNCTION("""COMPUTED_VALUE"""),"M0425018638")</f>
        <v>M0425018638</v>
      </c>
      <c r="D2085" s="3">
        <f>IFERROR(__xludf.DUMMYFUNCTION("""COMPUTED_VALUE"""),21.0)</f>
        <v>21</v>
      </c>
      <c r="E2085" s="1"/>
    </row>
    <row r="2086">
      <c r="A2086" s="1"/>
      <c r="B2086" s="3" t="str">
        <f>IFERROR(__xludf.DUMMYFUNCTION("""COMPUTED_VALUE"""),"SLAMET")</f>
        <v>SLAMET</v>
      </c>
      <c r="C2086" s="3" t="str">
        <f>IFERROR(__xludf.DUMMYFUNCTION("""COMPUTED_VALUE"""),"S632501")</f>
        <v>S632501</v>
      </c>
      <c r="D2086" s="3">
        <f>IFERROR(__xludf.DUMMYFUNCTION("""COMPUTED_VALUE"""),62.0)</f>
        <v>62</v>
      </c>
      <c r="E2086" s="1"/>
    </row>
    <row r="2087">
      <c r="A2087" s="1"/>
      <c r="B2087" s="3" t="str">
        <f>IFERROR(__xludf.DUMMYFUNCTION("""COMPUTED_VALUE"""),"PHANDYA GRIYA HANDARU")</f>
        <v>PHANDYA GRIYA HANDARU</v>
      </c>
      <c r="C2087" s="3" t="str">
        <f>IFERROR(__xludf.DUMMYFUNCTION("""COMPUTED_VALUE"""),"P0025013445")</f>
        <v>P0025013445</v>
      </c>
      <c r="D2087" s="3">
        <f>IFERROR(__xludf.DUMMYFUNCTION("""COMPUTED_VALUE"""),26.0)</f>
        <v>26</v>
      </c>
      <c r="E2087" s="1"/>
    </row>
    <row r="2088">
      <c r="A2088" s="1"/>
      <c r="B2088" s="3" t="str">
        <f>IFERROR(__xludf.DUMMYFUNCTION("""COMPUTED_VALUE"""),"RICKY ALEXANDER KAM")</f>
        <v>RICKY ALEXANDER KAM</v>
      </c>
      <c r="C2088" s="3" t="str">
        <f>IFERROR(__xludf.DUMMYFUNCTION("""COMPUTED_VALUE"""),"R9425011160")</f>
        <v>R9425011160</v>
      </c>
      <c r="D2088" s="3">
        <f>IFERROR(__xludf.DUMMYFUNCTION("""COMPUTED_VALUE"""),31.0)</f>
        <v>31</v>
      </c>
      <c r="E2088" s="1"/>
    </row>
    <row r="2089">
      <c r="A2089" s="1"/>
      <c r="B2089" s="3" t="str">
        <f>IFERROR(__xludf.DUMMYFUNCTION("""COMPUTED_VALUE"""),"LUCKY ARYA SUMANTRI")</f>
        <v>LUCKY ARYA SUMANTRI</v>
      </c>
      <c r="C2089" s="3" t="str">
        <f>IFERROR(__xludf.DUMMYFUNCTION("""COMPUTED_VALUE"""),"L1725010840")</f>
        <v>L1725010840</v>
      </c>
      <c r="D2089" s="3">
        <f>IFERROR(__xludf.DUMMYFUNCTION("""COMPUTED_VALUE"""),8.0)</f>
        <v>8</v>
      </c>
      <c r="E2089" s="1"/>
    </row>
    <row r="2090">
      <c r="A2090" s="1"/>
      <c r="B2090" s="3" t="str">
        <f>IFERROR(__xludf.DUMMYFUNCTION("""COMPUTED_VALUE"""),"ARY CANDRA")</f>
        <v>ARY CANDRA</v>
      </c>
      <c r="C2090" s="3" t="str">
        <f>IFERROR(__xludf.DUMMYFUNCTION("""COMPUTED_VALUE"""),"A0125012070")</f>
        <v>A0125012070</v>
      </c>
      <c r="D2090" s="3">
        <f>IFERROR(__xludf.DUMMYFUNCTION("""COMPUTED_VALUE"""),25.0)</f>
        <v>25</v>
      </c>
      <c r="E2090" s="1"/>
    </row>
    <row r="2091">
      <c r="A2091" s="1"/>
      <c r="B2091" s="3" t="str">
        <f>IFERROR(__xludf.DUMMYFUNCTION("""COMPUTED_VALUE"""),"FAIZ DHIYAUL HAQ NURMANDA")</f>
        <v>FAIZ DHIYAUL HAQ NURMANDA</v>
      </c>
      <c r="C2091" s="3" t="str">
        <f>IFERROR(__xludf.DUMMYFUNCTION("""COMPUTED_VALUE"""),"F9425010404")</f>
        <v>F9425010404</v>
      </c>
      <c r="D2091" s="3">
        <f>IFERROR(__xludf.DUMMYFUNCTION("""COMPUTED_VALUE"""),31.0)</f>
        <v>31</v>
      </c>
      <c r="E2091" s="1"/>
    </row>
    <row r="2092">
      <c r="A2092" s="1"/>
      <c r="B2092" s="3" t="str">
        <f>IFERROR(__xludf.DUMMYFUNCTION("""COMPUTED_VALUE"""),"YOSEP")</f>
        <v>YOSEP</v>
      </c>
      <c r="C2092" s="3" t="str">
        <f>IFERROR(__xludf.DUMMYFUNCTION("""COMPUTED_VALUE"""),"Y8425016286")</f>
        <v>Y8425016286</v>
      </c>
      <c r="D2092" s="3">
        <f>IFERROR(__xludf.DUMMYFUNCTION("""COMPUTED_VALUE"""),41.0)</f>
        <v>41</v>
      </c>
      <c r="E2092" s="1"/>
    </row>
    <row r="2093">
      <c r="A2093" s="1"/>
      <c r="B2093" s="3" t="str">
        <f>IFERROR(__xludf.DUMMYFUNCTION("""COMPUTED_VALUE"""),"FENY ARYANI")</f>
        <v>FENY ARYANI</v>
      </c>
      <c r="C2093" s="3" t="str">
        <f>IFERROR(__xludf.DUMMYFUNCTION("""COMPUTED_VALUE"""),"F9525010167")</f>
        <v>F9525010167</v>
      </c>
      <c r="D2093" s="3">
        <f>IFERROR(__xludf.DUMMYFUNCTION("""COMPUTED_VALUE"""),31.0)</f>
        <v>31</v>
      </c>
      <c r="E2093" s="1"/>
    </row>
    <row r="2094">
      <c r="A2094" s="1"/>
      <c r="B2094" s="3" t="str">
        <f>IFERROR(__xludf.DUMMYFUNCTION("""COMPUTED_VALUE"""),"RANDY EKO JULIANTO")</f>
        <v>RANDY EKO JULIANTO</v>
      </c>
      <c r="C2094" s="3" t="str">
        <f>IFERROR(__xludf.DUMMYFUNCTION("""COMPUTED_VALUE"""),"R0225015617")</f>
        <v>R0225015617</v>
      </c>
      <c r="D2094" s="3">
        <f>IFERROR(__xludf.DUMMYFUNCTION("""COMPUTED_VALUE"""),23.0)</f>
        <v>23</v>
      </c>
      <c r="E2094" s="1"/>
    </row>
    <row r="2095">
      <c r="A2095" s="1"/>
      <c r="B2095" s="3" t="str">
        <f>IFERROR(__xludf.DUMMYFUNCTION("""COMPUTED_VALUE"""),"ALDI RANDY YUDO")</f>
        <v>ALDI RANDY YUDO</v>
      </c>
      <c r="C2095" s="3" t="str">
        <f>IFERROR(__xludf.DUMMYFUNCTION("""COMPUTED_VALUE"""),"A9225012020")</f>
        <v>A9225012020</v>
      </c>
      <c r="D2095" s="3">
        <f>IFERROR(__xludf.DUMMYFUNCTION("""COMPUTED_VALUE"""),34.0)</f>
        <v>34</v>
      </c>
      <c r="E2095" s="1"/>
    </row>
    <row r="2096">
      <c r="A2096" s="1"/>
      <c r="B2096" s="3" t="str">
        <f>IFERROR(__xludf.DUMMYFUNCTION("""COMPUTED_VALUE"""),"ELI HERLINA")</f>
        <v>ELI HERLINA</v>
      </c>
      <c r="C2096" s="3" t="str">
        <f>IFERROR(__xludf.DUMMYFUNCTION("""COMPUTED_VALUE"""),"E6025018936")</f>
        <v>E6025018936</v>
      </c>
      <c r="D2096" s="3">
        <f>IFERROR(__xludf.DUMMYFUNCTION("""COMPUTED_VALUE"""),66.0)</f>
        <v>66</v>
      </c>
      <c r="E2096" s="1"/>
    </row>
    <row r="2097">
      <c r="A2097" s="1"/>
      <c r="B2097" s="3" t="str">
        <f>IFERROR(__xludf.DUMMYFUNCTION("""COMPUTED_VALUE"""),"YADI RUSTANDI, SH")</f>
        <v>YADI RUSTANDI, SH</v>
      </c>
      <c r="C2097" s="3" t="str">
        <f>IFERROR(__xludf.DUMMYFUNCTION("""COMPUTED_VALUE"""),"Y7525028393")</f>
        <v>Y7525028393</v>
      </c>
      <c r="D2097" s="3">
        <f>IFERROR(__xludf.DUMMYFUNCTION("""COMPUTED_VALUE"""),50.0)</f>
        <v>50</v>
      </c>
      <c r="E2097" s="1"/>
    </row>
    <row r="2098">
      <c r="A2098" s="1"/>
      <c r="B2098" s="3" t="str">
        <f>IFERROR(__xludf.DUMMYFUNCTION("""COMPUTED_VALUE"""),"ADAM SURYA")</f>
        <v>ADAM SURYA</v>
      </c>
      <c r="C2098" s="3" t="str">
        <f>IFERROR(__xludf.DUMMYFUNCTION("""COMPUTED_VALUE"""),"A9825014940")</f>
        <v>A9825014940</v>
      </c>
      <c r="D2098" s="3">
        <f>IFERROR(__xludf.DUMMYFUNCTION("""COMPUTED_VALUE"""),27.0)</f>
        <v>27</v>
      </c>
      <c r="E2098" s="1"/>
    </row>
    <row r="2099">
      <c r="A2099" s="1"/>
      <c r="B2099" s="3" t="str">
        <f>IFERROR(__xludf.DUMMYFUNCTION("""COMPUTED_VALUE"""),"AGUS BUDIARTI")</f>
        <v>AGUS BUDIARTI</v>
      </c>
      <c r="C2099" s="3" t="str">
        <f>IFERROR(__xludf.DUMMYFUNCTION("""COMPUTED_VALUE"""),"A7625011477")</f>
        <v>A7625011477</v>
      </c>
      <c r="D2099" s="3">
        <f>IFERROR(__xludf.DUMMYFUNCTION("""COMPUTED_VALUE"""),49.0)</f>
        <v>49</v>
      </c>
      <c r="E2099" s="1"/>
    </row>
    <row r="2100">
      <c r="A2100" s="1"/>
      <c r="B2100" s="3" t="str">
        <f>IFERROR(__xludf.DUMMYFUNCTION("""COMPUTED_VALUE"""),"ROSSY MARVITA")</f>
        <v>ROSSY MARVITA</v>
      </c>
      <c r="C2100" s="3" t="str">
        <f>IFERROR(__xludf.DUMMYFUNCTION("""COMPUTED_VALUE"""),"R9325015150")</f>
        <v>R9325015150</v>
      </c>
      <c r="D2100" s="3">
        <f>IFERROR(__xludf.DUMMYFUNCTION("""COMPUTED_VALUE"""),33.0)</f>
        <v>33</v>
      </c>
      <c r="E2100" s="1"/>
    </row>
    <row r="2101">
      <c r="A2101" s="1"/>
      <c r="B2101" s="3" t="str">
        <f>IFERROR(__xludf.DUMMYFUNCTION("""COMPUTED_VALUE"""),"ANITA")</f>
        <v>ANITA</v>
      </c>
      <c r="C2101" s="3" t="str">
        <f>IFERROR(__xludf.DUMMYFUNCTION("""COMPUTED_VALUE"""),"A6925019797")</f>
        <v>A6925019797</v>
      </c>
      <c r="D2101" s="3">
        <f>IFERROR(__xludf.DUMMYFUNCTION("""COMPUTED_VALUE"""),56.0)</f>
        <v>56</v>
      </c>
      <c r="E2101" s="1"/>
    </row>
    <row r="2102">
      <c r="A2102" s="1"/>
      <c r="B2102" s="3" t="str">
        <f>IFERROR(__xludf.DUMMYFUNCTION("""COMPUTED_VALUE"""),"NOVA KASIANTO")</f>
        <v>NOVA KASIANTO</v>
      </c>
      <c r="C2102" s="3" t="str">
        <f>IFERROR(__xludf.DUMMYFUNCTION("""COMPUTED_VALUE"""),"N9025011999")</f>
        <v>N9025011999</v>
      </c>
      <c r="D2102" s="3">
        <f>IFERROR(__xludf.DUMMYFUNCTION("""COMPUTED_VALUE"""),35.0)</f>
        <v>35</v>
      </c>
      <c r="E2102" s="1"/>
    </row>
    <row r="2103">
      <c r="A2103" s="1"/>
      <c r="B2103" s="3" t="str">
        <f>IFERROR(__xludf.DUMMYFUNCTION("""COMPUTED_VALUE"""),"SYA'BAN PRATAMA VADLI")</f>
        <v>SYA'BAN PRATAMA VADLI</v>
      </c>
      <c r="C2103" s="3" t="str">
        <f>IFERROR(__xludf.DUMMYFUNCTION("""COMPUTED_VALUE"""),"S9225019677")</f>
        <v>S9225019677</v>
      </c>
      <c r="D2103" s="3">
        <f>IFERROR(__xludf.DUMMYFUNCTION("""COMPUTED_VALUE"""),34.0)</f>
        <v>34</v>
      </c>
      <c r="E2103" s="1"/>
    </row>
    <row r="2104">
      <c r="A2104" s="1"/>
      <c r="B2104" s="3" t="str">
        <f>IFERROR(__xludf.DUMMYFUNCTION("""COMPUTED_VALUE"""),"DIAN NOVITA IRIANI, S.STP")</f>
        <v>DIAN NOVITA IRIANI, S.STP</v>
      </c>
      <c r="C2104" s="3" t="str">
        <f>IFERROR(__xludf.DUMMYFUNCTION("""COMPUTED_VALUE"""),"D8625021898")</f>
        <v>D8625021898</v>
      </c>
      <c r="D2104" s="3">
        <f>IFERROR(__xludf.DUMMYFUNCTION("""COMPUTED_VALUE"""),40.0)</f>
        <v>40</v>
      </c>
      <c r="E2104" s="1"/>
    </row>
    <row r="2105">
      <c r="A2105" s="1"/>
      <c r="B2105" s="3" t="str">
        <f>IFERROR(__xludf.DUMMYFUNCTION("""COMPUTED_VALUE"""),"RADITYA GEMILANG ARYANDA")</f>
        <v>RADITYA GEMILANG ARYANDA</v>
      </c>
      <c r="C2105" s="3" t="str">
        <f>IFERROR(__xludf.DUMMYFUNCTION("""COMPUTED_VALUE"""),"R9125021636")</f>
        <v>R9125021636</v>
      </c>
      <c r="D2105" s="3">
        <f>IFERROR(__xludf.DUMMYFUNCTION("""COMPUTED_VALUE"""),35.0)</f>
        <v>35</v>
      </c>
      <c r="E2105" s="1"/>
    </row>
    <row r="2106">
      <c r="A2106" s="1"/>
      <c r="B2106" s="3" t="str">
        <f>IFERROR(__xludf.DUMMYFUNCTION("""COMPUTED_VALUE"""),"WAHDIYATI")</f>
        <v>WAHDIYATI</v>
      </c>
      <c r="C2106" s="3" t="str">
        <f>IFERROR(__xludf.DUMMYFUNCTION("""COMPUTED_VALUE"""),"W6225027911")</f>
        <v>W6225027911</v>
      </c>
      <c r="D2106" s="3">
        <f>IFERROR(__xludf.DUMMYFUNCTION("""COMPUTED_VALUE"""),64.0)</f>
        <v>64</v>
      </c>
      <c r="E2106" s="1"/>
    </row>
    <row r="2107">
      <c r="A2107" s="1"/>
      <c r="B2107" s="3" t="str">
        <f>IFERROR(__xludf.DUMMYFUNCTION("""COMPUTED_VALUE"""),"RAFFY PRATAMA PUTRA")</f>
        <v>RAFFY PRATAMA PUTRA</v>
      </c>
      <c r="C2107" s="3" t="str">
        <f>IFERROR(__xludf.DUMMYFUNCTION("""COMPUTED_VALUE"""),"R9725029709")</f>
        <v>R9725029709</v>
      </c>
      <c r="D2107" s="3">
        <f>IFERROR(__xludf.DUMMYFUNCTION("""COMPUTED_VALUE"""),28.0)</f>
        <v>28</v>
      </c>
      <c r="E2107" s="1"/>
    </row>
    <row r="2108">
      <c r="A2108" s="1"/>
      <c r="B2108" s="3" t="str">
        <f>IFERROR(__xludf.DUMMYFUNCTION("""COMPUTED_VALUE"""),"SURYA MAULANA TANJUNG")</f>
        <v>SURYA MAULANA TANJUNG</v>
      </c>
      <c r="C2108" s="3" t="str">
        <f>IFERROR(__xludf.DUMMYFUNCTION("""COMPUTED_VALUE"""),"S2525024647")</f>
        <v>S2525024647</v>
      </c>
      <c r="D2108" s="3">
        <f>IFERROR(__xludf.DUMMYFUNCTION("""COMPUTED_VALUE"""),1.0)</f>
        <v>1</v>
      </c>
      <c r="E2108" s="1"/>
    </row>
    <row r="2109">
      <c r="A2109" s="1"/>
      <c r="B2109" s="3" t="str">
        <f>IFERROR(__xludf.DUMMYFUNCTION("""COMPUTED_VALUE"""),"DWI SANTHIKA")</f>
        <v>DWI SANTHIKA</v>
      </c>
      <c r="C2109" s="3" t="str">
        <f>IFERROR(__xludf.DUMMYFUNCTION("""COMPUTED_VALUE"""),"D7225029198")</f>
        <v>D7225029198</v>
      </c>
      <c r="D2109" s="3">
        <f>IFERROR(__xludf.DUMMYFUNCTION("""COMPUTED_VALUE"""),54.0)</f>
        <v>54</v>
      </c>
      <c r="E2109" s="1"/>
    </row>
    <row r="2110">
      <c r="A2110" s="1"/>
      <c r="B2110" s="3" t="str">
        <f>IFERROR(__xludf.DUMMYFUNCTION("""COMPUTED_VALUE"""),"DODI WISDIANSYAH")</f>
        <v>DODI WISDIANSYAH</v>
      </c>
      <c r="C2110" s="3" t="str">
        <f>IFERROR(__xludf.DUMMYFUNCTION("""COMPUTED_VALUE"""),"D9525020410")</f>
        <v>D9525020410</v>
      </c>
      <c r="D2110" s="3">
        <f>IFERROR(__xludf.DUMMYFUNCTION("""COMPUTED_VALUE"""),31.0)</f>
        <v>31</v>
      </c>
      <c r="E2110" s="1"/>
    </row>
    <row r="2111">
      <c r="A2111" s="1"/>
      <c r="B2111" s="3" t="str">
        <f>IFERROR(__xludf.DUMMYFUNCTION("""COMPUTED_VALUE"""),"MARIO EXSEL SIAHAAN")</f>
        <v>MARIO EXSEL SIAHAAN</v>
      </c>
      <c r="C2111" s="3" t="str">
        <f>IFERROR(__xludf.DUMMYFUNCTION("""COMPUTED_VALUE"""),"M0625023012")</f>
        <v>M0625023012</v>
      </c>
      <c r="D2111" s="3">
        <f>IFERROR(__xludf.DUMMYFUNCTION("""COMPUTED_VALUE"""),19.0)</f>
        <v>19</v>
      </c>
      <c r="E2111" s="1"/>
    </row>
    <row r="2112">
      <c r="A2112" s="1"/>
      <c r="B2112" s="3" t="str">
        <f>IFERROR(__xludf.DUMMYFUNCTION("""COMPUTED_VALUE"""),"INDRA WIBOWO")</f>
        <v>INDRA WIBOWO</v>
      </c>
      <c r="C2112" s="3" t="str">
        <f>IFERROR(__xludf.DUMMYFUNCTION("""COMPUTED_VALUE"""),"I9825029801")</f>
        <v>I9825029801</v>
      </c>
      <c r="D2112" s="3">
        <f>IFERROR(__xludf.DUMMYFUNCTION("""COMPUTED_VALUE"""),28.0)</f>
        <v>28</v>
      </c>
      <c r="E2112" s="1"/>
    </row>
    <row r="2113">
      <c r="A2113" s="1"/>
      <c r="B2113" s="3" t="str">
        <f>IFERROR(__xludf.DUMMYFUNCTION("""COMPUTED_VALUE"""),"MEGAWATI LANIA VIDYA")</f>
        <v>MEGAWATI LANIA VIDYA</v>
      </c>
      <c r="C2113" s="3" t="str">
        <f>IFERROR(__xludf.DUMMYFUNCTION("""COMPUTED_VALUE"""),"M9825020363")</f>
        <v>M9825020363</v>
      </c>
      <c r="D2113" s="3">
        <f>IFERROR(__xludf.DUMMYFUNCTION("""COMPUTED_VALUE"""),27.0)</f>
        <v>27</v>
      </c>
      <c r="E2113" s="1"/>
    </row>
    <row r="2114">
      <c r="A2114" s="1"/>
      <c r="B2114" s="3" t="str">
        <f>IFERROR(__xludf.DUMMYFUNCTION("""COMPUTED_VALUE"""),"ANISA B.SIMARE-MARE")</f>
        <v>ANISA B.SIMARE-MARE</v>
      </c>
      <c r="C2114" s="3" t="str">
        <f>IFERROR(__xludf.DUMMYFUNCTION("""COMPUTED_VALUE"""),"A0225027764")</f>
        <v>A0225027764</v>
      </c>
      <c r="D2114" s="3">
        <f>IFERROR(__xludf.DUMMYFUNCTION("""COMPUTED_VALUE"""),23.0)</f>
        <v>23</v>
      </c>
      <c r="E2114" s="1"/>
    </row>
    <row r="2115">
      <c r="A2115" s="1"/>
      <c r="B2115" s="3" t="str">
        <f>IFERROR(__xludf.DUMMYFUNCTION("""COMPUTED_VALUE"""),"RACHEL HANNY AULIA SILALAHI")</f>
        <v>RACHEL HANNY AULIA SILALAHI</v>
      </c>
      <c r="C2115" s="3" t="str">
        <f>IFERROR(__xludf.DUMMYFUNCTION("""COMPUTED_VALUE"""),"R0725025855")</f>
        <v>R0725025855</v>
      </c>
      <c r="D2115" s="3">
        <f>IFERROR(__xludf.DUMMYFUNCTION("""COMPUTED_VALUE"""),19.0)</f>
        <v>19</v>
      </c>
      <c r="E2115" s="1"/>
    </row>
    <row r="2116">
      <c r="A2116" s="1"/>
      <c r="B2116" s="3" t="str">
        <f>IFERROR(__xludf.DUMMYFUNCTION("""COMPUTED_VALUE"""),"VIOLET PUTRI ANGELIE")</f>
        <v>VIOLET PUTRI ANGELIE</v>
      </c>
      <c r="C2116" s="3" t="str">
        <f>IFERROR(__xludf.DUMMYFUNCTION("""COMPUTED_VALUE"""),"V0825023480")</f>
        <v>V0825023480</v>
      </c>
      <c r="D2116" s="3">
        <f>IFERROR(__xludf.DUMMYFUNCTION("""COMPUTED_VALUE"""),18.0)</f>
        <v>18</v>
      </c>
      <c r="E2116" s="1"/>
    </row>
    <row r="2117">
      <c r="A2117" s="1"/>
      <c r="B2117" s="3" t="str">
        <f>IFERROR(__xludf.DUMMYFUNCTION("""COMPUTED_VALUE"""),"SAMUEL SETIAWAN")</f>
        <v>SAMUEL SETIAWAN</v>
      </c>
      <c r="C2117" s="3" t="str">
        <f>IFERROR(__xludf.DUMMYFUNCTION("""COMPUTED_VALUE"""),"S9225021055")</f>
        <v>S9225021055</v>
      </c>
      <c r="D2117" s="3">
        <f>IFERROR(__xludf.DUMMYFUNCTION("""COMPUTED_VALUE"""),33.0)</f>
        <v>33</v>
      </c>
      <c r="E2117" s="1"/>
    </row>
    <row r="2118">
      <c r="A2118" s="1"/>
      <c r="B2118" s="3" t="str">
        <f>IFERROR(__xludf.DUMMYFUNCTION("""COMPUTED_VALUE"""),"RAMADHAN 9402")</f>
        <v>RAMADHAN 9402</v>
      </c>
      <c r="C2118" s="3" t="str">
        <f>IFERROR(__xludf.DUMMYFUNCTION("""COMPUTED_VALUE"""),"R9425021905")</f>
        <v>R9425021905</v>
      </c>
      <c r="D2118" s="3">
        <f>IFERROR(__xludf.DUMMYFUNCTION("""COMPUTED_VALUE"""),32.0)</f>
        <v>32</v>
      </c>
      <c r="E2118" s="1"/>
    </row>
    <row r="2119">
      <c r="A2119" s="1"/>
      <c r="B2119" s="3" t="str">
        <f>IFERROR(__xludf.DUMMYFUNCTION("""COMPUTED_VALUE"""),"HADINATA SAPUTRA LIM")</f>
        <v>HADINATA SAPUTRA LIM</v>
      </c>
      <c r="C2119" s="3" t="str">
        <f>IFERROR(__xludf.DUMMYFUNCTION("""COMPUTED_VALUE"""),"H9125028670")</f>
        <v>H9125028670</v>
      </c>
      <c r="D2119" s="3">
        <f>IFERROR(__xludf.DUMMYFUNCTION("""COMPUTED_VALUE"""),34.0)</f>
        <v>34</v>
      </c>
      <c r="E2119" s="1"/>
    </row>
    <row r="2120">
      <c r="A2120" s="1"/>
      <c r="B2120" s="3" t="str">
        <f>IFERROR(__xludf.DUMMYFUNCTION("""COMPUTED_VALUE"""),"PIETER ANDAS PARINATHA")</f>
        <v>PIETER ANDAS PARINATHA</v>
      </c>
      <c r="C2120" s="3" t="str">
        <f>IFERROR(__xludf.DUMMYFUNCTION("""COMPUTED_VALUE"""),"P8925028614")</f>
        <v>P8925028614</v>
      </c>
      <c r="D2120" s="3">
        <f>IFERROR(__xludf.DUMMYFUNCTION("""COMPUTED_VALUE"""),36.0)</f>
        <v>36</v>
      </c>
      <c r="E2120" s="1"/>
    </row>
    <row r="2121">
      <c r="A2121" s="1"/>
      <c r="B2121" s="3" t="str">
        <f>IFERROR(__xludf.DUMMYFUNCTION("""COMPUTED_VALUE"""),"SUGITO 6304")</f>
        <v>SUGITO 6304</v>
      </c>
      <c r="C2121" s="3" t="str">
        <f>IFERROR(__xludf.DUMMYFUNCTION("""COMPUTED_VALUE"""),"S6325021205")</f>
        <v>S6325021205</v>
      </c>
      <c r="D2121" s="3">
        <f>IFERROR(__xludf.DUMMYFUNCTION("""COMPUTED_VALUE"""),63.0)</f>
        <v>63</v>
      </c>
      <c r="E2121" s="1"/>
    </row>
    <row r="2122">
      <c r="A2122" s="1"/>
      <c r="B2122" s="3" t="str">
        <f>IFERROR(__xludf.DUMMYFUNCTION("""COMPUTED_VALUE"""),"FAJAR KURNIANINGSIH")</f>
        <v>FAJAR KURNIANINGSIH</v>
      </c>
      <c r="C2122" s="3" t="str">
        <f>IFERROR(__xludf.DUMMYFUNCTION("""COMPUTED_VALUE"""),"F7725026500")</f>
        <v>F7725026500</v>
      </c>
      <c r="D2122" s="3">
        <f>IFERROR(__xludf.DUMMYFUNCTION("""COMPUTED_VALUE"""),48.0)</f>
        <v>48</v>
      </c>
      <c r="E2122" s="1"/>
    </row>
    <row r="2123">
      <c r="A2123" s="1"/>
      <c r="B2123" s="3" t="str">
        <f>IFERROR(__xludf.DUMMYFUNCTION("""COMPUTED_VALUE"""),"MEIDI AHDIYAT KARUNIA")</f>
        <v>MEIDI AHDIYAT KARUNIA</v>
      </c>
      <c r="C2123" s="3" t="str">
        <f>IFERROR(__xludf.DUMMYFUNCTION("""COMPUTED_VALUE"""),"M9325024140")</f>
        <v>M9325024140</v>
      </c>
      <c r="D2123" s="3">
        <f>IFERROR(__xludf.DUMMYFUNCTION("""COMPUTED_VALUE"""),33.0)</f>
        <v>33</v>
      </c>
      <c r="E2123" s="1"/>
    </row>
    <row r="2124">
      <c r="A2124" s="1"/>
      <c r="B2124" s="3" t="str">
        <f>IFERROR(__xludf.DUMMYFUNCTION("""COMPUTED_VALUE"""),"EKO DARMADI")</f>
        <v>EKO DARMADI</v>
      </c>
      <c r="C2124" s="3" t="str">
        <f>IFERROR(__xludf.DUMMYFUNCTION("""COMPUTED_VALUE"""),"E8825027712")</f>
        <v>E8825027712</v>
      </c>
      <c r="D2124" s="3">
        <f>IFERROR(__xludf.DUMMYFUNCTION("""COMPUTED_VALUE"""),37.0)</f>
        <v>37</v>
      </c>
      <c r="E2124" s="1"/>
    </row>
    <row r="2125">
      <c r="A2125" s="1"/>
      <c r="B2125" s="3" t="str">
        <f>IFERROR(__xludf.DUMMYFUNCTION("""COMPUTED_VALUE"""),"JAFAR MUSTOPA")</f>
        <v>JAFAR MUSTOPA</v>
      </c>
      <c r="C2125" s="3" t="str">
        <f>IFERROR(__xludf.DUMMYFUNCTION("""COMPUTED_VALUE"""),"J872502")</f>
        <v>J872502</v>
      </c>
      <c r="D2125" s="3">
        <f>IFERROR(__xludf.DUMMYFUNCTION("""COMPUTED_VALUE"""),38.0)</f>
        <v>38</v>
      </c>
      <c r="E2125" s="1"/>
    </row>
    <row r="2126">
      <c r="A2126" s="1"/>
      <c r="B2126" s="3" t="str">
        <f>IFERROR(__xludf.DUMMYFUNCTION("""COMPUTED_VALUE"""),"EKO WAHYUDI")</f>
        <v>EKO WAHYUDI</v>
      </c>
      <c r="C2126" s="3" t="str">
        <f>IFERROR(__xludf.DUMMYFUNCTION("""COMPUTED_VALUE"""),"E9825027790")</f>
        <v>E9825027790</v>
      </c>
      <c r="D2126" s="3">
        <f>IFERROR(__xludf.DUMMYFUNCTION("""COMPUTED_VALUE"""),27.0)</f>
        <v>27</v>
      </c>
      <c r="E2126" s="1"/>
    </row>
    <row r="2127">
      <c r="A2127" s="1"/>
      <c r="B2127" s="3" t="str">
        <f>IFERROR(__xludf.DUMMYFUNCTION("""COMPUTED_VALUE"""),"IKHSAN SYAMSI")</f>
        <v>IKHSAN SYAMSI</v>
      </c>
      <c r="C2127" s="3" t="str">
        <f>IFERROR(__xludf.DUMMYFUNCTION("""COMPUTED_VALUE"""),"I7225027415")</f>
        <v>I7225027415</v>
      </c>
      <c r="D2127" s="3">
        <f>IFERROR(__xludf.DUMMYFUNCTION("""COMPUTED_VALUE"""),53.0)</f>
        <v>53</v>
      </c>
      <c r="E2127" s="1"/>
    </row>
    <row r="2128">
      <c r="A2128" s="1"/>
      <c r="B2128" s="3" t="str">
        <f>IFERROR(__xludf.DUMMYFUNCTION("""COMPUTED_VALUE"""),"RIFQI AUNUR RAHMAN")</f>
        <v>RIFQI AUNUR RAHMAN</v>
      </c>
      <c r="C2128" s="3" t="str">
        <f>IFERROR(__xludf.DUMMYFUNCTION("""COMPUTED_VALUE"""),"R1125029192")</f>
        <v>R1125029192</v>
      </c>
      <c r="D2128" s="3">
        <f>IFERROR(__xludf.DUMMYFUNCTION("""COMPUTED_VALUE"""),14.0)</f>
        <v>14</v>
      </c>
      <c r="E2128" s="1"/>
    </row>
    <row r="2129">
      <c r="A2129" s="1"/>
      <c r="B2129" s="3" t="str">
        <f>IFERROR(__xludf.DUMMYFUNCTION("""COMPUTED_VALUE"""),"RIO HARIS SETIAWAN")</f>
        <v>RIO HARIS SETIAWAN</v>
      </c>
      <c r="C2129" s="3" t="str">
        <f>IFERROR(__xludf.DUMMYFUNCTION("""COMPUTED_VALUE"""),"R8825027949")</f>
        <v>R8825027949</v>
      </c>
      <c r="D2129" s="3">
        <f>IFERROR(__xludf.DUMMYFUNCTION("""COMPUTED_VALUE"""),37.0)</f>
        <v>37</v>
      </c>
      <c r="E2129" s="1"/>
    </row>
    <row r="2130">
      <c r="A2130" s="1"/>
      <c r="B2130" s="3" t="str">
        <f>IFERROR(__xludf.DUMMYFUNCTION("""COMPUTED_VALUE"""),"ZULKIFLI 9302")</f>
        <v>ZULKIFLI 9302</v>
      </c>
      <c r="C2130" s="3" t="str">
        <f>IFERROR(__xludf.DUMMYFUNCTION("""COMPUTED_VALUE"""),"Z9325021191")</f>
        <v>Z9325021191</v>
      </c>
      <c r="D2130" s="3">
        <f>IFERROR(__xludf.DUMMYFUNCTION("""COMPUTED_VALUE"""),33.0)</f>
        <v>33</v>
      </c>
      <c r="E2130" s="1"/>
    </row>
    <row r="2131">
      <c r="A2131" s="1"/>
      <c r="B2131" s="3" t="str">
        <f>IFERROR(__xludf.DUMMYFUNCTION("""COMPUTED_VALUE"""),"SHANE VICILIA SIM")</f>
        <v>SHANE VICILIA SIM</v>
      </c>
      <c r="C2131" s="3" t="str">
        <f>IFERROR(__xludf.DUMMYFUNCTION("""COMPUTED_VALUE"""),"S1525026960")</f>
        <v>S1525026960</v>
      </c>
      <c r="D2131" s="3">
        <f>IFERROR(__xludf.DUMMYFUNCTION("""COMPUTED_VALUE"""),10.0)</f>
        <v>10</v>
      </c>
      <c r="E2131" s="1"/>
    </row>
    <row r="2132">
      <c r="A2132" s="1"/>
      <c r="B2132" s="3" t="str">
        <f>IFERROR(__xludf.DUMMYFUNCTION("""COMPUTED_VALUE"""),"HENDI GUSNADI")</f>
        <v>HENDI GUSNADI</v>
      </c>
      <c r="C2132" s="3" t="str">
        <f>IFERROR(__xludf.DUMMYFUNCTION("""COMPUTED_VALUE"""),"H0025022473")</f>
        <v>H0025022473</v>
      </c>
      <c r="D2132" s="3">
        <f>IFERROR(__xludf.DUMMYFUNCTION("""COMPUTED_VALUE"""),26.0)</f>
        <v>26</v>
      </c>
      <c r="E2132" s="1"/>
    </row>
    <row r="2133">
      <c r="A2133" s="1"/>
      <c r="B2133" s="3" t="str">
        <f>IFERROR(__xludf.DUMMYFUNCTION("""COMPUTED_VALUE"""),"ANGGITA WAHYUNINGRUM")</f>
        <v>ANGGITA WAHYUNINGRUM</v>
      </c>
      <c r="C2133" s="3" t="str">
        <f>IFERROR(__xludf.DUMMYFUNCTION("""COMPUTED_VALUE"""),"A0125026454")</f>
        <v>A0125026454</v>
      </c>
      <c r="D2133" s="3">
        <f>IFERROR(__xludf.DUMMYFUNCTION("""COMPUTED_VALUE"""),25.0)</f>
        <v>25</v>
      </c>
      <c r="E2133" s="1"/>
    </row>
    <row r="2134">
      <c r="A2134" s="1"/>
      <c r="B2134" s="3" t="str">
        <f>IFERROR(__xludf.DUMMYFUNCTION("""COMPUTED_VALUE"""),"EKA NOVI D")</f>
        <v>EKA NOVI D</v>
      </c>
      <c r="C2134" s="3" t="str">
        <f>IFERROR(__xludf.DUMMYFUNCTION("""COMPUTED_VALUE"""),"E9925029678")</f>
        <v>E9925029678</v>
      </c>
      <c r="D2134" s="3" t="str">
        <f>IFERROR(__xludf.DUMMYFUNCTION("""COMPUTED_VALUE"""),"")</f>
        <v/>
      </c>
      <c r="E2134" s="1"/>
    </row>
    <row r="2135">
      <c r="A2135" s="1"/>
      <c r="B2135" s="3" t="str">
        <f>IFERROR(__xludf.DUMMYFUNCTION("""COMPUTED_VALUE"""),"HAFIZLY")</f>
        <v>HAFIZLY</v>
      </c>
      <c r="C2135" s="3" t="str">
        <f>IFERROR(__xludf.DUMMYFUNCTION("""COMPUTED_VALUE"""),"H9525023848")</f>
        <v>H9525023848</v>
      </c>
      <c r="D2135" s="3">
        <f>IFERROR(__xludf.DUMMYFUNCTION("""COMPUTED_VALUE"""),30.0)</f>
        <v>30</v>
      </c>
      <c r="E2135" s="1"/>
    </row>
    <row r="2136">
      <c r="A2136" s="1"/>
      <c r="B2136" s="3" t="str">
        <f>IFERROR(__xludf.DUMMYFUNCTION("""COMPUTED_VALUE"""),"SUSANTO")</f>
        <v>SUSANTO</v>
      </c>
      <c r="C2136" s="3" t="str">
        <f>IFERROR(__xludf.DUMMYFUNCTION("""COMPUTED_VALUE"""),"S8625023996")</f>
        <v>S8625023996</v>
      </c>
      <c r="D2136" s="3">
        <f>IFERROR(__xludf.DUMMYFUNCTION("""COMPUTED_VALUE"""),39.0)</f>
        <v>39</v>
      </c>
      <c r="E2136" s="1"/>
    </row>
    <row r="2137">
      <c r="A2137" s="1"/>
      <c r="B2137" s="3" t="str">
        <f>IFERROR(__xludf.DUMMYFUNCTION("""COMPUTED_VALUE"""),"ALHIQNA SHOLIHIN")</f>
        <v>ALHIQNA SHOLIHIN</v>
      </c>
      <c r="C2137" s="3" t="str">
        <f>IFERROR(__xludf.DUMMYFUNCTION("""COMPUTED_VALUE"""),"A0925020044")</f>
        <v>A0925020044</v>
      </c>
      <c r="D2137" s="3">
        <f>IFERROR(__xludf.DUMMYFUNCTION("""COMPUTED_VALUE"""),17.0)</f>
        <v>17</v>
      </c>
      <c r="E2137" s="1"/>
    </row>
    <row r="2138">
      <c r="A2138" s="1"/>
      <c r="B2138" s="3" t="str">
        <f>IFERROR(__xludf.DUMMYFUNCTION("""COMPUTED_VALUE"""),"MEILANI")</f>
        <v>MEILANI</v>
      </c>
      <c r="C2138" s="3" t="str">
        <f>IFERROR(__xludf.DUMMYFUNCTION("""COMPUTED_VALUE"""),"M9925029894")</f>
        <v>M9925029894</v>
      </c>
      <c r="D2138" s="3">
        <f>IFERROR(__xludf.DUMMYFUNCTION("""COMPUTED_VALUE"""),27.0)</f>
        <v>27</v>
      </c>
      <c r="E2138" s="1"/>
    </row>
    <row r="2139">
      <c r="A2139" s="1"/>
      <c r="B2139" s="3" t="str">
        <f>IFERROR(__xludf.DUMMYFUNCTION("""COMPUTED_VALUE"""),"AGUNG WAHYU SUPRIONO")</f>
        <v>AGUNG WAHYU SUPRIONO</v>
      </c>
      <c r="C2139" s="3" t="str">
        <f>IFERROR(__xludf.DUMMYFUNCTION("""COMPUTED_VALUE"""),"A9325026893")</f>
        <v>A9325026893</v>
      </c>
      <c r="D2139" s="3">
        <f>IFERROR(__xludf.DUMMYFUNCTION("""COMPUTED_VALUE"""),32.0)</f>
        <v>32</v>
      </c>
      <c r="E2139" s="1"/>
    </row>
    <row r="2140">
      <c r="A2140" s="1"/>
      <c r="B2140" s="3" t="str">
        <f>IFERROR(__xludf.DUMMYFUNCTION("""COMPUTED_VALUE"""),"JESSI MIRANDA")</f>
        <v>JESSI MIRANDA</v>
      </c>
      <c r="C2140" s="3" t="str">
        <f>IFERROR(__xludf.DUMMYFUNCTION("""COMPUTED_VALUE"""),"J9725028777")</f>
        <v>J9725028777</v>
      </c>
      <c r="D2140" s="3">
        <f>IFERROR(__xludf.DUMMYFUNCTION("""COMPUTED_VALUE"""),28.0)</f>
        <v>28</v>
      </c>
      <c r="E2140" s="1"/>
    </row>
    <row r="2141">
      <c r="A2141" s="1"/>
      <c r="B2141" s="3" t="str">
        <f>IFERROR(__xludf.DUMMYFUNCTION("""COMPUTED_VALUE"""),"YUNI HERDIANAWATI")</f>
        <v>YUNI HERDIANAWATI</v>
      </c>
      <c r="C2141" s="3" t="str">
        <f>IFERROR(__xludf.DUMMYFUNCTION("""COMPUTED_VALUE"""),"Y8325029600")</f>
        <v>Y8325029600</v>
      </c>
      <c r="D2141" s="3">
        <f>IFERROR(__xludf.DUMMYFUNCTION("""COMPUTED_VALUE"""),43.0)</f>
        <v>43</v>
      </c>
      <c r="E2141" s="1"/>
    </row>
    <row r="2142">
      <c r="A2142" s="1"/>
      <c r="B2142" s="3" t="str">
        <f>IFERROR(__xludf.DUMMYFUNCTION("""COMPUTED_VALUE"""),"FAJAR FITRIYANTO")</f>
        <v>FAJAR FITRIYANTO</v>
      </c>
      <c r="C2142" s="3" t="str">
        <f>IFERROR(__xludf.DUMMYFUNCTION("""COMPUTED_VALUE"""),"F8625020983")</f>
        <v>F8625020983</v>
      </c>
      <c r="D2142" s="3">
        <f>IFERROR(__xludf.DUMMYFUNCTION("""COMPUTED_VALUE"""),40.0)</f>
        <v>40</v>
      </c>
      <c r="E2142" s="1"/>
    </row>
    <row r="2143">
      <c r="A2143" s="1"/>
      <c r="B2143" s="3" t="str">
        <f>IFERROR(__xludf.DUMMYFUNCTION("""COMPUTED_VALUE"""),"MUHAMMAD ALI HUSEIN")</f>
        <v>MUHAMMAD ALI HUSEIN</v>
      </c>
      <c r="C2143" s="3" t="str">
        <f>IFERROR(__xludf.DUMMYFUNCTION("""COMPUTED_VALUE"""),"M2325026481")</f>
        <v>M2325026481</v>
      </c>
      <c r="D2143" s="3">
        <f>IFERROR(__xludf.DUMMYFUNCTION("""COMPUTED_VALUE"""),2.0)</f>
        <v>2</v>
      </c>
      <c r="E2143" s="1"/>
    </row>
    <row r="2144">
      <c r="A2144" s="1"/>
      <c r="B2144" s="3" t="str">
        <f>IFERROR(__xludf.DUMMYFUNCTION("""COMPUTED_VALUE"""),"SYAKIRAH")</f>
        <v>SYAKIRAH</v>
      </c>
      <c r="C2144" s="3" t="str">
        <f>IFERROR(__xludf.DUMMYFUNCTION("""COMPUTED_VALUE"""),"S1525023428")</f>
        <v>S1525023428</v>
      </c>
      <c r="D2144" s="3">
        <f>IFERROR(__xludf.DUMMYFUNCTION("""COMPUTED_VALUE"""),11.0)</f>
        <v>11</v>
      </c>
      <c r="E2144" s="1"/>
    </row>
    <row r="2145">
      <c r="A2145" s="1"/>
      <c r="B2145" s="3" t="str">
        <f>IFERROR(__xludf.DUMMYFUNCTION("""COMPUTED_VALUE"""),"SUSIANTI")</f>
        <v>SUSIANTI</v>
      </c>
      <c r="C2145" s="3" t="str">
        <f>IFERROR(__xludf.DUMMYFUNCTION("""COMPUTED_VALUE"""),"S8225023258")</f>
        <v>S8225023258</v>
      </c>
      <c r="D2145" s="3">
        <f>IFERROR(__xludf.DUMMYFUNCTION("""COMPUTED_VALUE"""),43.0)</f>
        <v>43</v>
      </c>
      <c r="E2145" s="1"/>
    </row>
    <row r="2146">
      <c r="A2146" s="1"/>
      <c r="B2146" s="3" t="str">
        <f>IFERROR(__xludf.DUMMYFUNCTION("""COMPUTED_VALUE"""),"EDGAR SYARU AZIM")</f>
        <v>EDGAR SYARU AZIM</v>
      </c>
      <c r="C2146" s="3" t="str">
        <f>IFERROR(__xludf.DUMMYFUNCTION("""COMPUTED_VALUE"""),"E1925020223")</f>
        <v>E1925020223</v>
      </c>
      <c r="D2146" s="3">
        <f>IFERROR(__xludf.DUMMYFUNCTION("""COMPUTED_VALUE"""),7.0)</f>
        <v>7</v>
      </c>
      <c r="E2146" s="1"/>
    </row>
    <row r="2147">
      <c r="A2147" s="1"/>
      <c r="B2147" s="3" t="str">
        <f>IFERROR(__xludf.DUMMYFUNCTION("""COMPUTED_VALUE"""),"SUWINDA KUSRINI")</f>
        <v>SUWINDA KUSRINI</v>
      </c>
      <c r="C2147" s="3" t="str">
        <f>IFERROR(__xludf.DUMMYFUNCTION("""COMPUTED_VALUE"""),"S8225023252")</f>
        <v>S8225023252</v>
      </c>
      <c r="D2147" s="3">
        <f>IFERROR(__xludf.DUMMYFUNCTION("""COMPUTED_VALUE"""),44.0)</f>
        <v>44</v>
      </c>
      <c r="E2147" s="1"/>
    </row>
    <row r="2148">
      <c r="A2148" s="1"/>
      <c r="B2148" s="3" t="str">
        <f>IFERROR(__xludf.DUMMYFUNCTION("""COMPUTED_VALUE"""),"GEMA KHATULISTIWA")</f>
        <v>GEMA KHATULISTIWA</v>
      </c>
      <c r="C2148" s="3" t="str">
        <f>IFERROR(__xludf.DUMMYFUNCTION("""COMPUTED_VALUE"""),"G9325026982")</f>
        <v>G9325026982</v>
      </c>
      <c r="D2148" s="3">
        <f>IFERROR(__xludf.DUMMYFUNCTION("""COMPUTED_VALUE"""),32.0)</f>
        <v>32</v>
      </c>
      <c r="E2148" s="1"/>
    </row>
    <row r="2149">
      <c r="A2149" s="1"/>
      <c r="B2149" s="3" t="str">
        <f>IFERROR(__xludf.DUMMYFUNCTION("""COMPUTED_VALUE"""),"SYARIF M FARIS")</f>
        <v>SYARIF M FARIS</v>
      </c>
      <c r="C2149" s="3" t="str">
        <f>IFERROR(__xludf.DUMMYFUNCTION("""COMPUTED_VALUE"""),"S8225020635")</f>
        <v>S8225020635</v>
      </c>
      <c r="D2149" s="3">
        <f>IFERROR(__xludf.DUMMYFUNCTION("""COMPUTED_VALUE"""),43.0)</f>
        <v>43</v>
      </c>
      <c r="E2149" s="1"/>
    </row>
    <row r="2150">
      <c r="A2150" s="1"/>
      <c r="B2150" s="3" t="str">
        <f>IFERROR(__xludf.DUMMYFUNCTION("""COMPUTED_VALUE"""),"RENDY ARYADY PUTRA")</f>
        <v>RENDY ARYADY PUTRA</v>
      </c>
      <c r="C2150" s="3" t="str">
        <f>IFERROR(__xludf.DUMMYFUNCTION("""COMPUTED_VALUE"""),"R0425029757")</f>
        <v>R0425029757</v>
      </c>
      <c r="D2150" s="3">
        <f>IFERROR(__xludf.DUMMYFUNCTION("""COMPUTED_VALUE"""),21.0)</f>
        <v>21</v>
      </c>
      <c r="E2150" s="1"/>
    </row>
    <row r="2151">
      <c r="A2151" s="1"/>
      <c r="B2151" s="3" t="str">
        <f>IFERROR(__xludf.DUMMYFUNCTION("""COMPUTED_VALUE"""),"BONG SI KHIUN")</f>
        <v>BONG SI KHIUN</v>
      </c>
      <c r="C2151" s="3" t="str">
        <f>IFERROR(__xludf.DUMMYFUNCTION("""COMPUTED_VALUE"""),"B992502")</f>
        <v>B992502</v>
      </c>
      <c r="D2151" s="3" t="str">
        <f>IFERROR(__xludf.DUMMYFUNCTION("""COMPUTED_VALUE"""),"")</f>
        <v/>
      </c>
      <c r="E2151" s="1"/>
    </row>
    <row r="2152">
      <c r="A2152" s="1"/>
      <c r="B2152" s="3" t="str">
        <f>IFERROR(__xludf.DUMMYFUNCTION("""COMPUTED_VALUE"""),"DIAZ MUHAMMAD FADEL")</f>
        <v>DIAZ MUHAMMAD FADEL</v>
      </c>
      <c r="C2152" s="3" t="str">
        <f>IFERROR(__xludf.DUMMYFUNCTION("""COMPUTED_VALUE"""),"D9225026374")</f>
        <v>D9225026374</v>
      </c>
      <c r="D2152" s="3">
        <f>IFERROR(__xludf.DUMMYFUNCTION("""COMPUTED_VALUE"""),33.0)</f>
        <v>33</v>
      </c>
      <c r="E2152" s="1"/>
    </row>
    <row r="2153">
      <c r="A2153" s="1"/>
      <c r="B2153" s="3" t="str">
        <f>IFERROR(__xludf.DUMMYFUNCTION("""COMPUTED_VALUE"""),"MURTI JULIANDARI")</f>
        <v>MURTI JULIANDARI</v>
      </c>
      <c r="C2153" s="3" t="str">
        <f>IFERROR(__xludf.DUMMYFUNCTION("""COMPUTED_VALUE"""),"M9025021870")</f>
        <v>M9025021870</v>
      </c>
      <c r="D2153" s="3">
        <f>IFERROR(__xludf.DUMMYFUNCTION("""COMPUTED_VALUE"""),35.0)</f>
        <v>35</v>
      </c>
      <c r="E2153" s="1"/>
    </row>
    <row r="2154">
      <c r="A2154" s="1"/>
      <c r="B2154" s="3" t="str">
        <f>IFERROR(__xludf.DUMMYFUNCTION("""COMPUTED_VALUE"""),"IRAMAYATI")</f>
        <v>IRAMAYATI</v>
      </c>
      <c r="C2154" s="3" t="str">
        <f>IFERROR(__xludf.DUMMYFUNCTION("""COMPUTED_VALUE"""),"I6925023190")</f>
        <v>I6925023190</v>
      </c>
      <c r="D2154" s="3">
        <f>IFERROR(__xludf.DUMMYFUNCTION("""COMPUTED_VALUE"""),57.0)</f>
        <v>57</v>
      </c>
      <c r="E2154" s="1"/>
    </row>
    <row r="2155">
      <c r="A2155" s="1"/>
      <c r="B2155" s="3" t="str">
        <f>IFERROR(__xludf.DUMMYFUNCTION("""COMPUTED_VALUE"""),"DENI ACHMAD NURULAEN")</f>
        <v>DENI ACHMAD NURULAEN</v>
      </c>
      <c r="C2155" s="3" t="str">
        <f>IFERROR(__xludf.DUMMYFUNCTION("""COMPUTED_VALUE"""),"D7025021749")</f>
        <v>D7025021749</v>
      </c>
      <c r="D2155" s="3">
        <f>IFERROR(__xludf.DUMMYFUNCTION("""COMPUTED_VALUE"""),56.0)</f>
        <v>56</v>
      </c>
      <c r="E2155" s="1"/>
    </row>
    <row r="2156">
      <c r="A2156" s="1"/>
      <c r="B2156" s="3" t="str">
        <f>IFERROR(__xludf.DUMMYFUNCTION("""COMPUTED_VALUE"""),"6171016609550002")</f>
        <v>6171016609550002</v>
      </c>
      <c r="C2156" s="3" t="str">
        <f>IFERROR(__xludf.DUMMYFUNCTION("""COMPUTED_VALUE"""),"65525028384")</f>
        <v>65525028384</v>
      </c>
      <c r="D2156" s="3">
        <f>IFERROR(__xludf.DUMMYFUNCTION("""COMPUTED_VALUE"""),70.0)</f>
        <v>70</v>
      </c>
      <c r="E2156" s="1"/>
    </row>
    <row r="2157">
      <c r="A2157" s="1"/>
      <c r="B2157" s="3" t="str">
        <f>IFERROR(__xludf.DUMMYFUNCTION("""COMPUTED_VALUE"""),"IRWANDA")</f>
        <v>IRWANDA</v>
      </c>
      <c r="C2157" s="3" t="str">
        <f>IFERROR(__xludf.DUMMYFUNCTION("""COMPUTED_VALUE"""),"I9525021880")</f>
        <v>I9525021880</v>
      </c>
      <c r="D2157" s="3">
        <f>IFERROR(__xludf.DUMMYFUNCTION("""COMPUTED_VALUE"""),30.0)</f>
        <v>30</v>
      </c>
      <c r="E2157" s="1"/>
    </row>
    <row r="2158">
      <c r="A2158" s="1"/>
      <c r="B2158" s="3" t="str">
        <f>IFERROR(__xludf.DUMMYFUNCTION("""COMPUTED_VALUE"""),"ABDURRACHMAN")</f>
        <v>ABDURRACHMAN</v>
      </c>
      <c r="C2158" s="3" t="str">
        <f>IFERROR(__xludf.DUMMYFUNCTION("""COMPUTED_VALUE"""),"A5925029667")</f>
        <v>A5925029667</v>
      </c>
      <c r="D2158" s="3">
        <f>IFERROR(__xludf.DUMMYFUNCTION("""COMPUTED_VALUE"""),66.0)</f>
        <v>66</v>
      </c>
      <c r="E2158" s="1"/>
    </row>
    <row r="2159">
      <c r="A2159" s="1"/>
      <c r="B2159" s="3" t="str">
        <f>IFERROR(__xludf.DUMMYFUNCTION("""COMPUTED_VALUE"""),"ADAM GHAFFAR QURNIA")</f>
        <v>ADAM GHAFFAR QURNIA</v>
      </c>
      <c r="C2159" s="3" t="str">
        <f>IFERROR(__xludf.DUMMYFUNCTION("""COMPUTED_VALUE"""),"A1725020042")</f>
        <v>A1725020042</v>
      </c>
      <c r="D2159" s="3">
        <f>IFERROR(__xludf.DUMMYFUNCTION("""COMPUTED_VALUE"""),8.0)</f>
        <v>8</v>
      </c>
      <c r="E2159" s="1"/>
    </row>
    <row r="2160">
      <c r="A2160" s="1"/>
      <c r="B2160" s="3" t="str">
        <f>IFERROR(__xludf.DUMMYFUNCTION("""COMPUTED_VALUE"""),"HJ. ASNAH")</f>
        <v>HJ. ASNAH</v>
      </c>
      <c r="C2160" s="3" t="str">
        <f>IFERROR(__xludf.DUMMYFUNCTION("""COMPUTED_VALUE"""),"H5725022666")</f>
        <v>H5725022666</v>
      </c>
      <c r="D2160" s="3">
        <f>IFERROR(__xludf.DUMMYFUNCTION("""COMPUTED_VALUE"""),69.0)</f>
        <v>69</v>
      </c>
      <c r="E2160" s="1"/>
    </row>
    <row r="2161">
      <c r="A2161" s="1"/>
      <c r="B2161" s="3" t="str">
        <f>IFERROR(__xludf.DUMMYFUNCTION("""COMPUTED_VALUE"""),"ZAID MUHAMMAD DZAKI RAKHIM")</f>
        <v>ZAID MUHAMMAD DZAKI RAKHIM</v>
      </c>
      <c r="C2161" s="3" t="str">
        <f>IFERROR(__xludf.DUMMYFUNCTION("""COMPUTED_VALUE"""),"Z1225023682")</f>
        <v>Z1225023682</v>
      </c>
      <c r="D2161" s="3">
        <f>IFERROR(__xludf.DUMMYFUNCTION("""COMPUTED_VALUE"""),14.0)</f>
        <v>14</v>
      </c>
      <c r="E2161" s="1"/>
    </row>
    <row r="2162">
      <c r="A2162" s="1"/>
      <c r="B2162" s="3" t="str">
        <f>IFERROR(__xludf.DUMMYFUNCTION("""COMPUTED_VALUE"""),"WAHYU WIRA PRATAMA")</f>
        <v>WAHYU WIRA PRATAMA</v>
      </c>
      <c r="C2162" s="3" t="str">
        <f>IFERROR(__xludf.DUMMYFUNCTION("""COMPUTED_VALUE"""),"W9125025566")</f>
        <v>W9125025566</v>
      </c>
      <c r="D2162" s="3">
        <f>IFERROR(__xludf.DUMMYFUNCTION("""COMPUTED_VALUE"""),35.0)</f>
        <v>35</v>
      </c>
      <c r="E2162" s="1"/>
    </row>
    <row r="2163">
      <c r="A2163" s="1"/>
      <c r="B2163" s="3" t="str">
        <f>IFERROR(__xludf.DUMMYFUNCTION("""COMPUTED_VALUE"""),"ROMY KAPILANI")</f>
        <v>ROMY KAPILANI</v>
      </c>
      <c r="C2163" s="3" t="str">
        <f>IFERROR(__xludf.DUMMYFUNCTION("""COMPUTED_VALUE"""),"R8525027743")</f>
        <v>R8525027743</v>
      </c>
      <c r="D2163" s="3">
        <f>IFERROR(__xludf.DUMMYFUNCTION("""COMPUTED_VALUE"""),41.0)</f>
        <v>41</v>
      </c>
      <c r="E2163" s="1"/>
    </row>
    <row r="2164">
      <c r="A2164" s="1"/>
      <c r="B2164" s="3" t="str">
        <f>IFERROR(__xludf.DUMMYFUNCTION("""COMPUTED_VALUE"""),"ABDUL RAZAQ AZWI")</f>
        <v>ABDUL RAZAQ AZWI</v>
      </c>
      <c r="C2164" s="3" t="str">
        <f>IFERROR(__xludf.DUMMYFUNCTION("""COMPUTED_VALUE"""),"A9625022196")</f>
        <v>A9625022196</v>
      </c>
      <c r="D2164" s="3">
        <f>IFERROR(__xludf.DUMMYFUNCTION("""COMPUTED_VALUE"""),29.0)</f>
        <v>29</v>
      </c>
      <c r="E2164" s="1"/>
    </row>
    <row r="2165">
      <c r="A2165" s="1"/>
      <c r="B2165" s="3" t="str">
        <f>IFERROR(__xludf.DUMMYFUNCTION("""COMPUTED_VALUE"""),"DHARMITA GINTING")</f>
        <v>DHARMITA GINTING</v>
      </c>
      <c r="C2165" s="3" t="str">
        <f>IFERROR(__xludf.DUMMYFUNCTION("""COMPUTED_VALUE"""),"D8525023558")</f>
        <v>D8525023558</v>
      </c>
      <c r="D2165" s="3">
        <f>IFERROR(__xludf.DUMMYFUNCTION("""COMPUTED_VALUE"""),41.0)</f>
        <v>41</v>
      </c>
      <c r="E2165" s="1"/>
    </row>
    <row r="2166">
      <c r="A2166" s="1"/>
      <c r="B2166" s="3" t="str">
        <f>IFERROR(__xludf.DUMMYFUNCTION("""COMPUTED_VALUE"""),"SULAIMAN 6407")</f>
        <v>SULAIMAN 6407</v>
      </c>
      <c r="C2166" s="3" t="str">
        <f>IFERROR(__xludf.DUMMYFUNCTION("""COMPUTED_VALUE"""),"S6425029234")</f>
        <v>S6425029234</v>
      </c>
      <c r="D2166" s="3">
        <f>IFERROR(__xludf.DUMMYFUNCTION("""COMPUTED_VALUE"""),61.0)</f>
        <v>61</v>
      </c>
      <c r="E2166" s="1"/>
    </row>
    <row r="2167">
      <c r="A2167" s="1"/>
      <c r="B2167" s="3" t="str">
        <f>IFERROR(__xludf.DUMMYFUNCTION("""COMPUTED_VALUE"""),"NI NI LO")</f>
        <v>NI NI LO</v>
      </c>
      <c r="C2167" s="3" t="str">
        <f>IFERROR(__xludf.DUMMYFUNCTION("""COMPUTED_VALUE"""),"N8225029009")</f>
        <v>N8225029009</v>
      </c>
      <c r="D2167" s="3">
        <f>IFERROR(__xludf.DUMMYFUNCTION("""COMPUTED_VALUE"""),43.0)</f>
        <v>43</v>
      </c>
      <c r="E2167" s="1"/>
    </row>
    <row r="2168">
      <c r="A2168" s="1"/>
      <c r="B2168" s="3" t="str">
        <f>IFERROR(__xludf.DUMMYFUNCTION("""COMPUTED_VALUE"""),"AHMAD WAGEANSYAH")</f>
        <v>AHMAD WAGEANSYAH</v>
      </c>
      <c r="C2168" s="3" t="str">
        <f>IFERROR(__xludf.DUMMYFUNCTION("""COMPUTED_VALUE"""),"A9425025683")</f>
        <v>A9425025683</v>
      </c>
      <c r="D2168" s="3">
        <f>IFERROR(__xludf.DUMMYFUNCTION("""COMPUTED_VALUE"""),31.0)</f>
        <v>31</v>
      </c>
      <c r="E2168" s="1"/>
    </row>
    <row r="2169">
      <c r="A2169" s="1"/>
      <c r="B2169" s="3" t="str">
        <f>IFERROR(__xludf.DUMMYFUNCTION("""COMPUTED_VALUE"""),"HARIANI")</f>
        <v>HARIANI</v>
      </c>
      <c r="C2169" s="3" t="str">
        <f>IFERROR(__xludf.DUMMYFUNCTION("""COMPUTED_VALUE"""),"H6225028455")</f>
        <v>H6225028455</v>
      </c>
      <c r="D2169" s="3">
        <f>IFERROR(__xludf.DUMMYFUNCTION("""COMPUTED_VALUE"""),64.0)</f>
        <v>64</v>
      </c>
      <c r="E2169" s="1"/>
    </row>
    <row r="2170">
      <c r="A2170" s="1"/>
      <c r="B2170" s="3" t="str">
        <f>IFERROR(__xludf.DUMMYFUNCTION("""COMPUTED_VALUE"""),"ARIF PARABI")</f>
        <v>ARIF PARABI</v>
      </c>
      <c r="C2170" s="3" t="str">
        <f>IFERROR(__xludf.DUMMYFUNCTION("""COMPUTED_VALUE"""),"A6825027525")</f>
        <v>A6825027525</v>
      </c>
      <c r="D2170" s="3">
        <f>IFERROR(__xludf.DUMMYFUNCTION("""COMPUTED_VALUE"""),57.0)</f>
        <v>57</v>
      </c>
      <c r="E2170" s="1"/>
    </row>
    <row r="2171">
      <c r="A2171" s="1"/>
      <c r="B2171" s="3" t="str">
        <f>IFERROR(__xludf.DUMMYFUNCTION("""COMPUTED_VALUE"""),"ABDUL HAFIDH, SE")</f>
        <v>ABDUL HAFIDH, SE</v>
      </c>
      <c r="C2171" s="3" t="str">
        <f>IFERROR(__xludf.DUMMYFUNCTION("""COMPUTED_VALUE"""),"A7625028278")</f>
        <v>A7625028278</v>
      </c>
      <c r="D2171" s="3">
        <f>IFERROR(__xludf.DUMMYFUNCTION("""COMPUTED_VALUE"""),50.0)</f>
        <v>50</v>
      </c>
      <c r="E2171" s="1"/>
    </row>
    <row r="2172">
      <c r="A2172" s="1"/>
      <c r="B2172" s="3" t="str">
        <f>IFERROR(__xludf.DUMMYFUNCTION("""COMPUTED_VALUE"""),"HENDRY")</f>
        <v>HENDRY</v>
      </c>
      <c r="C2172" s="3" t="str">
        <f>IFERROR(__xludf.DUMMYFUNCTION("""COMPUTED_VALUE"""),"H8725027680")</f>
        <v>H8725027680</v>
      </c>
      <c r="D2172" s="3">
        <f>IFERROR(__xludf.DUMMYFUNCTION("""COMPUTED_VALUE"""),39.0)</f>
        <v>39</v>
      </c>
      <c r="E2172" s="1"/>
    </row>
    <row r="2173">
      <c r="A2173" s="1"/>
      <c r="B2173" s="3" t="str">
        <f>IFERROR(__xludf.DUMMYFUNCTION("""COMPUTED_VALUE"""),"ANGGARA APRIYAN PRADANA")</f>
        <v>ANGGARA APRIYAN PRADANA</v>
      </c>
      <c r="C2173" s="3" t="str">
        <f>IFERROR(__xludf.DUMMYFUNCTION("""COMPUTED_VALUE"""),"A8925021574")</f>
        <v>A8925021574</v>
      </c>
      <c r="D2173" s="3">
        <f>IFERROR(__xludf.DUMMYFUNCTION("""COMPUTED_VALUE"""),36.0)</f>
        <v>36</v>
      </c>
      <c r="E2173" s="1"/>
    </row>
    <row r="2174">
      <c r="A2174" s="1"/>
      <c r="B2174" s="3" t="str">
        <f>IFERROR(__xludf.DUMMYFUNCTION("""COMPUTED_VALUE"""),"SITI KHAIRUZIA LAZUWARDINI")</f>
        <v>SITI KHAIRUZIA LAZUWARDINI</v>
      </c>
      <c r="C2174" s="3" t="str">
        <f>IFERROR(__xludf.DUMMYFUNCTION("""COMPUTED_VALUE"""),"S9925028925")</f>
        <v>S9925028925</v>
      </c>
      <c r="D2174" s="3">
        <f>IFERROR(__xludf.DUMMYFUNCTION("""COMPUTED_VALUE"""),26.0)</f>
        <v>26</v>
      </c>
      <c r="E2174" s="1"/>
    </row>
    <row r="2175">
      <c r="A2175" s="1"/>
      <c r="B2175" s="3" t="str">
        <f>IFERROR(__xludf.DUMMYFUNCTION("""COMPUTED_VALUE"""),"ONGKY SURYADI")</f>
        <v>ONGKY SURYADI</v>
      </c>
      <c r="C2175" s="3" t="str">
        <f>IFERROR(__xludf.DUMMYFUNCTION("""COMPUTED_VALUE"""),"O9525023593")</f>
        <v>O9525023593</v>
      </c>
      <c r="D2175" s="3">
        <f>IFERROR(__xludf.DUMMYFUNCTION("""COMPUTED_VALUE"""),30.0)</f>
        <v>30</v>
      </c>
      <c r="E2175" s="1"/>
    </row>
    <row r="2176">
      <c r="A2176" s="1"/>
      <c r="B2176" s="3" t="str">
        <f>IFERROR(__xludf.DUMMYFUNCTION("""COMPUTED_VALUE"""),"HENDRA MAULANA")</f>
        <v>HENDRA MAULANA</v>
      </c>
      <c r="C2176" s="3" t="str">
        <f>IFERROR(__xludf.DUMMYFUNCTION("""COMPUTED_VALUE"""),"H8025020268")</f>
        <v>H8025020268</v>
      </c>
      <c r="D2176" s="3">
        <f>IFERROR(__xludf.DUMMYFUNCTION("""COMPUTED_VALUE"""),46.0)</f>
        <v>46</v>
      </c>
      <c r="E2176" s="1"/>
    </row>
    <row r="2177">
      <c r="A2177" s="1"/>
      <c r="B2177" s="3" t="str">
        <f>IFERROR(__xludf.DUMMYFUNCTION("""COMPUTED_VALUE"""),"MARADIEN MILANIE")</f>
        <v>MARADIEN MILANIE</v>
      </c>
      <c r="C2177" s="3" t="str">
        <f>IFERROR(__xludf.DUMMYFUNCTION("""COMPUTED_VALUE"""),"M8125029436")</f>
        <v>M8125029436</v>
      </c>
      <c r="D2177" s="3">
        <f>IFERROR(__xludf.DUMMYFUNCTION("""COMPUTED_VALUE"""),45.0)</f>
        <v>45</v>
      </c>
      <c r="E2177" s="1"/>
    </row>
    <row r="2178">
      <c r="A2178" s="1"/>
      <c r="B2178" s="3" t="str">
        <f>IFERROR(__xludf.DUMMYFUNCTION("""COMPUTED_VALUE"""),"BUDI PRASETYO")</f>
        <v>BUDI PRASETYO</v>
      </c>
      <c r="C2178" s="3" t="str">
        <f>IFERROR(__xludf.DUMMYFUNCTION("""COMPUTED_VALUE"""),"B9225021410")</f>
        <v>B9225021410</v>
      </c>
      <c r="D2178" s="3">
        <f>IFERROR(__xludf.DUMMYFUNCTION("""COMPUTED_VALUE"""),34.0)</f>
        <v>34</v>
      </c>
      <c r="E2178" s="1"/>
    </row>
    <row r="2179">
      <c r="A2179" s="1"/>
      <c r="B2179" s="3" t="str">
        <f>IFERROR(__xludf.DUMMYFUNCTION("""COMPUTED_VALUE"""),"SAID ABY HUSNI")</f>
        <v>SAID ABY HUSNI</v>
      </c>
      <c r="C2179" s="3" t="str">
        <f>IFERROR(__xludf.DUMMYFUNCTION("""COMPUTED_VALUE"""),"S9325022893")</f>
        <v>S9325022893</v>
      </c>
      <c r="D2179" s="3">
        <f>IFERROR(__xludf.DUMMYFUNCTION("""COMPUTED_VALUE"""),32.0)</f>
        <v>32</v>
      </c>
      <c r="E2179" s="1"/>
    </row>
    <row r="2180">
      <c r="A2180" s="1"/>
      <c r="B2180" s="3" t="str">
        <f>IFERROR(__xludf.DUMMYFUNCTION("""COMPUTED_VALUE"""),"FERYAWAN")</f>
        <v>FERYAWAN</v>
      </c>
      <c r="C2180" s="3" t="str">
        <f>IFERROR(__xludf.DUMMYFUNCTION("""COMPUTED_VALUE"""),"F8325024685")</f>
        <v>F8325024685</v>
      </c>
      <c r="D2180" s="3">
        <f>IFERROR(__xludf.DUMMYFUNCTION("""COMPUTED_VALUE"""),43.0)</f>
        <v>43</v>
      </c>
      <c r="E2180" s="1"/>
    </row>
    <row r="2181">
      <c r="A2181" s="1"/>
      <c r="B2181" s="3" t="str">
        <f>IFERROR(__xludf.DUMMYFUNCTION("""COMPUTED_VALUE"""),"ANGGIAT JUNIAR")</f>
        <v>ANGGIAT JUNIAR</v>
      </c>
      <c r="C2181" s="3" t="str">
        <f>IFERROR(__xludf.DUMMYFUNCTION("""COMPUTED_VALUE"""),"A9025022018")</f>
        <v>A9025022018</v>
      </c>
      <c r="D2181" s="3">
        <f>IFERROR(__xludf.DUMMYFUNCTION("""COMPUTED_VALUE"""),36.0)</f>
        <v>36</v>
      </c>
      <c r="E2181" s="1"/>
    </row>
    <row r="2182">
      <c r="A2182" s="1"/>
      <c r="B2182" s="3" t="str">
        <f>IFERROR(__xludf.DUMMYFUNCTION("""COMPUTED_VALUE"""),"KALEO JAVAS LIANDRA")</f>
        <v>KALEO JAVAS LIANDRA</v>
      </c>
      <c r="C2182" s="3" t="str">
        <f>IFERROR(__xludf.DUMMYFUNCTION("""COMPUTED_VALUE"""),"K1025027455")</f>
        <v>K1025027455</v>
      </c>
      <c r="D2182" s="3">
        <f>IFERROR(__xludf.DUMMYFUNCTION("""COMPUTED_VALUE"""),16.0)</f>
        <v>16</v>
      </c>
      <c r="E2182" s="1"/>
    </row>
    <row r="2183">
      <c r="A2183" s="1"/>
      <c r="B2183" s="3" t="str">
        <f>IFERROR(__xludf.DUMMYFUNCTION("""COMPUTED_VALUE"""),"RISA AUDINA")</f>
        <v>RISA AUDINA</v>
      </c>
      <c r="C2183" s="3" t="str">
        <f>IFERROR(__xludf.DUMMYFUNCTION("""COMPUTED_VALUE"""),"R9625037907")</f>
        <v>R9625037907</v>
      </c>
      <c r="D2183" s="3">
        <f>IFERROR(__xludf.DUMMYFUNCTION("""COMPUTED_VALUE"""),30.0)</f>
        <v>30</v>
      </c>
      <c r="E2183" s="1"/>
    </row>
    <row r="2184">
      <c r="A2184" s="1"/>
      <c r="B2184" s="3" t="str">
        <f>IFERROR(__xludf.DUMMYFUNCTION("""COMPUTED_VALUE"""),"SUNARDI")</f>
        <v>SUNARDI</v>
      </c>
      <c r="C2184" s="3" t="str">
        <f>IFERROR(__xludf.DUMMYFUNCTION("""COMPUTED_VALUE"""),"S6825032444")</f>
        <v>S6825032444</v>
      </c>
      <c r="D2184" s="3">
        <f>IFERROR(__xludf.DUMMYFUNCTION("""COMPUTED_VALUE"""),57.0)</f>
        <v>57</v>
      </c>
      <c r="E2184" s="1"/>
    </row>
    <row r="2185">
      <c r="A2185" s="1"/>
      <c r="B2185" s="3" t="str">
        <f>IFERROR(__xludf.DUMMYFUNCTION("""COMPUTED_VALUE"""),"JULIANTO 8807")</f>
        <v>JULIANTO 8807</v>
      </c>
      <c r="C2185" s="3" t="str">
        <f>IFERROR(__xludf.DUMMYFUNCTION("""COMPUTED_VALUE"""),"J8825034075")</f>
        <v>J8825034075</v>
      </c>
      <c r="D2185" s="3">
        <f>IFERROR(__xludf.DUMMYFUNCTION("""COMPUTED_VALUE"""),37.0)</f>
        <v>37</v>
      </c>
      <c r="E2185" s="1"/>
    </row>
    <row r="2186">
      <c r="A2186" s="1"/>
      <c r="B2186" s="3" t="str">
        <f>IFERROR(__xludf.DUMMYFUNCTION("""COMPUTED_VALUE"""),"ANDAS DJIE")</f>
        <v>ANDAS DJIE</v>
      </c>
      <c r="C2186" s="3" t="str">
        <f>IFERROR(__xludf.DUMMYFUNCTION("""COMPUTED_VALUE"""),"A7225038989")</f>
        <v>A7225038989</v>
      </c>
      <c r="D2186" s="3">
        <f>IFERROR(__xludf.DUMMYFUNCTION("""COMPUTED_VALUE"""),53.0)</f>
        <v>53</v>
      </c>
      <c r="E2186" s="1"/>
    </row>
    <row r="2187">
      <c r="A2187" s="1"/>
      <c r="B2187" s="3" t="str">
        <f>IFERROR(__xludf.DUMMYFUNCTION("""COMPUTED_VALUE"""),"KASIPAH")</f>
        <v>KASIPAH</v>
      </c>
      <c r="C2187" s="3" t="str">
        <f>IFERROR(__xludf.DUMMYFUNCTION("""COMPUTED_VALUE"""),"K5425031410")</f>
        <v>K5425031410</v>
      </c>
      <c r="D2187" s="3">
        <f>IFERROR(__xludf.DUMMYFUNCTION("""COMPUTED_VALUE"""),71.0)</f>
        <v>71</v>
      </c>
      <c r="E2187" s="1"/>
    </row>
    <row r="2188">
      <c r="A2188" s="1"/>
      <c r="B2188" s="3" t="str">
        <f>IFERROR(__xludf.DUMMYFUNCTION("""COMPUTED_VALUE"""),"MELVERN AARON SANJAYA")</f>
        <v>MELVERN AARON SANJAYA</v>
      </c>
      <c r="C2188" s="3" t="str">
        <f>IFERROR(__xludf.DUMMYFUNCTION("""COMPUTED_VALUE"""),"M0925036212")</f>
        <v>M0925036212</v>
      </c>
      <c r="D2188" s="3">
        <f>IFERROR(__xludf.DUMMYFUNCTION("""COMPUTED_VALUE"""),17.0)</f>
        <v>17</v>
      </c>
      <c r="E2188" s="1"/>
    </row>
    <row r="2189">
      <c r="A2189" s="1"/>
      <c r="B2189" s="3" t="str">
        <f>IFERROR(__xludf.DUMMYFUNCTION("""COMPUTED_VALUE"""),"ALYA GHAISANI")</f>
        <v>ALYA GHAISANI</v>
      </c>
      <c r="C2189" s="3" t="str">
        <f>IFERROR(__xludf.DUMMYFUNCTION("""COMPUTED_VALUE"""),"A1625031346")</f>
        <v>A1625031346</v>
      </c>
      <c r="D2189" s="3">
        <f>IFERROR(__xludf.DUMMYFUNCTION("""COMPUTED_VALUE"""),9.0)</f>
        <v>9</v>
      </c>
      <c r="E2189" s="1"/>
    </row>
    <row r="2190">
      <c r="A2190" s="1"/>
      <c r="B2190" s="3" t="str">
        <f>IFERROR(__xludf.DUMMYFUNCTION("""COMPUTED_VALUE"""),"ANGGA")</f>
        <v>ANGGA</v>
      </c>
      <c r="C2190" s="3" t="str">
        <f>IFERROR(__xludf.DUMMYFUNCTION("""COMPUTED_VALUE"""),"A9225032065")</f>
        <v>A9225032065</v>
      </c>
      <c r="D2190" s="3">
        <f>IFERROR(__xludf.DUMMYFUNCTION("""COMPUTED_VALUE"""),33.0)</f>
        <v>33</v>
      </c>
      <c r="E2190" s="1"/>
    </row>
    <row r="2191">
      <c r="A2191" s="1"/>
      <c r="B2191" s="3" t="str">
        <f>IFERROR(__xludf.DUMMYFUNCTION("""COMPUTED_VALUE"""),"INDRAWATY")</f>
        <v>INDRAWATY</v>
      </c>
      <c r="C2191" s="3" t="str">
        <f>IFERROR(__xludf.DUMMYFUNCTION("""COMPUTED_VALUE"""),"I7525033289")</f>
        <v>I7525033289</v>
      </c>
      <c r="D2191" s="3">
        <f>IFERROR(__xludf.DUMMYFUNCTION("""COMPUTED_VALUE"""),50.0)</f>
        <v>50</v>
      </c>
      <c r="E2191" s="1"/>
    </row>
    <row r="2192">
      <c r="A2192" s="1"/>
      <c r="B2192" s="3" t="str">
        <f>IFERROR(__xludf.DUMMYFUNCTION("""COMPUTED_VALUE"""),"RASMINAH")</f>
        <v>RASMINAH</v>
      </c>
      <c r="C2192" s="3" t="str">
        <f>IFERROR(__xludf.DUMMYFUNCTION("""COMPUTED_VALUE"""),"R5225032022")</f>
        <v>R5225032022</v>
      </c>
      <c r="D2192" s="3">
        <f>IFERROR(__xludf.DUMMYFUNCTION("""COMPUTED_VALUE"""),73.0)</f>
        <v>73</v>
      </c>
      <c r="E2192" s="1"/>
    </row>
    <row r="2193">
      <c r="A2193" s="1"/>
      <c r="B2193" s="3" t="str">
        <f>IFERROR(__xludf.DUMMYFUNCTION("""COMPUTED_VALUE"""),"TULUS GOVER SIRINGORINGO")</f>
        <v>TULUS GOVER SIRINGORINGO</v>
      </c>
      <c r="C2193" s="3" t="str">
        <f>IFERROR(__xludf.DUMMYFUNCTION("""COMPUTED_VALUE"""),"T7225037288")</f>
        <v>T7225037288</v>
      </c>
      <c r="D2193" s="3">
        <f>IFERROR(__xludf.DUMMYFUNCTION("""COMPUTED_VALUE"""),54.0)</f>
        <v>54</v>
      </c>
      <c r="E2193" s="1"/>
    </row>
    <row r="2194">
      <c r="A2194" s="1"/>
      <c r="B2194" s="3" t="str">
        <f>IFERROR(__xludf.DUMMYFUNCTION("""COMPUTED_VALUE"""),"JAP HUI KHENG")</f>
        <v>JAP HUI KHENG</v>
      </c>
      <c r="C2194" s="3" t="str">
        <f>IFERROR(__xludf.DUMMYFUNCTION("""COMPUTED_VALUE"""),"J5325031312")</f>
        <v>J5325031312</v>
      </c>
      <c r="D2194" s="3">
        <f>IFERROR(__xludf.DUMMYFUNCTION("""COMPUTED_VALUE"""),72.0)</f>
        <v>72</v>
      </c>
      <c r="E2194" s="1"/>
    </row>
    <row r="2195">
      <c r="A2195" s="1"/>
      <c r="B2195" s="3" t="str">
        <f>IFERROR(__xludf.DUMMYFUNCTION("""COMPUTED_VALUE"""),"WIDYA RINI")</f>
        <v>WIDYA RINI</v>
      </c>
      <c r="C2195" s="3" t="str">
        <f>IFERROR(__xludf.DUMMYFUNCTION("""COMPUTED_VALUE"""),"W7625032999")</f>
        <v>W7625032999</v>
      </c>
      <c r="D2195" s="3">
        <f>IFERROR(__xludf.DUMMYFUNCTION("""COMPUTED_VALUE"""),49.0)</f>
        <v>49</v>
      </c>
      <c r="E2195" s="1"/>
    </row>
    <row r="2196">
      <c r="A2196" s="1"/>
      <c r="B2196" s="3" t="str">
        <f>IFERROR(__xludf.DUMMYFUNCTION("""COMPUTED_VALUE"""),"SURY")</f>
        <v>SURY</v>
      </c>
      <c r="C2196" s="3" t="str">
        <f>IFERROR(__xludf.DUMMYFUNCTION("""COMPUTED_VALUE"""),"S9625036365")</f>
        <v>S9625036365</v>
      </c>
      <c r="D2196" s="3">
        <f>IFERROR(__xludf.DUMMYFUNCTION("""COMPUTED_VALUE"""),30.0)</f>
        <v>30</v>
      </c>
      <c r="E2196" s="1"/>
    </row>
    <row r="2197">
      <c r="A2197" s="1"/>
      <c r="B2197" s="3" t="str">
        <f>IFERROR(__xludf.DUMMYFUNCTION("""COMPUTED_VALUE"""),"NUR DAMAYANTI")</f>
        <v>NUR DAMAYANTI</v>
      </c>
      <c r="C2197" s="3" t="str">
        <f>IFERROR(__xludf.DUMMYFUNCTION("""COMPUTED_VALUE"""),"N6925037736")</f>
        <v>N6925037736</v>
      </c>
      <c r="D2197" s="3">
        <f>IFERROR(__xludf.DUMMYFUNCTION("""COMPUTED_VALUE"""),56.0)</f>
        <v>56</v>
      </c>
      <c r="E2197" s="1"/>
    </row>
    <row r="2198">
      <c r="A2198" s="1"/>
      <c r="B2198" s="3" t="str">
        <f>IFERROR(__xludf.DUMMYFUNCTION("""COMPUTED_VALUE"""),"ADI RAHMANTO")</f>
        <v>ADI RAHMANTO</v>
      </c>
      <c r="C2198" s="3" t="str">
        <f>IFERROR(__xludf.DUMMYFUNCTION("""COMPUTED_VALUE"""),"A8425033201")</f>
        <v>A8425033201</v>
      </c>
      <c r="D2198" s="3">
        <f>IFERROR(__xludf.DUMMYFUNCTION("""COMPUTED_VALUE"""),42.0)</f>
        <v>42</v>
      </c>
      <c r="E2198" s="1"/>
    </row>
    <row r="2199">
      <c r="A2199" s="1"/>
      <c r="B2199" s="3" t="str">
        <f>IFERROR(__xludf.DUMMYFUNCTION("""COMPUTED_VALUE"""),"M ROFIQ")</f>
        <v>M ROFIQ</v>
      </c>
      <c r="C2199" s="3" t="str">
        <f>IFERROR(__xludf.DUMMYFUNCTION("""COMPUTED_VALUE"""),"M0025036480")</f>
        <v>M0025036480</v>
      </c>
      <c r="D2199" s="3">
        <f>IFERROR(__xludf.DUMMYFUNCTION("""COMPUTED_VALUE"""),26.0)</f>
        <v>26</v>
      </c>
      <c r="E2199" s="1"/>
    </row>
    <row r="2200">
      <c r="A2200" s="1"/>
      <c r="B2200" s="3" t="str">
        <f>IFERROR(__xludf.DUMMYFUNCTION("""COMPUTED_VALUE"""),"YUSSY IRZATI MARDANI")</f>
        <v>YUSSY IRZATI MARDANI</v>
      </c>
      <c r="C2200" s="3" t="str">
        <f>IFERROR(__xludf.DUMMYFUNCTION("""COMPUTED_VALUE"""),"Y0725037043")</f>
        <v>Y0725037043</v>
      </c>
      <c r="D2200" s="3">
        <f>IFERROR(__xludf.DUMMYFUNCTION("""COMPUTED_VALUE"""),19.0)</f>
        <v>19</v>
      </c>
      <c r="E2200" s="1"/>
    </row>
    <row r="2201">
      <c r="A2201" s="1"/>
      <c r="B2201" s="3" t="str">
        <f>IFERROR(__xludf.DUMMYFUNCTION("""COMPUTED_VALUE"""),"WASKITHA ADI WIBOWO")</f>
        <v>WASKITHA ADI WIBOWO</v>
      </c>
      <c r="C2201" s="3" t="str">
        <f>IFERROR(__xludf.DUMMYFUNCTION("""COMPUTED_VALUE"""),"W8925035671")</f>
        <v>W8925035671</v>
      </c>
      <c r="D2201" s="3">
        <f>IFERROR(__xludf.DUMMYFUNCTION("""COMPUTED_VALUE"""),37.0)</f>
        <v>37</v>
      </c>
      <c r="E2201" s="1"/>
    </row>
    <row r="2202">
      <c r="A2202" s="1"/>
      <c r="B2202" s="3" t="str">
        <f>IFERROR(__xludf.DUMMYFUNCTION("""COMPUTED_VALUE"""),"DIGO SAPUTRA")</f>
        <v>DIGO SAPUTRA</v>
      </c>
      <c r="C2202" s="3" t="str">
        <f>IFERROR(__xludf.DUMMYFUNCTION("""COMPUTED_VALUE"""),"D0825035630")</f>
        <v>D0825035630</v>
      </c>
      <c r="D2202" s="3">
        <f>IFERROR(__xludf.DUMMYFUNCTION("""COMPUTED_VALUE"""),17.0)</f>
        <v>17</v>
      </c>
      <c r="E2202" s="1"/>
    </row>
    <row r="2203">
      <c r="A2203" s="1"/>
      <c r="B2203" s="3" t="str">
        <f>IFERROR(__xludf.DUMMYFUNCTION("""COMPUTED_VALUE"""),"MULYADI HALIM KRISNO")</f>
        <v>MULYADI HALIM KRISNO</v>
      </c>
      <c r="C2203" s="3" t="str">
        <f>IFERROR(__xludf.DUMMYFUNCTION("""COMPUTED_VALUE"""),"M8525033556")</f>
        <v>M8525033556</v>
      </c>
      <c r="D2203" s="3">
        <f>IFERROR(__xludf.DUMMYFUNCTION("""COMPUTED_VALUE"""),40.0)</f>
        <v>40</v>
      </c>
      <c r="E2203" s="1"/>
    </row>
    <row r="2204">
      <c r="A2204" s="1"/>
      <c r="B2204" s="3" t="str">
        <f>IFERROR(__xludf.DUMMYFUNCTION("""COMPUTED_VALUE"""),"HENDRI GUNAWAN9208")</f>
        <v>HENDRI GUNAWAN9208</v>
      </c>
      <c r="C2204" s="3" t="str">
        <f>IFERROR(__xludf.DUMMYFUNCTION("""COMPUTED_VALUE"""),"H9225034996")</f>
        <v>H9225034996</v>
      </c>
      <c r="D2204" s="3">
        <f>IFERROR(__xludf.DUMMYFUNCTION("""COMPUTED_VALUE"""),33.0)</f>
        <v>33</v>
      </c>
      <c r="E2204" s="1"/>
    </row>
    <row r="2205">
      <c r="A2205" s="1"/>
      <c r="B2205" s="3" t="str">
        <f>IFERROR(__xludf.DUMMYFUNCTION("""COMPUTED_VALUE"""),"SUTRISNO WICAKSONO SIM")</f>
        <v>SUTRISNO WICAKSONO SIM</v>
      </c>
      <c r="C2205" s="3" t="str">
        <f>IFERROR(__xludf.DUMMYFUNCTION("""COMPUTED_VALUE"""),"S8825033513")</f>
        <v>S8825033513</v>
      </c>
      <c r="D2205" s="3">
        <f>IFERROR(__xludf.DUMMYFUNCTION("""COMPUTED_VALUE"""),38.0)</f>
        <v>38</v>
      </c>
      <c r="E2205" s="1"/>
    </row>
    <row r="2206">
      <c r="A2206" s="1"/>
      <c r="B2206" s="3" t="str">
        <f>IFERROR(__xludf.DUMMYFUNCTION("""COMPUTED_VALUE"""),"IBNUR RASYID")</f>
        <v>IBNUR RASYID</v>
      </c>
      <c r="C2206" s="3" t="str">
        <f>IFERROR(__xludf.DUMMYFUNCTION("""COMPUTED_VALUE"""),"I9325036593")</f>
        <v>I9325036593</v>
      </c>
      <c r="D2206" s="3">
        <f>IFERROR(__xludf.DUMMYFUNCTION("""COMPUTED_VALUE"""),32.0)</f>
        <v>32</v>
      </c>
      <c r="E2206" s="1"/>
    </row>
    <row r="2207">
      <c r="A2207" s="1"/>
      <c r="B2207" s="3" t="str">
        <f>IFERROR(__xludf.DUMMYFUNCTION("""COMPUTED_VALUE"""),"DESTRIANDY")</f>
        <v>DESTRIANDY</v>
      </c>
      <c r="C2207" s="3" t="str">
        <f>IFERROR(__xludf.DUMMYFUNCTION("""COMPUTED_VALUE"""),"D8625031328")</f>
        <v>D8625031328</v>
      </c>
      <c r="D2207" s="3">
        <f>IFERROR(__xludf.DUMMYFUNCTION("""COMPUTED_VALUE"""),39.0)</f>
        <v>39</v>
      </c>
      <c r="E2207" s="1"/>
    </row>
    <row r="2208">
      <c r="A2208" s="1"/>
      <c r="B2208" s="3" t="str">
        <f>IFERROR(__xludf.DUMMYFUNCTION("""COMPUTED_VALUE"""),"LIM CHAI SENG")</f>
        <v>LIM CHAI SENG</v>
      </c>
      <c r="C2208" s="3" t="str">
        <f>IFERROR(__xludf.DUMMYFUNCTION("""COMPUTED_VALUE"""),"L0025039768")</f>
        <v>L0025039768</v>
      </c>
      <c r="D2208" s="3">
        <f>IFERROR(__xludf.DUMMYFUNCTION("""COMPUTED_VALUE"""),25.0)</f>
        <v>25</v>
      </c>
      <c r="E2208" s="1"/>
    </row>
    <row r="2209">
      <c r="A2209" s="1"/>
      <c r="B2209" s="3" t="str">
        <f>IFERROR(__xludf.DUMMYFUNCTION("""COMPUTED_VALUE"""),"DWI BARI LUTHFIANUR")</f>
        <v>DWI BARI LUTHFIANUR</v>
      </c>
      <c r="C2209" s="3" t="str">
        <f>IFERROR(__xludf.DUMMYFUNCTION("""COMPUTED_VALUE"""),"D8825037244")</f>
        <v>D8825037244</v>
      </c>
      <c r="D2209" s="3">
        <f>IFERROR(__xludf.DUMMYFUNCTION("""COMPUTED_VALUE"""),37.0)</f>
        <v>37</v>
      </c>
      <c r="E2209" s="1"/>
    </row>
    <row r="2210">
      <c r="A2210" s="1"/>
      <c r="B2210" s="3" t="str">
        <f>IFERROR(__xludf.DUMMYFUNCTION("""COMPUTED_VALUE"""),"HAJIJAH")</f>
        <v>HAJIJAH</v>
      </c>
      <c r="C2210" s="3" t="str">
        <f>IFERROR(__xludf.DUMMYFUNCTION("""COMPUTED_VALUE"""),"H6125034253")</f>
        <v>H6125034253</v>
      </c>
      <c r="D2210" s="3">
        <f>IFERROR(__xludf.DUMMYFUNCTION("""COMPUTED_VALUE"""),65.0)</f>
        <v>65</v>
      </c>
      <c r="E2210" s="1"/>
    </row>
    <row r="2211">
      <c r="A2211" s="1"/>
      <c r="B2211" s="3" t="str">
        <f>IFERROR(__xludf.DUMMYFUNCTION("""COMPUTED_VALUE"""),"FEBRANS FERNANDO SITORUS")</f>
        <v>FEBRANS FERNANDO SITORUS</v>
      </c>
      <c r="C2211" s="3" t="str">
        <f>IFERROR(__xludf.DUMMYFUNCTION("""COMPUTED_VALUE"""),"F9525035304")</f>
        <v>F9525035304</v>
      </c>
      <c r="D2211" s="3">
        <f>IFERROR(__xludf.DUMMYFUNCTION("""COMPUTED_VALUE"""),31.0)</f>
        <v>31</v>
      </c>
      <c r="E2211" s="1"/>
    </row>
    <row r="2212">
      <c r="A2212" s="1"/>
      <c r="B2212" s="3" t="str">
        <f>IFERROR(__xludf.DUMMYFUNCTION("""COMPUTED_VALUE"""),"ZAINUDIN")</f>
        <v>ZAINUDIN</v>
      </c>
      <c r="C2212" s="3" t="str">
        <f>IFERROR(__xludf.DUMMYFUNCTION("""COMPUTED_VALUE"""),"Z9825039148")</f>
        <v>Z9825039148</v>
      </c>
      <c r="D2212" s="3">
        <f>IFERROR(__xludf.DUMMYFUNCTION("""COMPUTED_VALUE"""),28.0)</f>
        <v>28</v>
      </c>
      <c r="E2212" s="1"/>
    </row>
    <row r="2213">
      <c r="A2213" s="1"/>
      <c r="B2213" s="3" t="str">
        <f>IFERROR(__xludf.DUMMYFUNCTION("""COMPUTED_VALUE"""),"AZHARI")</f>
        <v>AZHARI</v>
      </c>
      <c r="C2213" s="3" t="str">
        <f>IFERROR(__xludf.DUMMYFUNCTION("""COMPUTED_VALUE"""),"A6025032388")</f>
        <v>A6025032388</v>
      </c>
      <c r="D2213" s="3">
        <f>IFERROR(__xludf.DUMMYFUNCTION("""COMPUTED_VALUE"""),65.0)</f>
        <v>65</v>
      </c>
      <c r="E2213" s="1"/>
    </row>
    <row r="2214">
      <c r="A2214" s="1"/>
      <c r="B2214" s="3" t="str">
        <f>IFERROR(__xludf.DUMMYFUNCTION("""COMPUTED_VALUE"""),"DEDE SUBANDI N")</f>
        <v>DEDE SUBANDI N</v>
      </c>
      <c r="C2214" s="3" t="str">
        <f>IFERROR(__xludf.DUMMYFUNCTION("""COMPUTED_VALUE"""),"D8925037556")</f>
        <v>D8925037556</v>
      </c>
      <c r="D2214" s="3">
        <f>IFERROR(__xludf.DUMMYFUNCTION("""COMPUTED_VALUE"""),36.0)</f>
        <v>36</v>
      </c>
      <c r="E2214" s="1"/>
    </row>
    <row r="2215">
      <c r="A2215" s="1"/>
      <c r="B2215" s="3" t="str">
        <f>IFERROR(__xludf.DUMMYFUNCTION("""COMPUTED_VALUE"""),"DIANA")</f>
        <v>DIANA</v>
      </c>
      <c r="C2215" s="3" t="str">
        <f>IFERROR(__xludf.DUMMYFUNCTION("""COMPUTED_VALUE"""),"D6925037525")</f>
        <v>D6925037525</v>
      </c>
      <c r="D2215" s="3">
        <f>IFERROR(__xludf.DUMMYFUNCTION("""COMPUTED_VALUE"""),57.0)</f>
        <v>57</v>
      </c>
      <c r="E2215" s="1"/>
    </row>
    <row r="2216">
      <c r="A2216" s="1"/>
      <c r="B2216" s="3" t="str">
        <f>IFERROR(__xludf.DUMMYFUNCTION("""COMPUTED_VALUE"""),"DICKY KUSUMA SAKTI")</f>
        <v>DICKY KUSUMA SAKTI</v>
      </c>
      <c r="C2216" s="3" t="str">
        <f>IFERROR(__xludf.DUMMYFUNCTION("""COMPUTED_VALUE"""),"D9525039860")</f>
        <v>D9525039860</v>
      </c>
      <c r="D2216" s="3">
        <f>IFERROR(__xludf.DUMMYFUNCTION("""COMPUTED_VALUE"""),31.0)</f>
        <v>31</v>
      </c>
      <c r="E2216" s="1"/>
    </row>
    <row r="2217">
      <c r="A2217" s="1"/>
      <c r="B2217" s="3" t="str">
        <f>IFERROR(__xludf.DUMMYFUNCTION("""COMPUTED_VALUE"""),"ELMON UTOMO")</f>
        <v>ELMON UTOMO</v>
      </c>
      <c r="C2217" s="3" t="str">
        <f>IFERROR(__xludf.DUMMYFUNCTION("""COMPUTED_VALUE"""),"E8825039292")</f>
        <v>E8825039292</v>
      </c>
      <c r="D2217" s="3">
        <f>IFERROR(__xludf.DUMMYFUNCTION("""COMPUTED_VALUE"""),37.0)</f>
        <v>37</v>
      </c>
      <c r="E2217" s="1"/>
    </row>
    <row r="2218">
      <c r="A2218" s="1"/>
      <c r="B2218" s="3" t="str">
        <f>IFERROR(__xludf.DUMMYFUNCTION("""COMPUTED_VALUE"""),"TERA VICIANI")</f>
        <v>TERA VICIANI</v>
      </c>
      <c r="C2218" s="3" t="str">
        <f>IFERROR(__xludf.DUMMYFUNCTION("""COMPUTED_VALUE"""),"T8825037433")</f>
        <v>T8825037433</v>
      </c>
      <c r="D2218" s="3">
        <f>IFERROR(__xludf.DUMMYFUNCTION("""COMPUTED_VALUE"""),37.0)</f>
        <v>37</v>
      </c>
      <c r="E2218" s="1"/>
    </row>
    <row r="2219">
      <c r="A2219" s="1"/>
      <c r="B2219" s="3" t="str">
        <f>IFERROR(__xludf.DUMMYFUNCTION("""COMPUTED_VALUE"""),"ABROORZA AHMAD YUSRA")</f>
        <v>ABROORZA AHMAD YUSRA</v>
      </c>
      <c r="C2219" s="3" t="str">
        <f>IFERROR(__xludf.DUMMYFUNCTION("""COMPUTED_VALUE"""),"A8725031614")</f>
        <v>A8725031614</v>
      </c>
      <c r="D2219" s="3">
        <f>IFERROR(__xludf.DUMMYFUNCTION("""COMPUTED_VALUE"""),39.0)</f>
        <v>39</v>
      </c>
      <c r="E2219" s="1"/>
    </row>
    <row r="2220">
      <c r="A2220" s="1"/>
      <c r="B2220" s="3" t="str">
        <f>IFERROR(__xludf.DUMMYFUNCTION("""COMPUTED_VALUE"""),"RENNY MARYUNI")</f>
        <v>RENNY MARYUNI</v>
      </c>
      <c r="C2220" s="3" t="str">
        <f>IFERROR(__xludf.DUMMYFUNCTION("""COMPUTED_VALUE"""),"R7625034547")</f>
        <v>R7625034547</v>
      </c>
      <c r="D2220" s="3">
        <f>IFERROR(__xludf.DUMMYFUNCTION("""COMPUTED_VALUE"""),50.0)</f>
        <v>50</v>
      </c>
      <c r="E2220" s="1"/>
    </row>
    <row r="2221">
      <c r="A2221" s="1"/>
      <c r="B2221" s="3" t="str">
        <f>IFERROR(__xludf.DUMMYFUNCTION("""COMPUTED_VALUE"""),"WAHYU TITIANTO NUGROHO")</f>
        <v>WAHYU TITIANTO NUGROHO</v>
      </c>
      <c r="C2221" s="3" t="str">
        <f>IFERROR(__xludf.DUMMYFUNCTION("""COMPUTED_VALUE"""),"W9225037286")</f>
        <v>W9225037286</v>
      </c>
      <c r="D2221" s="3">
        <f>IFERROR(__xludf.DUMMYFUNCTION("""COMPUTED_VALUE"""),34.0)</f>
        <v>34</v>
      </c>
      <c r="E2221" s="1"/>
    </row>
    <row r="2222">
      <c r="A2222" s="1"/>
      <c r="B2222" s="3" t="str">
        <f>IFERROR(__xludf.DUMMYFUNCTION("""COMPUTED_VALUE"""),"SYALSABILLA FARWA")</f>
        <v>SYALSABILLA FARWA</v>
      </c>
      <c r="C2222" s="3" t="str">
        <f>IFERROR(__xludf.DUMMYFUNCTION("""COMPUTED_VALUE"""),"S0225036749")</f>
        <v>S0225036749</v>
      </c>
      <c r="D2222" s="3">
        <f>IFERROR(__xludf.DUMMYFUNCTION("""COMPUTED_VALUE"""),24.0)</f>
        <v>24</v>
      </c>
      <c r="E2222" s="1"/>
    </row>
    <row r="2223">
      <c r="A2223" s="1"/>
      <c r="B2223" s="3" t="str">
        <f>IFERROR(__xludf.DUMMYFUNCTION("""COMPUTED_VALUE"""),"DEWI RAHMI SALSABILLA CAHYANTO")</f>
        <v>DEWI RAHMI SALSABILLA CAHYANTO</v>
      </c>
      <c r="C2223" s="3" t="str">
        <f>IFERROR(__xludf.DUMMYFUNCTION("""COMPUTED_VALUE"""),"D0025032820")</f>
        <v>D0025032820</v>
      </c>
      <c r="D2223" s="3">
        <f>IFERROR(__xludf.DUMMYFUNCTION("""COMPUTED_VALUE"""),25.0)</f>
        <v>25</v>
      </c>
      <c r="E2223" s="1"/>
    </row>
    <row r="2224">
      <c r="A2224" s="1"/>
      <c r="B2224" s="3" t="str">
        <f>IFERROR(__xludf.DUMMYFUNCTION("""COMPUTED_VALUE"""),"CELINE GUNAWAN")</f>
        <v>CELINE GUNAWAN</v>
      </c>
      <c r="C2224" s="3" t="str">
        <f>IFERROR(__xludf.DUMMYFUNCTION("""COMPUTED_VALUE"""),"C9825037715")</f>
        <v>C9825037715</v>
      </c>
      <c r="D2224" s="3">
        <f>IFERROR(__xludf.DUMMYFUNCTION("""COMPUTED_VALUE"""),28.0)</f>
        <v>28</v>
      </c>
      <c r="E2224" s="1"/>
    </row>
    <row r="2225">
      <c r="A2225" s="1"/>
      <c r="B2225" s="3" t="str">
        <f>IFERROR(__xludf.DUMMYFUNCTION("""COMPUTED_VALUE"""),"ABELARD CAECAR NAMASKAR")</f>
        <v>ABELARD CAECAR NAMASKAR</v>
      </c>
      <c r="C2225" s="3" t="str">
        <f>IFERROR(__xludf.DUMMYFUNCTION("""COMPUTED_VALUE"""),"A0525033158")</f>
        <v>A0525033158</v>
      </c>
      <c r="D2225" s="3">
        <f>IFERROR(__xludf.DUMMYFUNCTION("""COMPUTED_VALUE"""),20.0)</f>
        <v>20</v>
      </c>
      <c r="E2225" s="1"/>
    </row>
    <row r="2226">
      <c r="A2226" s="1"/>
      <c r="B2226" s="3" t="str">
        <f>IFERROR(__xludf.DUMMYFUNCTION("""COMPUTED_VALUE"""),"MAHDIANA")</f>
        <v>MAHDIANA</v>
      </c>
      <c r="C2226" s="3" t="str">
        <f>IFERROR(__xludf.DUMMYFUNCTION("""COMPUTED_VALUE"""),"M7725039998")</f>
        <v>M7725039998</v>
      </c>
      <c r="D2226" s="3">
        <f>IFERROR(__xludf.DUMMYFUNCTION("""COMPUTED_VALUE"""),48.0)</f>
        <v>48</v>
      </c>
      <c r="E2226" s="1"/>
    </row>
    <row r="2227">
      <c r="A2227" s="1"/>
      <c r="B2227" s="3" t="str">
        <f>IFERROR(__xludf.DUMMYFUNCTION("""COMPUTED_VALUE"""),"HASNUL BAKRI")</f>
        <v>HASNUL BAKRI</v>
      </c>
      <c r="C2227" s="3" t="str">
        <f>IFERROR(__xludf.DUMMYFUNCTION("""COMPUTED_VALUE"""),"H5625037772")</f>
        <v>H5625037772</v>
      </c>
      <c r="D2227" s="3">
        <f>IFERROR(__xludf.DUMMYFUNCTION("""COMPUTED_VALUE"""),70.0)</f>
        <v>70</v>
      </c>
      <c r="E2227" s="1"/>
    </row>
    <row r="2228">
      <c r="A2228" s="1"/>
      <c r="B2228" s="3" t="str">
        <f>IFERROR(__xludf.DUMMYFUNCTION("""COMPUTED_VALUE"""),"SUNARTI")</f>
        <v>SUNARTI</v>
      </c>
      <c r="C2228" s="3" t="str">
        <f>IFERROR(__xludf.DUMMYFUNCTION("""COMPUTED_VALUE"""),"S8125033417")</f>
        <v>S8125033417</v>
      </c>
      <c r="D2228" s="3">
        <f>IFERROR(__xludf.DUMMYFUNCTION("""COMPUTED_VALUE"""),44.0)</f>
        <v>44</v>
      </c>
      <c r="E2228" s="1"/>
    </row>
    <row r="2229">
      <c r="A2229" s="1"/>
      <c r="B2229" s="3" t="str">
        <f>IFERROR(__xludf.DUMMYFUNCTION("""COMPUTED_VALUE"""),"NENENG R")</f>
        <v>NENENG R</v>
      </c>
      <c r="C2229" s="3" t="str">
        <f>IFERROR(__xludf.DUMMYFUNCTION("""COMPUTED_VALUE"""),"N7725036621")</f>
        <v>N7725036621</v>
      </c>
      <c r="D2229" s="3">
        <f>IFERROR(__xludf.DUMMYFUNCTION("""COMPUTED_VALUE"""),49.0)</f>
        <v>49</v>
      </c>
      <c r="E2229" s="1"/>
    </row>
    <row r="2230">
      <c r="A2230" s="1"/>
      <c r="B2230" s="3" t="str">
        <f>IFERROR(__xludf.DUMMYFUNCTION("""COMPUTED_VALUE"""),"INDA DHANIA")</f>
        <v>INDA DHANIA</v>
      </c>
      <c r="C2230" s="3" t="str">
        <f>IFERROR(__xludf.DUMMYFUNCTION("""COMPUTED_VALUE"""),"I9125033942")</f>
        <v>I9125033942</v>
      </c>
      <c r="D2230" s="3">
        <f>IFERROR(__xludf.DUMMYFUNCTION("""COMPUTED_VALUE"""),35.0)</f>
        <v>35</v>
      </c>
      <c r="E2230" s="1"/>
    </row>
    <row r="2231">
      <c r="A2231" s="1"/>
      <c r="B2231" s="3" t="str">
        <f>IFERROR(__xludf.DUMMYFUNCTION("""COMPUTED_VALUE"""),"ALIU")</f>
        <v>ALIU</v>
      </c>
      <c r="C2231" s="3" t="str">
        <f>IFERROR(__xludf.DUMMYFUNCTION("""COMPUTED_VALUE"""),"A6225031027")</f>
        <v>A6225031027</v>
      </c>
      <c r="D2231" s="3">
        <f>IFERROR(__xludf.DUMMYFUNCTION("""COMPUTED_VALUE"""),63.0)</f>
        <v>63</v>
      </c>
      <c r="E2231" s="1"/>
    </row>
    <row r="2232">
      <c r="A2232" s="1"/>
      <c r="B2232" s="3" t="str">
        <f>IFERROR(__xludf.DUMMYFUNCTION("""COMPUTED_VALUE"""),"RIDHO ARIHTA BANCIN")</f>
        <v>RIDHO ARIHTA BANCIN</v>
      </c>
      <c r="C2232" s="3" t="str">
        <f>IFERROR(__xludf.DUMMYFUNCTION("""COMPUTED_VALUE"""),"R0025032344")</f>
        <v>R0025032344</v>
      </c>
      <c r="D2232" s="3">
        <f>IFERROR(__xludf.DUMMYFUNCTION("""COMPUTED_VALUE"""),25.0)</f>
        <v>25</v>
      </c>
      <c r="E2232" s="1"/>
    </row>
    <row r="2233">
      <c r="A2233" s="1"/>
      <c r="B2233" s="3" t="str">
        <f>IFERROR(__xludf.DUMMYFUNCTION("""COMPUTED_VALUE"""),"HERMAN SALIM")</f>
        <v>HERMAN SALIM</v>
      </c>
      <c r="C2233" s="3" t="str">
        <f>IFERROR(__xludf.DUMMYFUNCTION("""COMPUTED_VALUE"""),"H7825036900")</f>
        <v>H7825036900</v>
      </c>
      <c r="D2233" s="3">
        <f>IFERROR(__xludf.DUMMYFUNCTION("""COMPUTED_VALUE"""),47.0)</f>
        <v>47</v>
      </c>
      <c r="E2233" s="1"/>
    </row>
    <row r="2234">
      <c r="A2234" s="1"/>
      <c r="B2234" s="3" t="str">
        <f>IFERROR(__xludf.DUMMYFUNCTION("""COMPUTED_VALUE"""),"EVAN FERNANDO")</f>
        <v>EVAN FERNANDO</v>
      </c>
      <c r="C2234" s="3" t="str">
        <f>IFERROR(__xludf.DUMMYFUNCTION("""COMPUTED_VALUE"""),"E9725035374")</f>
        <v>E9725035374</v>
      </c>
      <c r="D2234" s="3">
        <f>IFERROR(__xludf.DUMMYFUNCTION("""COMPUTED_VALUE"""),29.0)</f>
        <v>29</v>
      </c>
      <c r="E2234" s="1"/>
    </row>
    <row r="2235">
      <c r="A2235" s="1"/>
      <c r="B2235" s="3" t="str">
        <f>IFERROR(__xludf.DUMMYFUNCTION("""COMPUTED_VALUE"""),"GHALIB IBNU HAADY")</f>
        <v>GHALIB IBNU HAADY</v>
      </c>
      <c r="C2235" s="3" t="str">
        <f>IFERROR(__xludf.DUMMYFUNCTION("""COMPUTED_VALUE"""),"G0925037845")</f>
        <v>G0925037845</v>
      </c>
      <c r="D2235" s="3">
        <f>IFERROR(__xludf.DUMMYFUNCTION("""COMPUTED_VALUE"""),16.0)</f>
        <v>16</v>
      </c>
      <c r="E2235" s="1"/>
    </row>
    <row r="2236">
      <c r="A2236" s="1"/>
      <c r="B2236" s="3" t="str">
        <f>IFERROR(__xludf.DUMMYFUNCTION("""COMPUTED_VALUE"""),"YENI ROSDIANA")</f>
        <v>YENI ROSDIANA</v>
      </c>
      <c r="C2236" s="3" t="str">
        <f>IFERROR(__xludf.DUMMYFUNCTION("""COMPUTED_VALUE"""),"Y7525039091")</f>
        <v>Y7525039091</v>
      </c>
      <c r="D2236" s="3">
        <f>IFERROR(__xludf.DUMMYFUNCTION("""COMPUTED_VALUE"""),50.0)</f>
        <v>50</v>
      </c>
      <c r="E2236" s="1"/>
    </row>
    <row r="2237">
      <c r="A2237" s="1"/>
      <c r="B2237" s="3" t="str">
        <f>IFERROR(__xludf.DUMMYFUNCTION("""COMPUTED_VALUE"""),"SYIFA HAYATUN NURTAQWA")</f>
        <v>SYIFA HAYATUN NURTAQWA</v>
      </c>
      <c r="C2237" s="3" t="str">
        <f>IFERROR(__xludf.DUMMYFUNCTION("""COMPUTED_VALUE"""),"S9925035218")</f>
        <v>S9925035218</v>
      </c>
      <c r="D2237" s="3">
        <f>IFERROR(__xludf.DUMMYFUNCTION("""COMPUTED_VALUE"""),26.0)</f>
        <v>26</v>
      </c>
      <c r="E2237" s="1"/>
    </row>
    <row r="2238">
      <c r="A2238" s="1"/>
      <c r="B2238" s="3" t="str">
        <f>IFERROR(__xludf.DUMMYFUNCTION("""COMPUTED_VALUE"""),"ASPARAYATI")</f>
        <v>ASPARAYATI</v>
      </c>
      <c r="C2238" s="3" t="str">
        <f>IFERROR(__xludf.DUMMYFUNCTION("""COMPUTED_VALUE"""),"A6825034878")</f>
        <v>A6825034878</v>
      </c>
      <c r="D2238" s="3">
        <f>IFERROR(__xludf.DUMMYFUNCTION("""COMPUTED_VALUE"""),58.0)</f>
        <v>58</v>
      </c>
      <c r="E2238" s="1"/>
    </row>
    <row r="2239">
      <c r="A2239" s="1"/>
      <c r="B2239" s="3" t="str">
        <f>IFERROR(__xludf.DUMMYFUNCTION("""COMPUTED_VALUE"""),"MARSITA WINANDA")</f>
        <v>MARSITA WINANDA</v>
      </c>
      <c r="C2239" s="3" t="str">
        <f>IFERROR(__xludf.DUMMYFUNCTION("""COMPUTED_VALUE"""),"M0025039227")</f>
        <v>M0025039227</v>
      </c>
      <c r="D2239" s="3">
        <f>IFERROR(__xludf.DUMMYFUNCTION("""COMPUTED_VALUE"""),26.0)</f>
        <v>26</v>
      </c>
      <c r="E2239" s="1"/>
    </row>
    <row r="2240">
      <c r="A2240" s="1"/>
      <c r="B2240" s="3" t="str">
        <f>IFERROR(__xludf.DUMMYFUNCTION("""COMPUTED_VALUE"""),"FEBRIANTO EKA PRASTYO")</f>
        <v>FEBRIANTO EKA PRASTYO</v>
      </c>
      <c r="C2240" s="3" t="str">
        <f>IFERROR(__xludf.DUMMYFUNCTION("""COMPUTED_VALUE"""),"F0025032002")</f>
        <v>F0025032002</v>
      </c>
      <c r="D2240" s="3">
        <f>IFERROR(__xludf.DUMMYFUNCTION("""COMPUTED_VALUE"""),26.0)</f>
        <v>26</v>
      </c>
      <c r="E2240" s="1"/>
    </row>
    <row r="2241">
      <c r="A2241" s="1"/>
      <c r="B2241" s="3" t="str">
        <f>IFERROR(__xludf.DUMMYFUNCTION("""COMPUTED_VALUE"""),"POLINA A")</f>
        <v>POLINA A</v>
      </c>
      <c r="C2241" s="3" t="str">
        <f>IFERROR(__xludf.DUMMYFUNCTION("""COMPUTED_VALUE"""),"P7725034262")</f>
        <v>P7725034262</v>
      </c>
      <c r="D2241" s="3">
        <f>IFERROR(__xludf.DUMMYFUNCTION("""COMPUTED_VALUE"""),48.0)</f>
        <v>48</v>
      </c>
      <c r="E2241" s="1"/>
    </row>
    <row r="2242">
      <c r="A2242" s="1"/>
      <c r="B2242" s="3" t="str">
        <f>IFERROR(__xludf.DUMMYFUNCTION("""COMPUTED_VALUE"""),"JULIANA EDWYN")</f>
        <v>JULIANA EDWYN</v>
      </c>
      <c r="C2242" s="3" t="str">
        <f>IFERROR(__xludf.DUMMYFUNCTION("""COMPUTED_VALUE"""),"J6925031006")</f>
        <v>J6925031006</v>
      </c>
      <c r="D2242" s="3">
        <f>IFERROR(__xludf.DUMMYFUNCTION("""COMPUTED_VALUE"""),57.0)</f>
        <v>57</v>
      </c>
      <c r="E2242" s="1"/>
    </row>
    <row r="2243">
      <c r="A2243" s="1"/>
      <c r="B2243" s="3" t="str">
        <f>IFERROR(__xludf.DUMMYFUNCTION("""COMPUTED_VALUE"""),"YULIANA APIN")</f>
        <v>YULIANA APIN</v>
      </c>
      <c r="C2243" s="3" t="str">
        <f>IFERROR(__xludf.DUMMYFUNCTION("""COMPUTED_VALUE"""),"Y6125037171")</f>
        <v>Y6125037171</v>
      </c>
      <c r="D2243" s="3">
        <f>IFERROR(__xludf.DUMMYFUNCTION("""COMPUTED_VALUE"""),64.0)</f>
        <v>64</v>
      </c>
      <c r="E2243" s="1"/>
    </row>
    <row r="2244">
      <c r="A2244" s="1"/>
      <c r="B2244" s="3" t="str">
        <f>IFERROR(__xludf.DUMMYFUNCTION("""COMPUTED_VALUE"""),"KASIDINI RAMADHANI")</f>
        <v>KASIDINI RAMADHANI</v>
      </c>
      <c r="C2244" s="3" t="str">
        <f>IFERROR(__xludf.DUMMYFUNCTION("""COMPUTED_VALUE"""),"K9725036022")</f>
        <v>K9725036022</v>
      </c>
      <c r="D2244" s="3">
        <f>IFERROR(__xludf.DUMMYFUNCTION("""COMPUTED_VALUE"""),29.0)</f>
        <v>29</v>
      </c>
      <c r="E2244" s="1"/>
    </row>
    <row r="2245">
      <c r="A2245" s="1"/>
      <c r="B2245" s="3" t="str">
        <f>IFERROR(__xludf.DUMMYFUNCTION("""COMPUTED_VALUE"""),"CICI")</f>
        <v>CICI</v>
      </c>
      <c r="C2245" s="3" t="str">
        <f>IFERROR(__xludf.DUMMYFUNCTION("""COMPUTED_VALUE"""),"C8125036535")</f>
        <v>C8125036535</v>
      </c>
      <c r="D2245" s="3">
        <f>IFERROR(__xludf.DUMMYFUNCTION("""COMPUTED_VALUE"""),45.0)</f>
        <v>45</v>
      </c>
      <c r="E2245" s="1"/>
    </row>
    <row r="2246">
      <c r="A2246" s="1"/>
      <c r="B2246" s="3" t="str">
        <f>IFERROR(__xludf.DUMMYFUNCTION("""COMPUTED_VALUE"""),"LINDA SUSANTI")</f>
        <v>LINDA SUSANTI</v>
      </c>
      <c r="C2246" s="3" t="str">
        <f>IFERROR(__xludf.DUMMYFUNCTION("""COMPUTED_VALUE"""),"L8225031617")</f>
        <v>L8225031617</v>
      </c>
      <c r="D2246" s="3">
        <f>IFERROR(__xludf.DUMMYFUNCTION("""COMPUTED_VALUE"""),43.0)</f>
        <v>43</v>
      </c>
      <c r="E2246" s="1"/>
    </row>
    <row r="2247">
      <c r="A2247" s="1"/>
      <c r="B2247" s="3" t="str">
        <f>IFERROR(__xludf.DUMMYFUNCTION("""COMPUTED_VALUE"""),"HERI SUWARDI")</f>
        <v>HERI SUWARDI</v>
      </c>
      <c r="C2247" s="3" t="str">
        <f>IFERROR(__xludf.DUMMYFUNCTION("""COMPUTED_VALUE"""),"H8825037111")</f>
        <v>H8825037111</v>
      </c>
      <c r="D2247" s="3">
        <f>IFERROR(__xludf.DUMMYFUNCTION("""COMPUTED_VALUE"""),37.0)</f>
        <v>37</v>
      </c>
      <c r="E2247" s="1"/>
    </row>
    <row r="2248">
      <c r="A2248" s="1"/>
      <c r="B2248" s="3" t="str">
        <f>IFERROR(__xludf.DUMMYFUNCTION("""COMPUTED_VALUE"""),"BUTI’AH")</f>
        <v>BUTI’AH</v>
      </c>
      <c r="C2248" s="3" t="str">
        <f>IFERROR(__xludf.DUMMYFUNCTION("""COMPUTED_VALUE"""),"B6125039680")</f>
        <v>B6125039680</v>
      </c>
      <c r="D2248" s="3">
        <f>IFERROR(__xludf.DUMMYFUNCTION("""COMPUTED_VALUE"""),64.0)</f>
        <v>64</v>
      </c>
      <c r="E2248" s="1"/>
    </row>
    <row r="2249">
      <c r="A2249" s="1"/>
      <c r="B2249" s="3" t="str">
        <f>IFERROR(__xludf.DUMMYFUNCTION("""COMPUTED_VALUE"""),"SYF SIFAH")</f>
        <v>SYF SIFAH</v>
      </c>
      <c r="C2249" s="3" t="str">
        <f>IFERROR(__xludf.DUMMYFUNCTION("""COMPUTED_VALUE"""),"S6025038415")</f>
        <v>S6025038415</v>
      </c>
      <c r="D2249" s="3">
        <f>IFERROR(__xludf.DUMMYFUNCTION("""COMPUTED_VALUE"""),66.0)</f>
        <v>66</v>
      </c>
      <c r="E2249" s="1"/>
    </row>
    <row r="2250">
      <c r="A2250" s="1"/>
      <c r="B2250" s="3" t="str">
        <f>IFERROR(__xludf.DUMMYFUNCTION("""COMPUTED_VALUE"""),"FERONIKA ROSMA ROTUA P")</f>
        <v>FERONIKA ROSMA ROTUA P</v>
      </c>
      <c r="C2250" s="3" t="str">
        <f>IFERROR(__xludf.DUMMYFUNCTION("""COMPUTED_VALUE"""),"F9625039988")</f>
        <v>F9625039988</v>
      </c>
      <c r="D2250" s="3">
        <f>IFERROR(__xludf.DUMMYFUNCTION("""COMPUTED_VALUE"""),29.0)</f>
        <v>29</v>
      </c>
      <c r="E2250" s="1"/>
    </row>
    <row r="2251">
      <c r="A2251" s="1"/>
      <c r="B2251" s="3" t="str">
        <f>IFERROR(__xludf.DUMMYFUNCTION("""COMPUTED_VALUE"""),"MARDIANA 5706")</f>
        <v>MARDIANA 5706</v>
      </c>
      <c r="C2251" s="3" t="str">
        <f>IFERROR(__xludf.DUMMYFUNCTION("""COMPUTED_VALUE"""),"M5725037674")</f>
        <v>M5725037674</v>
      </c>
      <c r="D2251" s="3">
        <f>IFERROR(__xludf.DUMMYFUNCTION("""COMPUTED_VALUE"""),69.0)</f>
        <v>69</v>
      </c>
      <c r="E2251" s="1"/>
    </row>
    <row r="2252">
      <c r="A2252" s="1"/>
      <c r="B2252" s="3" t="str">
        <f>IFERROR(__xludf.DUMMYFUNCTION("""COMPUTED_VALUE"""),"DIVO")</f>
        <v>DIVO</v>
      </c>
      <c r="C2252" s="3" t="str">
        <f>IFERROR(__xludf.DUMMYFUNCTION("""COMPUTED_VALUE"""),"D0925034440")</f>
        <v>D0925034440</v>
      </c>
      <c r="D2252" s="3">
        <f>IFERROR(__xludf.DUMMYFUNCTION("""COMPUTED_VALUE"""),17.0)</f>
        <v>17</v>
      </c>
      <c r="E2252" s="1"/>
    </row>
    <row r="2253">
      <c r="A2253" s="1"/>
      <c r="B2253" s="3" t="str">
        <f>IFERROR(__xludf.DUMMYFUNCTION("""COMPUTED_VALUE"""),"PANDU ANDRI LIESTYANTO NUGROGO")</f>
        <v>PANDU ANDRI LIESTYANTO NUGROGO</v>
      </c>
      <c r="C2253" s="3" t="str">
        <f>IFERROR(__xludf.DUMMYFUNCTION("""COMPUTED_VALUE"""),"P9725036493")</f>
        <v>P9725036493</v>
      </c>
      <c r="D2253" s="3">
        <f>IFERROR(__xludf.DUMMYFUNCTION("""COMPUTED_VALUE"""),28.0)</f>
        <v>28</v>
      </c>
      <c r="E2253" s="1"/>
    </row>
    <row r="2254">
      <c r="A2254" s="1"/>
      <c r="B2254" s="3" t="str">
        <f>IFERROR(__xludf.DUMMYFUNCTION("""COMPUTED_VALUE"""),"M. RAFI 'IE RINALDI")</f>
        <v>M. RAFI 'IE RINALDI</v>
      </c>
      <c r="C2254" s="3" t="str">
        <f>IFERROR(__xludf.DUMMYFUNCTION("""COMPUTED_VALUE"""),"M9625039977")</f>
        <v>M9625039977</v>
      </c>
      <c r="D2254" s="3">
        <f>IFERROR(__xludf.DUMMYFUNCTION("""COMPUTED_VALUE"""),30.0)</f>
        <v>30</v>
      </c>
      <c r="E2254" s="1"/>
    </row>
    <row r="2255">
      <c r="A2255" s="1"/>
      <c r="B2255" s="3" t="str">
        <f>IFERROR(__xludf.DUMMYFUNCTION("""COMPUTED_VALUE"""),"HENDRA.M")</f>
        <v>HENDRA.M</v>
      </c>
      <c r="C2255" s="3" t="str">
        <f>IFERROR(__xludf.DUMMYFUNCTION("""COMPUTED_VALUE"""),"H7725039177")</f>
        <v>H7725039177</v>
      </c>
      <c r="D2255" s="3">
        <f>IFERROR(__xludf.DUMMYFUNCTION("""COMPUTED_VALUE"""),48.0)</f>
        <v>48</v>
      </c>
      <c r="E2255" s="1"/>
    </row>
    <row r="2256">
      <c r="A2256" s="1"/>
      <c r="B2256" s="3" t="str">
        <f>IFERROR(__xludf.DUMMYFUNCTION("""COMPUTED_VALUE"""),"MUHAMMAD SUTAN ARIIQ FARREL")</f>
        <v>MUHAMMAD SUTAN ARIIQ FARREL</v>
      </c>
      <c r="C2256" s="3" t="str">
        <f>IFERROR(__xludf.DUMMYFUNCTION("""COMPUTED_VALUE"""),"M0425033778")</f>
        <v>M0425033778</v>
      </c>
      <c r="D2256" s="3">
        <f>IFERROR(__xludf.DUMMYFUNCTION("""COMPUTED_VALUE"""),21.0)</f>
        <v>21</v>
      </c>
      <c r="E2256" s="1"/>
    </row>
    <row r="2257">
      <c r="A2257" s="1"/>
      <c r="B2257" s="3" t="str">
        <f>IFERROR(__xludf.DUMMYFUNCTION("""COMPUTED_VALUE"""),"ASEP KURNIAWAN")</f>
        <v>ASEP KURNIAWAN</v>
      </c>
      <c r="C2257" s="3" t="str">
        <f>IFERROR(__xludf.DUMMYFUNCTION("""COMPUTED_VALUE"""),"A8725038799")</f>
        <v>A8725038799</v>
      </c>
      <c r="D2257" s="3">
        <f>IFERROR(__xludf.DUMMYFUNCTION("""COMPUTED_VALUE"""),39.0)</f>
        <v>39</v>
      </c>
      <c r="E2257" s="1"/>
    </row>
    <row r="2258">
      <c r="A2258" s="1"/>
      <c r="B2258" s="3" t="str">
        <f>IFERROR(__xludf.DUMMYFUNCTION("""COMPUTED_VALUE"""),"EDY DARMAWAN")</f>
        <v>EDY DARMAWAN</v>
      </c>
      <c r="C2258" s="3" t="str">
        <f>IFERROR(__xludf.DUMMYFUNCTION("""COMPUTED_VALUE"""),"E0225030144")</f>
        <v>E0225030144</v>
      </c>
      <c r="D2258" s="3">
        <f>IFERROR(__xludf.DUMMYFUNCTION("""COMPUTED_VALUE"""),23.0)</f>
        <v>23</v>
      </c>
      <c r="E2258" s="1"/>
    </row>
    <row r="2259">
      <c r="A2259" s="1"/>
      <c r="B2259" s="3" t="str">
        <f>IFERROR(__xludf.DUMMYFUNCTION("""COMPUTED_VALUE"""),"SITI RINA APRILIANI")</f>
        <v>SITI RINA APRILIANI</v>
      </c>
      <c r="C2259" s="3" t="str">
        <f>IFERROR(__xludf.DUMMYFUNCTION("""COMPUTED_VALUE"""),"S9625030245")</f>
        <v>S9625030245</v>
      </c>
      <c r="D2259" s="3">
        <f>IFERROR(__xludf.DUMMYFUNCTION("""COMPUTED_VALUE"""),30.0)</f>
        <v>30</v>
      </c>
      <c r="E2259" s="1"/>
    </row>
    <row r="2260">
      <c r="A2260" s="1"/>
      <c r="B2260" s="3" t="str">
        <f>IFERROR(__xludf.DUMMYFUNCTION("""COMPUTED_VALUE"""),"ISKANDAR 8209")</f>
        <v>ISKANDAR 8209</v>
      </c>
      <c r="C2260" s="3" t="str">
        <f>IFERROR(__xludf.DUMMYFUNCTION("""COMPUTED_VALUE"""),"I8225038889")</f>
        <v>I8225038889</v>
      </c>
      <c r="D2260" s="3">
        <f>IFERROR(__xludf.DUMMYFUNCTION("""COMPUTED_VALUE"""),43.0)</f>
        <v>43</v>
      </c>
      <c r="E2260" s="1"/>
    </row>
    <row r="2261">
      <c r="A2261" s="1"/>
      <c r="B2261" s="3" t="str">
        <f>IFERROR(__xludf.DUMMYFUNCTION("""COMPUTED_VALUE"""),"ANTONI")</f>
        <v>ANTONI</v>
      </c>
      <c r="C2261" s="3" t="str">
        <f>IFERROR(__xludf.DUMMYFUNCTION("""COMPUTED_VALUE"""),"A0325033157")</f>
        <v>A0325033157</v>
      </c>
      <c r="D2261" s="3">
        <f>IFERROR(__xludf.DUMMYFUNCTION("""COMPUTED_VALUE"""),23.0)</f>
        <v>23</v>
      </c>
      <c r="E2261" s="1"/>
    </row>
    <row r="2262">
      <c r="A2262" s="1"/>
      <c r="B2262" s="3" t="str">
        <f>IFERROR(__xludf.DUMMYFUNCTION("""COMPUTED_VALUE"""),"NADIWATA")</f>
        <v>NADIWATA</v>
      </c>
      <c r="C2262" s="3" t="str">
        <f>IFERROR(__xludf.DUMMYFUNCTION("""COMPUTED_VALUE"""),"N7725031111")</f>
        <v>N7725031111</v>
      </c>
      <c r="D2262" s="3">
        <f>IFERROR(__xludf.DUMMYFUNCTION("""COMPUTED_VALUE"""),48.0)</f>
        <v>48</v>
      </c>
      <c r="E2262" s="1"/>
    </row>
    <row r="2263">
      <c r="A2263" s="1"/>
      <c r="B2263" s="3" t="str">
        <f>IFERROR(__xludf.DUMMYFUNCTION("""COMPUTED_VALUE"""),"FERY KURNIADI")</f>
        <v>FERY KURNIADI</v>
      </c>
      <c r="C2263" s="3" t="str">
        <f>IFERROR(__xludf.DUMMYFUNCTION("""COMPUTED_VALUE"""),"F8325034303")</f>
        <v>F8325034303</v>
      </c>
      <c r="D2263" s="3">
        <f>IFERROR(__xludf.DUMMYFUNCTION("""COMPUTED_VALUE"""),43.0)</f>
        <v>43</v>
      </c>
      <c r="E2263" s="1"/>
    </row>
    <row r="2264">
      <c r="A2264" s="1"/>
      <c r="B2264" s="3" t="str">
        <f>IFERROR(__xludf.DUMMYFUNCTION("""COMPUTED_VALUE"""),"SUSILO HARTATI")</f>
        <v>SUSILO HARTATI</v>
      </c>
      <c r="C2264" s="3" t="str">
        <f>IFERROR(__xludf.DUMMYFUNCTION("""COMPUTED_VALUE"""),"S8425039305")</f>
        <v>S8425039305</v>
      </c>
      <c r="D2264" s="3">
        <f>IFERROR(__xludf.DUMMYFUNCTION("""COMPUTED_VALUE"""),41.0)</f>
        <v>41</v>
      </c>
      <c r="E2264" s="1"/>
    </row>
    <row r="2265">
      <c r="A2265" s="1"/>
      <c r="B2265" s="3" t="str">
        <f>IFERROR(__xludf.DUMMYFUNCTION("""COMPUTED_VALUE"""),"BIMA ADITYA")</f>
        <v>BIMA ADITYA</v>
      </c>
      <c r="C2265" s="3" t="str">
        <f>IFERROR(__xludf.DUMMYFUNCTION("""COMPUTED_VALUE"""),"B9625030865")</f>
        <v>B9625030865</v>
      </c>
      <c r="D2265" s="3">
        <f>IFERROR(__xludf.DUMMYFUNCTION("""COMPUTED_VALUE"""),29.0)</f>
        <v>29</v>
      </c>
      <c r="E2265" s="1"/>
    </row>
    <row r="2266">
      <c r="A2266" s="1"/>
      <c r="B2266" s="3" t="str">
        <f>IFERROR(__xludf.DUMMYFUNCTION("""COMPUTED_VALUE"""),"MUHAMAD RAFFANI SYAWAL")</f>
        <v>MUHAMAD RAFFANI SYAWAL</v>
      </c>
      <c r="C2266" s="3" t="str">
        <f>IFERROR(__xludf.DUMMYFUNCTION("""COMPUTED_VALUE"""),"M0325037749")</f>
        <v>M0325037749</v>
      </c>
      <c r="D2266" s="3">
        <f>IFERROR(__xludf.DUMMYFUNCTION("""COMPUTED_VALUE"""),22.0)</f>
        <v>22</v>
      </c>
      <c r="E2266" s="1"/>
    </row>
    <row r="2267">
      <c r="A2267" s="1"/>
      <c r="B2267" s="3" t="str">
        <f>IFERROR(__xludf.DUMMYFUNCTION("""COMPUTED_VALUE"""),"SHANDY ANGGIAN")</f>
        <v>SHANDY ANGGIAN</v>
      </c>
      <c r="C2267" s="3" t="str">
        <f>IFERROR(__xludf.DUMMYFUNCTION("""COMPUTED_VALUE"""),"S9825036649")</f>
        <v>S9825036649</v>
      </c>
      <c r="D2267" s="3">
        <f>IFERROR(__xludf.DUMMYFUNCTION("""COMPUTED_VALUE"""),28.0)</f>
        <v>28</v>
      </c>
      <c r="E2267" s="1"/>
    </row>
    <row r="2268">
      <c r="A2268" s="1"/>
      <c r="B2268" s="3" t="str">
        <f>IFERROR(__xludf.DUMMYFUNCTION("""COMPUTED_VALUE"""),"SALMAWATI")</f>
        <v>SALMAWATI</v>
      </c>
      <c r="C2268" s="3" t="str">
        <f>IFERROR(__xludf.DUMMYFUNCTION("""COMPUTED_VALUE"""),"S5925039081")</f>
        <v>S5925039081</v>
      </c>
      <c r="D2268" s="3">
        <f>IFERROR(__xludf.DUMMYFUNCTION("""COMPUTED_VALUE"""),66.0)</f>
        <v>66</v>
      </c>
      <c r="E2268" s="1"/>
    </row>
    <row r="2269">
      <c r="A2269" s="1"/>
      <c r="B2269" s="3" t="str">
        <f>IFERROR(__xludf.DUMMYFUNCTION("""COMPUTED_VALUE"""),"FIRDAUS LIMAN")</f>
        <v>FIRDAUS LIMAN</v>
      </c>
      <c r="C2269" s="3" t="str">
        <f>IFERROR(__xludf.DUMMYFUNCTION("""COMPUTED_VALUE"""),"F9225032817")</f>
        <v>F9225032817</v>
      </c>
      <c r="D2269" s="3">
        <f>IFERROR(__xludf.DUMMYFUNCTION("""COMPUTED_VALUE"""),33.0)</f>
        <v>33</v>
      </c>
      <c r="E2269" s="1"/>
    </row>
    <row r="2270">
      <c r="A2270" s="1"/>
      <c r="B2270" s="3" t="str">
        <f>IFERROR(__xludf.DUMMYFUNCTION("""COMPUTED_VALUE"""),"PUSPITA RAHMASARI")</f>
        <v>PUSPITA RAHMASARI</v>
      </c>
      <c r="C2270" s="3" t="str">
        <f>IFERROR(__xludf.DUMMYFUNCTION("""COMPUTED_VALUE"""),"P9425035723")</f>
        <v>P9425035723</v>
      </c>
      <c r="D2270" s="3">
        <f>IFERROR(__xludf.DUMMYFUNCTION("""COMPUTED_VALUE"""),31.0)</f>
        <v>31</v>
      </c>
      <c r="E2270" s="1"/>
    </row>
    <row r="2271">
      <c r="A2271" s="1"/>
      <c r="B2271" s="3" t="str">
        <f>IFERROR(__xludf.DUMMYFUNCTION("""COMPUTED_VALUE"""),"FAHRIZA")</f>
        <v>FAHRIZA</v>
      </c>
      <c r="C2271" s="3" t="str">
        <f>IFERROR(__xludf.DUMMYFUNCTION("""COMPUTED_VALUE"""),"F9725034300")</f>
        <v>F9725034300</v>
      </c>
      <c r="D2271" s="3">
        <f>IFERROR(__xludf.DUMMYFUNCTION("""COMPUTED_VALUE"""),28.0)</f>
        <v>28</v>
      </c>
      <c r="E2271" s="1"/>
    </row>
    <row r="2272">
      <c r="A2272" s="1"/>
      <c r="B2272" s="3" t="str">
        <f>IFERROR(__xludf.DUMMYFUNCTION("""COMPUTED_VALUE"""),"ADI SETIAWAN")</f>
        <v>ADI SETIAWAN</v>
      </c>
      <c r="C2272" s="3" t="str">
        <f>IFERROR(__xludf.DUMMYFUNCTION("""COMPUTED_VALUE"""),"A7925041303")</f>
        <v>A7925041303</v>
      </c>
      <c r="D2272" s="3">
        <f>IFERROR(__xludf.DUMMYFUNCTION("""COMPUTED_VALUE"""),47.0)</f>
        <v>47</v>
      </c>
      <c r="E2272" s="1"/>
    </row>
    <row r="2273">
      <c r="A2273" s="1"/>
      <c r="B2273" s="3" t="str">
        <f>IFERROR(__xludf.DUMMYFUNCTION("""COMPUTED_VALUE"""),"MELANI")</f>
        <v>MELANI</v>
      </c>
      <c r="C2273" s="3" t="str">
        <f>IFERROR(__xludf.DUMMYFUNCTION("""COMPUTED_VALUE"""),"M7925042960")</f>
        <v>M7925042960</v>
      </c>
      <c r="D2273" s="3">
        <f>IFERROR(__xludf.DUMMYFUNCTION("""COMPUTED_VALUE"""),47.0)</f>
        <v>47</v>
      </c>
      <c r="E2273" s="1"/>
    </row>
    <row r="2274">
      <c r="A2274" s="1"/>
      <c r="B2274" s="3" t="str">
        <f>IFERROR(__xludf.DUMMYFUNCTION("""COMPUTED_VALUE"""),"RUBY NADHIRA SUBEKTI")</f>
        <v>RUBY NADHIRA SUBEKTI</v>
      </c>
      <c r="C2274" s="3" t="str">
        <f>IFERROR(__xludf.DUMMYFUNCTION("""COMPUTED_VALUE"""),"R0725041904")</f>
        <v>R0725041904</v>
      </c>
      <c r="D2274" s="3">
        <f>IFERROR(__xludf.DUMMYFUNCTION("""COMPUTED_VALUE"""),19.0)</f>
        <v>19</v>
      </c>
      <c r="E2274" s="1"/>
    </row>
    <row r="2275">
      <c r="A2275" s="1"/>
      <c r="B2275" s="3" t="str">
        <f>IFERROR(__xludf.DUMMYFUNCTION("""COMPUTED_VALUE"""),"ERWIN")</f>
        <v>ERWIN</v>
      </c>
      <c r="C2275" s="3" t="str">
        <f>IFERROR(__xludf.DUMMYFUNCTION("""COMPUTED_VALUE"""),"E7825046700")</f>
        <v>E7825046700</v>
      </c>
      <c r="D2275" s="3">
        <f>IFERROR(__xludf.DUMMYFUNCTION("""COMPUTED_VALUE"""),47.0)</f>
        <v>47</v>
      </c>
      <c r="E2275" s="1"/>
    </row>
    <row r="2276">
      <c r="A2276" s="1"/>
      <c r="B2276" s="3" t="str">
        <f>IFERROR(__xludf.DUMMYFUNCTION("""COMPUTED_VALUE"""),"FELIX FERNANDES")</f>
        <v>FELIX FERNANDES</v>
      </c>
      <c r="C2276" s="3" t="str">
        <f>IFERROR(__xludf.DUMMYFUNCTION("""COMPUTED_VALUE"""),"F9925043339")</f>
        <v>F9925043339</v>
      </c>
      <c r="D2276" s="3">
        <f>IFERROR(__xludf.DUMMYFUNCTION("""COMPUTED_VALUE"""),27.0)</f>
        <v>27</v>
      </c>
      <c r="E2276" s="1"/>
    </row>
    <row r="2277">
      <c r="A2277" s="1"/>
      <c r="B2277" s="3" t="str">
        <f>IFERROR(__xludf.DUMMYFUNCTION("""COMPUTED_VALUE"""),"DEWI RAHAYU")</f>
        <v>DEWI RAHAYU</v>
      </c>
      <c r="C2277" s="3" t="str">
        <f>IFERROR(__xludf.DUMMYFUNCTION("""COMPUTED_VALUE"""),"D9125048938")</f>
        <v>D9125048938</v>
      </c>
      <c r="D2277" s="3">
        <f>IFERROR(__xludf.DUMMYFUNCTION("""COMPUTED_VALUE"""),35.0)</f>
        <v>35</v>
      </c>
      <c r="E2277" s="1"/>
    </row>
    <row r="2278">
      <c r="A2278" s="1"/>
      <c r="B2278" s="3" t="str">
        <f>IFERROR(__xludf.DUMMYFUNCTION("""COMPUTED_VALUE"""),"TOMI FACHRURRAZI")</f>
        <v>TOMI FACHRURRAZI</v>
      </c>
      <c r="C2278" s="3" t="str">
        <f>IFERROR(__xludf.DUMMYFUNCTION("""COMPUTED_VALUE"""),"T8525047357")</f>
        <v>T8525047357</v>
      </c>
      <c r="D2278" s="3">
        <f>IFERROR(__xludf.DUMMYFUNCTION("""COMPUTED_VALUE"""),41.0)</f>
        <v>41</v>
      </c>
      <c r="E2278" s="1"/>
    </row>
    <row r="2279">
      <c r="A2279" s="1"/>
      <c r="B2279" s="3" t="str">
        <f>IFERROR(__xludf.DUMMYFUNCTION("""COMPUTED_VALUE"""),"RYAN ACHMAD BASIR")</f>
        <v>RYAN ACHMAD BASIR</v>
      </c>
      <c r="C2279" s="3" t="str">
        <f>IFERROR(__xludf.DUMMYFUNCTION("""COMPUTED_VALUE"""),"R0225042129")</f>
        <v>R0225042129</v>
      </c>
      <c r="D2279" s="3">
        <f>IFERROR(__xludf.DUMMYFUNCTION("""COMPUTED_VALUE"""),23.0)</f>
        <v>23</v>
      </c>
      <c r="E2279" s="1"/>
    </row>
    <row r="2280">
      <c r="A2280" s="1"/>
      <c r="B2280" s="3" t="str">
        <f>IFERROR(__xludf.DUMMYFUNCTION("""COMPUTED_VALUE"""),"BION SALIM")</f>
        <v>BION SALIM</v>
      </c>
      <c r="C2280" s="3" t="str">
        <f>IFERROR(__xludf.DUMMYFUNCTION("""COMPUTED_VALUE"""),"B8925045599")</f>
        <v>B8925045599</v>
      </c>
      <c r="D2280" s="3">
        <f>IFERROR(__xludf.DUMMYFUNCTION("""COMPUTED_VALUE"""),37.0)</f>
        <v>37</v>
      </c>
      <c r="E2280" s="1"/>
    </row>
    <row r="2281">
      <c r="A2281" s="1"/>
      <c r="B2281" s="3" t="str">
        <f>IFERROR(__xludf.DUMMYFUNCTION("""COMPUTED_VALUE"""),"ERVA SURIYANTI")</f>
        <v>ERVA SURIYANTI</v>
      </c>
      <c r="C2281" s="3" t="str">
        <f>IFERROR(__xludf.DUMMYFUNCTION("""COMPUTED_VALUE"""),"E9025044888")</f>
        <v>E9025044888</v>
      </c>
      <c r="D2281" s="3">
        <f>IFERROR(__xludf.DUMMYFUNCTION("""COMPUTED_VALUE"""),36.0)</f>
        <v>36</v>
      </c>
      <c r="E2281" s="1"/>
    </row>
    <row r="2282">
      <c r="A2282" s="1"/>
      <c r="B2282" s="3" t="str">
        <f>IFERROR(__xludf.DUMMYFUNCTION("""COMPUTED_VALUE"""),"AFRIANTO TEGUH WIBOWO")</f>
        <v>AFRIANTO TEGUH WIBOWO</v>
      </c>
      <c r="C2282" s="3" t="str">
        <f>IFERROR(__xludf.DUMMYFUNCTION("""COMPUTED_VALUE"""),"A8525032200")</f>
        <v>A8525032200</v>
      </c>
      <c r="D2282" s="3">
        <f>IFERROR(__xludf.DUMMYFUNCTION("""COMPUTED_VALUE"""),41.0)</f>
        <v>41</v>
      </c>
      <c r="E2282" s="1"/>
    </row>
    <row r="2283">
      <c r="A2283" s="1"/>
      <c r="B2283" s="3" t="str">
        <f>IFERROR(__xludf.DUMMYFUNCTION("""COMPUTED_VALUE"""),"VALENTINUS WONGSO")</f>
        <v>VALENTINUS WONGSO</v>
      </c>
      <c r="C2283" s="3" t="str">
        <f>IFERROR(__xludf.DUMMYFUNCTION("""COMPUTED_VALUE"""),"V0125043049")</f>
        <v>V0125043049</v>
      </c>
      <c r="D2283" s="3">
        <f>IFERROR(__xludf.DUMMYFUNCTION("""COMPUTED_VALUE"""),25.0)</f>
        <v>25</v>
      </c>
      <c r="E2283" s="1"/>
    </row>
    <row r="2284">
      <c r="A2284" s="1"/>
      <c r="B2284" s="3" t="str">
        <f>IFERROR(__xludf.DUMMYFUNCTION("""COMPUTED_VALUE"""),"MUHAMMAD DZAKI PRATAMA")</f>
        <v>MUHAMMAD DZAKI PRATAMA</v>
      </c>
      <c r="C2284" s="3" t="str">
        <f>IFERROR(__xludf.DUMMYFUNCTION("""COMPUTED_VALUE"""),"M9925046487")</f>
        <v>M9925046487</v>
      </c>
      <c r="D2284" s="3">
        <f>IFERROR(__xludf.DUMMYFUNCTION("""COMPUTED_VALUE"""),26.0)</f>
        <v>26</v>
      </c>
      <c r="E2284" s="1"/>
    </row>
    <row r="2285">
      <c r="A2285" s="1"/>
      <c r="B2285" s="3" t="str">
        <f>IFERROR(__xludf.DUMMYFUNCTION("""COMPUTED_VALUE"""),"AHMAD FAHRULLAH")</f>
        <v>AHMAD FAHRULLAH</v>
      </c>
      <c r="C2285" s="3" t="str">
        <f>IFERROR(__xludf.DUMMYFUNCTION("""COMPUTED_VALUE"""),"A9125043332")</f>
        <v>A9125043332</v>
      </c>
      <c r="D2285" s="3">
        <f>IFERROR(__xludf.DUMMYFUNCTION("""COMPUTED_VALUE"""),34.0)</f>
        <v>34</v>
      </c>
      <c r="E2285" s="1"/>
    </row>
    <row r="2286">
      <c r="A2286" s="1"/>
      <c r="B2286" s="3" t="str">
        <f>IFERROR(__xludf.DUMMYFUNCTION("""COMPUTED_VALUE"""),"NAIM IKSAN NUDIN")</f>
        <v>NAIM IKSAN NUDIN</v>
      </c>
      <c r="C2286" s="3" t="str">
        <f>IFERROR(__xludf.DUMMYFUNCTION("""COMPUTED_VALUE"""),"N0125048970")</f>
        <v>N0125048970</v>
      </c>
      <c r="D2286" s="3">
        <f>IFERROR(__xludf.DUMMYFUNCTION("""COMPUTED_VALUE"""),25.0)</f>
        <v>25</v>
      </c>
      <c r="E2286" s="1"/>
    </row>
    <row r="2287">
      <c r="A2287" s="1"/>
      <c r="B2287" s="3" t="str">
        <f>IFERROR(__xludf.DUMMYFUNCTION("""COMPUTED_VALUE"""),"ALEX RENALDY")</f>
        <v>ALEX RENALDY</v>
      </c>
      <c r="C2287" s="3" t="str">
        <f>IFERROR(__xludf.DUMMYFUNCTION("""COMPUTED_VALUE"""),"A0125047404")</f>
        <v>A0125047404</v>
      </c>
      <c r="D2287" s="3">
        <f>IFERROR(__xludf.DUMMYFUNCTION("""COMPUTED_VALUE"""),24.0)</f>
        <v>24</v>
      </c>
      <c r="E2287" s="1"/>
    </row>
    <row r="2288">
      <c r="A2288" s="1"/>
      <c r="B2288" s="3" t="str">
        <f>IFERROR(__xludf.DUMMYFUNCTION("""COMPUTED_VALUE"""),"DASWATI")</f>
        <v>DASWATI</v>
      </c>
      <c r="C2288" s="3" t="str">
        <f>IFERROR(__xludf.DUMMYFUNCTION("""COMPUTED_VALUE"""),"D6125047020")</f>
        <v>D6125047020</v>
      </c>
      <c r="D2288" s="3">
        <f>IFERROR(__xludf.DUMMYFUNCTION("""COMPUTED_VALUE"""),64.0)</f>
        <v>64</v>
      </c>
      <c r="E2288" s="1"/>
    </row>
    <row r="2289">
      <c r="A2289" s="1"/>
      <c r="B2289" s="3" t="str">
        <f>IFERROR(__xludf.DUMMYFUNCTION("""COMPUTED_VALUE"""),"HENDRI MIN")</f>
        <v>HENDRI MIN</v>
      </c>
      <c r="C2289" s="3" t="str">
        <f>IFERROR(__xludf.DUMMYFUNCTION("""COMPUTED_VALUE"""),"H6325042095")</f>
        <v>H6325042095</v>
      </c>
      <c r="D2289" s="3">
        <f>IFERROR(__xludf.DUMMYFUNCTION("""COMPUTED_VALUE"""),63.0)</f>
        <v>63</v>
      </c>
      <c r="E2289" s="1"/>
    </row>
    <row r="2290">
      <c r="A2290" s="1"/>
      <c r="B2290" s="3" t="str">
        <f>IFERROR(__xludf.DUMMYFUNCTION("""COMPUTED_VALUE"""),"JUNIARDI")</f>
        <v>JUNIARDI</v>
      </c>
      <c r="C2290" s="3" t="str">
        <f>IFERROR(__xludf.DUMMYFUNCTION("""COMPUTED_VALUE"""),"J9425047717")</f>
        <v>J9425047717</v>
      </c>
      <c r="D2290" s="3">
        <f>IFERROR(__xludf.DUMMYFUNCTION("""COMPUTED_VALUE"""),31.0)</f>
        <v>31</v>
      </c>
      <c r="E2290" s="1"/>
    </row>
    <row r="2291">
      <c r="A2291" s="1"/>
      <c r="B2291" s="3" t="str">
        <f>IFERROR(__xludf.DUMMYFUNCTION("""COMPUTED_VALUE"""),"ANGGRAINI AUGUSTA")</f>
        <v>ANGGRAINI AUGUSTA</v>
      </c>
      <c r="C2291" s="3" t="str">
        <f>IFERROR(__xludf.DUMMYFUNCTION("""COMPUTED_VALUE"""),"A9125041169")</f>
        <v>A9125041169</v>
      </c>
      <c r="D2291" s="3">
        <f>IFERROR(__xludf.DUMMYFUNCTION("""COMPUTED_VALUE"""),34.0)</f>
        <v>34</v>
      </c>
      <c r="E2291" s="1"/>
    </row>
    <row r="2292">
      <c r="A2292" s="1"/>
      <c r="B2292" s="3" t="str">
        <f>IFERROR(__xludf.DUMMYFUNCTION("""COMPUTED_VALUE"""),"SYARIFAH NURLAILA")</f>
        <v>SYARIFAH NURLAILA</v>
      </c>
      <c r="C2292" s="3" t="str">
        <f>IFERROR(__xludf.DUMMYFUNCTION("""COMPUTED_VALUE"""),"S8625041003")</f>
        <v>S8625041003</v>
      </c>
      <c r="D2292" s="3">
        <f>IFERROR(__xludf.DUMMYFUNCTION("""COMPUTED_VALUE"""),39.0)</f>
        <v>39</v>
      </c>
      <c r="E2292" s="1"/>
    </row>
    <row r="2293">
      <c r="A2293" s="1"/>
      <c r="B2293" s="3" t="str">
        <f>IFERROR(__xludf.DUMMYFUNCTION("""COMPUTED_VALUE"""),"KUNTI LESTARI")</f>
        <v>KUNTI LESTARI</v>
      </c>
      <c r="C2293" s="3" t="str">
        <f>IFERROR(__xludf.DUMMYFUNCTION("""COMPUTED_VALUE"""),"K6225048028")</f>
        <v>K6225048028</v>
      </c>
      <c r="D2293" s="3">
        <f>IFERROR(__xludf.DUMMYFUNCTION("""COMPUTED_VALUE"""),63.0)</f>
        <v>63</v>
      </c>
      <c r="E2293" s="1"/>
    </row>
    <row r="2294">
      <c r="A2294" s="1"/>
      <c r="B2294" s="3" t="str">
        <f>IFERROR(__xludf.DUMMYFUNCTION("""COMPUTED_VALUE"""),"JAILANI")</f>
        <v>JAILANI</v>
      </c>
      <c r="C2294" s="3" t="str">
        <f>IFERROR(__xludf.DUMMYFUNCTION("""COMPUTED_VALUE"""),"J7225046710")</f>
        <v>J7225046710</v>
      </c>
      <c r="D2294" s="3">
        <f>IFERROR(__xludf.DUMMYFUNCTION("""COMPUTED_VALUE"""),53.0)</f>
        <v>53</v>
      </c>
      <c r="E2294" s="1"/>
    </row>
    <row r="2295">
      <c r="A2295" s="1"/>
      <c r="B2295" s="3" t="str">
        <f>IFERROR(__xludf.DUMMYFUNCTION("""COMPUTED_VALUE"""),"SANINTEN")</f>
        <v>SANINTEN</v>
      </c>
      <c r="C2295" s="3" t="str">
        <f>IFERROR(__xludf.DUMMYFUNCTION("""COMPUTED_VALUE"""),"S6325047278")</f>
        <v>S6325047278</v>
      </c>
      <c r="D2295" s="3">
        <f>IFERROR(__xludf.DUMMYFUNCTION("""COMPUTED_VALUE"""),62.0)</f>
        <v>62</v>
      </c>
      <c r="E2295" s="1"/>
    </row>
    <row r="2296">
      <c r="A2296" s="1"/>
      <c r="B2296" s="3" t="str">
        <f>IFERROR(__xludf.DUMMYFUNCTION("""COMPUTED_VALUE"""),"ISNAN LUTHFI")</f>
        <v>ISNAN LUTHFI</v>
      </c>
      <c r="C2296" s="3" t="str">
        <f>IFERROR(__xludf.DUMMYFUNCTION("""COMPUTED_VALUE"""),"I9825044864")</f>
        <v>I9825044864</v>
      </c>
      <c r="D2296" s="3">
        <f>IFERROR(__xludf.DUMMYFUNCTION("""COMPUTED_VALUE"""),28.0)</f>
        <v>28</v>
      </c>
      <c r="E2296" s="1"/>
    </row>
    <row r="2297">
      <c r="A2297" s="1"/>
      <c r="B2297" s="3" t="str">
        <f>IFERROR(__xludf.DUMMYFUNCTION("""COMPUTED_VALUE"""),"MAURA MEILYA DE ANDALUSU")</f>
        <v>MAURA MEILYA DE ANDALUSU</v>
      </c>
      <c r="C2297" s="3" t="str">
        <f>IFERROR(__xludf.DUMMYFUNCTION("""COMPUTED_VALUE"""),"M0625044829")</f>
        <v>M0625044829</v>
      </c>
      <c r="D2297" s="3">
        <f>IFERROR(__xludf.DUMMYFUNCTION("""COMPUTED_VALUE"""),20.0)</f>
        <v>20</v>
      </c>
      <c r="E2297" s="1"/>
    </row>
    <row r="2298">
      <c r="A2298" s="1"/>
      <c r="B2298" s="3" t="str">
        <f>IFERROR(__xludf.DUMMYFUNCTION("""COMPUTED_VALUE"""),"RUSNAINI")</f>
        <v>RUSNAINI</v>
      </c>
      <c r="C2298" s="3" t="str">
        <f>IFERROR(__xludf.DUMMYFUNCTION("""COMPUTED_VALUE"""),"R6925046024")</f>
        <v>R6925046024</v>
      </c>
      <c r="D2298" s="3">
        <f>IFERROR(__xludf.DUMMYFUNCTION("""COMPUTED_VALUE"""),56.0)</f>
        <v>56</v>
      </c>
      <c r="E2298" s="1"/>
    </row>
    <row r="2299">
      <c r="A2299" s="1"/>
      <c r="B2299" s="3" t="str">
        <f>IFERROR(__xludf.DUMMYFUNCTION("""COMPUTED_VALUE"""),"RIKY REYNALDI")</f>
        <v>RIKY REYNALDI</v>
      </c>
      <c r="C2299" s="3" t="str">
        <f>IFERROR(__xludf.DUMMYFUNCTION("""COMPUTED_VALUE"""),"R0025046707")</f>
        <v>R0025046707</v>
      </c>
      <c r="D2299" s="3">
        <f>IFERROR(__xludf.DUMMYFUNCTION("""COMPUTED_VALUE"""),26.0)</f>
        <v>26</v>
      </c>
      <c r="E2299" s="1"/>
    </row>
    <row r="2300">
      <c r="A2300" s="1"/>
      <c r="B2300" s="3" t="str">
        <f>IFERROR(__xludf.DUMMYFUNCTION("""COMPUTED_VALUE"""),"M. AHZA SYAHMI ARDI")</f>
        <v>M. AHZA SYAHMI ARDI</v>
      </c>
      <c r="C2300" s="3" t="str">
        <f>IFERROR(__xludf.DUMMYFUNCTION("""COMPUTED_VALUE"""),"M1025044555")</f>
        <v>M1025044555</v>
      </c>
      <c r="D2300" s="3">
        <f>IFERROR(__xludf.DUMMYFUNCTION("""COMPUTED_VALUE"""),15.0)</f>
        <v>15</v>
      </c>
      <c r="E2300" s="1"/>
    </row>
    <row r="2301">
      <c r="A2301" s="1"/>
      <c r="B2301" s="3" t="str">
        <f>IFERROR(__xludf.DUMMYFUNCTION("""COMPUTED_VALUE"""),"LICA")</f>
        <v>LICA</v>
      </c>
      <c r="C2301" s="3" t="str">
        <f>IFERROR(__xludf.DUMMYFUNCTION("""COMPUTED_VALUE"""),"L9925048099")</f>
        <v>L9925048099</v>
      </c>
      <c r="D2301" s="3">
        <f>IFERROR(__xludf.DUMMYFUNCTION("""COMPUTED_VALUE"""),26.0)</f>
        <v>26</v>
      </c>
      <c r="E2301" s="1"/>
    </row>
    <row r="2302">
      <c r="A2302" s="1"/>
      <c r="B2302" s="3" t="str">
        <f>IFERROR(__xludf.DUMMYFUNCTION("""COMPUTED_VALUE"""),"ARDI TAQWQDI")</f>
        <v>ARDI TAQWQDI</v>
      </c>
      <c r="C2302" s="3" t="str">
        <f>IFERROR(__xludf.DUMMYFUNCTION("""COMPUTED_VALUE"""),"A9225048766")</f>
        <v>A9225048766</v>
      </c>
      <c r="D2302" s="3">
        <f>IFERROR(__xludf.DUMMYFUNCTION("""COMPUTED_VALUE"""),34.0)</f>
        <v>34</v>
      </c>
      <c r="E2302" s="1"/>
    </row>
    <row r="2303">
      <c r="A2303" s="1"/>
      <c r="B2303" s="3" t="str">
        <f>IFERROR(__xludf.DUMMYFUNCTION("""COMPUTED_VALUE"""),"JOSE")</f>
        <v>JOSE</v>
      </c>
      <c r="C2303" s="3" t="str">
        <f>IFERROR(__xludf.DUMMYFUNCTION("""COMPUTED_VALUE"""),"J1225042193")</f>
        <v>J1225042193</v>
      </c>
      <c r="D2303" s="3">
        <f>IFERROR(__xludf.DUMMYFUNCTION("""COMPUTED_VALUE"""),13.0)</f>
        <v>13</v>
      </c>
      <c r="E2303" s="1"/>
    </row>
    <row r="2304">
      <c r="A2304" s="1"/>
      <c r="B2304" s="3" t="str">
        <f>IFERROR(__xludf.DUMMYFUNCTION("""COMPUTED_VALUE"""),"KUSUMAWATI")</f>
        <v>KUSUMAWATI</v>
      </c>
      <c r="C2304" s="3" t="str">
        <f>IFERROR(__xludf.DUMMYFUNCTION("""COMPUTED_VALUE"""),"K7025044099")</f>
        <v>K7025044099</v>
      </c>
      <c r="D2304" s="3">
        <f>IFERROR(__xludf.DUMMYFUNCTION("""COMPUTED_VALUE"""),55.0)</f>
        <v>55</v>
      </c>
      <c r="E2304" s="1"/>
    </row>
    <row r="2305">
      <c r="A2305" s="1"/>
      <c r="B2305" s="3" t="str">
        <f>IFERROR(__xludf.DUMMYFUNCTION("""COMPUTED_VALUE"""),"SISKA VEDIYANTIKA")</f>
        <v>SISKA VEDIYANTIKA</v>
      </c>
      <c r="C2305" s="3" t="str">
        <f>IFERROR(__xludf.DUMMYFUNCTION("""COMPUTED_VALUE"""),"S8525048522")</f>
        <v>S8525048522</v>
      </c>
      <c r="D2305" s="3">
        <f>IFERROR(__xludf.DUMMYFUNCTION("""COMPUTED_VALUE"""),41.0)</f>
        <v>41</v>
      </c>
      <c r="E2305" s="1"/>
    </row>
    <row r="2306">
      <c r="A2306" s="1"/>
      <c r="B2306" s="3" t="str">
        <f>IFERROR(__xludf.DUMMYFUNCTION("""COMPUTED_VALUE"""),"ELEAZAR MARPAUNG")</f>
        <v>ELEAZAR MARPAUNG</v>
      </c>
      <c r="C2306" s="3" t="str">
        <f>IFERROR(__xludf.DUMMYFUNCTION("""COMPUTED_VALUE"""),"E0425042106")</f>
        <v>E0425042106</v>
      </c>
      <c r="D2306" s="3">
        <f>IFERROR(__xludf.DUMMYFUNCTION("""COMPUTED_VALUE"""),22.0)</f>
        <v>22</v>
      </c>
      <c r="E2306" s="1"/>
    </row>
    <row r="2307">
      <c r="A2307" s="1"/>
      <c r="B2307" s="3" t="str">
        <f>IFERROR(__xludf.DUMMYFUNCTION("""COMPUTED_VALUE"""),"MUHAMMAD HAVIZ RAMDHANI")</f>
        <v>MUHAMMAD HAVIZ RAMDHANI</v>
      </c>
      <c r="C2307" s="3" t="str">
        <f>IFERROR(__xludf.DUMMYFUNCTION("""COMPUTED_VALUE"""),"M0025049695")</f>
        <v>M0025049695</v>
      </c>
      <c r="D2307" s="3">
        <f>IFERROR(__xludf.DUMMYFUNCTION("""COMPUTED_VALUE"""),25.0)</f>
        <v>25</v>
      </c>
      <c r="E2307" s="1"/>
    </row>
    <row r="2308">
      <c r="A2308" s="1"/>
      <c r="B2308" s="3" t="str">
        <f>IFERROR(__xludf.DUMMYFUNCTION("""COMPUTED_VALUE"""),"YUSANTIKA MAULUDINA RIYANTI")</f>
        <v>YUSANTIKA MAULUDINA RIYANTI</v>
      </c>
      <c r="C2308" s="3" t="str">
        <f>IFERROR(__xludf.DUMMYFUNCTION("""COMPUTED_VALUE"""),"Y9825044957")</f>
        <v>Y9825044957</v>
      </c>
      <c r="D2308" s="3">
        <f>IFERROR(__xludf.DUMMYFUNCTION("""COMPUTED_VALUE"""),27.0)</f>
        <v>27</v>
      </c>
      <c r="E2308" s="1"/>
    </row>
    <row r="2309">
      <c r="A2309" s="1"/>
      <c r="B2309" s="3" t="str">
        <f>IFERROR(__xludf.DUMMYFUNCTION("""COMPUTED_VALUE"""),"SYARIF BAHARI")</f>
        <v>SYARIF BAHARI</v>
      </c>
      <c r="C2309" s="3" t="str">
        <f>IFERROR(__xludf.DUMMYFUNCTION("""COMPUTED_VALUE"""),"S9225041553")</f>
        <v>S9225041553</v>
      </c>
      <c r="D2309" s="3">
        <f>IFERROR(__xludf.DUMMYFUNCTION("""COMPUTED_VALUE"""),33.0)</f>
        <v>33</v>
      </c>
      <c r="E2309" s="1"/>
    </row>
    <row r="2310">
      <c r="A2310" s="1"/>
      <c r="B2310" s="3" t="str">
        <f>IFERROR(__xludf.DUMMYFUNCTION("""COMPUTED_VALUE"""),"NOVI SISILIA PINA")</f>
        <v>NOVI SISILIA PINA</v>
      </c>
      <c r="C2310" s="3" t="str">
        <f>IFERROR(__xludf.DUMMYFUNCTION("""COMPUTED_VALUE"""),"N9325049928")</f>
        <v>N9325049928</v>
      </c>
      <c r="D2310" s="3">
        <f>IFERROR(__xludf.DUMMYFUNCTION("""COMPUTED_VALUE"""),32.0)</f>
        <v>32</v>
      </c>
      <c r="E2310" s="1"/>
    </row>
    <row r="2311">
      <c r="A2311" s="1"/>
      <c r="B2311" s="3" t="str">
        <f>IFERROR(__xludf.DUMMYFUNCTION("""COMPUTED_VALUE"""),"ELKJAER")</f>
        <v>ELKJAER</v>
      </c>
      <c r="C2311" s="3" t="str">
        <f>IFERROR(__xludf.DUMMYFUNCTION("""COMPUTED_VALUE"""),"E2525044910")</f>
        <v>E2525044910</v>
      </c>
      <c r="D2311" s="3">
        <f>IFERROR(__xludf.DUMMYFUNCTION("""COMPUTED_VALUE"""),1.0)</f>
        <v>1</v>
      </c>
      <c r="E2311" s="1"/>
    </row>
    <row r="2312">
      <c r="A2312" s="1"/>
      <c r="B2312" s="3" t="str">
        <f>IFERROR(__xludf.DUMMYFUNCTION("""COMPUTED_VALUE"""),"SY. AHMAD ZEIN")</f>
        <v>SY. AHMAD ZEIN</v>
      </c>
      <c r="C2312" s="3" t="str">
        <f>IFERROR(__xludf.DUMMYFUNCTION("""COMPUTED_VALUE"""),"S7325047610")</f>
        <v>S7325047610</v>
      </c>
      <c r="D2312" s="3">
        <f>IFERROR(__xludf.DUMMYFUNCTION("""COMPUTED_VALUE"""),52.0)</f>
        <v>52</v>
      </c>
      <c r="E2312" s="1"/>
    </row>
    <row r="2313">
      <c r="A2313" s="1"/>
      <c r="B2313" s="3" t="str">
        <f>IFERROR(__xludf.DUMMYFUNCTION("""COMPUTED_VALUE"""),"LIM BUN LIANG")</f>
        <v>LIM BUN LIANG</v>
      </c>
      <c r="C2313" s="3" t="str">
        <f>IFERROR(__xludf.DUMMYFUNCTION("""COMPUTED_VALUE"""),"L5725044448")</f>
        <v>L5725044448</v>
      </c>
      <c r="D2313" s="3">
        <f>IFERROR(__xludf.DUMMYFUNCTION("""COMPUTED_VALUE"""),68.0)</f>
        <v>68</v>
      </c>
      <c r="E2313" s="1"/>
    </row>
    <row r="2314">
      <c r="A2314" s="1"/>
      <c r="B2314" s="3" t="str">
        <f>IFERROR(__xludf.DUMMYFUNCTION("""COMPUTED_VALUE"""),"DESY MARITA")</f>
        <v>DESY MARITA</v>
      </c>
      <c r="C2314" s="3" t="str">
        <f>IFERROR(__xludf.DUMMYFUNCTION("""COMPUTED_VALUE"""),"D8025043130")</f>
        <v>D8025043130</v>
      </c>
      <c r="D2314" s="3">
        <f>IFERROR(__xludf.DUMMYFUNCTION("""COMPUTED_VALUE"""),45.0)</f>
        <v>45</v>
      </c>
      <c r="E2314" s="1"/>
    </row>
    <row r="2315">
      <c r="A2315" s="1"/>
      <c r="B2315" s="3" t="str">
        <f>IFERROR(__xludf.DUMMYFUNCTION("""COMPUTED_VALUE"""),"RADINDA FARIDZYA FITRIYANTO")</f>
        <v>RADINDA FARIDZYA FITRIYANTO</v>
      </c>
      <c r="C2315" s="3" t="str">
        <f>IFERROR(__xludf.DUMMYFUNCTION("""COMPUTED_VALUE"""),"R0125045992")</f>
        <v>R0125045992</v>
      </c>
      <c r="D2315" s="3">
        <f>IFERROR(__xludf.DUMMYFUNCTION("""COMPUTED_VALUE"""),25.0)</f>
        <v>25</v>
      </c>
      <c r="E2315" s="1"/>
    </row>
    <row r="2316">
      <c r="A2316" s="1"/>
      <c r="B2316" s="3" t="str">
        <f>IFERROR(__xludf.DUMMYFUNCTION("""COMPUTED_VALUE"""),"MEISYA FITRI")</f>
        <v>MEISYA FITRI</v>
      </c>
      <c r="C2316" s="3" t="str">
        <f>IFERROR(__xludf.DUMMYFUNCTION("""COMPUTED_VALUE"""),"M8925040551")</f>
        <v>M8925040551</v>
      </c>
      <c r="D2316" s="3">
        <f>IFERROR(__xludf.DUMMYFUNCTION("""COMPUTED_VALUE"""),37.0)</f>
        <v>37</v>
      </c>
      <c r="E2316" s="1"/>
    </row>
    <row r="2317">
      <c r="A2317" s="1"/>
      <c r="B2317" s="3" t="str">
        <f>IFERROR(__xludf.DUMMYFUNCTION("""COMPUTED_VALUE"""),"GUSTI AZLAN KHALID AYYUBI")</f>
        <v>GUSTI AZLAN KHALID AYYUBI</v>
      </c>
      <c r="C2317" s="3" t="str">
        <f>IFERROR(__xludf.DUMMYFUNCTION("""COMPUTED_VALUE"""),"G1525041290")</f>
        <v>G1525041290</v>
      </c>
      <c r="D2317" s="3">
        <f>IFERROR(__xludf.DUMMYFUNCTION("""COMPUTED_VALUE"""),11.0)</f>
        <v>11</v>
      </c>
      <c r="E2317" s="1"/>
    </row>
    <row r="2318">
      <c r="A2318" s="1"/>
      <c r="B2318" s="3" t="str">
        <f>IFERROR(__xludf.DUMMYFUNCTION("""COMPUTED_VALUE"""),"PUTRI NABILAH")</f>
        <v>PUTRI NABILAH</v>
      </c>
      <c r="C2318" s="3" t="str">
        <f>IFERROR(__xludf.DUMMYFUNCTION("""COMPUTED_VALUE"""),"P9825048208")</f>
        <v>P9825048208</v>
      </c>
      <c r="D2318" s="3">
        <f>IFERROR(__xludf.DUMMYFUNCTION("""COMPUTED_VALUE"""),27.0)</f>
        <v>27</v>
      </c>
      <c r="E2318" s="1"/>
    </row>
    <row r="2319">
      <c r="A2319" s="1"/>
      <c r="B2319" s="3" t="str">
        <f>IFERROR(__xludf.DUMMYFUNCTION("""COMPUTED_VALUE"""),"HERRY")</f>
        <v>HERRY</v>
      </c>
      <c r="C2319" s="3" t="str">
        <f>IFERROR(__xludf.DUMMYFUNCTION("""COMPUTED_VALUE"""),"H9125041999")</f>
        <v>H9125041999</v>
      </c>
      <c r="D2319" s="3">
        <f>IFERROR(__xludf.DUMMYFUNCTION("""COMPUTED_VALUE"""),34.0)</f>
        <v>34</v>
      </c>
      <c r="E2319" s="1"/>
    </row>
    <row r="2320">
      <c r="A2320" s="1"/>
      <c r="B2320" s="3" t="str">
        <f>IFERROR(__xludf.DUMMYFUNCTION("""COMPUTED_VALUE"""),"JANI HARI BOWO")</f>
        <v>JANI HARI BOWO</v>
      </c>
      <c r="C2320" s="3" t="str">
        <f>IFERROR(__xludf.DUMMYFUNCTION("""COMPUTED_VALUE"""),"J9025040906")</f>
        <v>J9025040906</v>
      </c>
      <c r="D2320" s="3">
        <f>IFERROR(__xludf.DUMMYFUNCTION("""COMPUTED_VALUE"""),36.0)</f>
        <v>36</v>
      </c>
      <c r="E2320" s="1"/>
    </row>
    <row r="2321">
      <c r="A2321" s="1"/>
      <c r="B2321" s="3" t="str">
        <f>IFERROR(__xludf.DUMMYFUNCTION("""COMPUTED_VALUE"""),"MEIDI9305")</f>
        <v>MEIDI9305</v>
      </c>
      <c r="C2321" s="3" t="str">
        <f>IFERROR(__xludf.DUMMYFUNCTION("""COMPUTED_VALUE"""),"M9325048884")</f>
        <v>M9325048884</v>
      </c>
      <c r="D2321" s="3">
        <f>IFERROR(__xludf.DUMMYFUNCTION("""COMPUTED_VALUE"""),33.0)</f>
        <v>33</v>
      </c>
      <c r="E2321" s="1"/>
    </row>
    <row r="2322">
      <c r="A2322" s="1"/>
      <c r="B2322" s="3" t="str">
        <f>IFERROR(__xludf.DUMMYFUNCTION("""COMPUTED_VALUE"""),"SELENA")</f>
        <v>SELENA</v>
      </c>
      <c r="C2322" s="3" t="str">
        <f>IFERROR(__xludf.DUMMYFUNCTION("""COMPUTED_VALUE"""),"S1225046229")</f>
        <v>S1225046229</v>
      </c>
      <c r="D2322" s="3">
        <f>IFERROR(__xludf.DUMMYFUNCTION("""COMPUTED_VALUE"""),14.0)</f>
        <v>14</v>
      </c>
      <c r="E2322" s="1"/>
    </row>
    <row r="2323">
      <c r="A2323" s="1"/>
      <c r="B2323" s="3" t="str">
        <f>IFERROR(__xludf.DUMMYFUNCTION("""COMPUTED_VALUE"""),"SOPIYA UMMI")</f>
        <v>SOPIYA UMMI</v>
      </c>
      <c r="C2323" s="3" t="str">
        <f>IFERROR(__xludf.DUMMYFUNCTION("""COMPUTED_VALUE"""),"S0525044977")</f>
        <v>S0525044977</v>
      </c>
      <c r="D2323" s="3">
        <f>IFERROR(__xludf.DUMMYFUNCTION("""COMPUTED_VALUE"""),20.0)</f>
        <v>20</v>
      </c>
      <c r="E2323" s="1"/>
    </row>
    <row r="2324">
      <c r="A2324" s="1"/>
      <c r="B2324" s="3" t="str">
        <f>IFERROR(__xludf.DUMMYFUNCTION("""COMPUTED_VALUE"""),"DWI ARIFYANDI")</f>
        <v>DWI ARIFYANDI</v>
      </c>
      <c r="C2324" s="3" t="str">
        <f>IFERROR(__xludf.DUMMYFUNCTION("""COMPUTED_VALUE"""),"D9925044697")</f>
        <v>D9925044697</v>
      </c>
      <c r="D2324" s="3">
        <f>IFERROR(__xludf.DUMMYFUNCTION("""COMPUTED_VALUE"""),27.0)</f>
        <v>27</v>
      </c>
      <c r="E2324" s="1"/>
    </row>
    <row r="2325">
      <c r="A2325" s="1"/>
      <c r="B2325" s="3" t="str">
        <f>IFERROR(__xludf.DUMMYFUNCTION("""COMPUTED_VALUE"""),"ERITA FITRIANI")</f>
        <v>ERITA FITRIANI</v>
      </c>
      <c r="C2325" s="3" t="str">
        <f>IFERROR(__xludf.DUMMYFUNCTION("""COMPUTED_VALUE"""),"E7025044684")</f>
        <v>E7025044684</v>
      </c>
      <c r="D2325" s="3">
        <f>IFERROR(__xludf.DUMMYFUNCTION("""COMPUTED_VALUE"""),55.0)</f>
        <v>55</v>
      </c>
      <c r="E2325" s="1"/>
    </row>
    <row r="2326">
      <c r="A2326" s="1"/>
      <c r="B2326" s="3" t="str">
        <f>IFERROR(__xludf.DUMMYFUNCTION("""COMPUTED_VALUE"""),"ARIEF SAPTA WENDRIANTO")</f>
        <v>ARIEF SAPTA WENDRIANTO</v>
      </c>
      <c r="C2326" s="3" t="str">
        <f>IFERROR(__xludf.DUMMYFUNCTION("""COMPUTED_VALUE"""),"A6025048900")</f>
        <v>A6025048900</v>
      </c>
      <c r="D2326" s="3">
        <f>IFERROR(__xludf.DUMMYFUNCTION("""COMPUTED_VALUE"""),66.0)</f>
        <v>66</v>
      </c>
      <c r="E2326" s="1"/>
    </row>
    <row r="2327">
      <c r="A2327" s="1"/>
      <c r="B2327" s="3" t="str">
        <f>IFERROR(__xludf.DUMMYFUNCTION("""COMPUTED_VALUE"""),"DEWI MASHARANI")</f>
        <v>DEWI MASHARANI</v>
      </c>
      <c r="C2327" s="3" t="str">
        <f>IFERROR(__xludf.DUMMYFUNCTION("""COMPUTED_VALUE"""),"D6325049536")</f>
        <v>D6325049536</v>
      </c>
      <c r="D2327" s="3">
        <f>IFERROR(__xludf.DUMMYFUNCTION("""COMPUTED_VALUE"""),63.0)</f>
        <v>63</v>
      </c>
      <c r="E2327" s="1"/>
    </row>
    <row r="2328">
      <c r="A2328" s="1"/>
      <c r="B2328" s="3" t="str">
        <f>IFERROR(__xludf.DUMMYFUNCTION("""COMPUTED_VALUE"""),"SATRIYANTO")</f>
        <v>SATRIYANTO</v>
      </c>
      <c r="C2328" s="3" t="str">
        <f>IFERROR(__xludf.DUMMYFUNCTION("""COMPUTED_VALUE"""),"S9625040113")</f>
        <v>S9625040113</v>
      </c>
      <c r="D2328" s="3">
        <f>IFERROR(__xludf.DUMMYFUNCTION("""COMPUTED_VALUE"""),30.0)</f>
        <v>30</v>
      </c>
      <c r="E2328" s="1"/>
    </row>
    <row r="2329">
      <c r="A2329" s="1"/>
      <c r="B2329" s="3" t="str">
        <f>IFERROR(__xludf.DUMMYFUNCTION("""COMPUTED_VALUE"""),"FATHAN AYATURROHMAN")</f>
        <v>FATHAN AYATURROHMAN</v>
      </c>
      <c r="C2329" s="3" t="str">
        <f>IFERROR(__xludf.DUMMYFUNCTION("""COMPUTED_VALUE"""),"F0425040311")</f>
        <v>F0425040311</v>
      </c>
      <c r="D2329" s="3">
        <f>IFERROR(__xludf.DUMMYFUNCTION("""COMPUTED_VALUE"""),21.0)</f>
        <v>21</v>
      </c>
      <c r="E2329" s="1"/>
    </row>
    <row r="2330">
      <c r="A2330" s="1"/>
      <c r="B2330" s="3" t="str">
        <f>IFERROR(__xludf.DUMMYFUNCTION("""COMPUTED_VALUE"""),"WARNO YULISTIO")</f>
        <v>WARNO YULISTIO</v>
      </c>
      <c r="C2330" s="3" t="str">
        <f>IFERROR(__xludf.DUMMYFUNCTION("""COMPUTED_VALUE"""),"W9325043069")</f>
        <v>W9325043069</v>
      </c>
      <c r="D2330" s="3">
        <f>IFERROR(__xludf.DUMMYFUNCTION("""COMPUTED_VALUE"""),32.0)</f>
        <v>32</v>
      </c>
      <c r="E2330" s="1"/>
    </row>
    <row r="2331">
      <c r="A2331" s="1"/>
      <c r="B2331" s="3" t="str">
        <f>IFERROR(__xludf.DUMMYFUNCTION("""COMPUTED_VALUE"""),"HASAN")</f>
        <v>HASAN</v>
      </c>
      <c r="C2331" s="3" t="str">
        <f>IFERROR(__xludf.DUMMYFUNCTION("""COMPUTED_VALUE"""),"H7825048850")</f>
        <v>H7825048850</v>
      </c>
      <c r="D2331" s="3">
        <f>IFERROR(__xludf.DUMMYFUNCTION("""COMPUTED_VALUE"""),48.0)</f>
        <v>48</v>
      </c>
      <c r="E2331" s="1"/>
    </row>
    <row r="2332">
      <c r="A2332" s="1"/>
      <c r="B2332" s="3" t="str">
        <f>IFERROR(__xludf.DUMMYFUNCTION("""COMPUTED_VALUE"""),"TIFANI FARISKA")</f>
        <v>TIFANI FARISKA</v>
      </c>
      <c r="C2332" s="3" t="str">
        <f>IFERROR(__xludf.DUMMYFUNCTION("""COMPUTED_VALUE"""),"T9325043895")</f>
        <v>T9325043895</v>
      </c>
      <c r="D2332" s="3">
        <f>IFERROR(__xludf.DUMMYFUNCTION("""COMPUTED_VALUE"""),33.0)</f>
        <v>33</v>
      </c>
      <c r="E2332" s="1"/>
    </row>
    <row r="2333">
      <c r="A2333" s="1"/>
      <c r="B2333" s="3" t="str">
        <f>IFERROR(__xludf.DUMMYFUNCTION("""COMPUTED_VALUE"""),"IWAN SETIAWAN8204")</f>
        <v>IWAN SETIAWAN8204</v>
      </c>
      <c r="C2333" s="3" t="str">
        <f>IFERROR(__xludf.DUMMYFUNCTION("""COMPUTED_VALUE"""),"I8225042012")</f>
        <v>I8225042012</v>
      </c>
      <c r="D2333" s="3">
        <f>IFERROR(__xludf.DUMMYFUNCTION("""COMPUTED_VALUE"""),44.0)</f>
        <v>44</v>
      </c>
      <c r="E2333" s="1"/>
    </row>
    <row r="2334">
      <c r="A2334" s="1"/>
      <c r="B2334" s="3" t="str">
        <f>IFERROR(__xludf.DUMMYFUNCTION("""COMPUTED_VALUE"""),"ADIL")</f>
        <v>ADIL</v>
      </c>
      <c r="C2334" s="3" t="str">
        <f>IFERROR(__xludf.DUMMYFUNCTION("""COMPUTED_VALUE"""),"A9425045500")</f>
        <v>A9425045500</v>
      </c>
      <c r="D2334" s="3">
        <f>IFERROR(__xludf.DUMMYFUNCTION("""COMPUTED_VALUE"""),32.0)</f>
        <v>32</v>
      </c>
      <c r="E2334" s="1"/>
    </row>
    <row r="2335">
      <c r="A2335" s="1"/>
      <c r="B2335" s="3" t="str">
        <f>IFERROR(__xludf.DUMMYFUNCTION("""COMPUTED_VALUE"""),"HANAPI")</f>
        <v>HANAPI</v>
      </c>
      <c r="C2335" s="3" t="str">
        <f>IFERROR(__xludf.DUMMYFUNCTION("""COMPUTED_VALUE"""),"H6725049807")</f>
        <v>H6725049807</v>
      </c>
      <c r="D2335" s="3">
        <f>IFERROR(__xludf.DUMMYFUNCTION("""COMPUTED_VALUE"""),59.0)</f>
        <v>59</v>
      </c>
      <c r="E2335" s="1"/>
    </row>
    <row r="2336">
      <c r="A2336" s="1"/>
      <c r="B2336" s="3" t="str">
        <f>IFERROR(__xludf.DUMMYFUNCTION("""COMPUTED_VALUE"""),"DIMAS WAHYU PRASETYO")</f>
        <v>DIMAS WAHYU PRASETYO</v>
      </c>
      <c r="C2336" s="3" t="str">
        <f>IFERROR(__xludf.DUMMYFUNCTION("""COMPUTED_VALUE"""),"D9925044006")</f>
        <v>D9925044006</v>
      </c>
      <c r="D2336" s="3">
        <f>IFERROR(__xludf.DUMMYFUNCTION("""COMPUTED_VALUE"""),26.0)</f>
        <v>26</v>
      </c>
      <c r="E2336" s="1"/>
    </row>
    <row r="2337">
      <c r="A2337" s="1"/>
      <c r="B2337" s="3" t="str">
        <f>IFERROR(__xludf.DUMMYFUNCTION("""COMPUTED_VALUE"""),"WAHYU HIDAYATI")</f>
        <v>WAHYU HIDAYATI</v>
      </c>
      <c r="C2337" s="3" t="str">
        <f>IFERROR(__xludf.DUMMYFUNCTION("""COMPUTED_VALUE"""),"W8525044141")</f>
        <v>W8525044141</v>
      </c>
      <c r="D2337" s="3">
        <f>IFERROR(__xludf.DUMMYFUNCTION("""COMPUTED_VALUE"""),41.0)</f>
        <v>41</v>
      </c>
      <c r="E2337" s="1"/>
    </row>
    <row r="2338">
      <c r="A2338" s="1"/>
      <c r="B2338" s="3" t="str">
        <f>IFERROR(__xludf.DUMMYFUNCTION("""COMPUTED_VALUE"""),"BRIAN AFRIANSYAH")</f>
        <v>BRIAN AFRIANSYAH</v>
      </c>
      <c r="C2338" s="3" t="str">
        <f>IFERROR(__xludf.DUMMYFUNCTION("""COMPUTED_VALUE"""),"B0625048038")</f>
        <v>B0625048038</v>
      </c>
      <c r="D2338" s="3">
        <f>IFERROR(__xludf.DUMMYFUNCTION("""COMPUTED_VALUE"""),20.0)</f>
        <v>20</v>
      </c>
      <c r="E2338" s="1"/>
    </row>
    <row r="2339">
      <c r="A2339" s="1"/>
      <c r="B2339" s="3" t="str">
        <f>IFERROR(__xludf.DUMMYFUNCTION("""COMPUTED_VALUE"""),"DWI DAYU SAMPURNA")</f>
        <v>DWI DAYU SAMPURNA</v>
      </c>
      <c r="C2339" s="3" t="str">
        <f>IFERROR(__xludf.DUMMYFUNCTION("""COMPUTED_VALUE"""),"D9925042118")</f>
        <v>D9925042118</v>
      </c>
      <c r="D2339" s="3">
        <f>IFERROR(__xludf.DUMMYFUNCTION("""COMPUTED_VALUE"""),27.0)</f>
        <v>27</v>
      </c>
      <c r="E2339" s="1"/>
    </row>
    <row r="2340">
      <c r="A2340" s="1"/>
      <c r="B2340" s="3" t="str">
        <f>IFERROR(__xludf.DUMMYFUNCTION("""COMPUTED_VALUE"""),"TIUR MANURUNG")</f>
        <v>TIUR MANURUNG</v>
      </c>
      <c r="C2340" s="3" t="str">
        <f>IFERROR(__xludf.DUMMYFUNCTION("""COMPUTED_VALUE"""),"T7425044460")</f>
        <v>T7425044460</v>
      </c>
      <c r="D2340" s="3">
        <f>IFERROR(__xludf.DUMMYFUNCTION("""COMPUTED_VALUE"""),51.0)</f>
        <v>51</v>
      </c>
      <c r="E2340" s="1"/>
    </row>
    <row r="2341">
      <c r="A2341" s="1"/>
      <c r="B2341" s="3" t="str">
        <f>IFERROR(__xludf.DUMMYFUNCTION("""COMPUTED_VALUE"""),"ZAINAL")</f>
        <v>ZAINAL</v>
      </c>
      <c r="C2341" s="3" t="str">
        <f>IFERROR(__xludf.DUMMYFUNCTION("""COMPUTED_VALUE"""),"Z7325041282")</f>
        <v>Z7325041282</v>
      </c>
      <c r="D2341" s="3">
        <f>IFERROR(__xludf.DUMMYFUNCTION("""COMPUTED_VALUE"""),52.0)</f>
        <v>52</v>
      </c>
      <c r="E2341" s="1"/>
    </row>
    <row r="2342">
      <c r="A2342" s="1"/>
      <c r="B2342" s="3" t="str">
        <f>IFERROR(__xludf.DUMMYFUNCTION("""COMPUTED_VALUE"""),"AHMAN")</f>
        <v>AHMAN</v>
      </c>
      <c r="C2342" s="3" t="str">
        <f>IFERROR(__xludf.DUMMYFUNCTION("""COMPUTED_VALUE"""),"A7625049356")</f>
        <v>A7625049356</v>
      </c>
      <c r="D2342" s="3">
        <f>IFERROR(__xludf.DUMMYFUNCTION("""COMPUTED_VALUE"""),50.0)</f>
        <v>50</v>
      </c>
      <c r="E2342" s="1"/>
    </row>
    <row r="2343">
      <c r="A2343" s="1"/>
      <c r="B2343" s="3" t="str">
        <f>IFERROR(__xludf.DUMMYFUNCTION("""COMPUTED_VALUE"""),"MUHSON NURROCHMAT")</f>
        <v>MUHSON NURROCHMAT</v>
      </c>
      <c r="C2343" s="3" t="str">
        <f>IFERROR(__xludf.DUMMYFUNCTION("""COMPUTED_VALUE"""),"M7325046255")</f>
        <v>M7325046255</v>
      </c>
      <c r="D2343" s="3">
        <f>IFERROR(__xludf.DUMMYFUNCTION("""COMPUTED_VALUE"""),52.0)</f>
        <v>52</v>
      </c>
      <c r="E2343" s="1"/>
    </row>
    <row r="2344">
      <c r="A2344" s="1"/>
      <c r="B2344" s="3" t="str">
        <f>IFERROR(__xludf.DUMMYFUNCTION("""COMPUTED_VALUE"""),"HJ. RAMLAH")</f>
        <v>HJ. RAMLAH</v>
      </c>
      <c r="C2344" s="3" t="str">
        <f>IFERROR(__xludf.DUMMYFUNCTION("""COMPUTED_VALUE"""),"H5625047624")</f>
        <v>H5625047624</v>
      </c>
      <c r="D2344" s="3">
        <f>IFERROR(__xludf.DUMMYFUNCTION("""COMPUTED_VALUE"""),69.0)</f>
        <v>69</v>
      </c>
      <c r="E2344" s="1"/>
    </row>
    <row r="2345">
      <c r="A2345" s="1"/>
      <c r="B2345" s="3" t="str">
        <f>IFERROR(__xludf.DUMMYFUNCTION("""COMPUTED_VALUE"""),"INDRIANUS")</f>
        <v>INDRIANUS</v>
      </c>
      <c r="C2345" s="3" t="str">
        <f>IFERROR(__xludf.DUMMYFUNCTION("""COMPUTED_VALUE"""),"I7525045977")</f>
        <v>I7525045977</v>
      </c>
      <c r="D2345" s="3">
        <f>IFERROR(__xludf.DUMMYFUNCTION("""COMPUTED_VALUE"""),51.0)</f>
        <v>51</v>
      </c>
      <c r="E2345" s="1"/>
    </row>
    <row r="2346">
      <c r="A2346" s="1"/>
      <c r="B2346" s="3" t="str">
        <f>IFERROR(__xludf.DUMMYFUNCTION("""COMPUTED_VALUE"""),"IDA WIDIYASTUTI")</f>
        <v>IDA WIDIYASTUTI</v>
      </c>
      <c r="C2346" s="3" t="str">
        <f>IFERROR(__xludf.DUMMYFUNCTION("""COMPUTED_VALUE"""),"I7525045099")</f>
        <v>I7525045099</v>
      </c>
      <c r="D2346" s="3">
        <f>IFERROR(__xludf.DUMMYFUNCTION("""COMPUTED_VALUE"""),51.0)</f>
        <v>51</v>
      </c>
      <c r="E2346" s="1"/>
    </row>
    <row r="2347">
      <c r="A2347" s="1"/>
      <c r="B2347" s="3" t="str">
        <f>IFERROR(__xludf.DUMMYFUNCTION("""COMPUTED_VALUE"""),"AIKO ZINKY")</f>
        <v>AIKO ZINKY</v>
      </c>
      <c r="C2347" s="3" t="str">
        <f>IFERROR(__xludf.DUMMYFUNCTION("""COMPUTED_VALUE"""),"A1225043715")</f>
        <v>A1225043715</v>
      </c>
      <c r="D2347" s="3">
        <f>IFERROR(__xludf.DUMMYFUNCTION("""COMPUTED_VALUE"""),14.0)</f>
        <v>14</v>
      </c>
      <c r="E2347" s="1"/>
    </row>
    <row r="2348">
      <c r="A2348" s="1"/>
      <c r="B2348" s="3" t="str">
        <f>IFERROR(__xludf.DUMMYFUNCTION("""COMPUTED_VALUE"""),"PUTRI MIRANDA")</f>
        <v>PUTRI MIRANDA</v>
      </c>
      <c r="C2348" s="3" t="str">
        <f>IFERROR(__xludf.DUMMYFUNCTION("""COMPUTED_VALUE"""),"P0125047300")</f>
        <v>P0125047300</v>
      </c>
      <c r="D2348" s="3">
        <f>IFERROR(__xludf.DUMMYFUNCTION("""COMPUTED_VALUE"""),25.0)</f>
        <v>25</v>
      </c>
      <c r="E2348" s="1"/>
    </row>
    <row r="2349">
      <c r="A2349" s="1"/>
      <c r="B2349" s="3" t="str">
        <f>IFERROR(__xludf.DUMMYFUNCTION("""COMPUTED_VALUE"""),"ARI YANUARIF")</f>
        <v>ARI YANUARIF</v>
      </c>
      <c r="C2349" s="3" t="str">
        <f>IFERROR(__xludf.DUMMYFUNCTION("""COMPUTED_VALUE"""),"A6825042168")</f>
        <v>A6825042168</v>
      </c>
      <c r="D2349" s="3">
        <f>IFERROR(__xludf.DUMMYFUNCTION("""COMPUTED_VALUE"""),58.0)</f>
        <v>58</v>
      </c>
      <c r="E2349" s="1"/>
    </row>
    <row r="2350">
      <c r="A2350" s="1"/>
      <c r="B2350" s="3" t="str">
        <f>IFERROR(__xludf.DUMMYFUNCTION("""COMPUTED_VALUE"""),"RENDI ARDIAN")</f>
        <v>RENDI ARDIAN</v>
      </c>
      <c r="C2350" s="3" t="str">
        <f>IFERROR(__xludf.DUMMYFUNCTION("""COMPUTED_VALUE"""),"R8525040080")</f>
        <v>R8525040080</v>
      </c>
      <c r="D2350" s="3">
        <f>IFERROR(__xludf.DUMMYFUNCTION("""COMPUTED_VALUE"""),41.0)</f>
        <v>41</v>
      </c>
      <c r="E2350" s="1"/>
    </row>
    <row r="2351">
      <c r="A2351" s="1"/>
      <c r="B2351" s="3" t="str">
        <f>IFERROR(__xludf.DUMMYFUNCTION("""COMPUTED_VALUE"""),"FIDLIS MERING")</f>
        <v>FIDLIS MERING</v>
      </c>
      <c r="C2351" s="3" t="str">
        <f>IFERROR(__xludf.DUMMYFUNCTION("""COMPUTED_VALUE"""),"F8525043145")</f>
        <v>F8525043145</v>
      </c>
      <c r="D2351" s="3">
        <f>IFERROR(__xludf.DUMMYFUNCTION("""COMPUTED_VALUE"""),40.0)</f>
        <v>40</v>
      </c>
      <c r="E2351" s="1"/>
    </row>
    <row r="2352">
      <c r="A2352" s="1"/>
      <c r="B2352" s="3" t="str">
        <f>IFERROR(__xludf.DUMMYFUNCTION("""COMPUTED_VALUE"""),"FAHRUR HAMZAH")</f>
        <v>FAHRUR HAMZAH</v>
      </c>
      <c r="C2352" s="3" t="str">
        <f>IFERROR(__xludf.DUMMYFUNCTION("""COMPUTED_VALUE"""),"F8125046644")</f>
        <v>F8125046644</v>
      </c>
      <c r="D2352" s="3">
        <f>IFERROR(__xludf.DUMMYFUNCTION("""COMPUTED_VALUE"""),44.0)</f>
        <v>44</v>
      </c>
      <c r="E2352" s="1"/>
    </row>
    <row r="2353">
      <c r="A2353" s="1"/>
      <c r="B2353" s="3" t="str">
        <f>IFERROR(__xludf.DUMMYFUNCTION("""COMPUTED_VALUE"""),"DEWI MUSTIKA")</f>
        <v>DEWI MUSTIKA</v>
      </c>
      <c r="C2353" s="3" t="str">
        <f>IFERROR(__xludf.DUMMYFUNCTION("""COMPUTED_VALUE"""),"D7125046555")</f>
        <v>D7125046555</v>
      </c>
      <c r="D2353" s="3">
        <f>IFERROR(__xludf.DUMMYFUNCTION("""COMPUTED_VALUE"""),54.0)</f>
        <v>54</v>
      </c>
      <c r="E2353" s="1"/>
    </row>
    <row r="2354">
      <c r="A2354" s="1"/>
      <c r="B2354" s="3" t="str">
        <f>IFERROR(__xludf.DUMMYFUNCTION("""COMPUTED_VALUE"""),"CHRISTINA SUDARTI")</f>
        <v>CHRISTINA SUDARTI</v>
      </c>
      <c r="C2354" s="3" t="str">
        <f>IFERROR(__xludf.DUMMYFUNCTION("""COMPUTED_VALUE"""),"C6425047200")</f>
        <v>C6425047200</v>
      </c>
      <c r="D2354" s="3">
        <f>IFERROR(__xludf.DUMMYFUNCTION("""COMPUTED_VALUE"""),61.0)</f>
        <v>61</v>
      </c>
      <c r="E2354" s="1"/>
    </row>
    <row r="2355">
      <c r="A2355" s="1"/>
      <c r="B2355" s="3" t="str">
        <f>IFERROR(__xludf.DUMMYFUNCTION("""COMPUTED_VALUE"""),"SRI RIZQY AMALIA")</f>
        <v>SRI RIZQY AMALIA</v>
      </c>
      <c r="C2355" s="3" t="str">
        <f>IFERROR(__xludf.DUMMYFUNCTION("""COMPUTED_VALUE"""),"S0025047393")</f>
        <v>S0025047393</v>
      </c>
      <c r="D2355" s="3">
        <f>IFERROR(__xludf.DUMMYFUNCTION("""COMPUTED_VALUE"""),25.0)</f>
        <v>25</v>
      </c>
      <c r="E2355" s="1"/>
    </row>
    <row r="2356">
      <c r="A2356" s="1"/>
      <c r="B2356" s="3" t="str">
        <f>IFERROR(__xludf.DUMMYFUNCTION("""COMPUTED_VALUE"""),"ALGI FAHRI")</f>
        <v>ALGI FAHRI</v>
      </c>
      <c r="C2356" s="3" t="str">
        <f>IFERROR(__xludf.DUMMYFUNCTION("""COMPUTED_VALUE"""),"A0825042223")</f>
        <v>A0825042223</v>
      </c>
      <c r="D2356" s="3">
        <f>IFERROR(__xludf.DUMMYFUNCTION("""COMPUTED_VALUE"""),18.0)</f>
        <v>18</v>
      </c>
      <c r="E2356" s="1"/>
    </row>
    <row r="2357">
      <c r="A2357" s="1"/>
      <c r="B2357" s="3" t="str">
        <f>IFERROR(__xludf.DUMMYFUNCTION("""COMPUTED_VALUE"""),"MUAMMAR HAFIZI")</f>
        <v>MUAMMAR HAFIZI</v>
      </c>
      <c r="C2357" s="3" t="str">
        <f>IFERROR(__xludf.DUMMYFUNCTION("""COMPUTED_VALUE"""),"M8625049884")</f>
        <v>M8625049884</v>
      </c>
      <c r="D2357" s="3">
        <f>IFERROR(__xludf.DUMMYFUNCTION("""COMPUTED_VALUE"""),39.0)</f>
        <v>39</v>
      </c>
      <c r="E2357" s="1"/>
    </row>
    <row r="2358">
      <c r="A2358" s="1"/>
      <c r="B2358" s="3" t="str">
        <f>IFERROR(__xludf.DUMMYFUNCTION("""COMPUTED_VALUE"""),"JAMALUDIN7406")</f>
        <v>JAMALUDIN7406</v>
      </c>
      <c r="C2358" s="3" t="str">
        <f>IFERROR(__xludf.DUMMYFUNCTION("""COMPUTED_VALUE"""),"J7425044865")</f>
        <v>J7425044865</v>
      </c>
      <c r="D2358" s="3">
        <f>IFERROR(__xludf.DUMMYFUNCTION("""COMPUTED_VALUE"""),52.0)</f>
        <v>52</v>
      </c>
      <c r="E2358" s="1"/>
    </row>
    <row r="2359">
      <c r="A2359" s="1"/>
      <c r="B2359" s="3" t="str">
        <f>IFERROR(__xludf.DUMMYFUNCTION("""COMPUTED_VALUE"""),"ENI KUAMIATI")</f>
        <v>ENI KUAMIATI</v>
      </c>
      <c r="C2359" s="3" t="str">
        <f>IFERROR(__xludf.DUMMYFUNCTION("""COMPUTED_VALUE"""),"E7525042936")</f>
        <v>E7525042936</v>
      </c>
      <c r="D2359" s="3">
        <f>IFERROR(__xludf.DUMMYFUNCTION("""COMPUTED_VALUE"""),50.0)</f>
        <v>50</v>
      </c>
      <c r="E2359" s="1"/>
    </row>
    <row r="2360">
      <c r="A2360" s="1"/>
      <c r="B2360" s="3" t="str">
        <f>IFERROR(__xludf.DUMMYFUNCTION("""COMPUTED_VALUE"""),"ISKANDAR ZULKARNAEN")</f>
        <v>ISKANDAR ZULKARNAEN</v>
      </c>
      <c r="C2360" s="3" t="str">
        <f>IFERROR(__xludf.DUMMYFUNCTION("""COMPUTED_VALUE"""),"I7525042292")</f>
        <v>I7525042292</v>
      </c>
      <c r="D2360" s="3">
        <f>IFERROR(__xludf.DUMMYFUNCTION("""COMPUTED_VALUE"""),50.0)</f>
        <v>50</v>
      </c>
      <c r="E2360" s="1"/>
    </row>
    <row r="2361">
      <c r="A2361" s="1"/>
      <c r="B2361" s="3" t="str">
        <f>IFERROR(__xludf.DUMMYFUNCTION("""COMPUTED_VALUE"""),"DYNA LIESTARI")</f>
        <v>DYNA LIESTARI</v>
      </c>
      <c r="C2361" s="3" t="str">
        <f>IFERROR(__xludf.DUMMYFUNCTION("""COMPUTED_VALUE"""),"D8625044371")</f>
        <v>D8625044371</v>
      </c>
      <c r="D2361" s="3">
        <f>IFERROR(__xludf.DUMMYFUNCTION("""COMPUTED_VALUE"""),39.0)</f>
        <v>39</v>
      </c>
      <c r="E2361" s="1"/>
    </row>
    <row r="2362">
      <c r="A2362" s="1"/>
      <c r="B2362" s="3" t="str">
        <f>IFERROR(__xludf.DUMMYFUNCTION("""COMPUTED_VALUE"""),"MUHAMAD ZAIN AL FARIZI")</f>
        <v>MUHAMAD ZAIN AL FARIZI</v>
      </c>
      <c r="C2362" s="3" t="str">
        <f>IFERROR(__xludf.DUMMYFUNCTION("""COMPUTED_VALUE"""),"M0425046594")</f>
        <v>M0425046594</v>
      </c>
      <c r="D2362" s="3">
        <f>IFERROR(__xludf.DUMMYFUNCTION("""COMPUTED_VALUE"""),22.0)</f>
        <v>22</v>
      </c>
      <c r="E2362" s="1"/>
    </row>
    <row r="2363">
      <c r="A2363" s="1"/>
      <c r="B2363" s="3" t="str">
        <f>IFERROR(__xludf.DUMMYFUNCTION("""COMPUTED_VALUE"""),"SUZY INGKIRIWANG")</f>
        <v>SUZY INGKIRIWANG</v>
      </c>
      <c r="C2363" s="3" t="str">
        <f>IFERROR(__xludf.DUMMYFUNCTION("""COMPUTED_VALUE"""),"S6925041888")</f>
        <v>S6925041888</v>
      </c>
      <c r="D2363" s="3">
        <f>IFERROR(__xludf.DUMMYFUNCTION("""COMPUTED_VALUE"""),56.0)</f>
        <v>56</v>
      </c>
      <c r="E2363" s="1"/>
    </row>
    <row r="2364">
      <c r="A2364" s="1"/>
      <c r="B2364" s="3" t="str">
        <f>IFERROR(__xludf.DUMMYFUNCTION("""COMPUTED_VALUE"""),"DAYANG KARINA MAULIDIA")</f>
        <v>DAYANG KARINA MAULIDIA</v>
      </c>
      <c r="C2364" s="3" t="str">
        <f>IFERROR(__xludf.DUMMYFUNCTION("""COMPUTED_VALUE"""),"D9625049610")</f>
        <v>D9625049610</v>
      </c>
      <c r="D2364" s="3">
        <f>IFERROR(__xludf.DUMMYFUNCTION("""COMPUTED_VALUE"""),29.0)</f>
        <v>29</v>
      </c>
      <c r="E2364" s="1"/>
    </row>
    <row r="2365">
      <c r="A2365" s="1"/>
      <c r="B2365" s="3" t="str">
        <f>IFERROR(__xludf.DUMMYFUNCTION("""COMPUTED_VALUE"""),"ANUGRAH PRATAMA")</f>
        <v>ANUGRAH PRATAMA</v>
      </c>
      <c r="C2365" s="3" t="str">
        <f>IFERROR(__xludf.DUMMYFUNCTION("""COMPUTED_VALUE"""),"A1225046490")</f>
        <v>A1225046490</v>
      </c>
      <c r="D2365" s="3">
        <f>IFERROR(__xludf.DUMMYFUNCTION("""COMPUTED_VALUE"""),14.0)</f>
        <v>14</v>
      </c>
      <c r="E2365" s="1"/>
    </row>
    <row r="2366">
      <c r="A2366" s="1"/>
      <c r="B2366" s="3" t="str">
        <f>IFERROR(__xludf.DUMMYFUNCTION("""COMPUTED_VALUE"""),"MARTONO")</f>
        <v>MARTONO</v>
      </c>
      <c r="C2366" s="3" t="str">
        <f>IFERROR(__xludf.DUMMYFUNCTION("""COMPUTED_VALUE"""),"M7225041593")</f>
        <v>M7225041593</v>
      </c>
      <c r="D2366" s="3">
        <f>IFERROR(__xludf.DUMMYFUNCTION("""COMPUTED_VALUE"""),54.0)</f>
        <v>54</v>
      </c>
      <c r="E2366" s="1"/>
    </row>
    <row r="2367">
      <c r="A2367" s="1"/>
      <c r="B2367" s="3" t="str">
        <f>IFERROR(__xludf.DUMMYFUNCTION("""COMPUTED_VALUE"""),"H MUHAMMAD BIN H ABDULLAH")</f>
        <v>H MUHAMMAD BIN H ABDULLAH</v>
      </c>
      <c r="C2367" s="3" t="str">
        <f>IFERROR(__xludf.DUMMYFUNCTION("""COMPUTED_VALUE"""),"H5125045553")</f>
        <v>H5125045553</v>
      </c>
      <c r="D2367" s="3">
        <f>IFERROR(__xludf.DUMMYFUNCTION("""COMPUTED_VALUE"""),75.0)</f>
        <v>75</v>
      </c>
      <c r="E2367" s="1"/>
    </row>
    <row r="2368">
      <c r="A2368" s="1"/>
      <c r="B2368" s="3" t="str">
        <f>IFERROR(__xludf.DUMMYFUNCTION("""COMPUTED_VALUE"""),"MARTHEN IECHUANDA")</f>
        <v>MARTHEN IECHUANDA</v>
      </c>
      <c r="C2368" s="3" t="str">
        <f>IFERROR(__xludf.DUMMYFUNCTION("""COMPUTED_VALUE"""),"M0725049095")</f>
        <v>M0725049095</v>
      </c>
      <c r="D2368" s="3">
        <f>IFERROR(__xludf.DUMMYFUNCTION("""COMPUTED_VALUE"""),19.0)</f>
        <v>19</v>
      </c>
      <c r="E2368" s="1"/>
    </row>
    <row r="2369">
      <c r="A2369" s="1"/>
      <c r="B2369" s="3" t="str">
        <f>IFERROR(__xludf.DUMMYFUNCTION("""COMPUTED_VALUE"""),"ZULKIFLI 8105")</f>
        <v>ZULKIFLI 8105</v>
      </c>
      <c r="C2369" s="3" t="str">
        <f>IFERROR(__xludf.DUMMYFUNCTION("""COMPUTED_VALUE"""),"Z8125047588")</f>
        <v>Z8125047588</v>
      </c>
      <c r="D2369" s="3">
        <f>IFERROR(__xludf.DUMMYFUNCTION("""COMPUTED_VALUE"""),45.0)</f>
        <v>45</v>
      </c>
      <c r="E2369" s="1"/>
    </row>
    <row r="2370">
      <c r="A2370" s="1"/>
      <c r="B2370" s="3" t="str">
        <f>IFERROR(__xludf.DUMMYFUNCTION("""COMPUTED_VALUE"""),"ELVIRA NAURA SASMITA")</f>
        <v>ELVIRA NAURA SASMITA</v>
      </c>
      <c r="C2370" s="3" t="str">
        <f>IFERROR(__xludf.DUMMYFUNCTION("""COMPUTED_VALUE"""),"E1125041282")</f>
        <v>E1125041282</v>
      </c>
      <c r="D2370" s="3">
        <f>IFERROR(__xludf.DUMMYFUNCTION("""COMPUTED_VALUE"""),14.0)</f>
        <v>14</v>
      </c>
      <c r="E2370" s="1"/>
    </row>
    <row r="2371">
      <c r="A2371" s="1"/>
      <c r="B2371" s="3" t="str">
        <f>IFERROR(__xludf.DUMMYFUNCTION("""COMPUTED_VALUE"""),"LOUW MENG TJU ALS ENNY")</f>
        <v>LOUW MENG TJU ALS ENNY</v>
      </c>
      <c r="C2371" s="3" t="str">
        <f>IFERROR(__xludf.DUMMYFUNCTION("""COMPUTED_VALUE"""),"L5025045140")</f>
        <v>L5025045140</v>
      </c>
      <c r="D2371" s="3">
        <f>IFERROR(__xludf.DUMMYFUNCTION("""COMPUTED_VALUE"""),75.0)</f>
        <v>75</v>
      </c>
      <c r="E2371" s="1"/>
    </row>
    <row r="2372">
      <c r="A2372" s="1"/>
      <c r="B2372" s="3" t="str">
        <f>IFERROR(__xludf.DUMMYFUNCTION("""COMPUTED_VALUE"""),"NETTY HASTUTI")</f>
        <v>NETTY HASTUTI</v>
      </c>
      <c r="C2372" s="3" t="str">
        <f>IFERROR(__xludf.DUMMYFUNCTION("""COMPUTED_VALUE"""),"N7425041601")</f>
        <v>N7425041601</v>
      </c>
      <c r="D2372" s="3">
        <f>IFERROR(__xludf.DUMMYFUNCTION("""COMPUTED_VALUE"""),51.0)</f>
        <v>51</v>
      </c>
      <c r="E2372" s="1"/>
    </row>
    <row r="2373">
      <c r="A2373" s="1"/>
      <c r="B2373" s="3" t="str">
        <f>IFERROR(__xludf.DUMMYFUNCTION("""COMPUTED_VALUE"""),"SUHARSONO")</f>
        <v>SUHARSONO</v>
      </c>
      <c r="C2373" s="3" t="str">
        <f>IFERROR(__xludf.DUMMYFUNCTION("""COMPUTED_VALUE"""),"S5625047949")</f>
        <v>S5625047949</v>
      </c>
      <c r="D2373" s="3">
        <f>IFERROR(__xludf.DUMMYFUNCTION("""COMPUTED_VALUE"""),69.0)</f>
        <v>69</v>
      </c>
      <c r="E2373" s="1"/>
    </row>
    <row r="2374">
      <c r="A2374" s="1"/>
      <c r="B2374" s="3" t="str">
        <f>IFERROR(__xludf.DUMMYFUNCTION("""COMPUTED_VALUE"""),"CALISTA MARIBELL")</f>
        <v>CALISTA MARIBELL</v>
      </c>
      <c r="C2374" s="3" t="str">
        <f>IFERROR(__xludf.DUMMYFUNCTION("""COMPUTED_VALUE"""),"C0925055444")</f>
        <v>C0925055444</v>
      </c>
      <c r="D2374" s="3">
        <f>IFERROR(__xludf.DUMMYFUNCTION("""COMPUTED_VALUE"""),16.0)</f>
        <v>16</v>
      </c>
      <c r="E2374" s="1"/>
    </row>
    <row r="2375">
      <c r="A2375" s="1"/>
      <c r="B2375" s="3" t="str">
        <f>IFERROR(__xludf.DUMMYFUNCTION("""COMPUTED_VALUE"""),"A . HALIM PERDANA")</f>
        <v>A . HALIM PERDANA</v>
      </c>
      <c r="C2375" s="3" t="str">
        <f>IFERROR(__xludf.DUMMYFUNCTION("""COMPUTED_VALUE"""),"A9725057359")</f>
        <v>A9725057359</v>
      </c>
      <c r="D2375" s="3">
        <f>IFERROR(__xludf.DUMMYFUNCTION("""COMPUTED_VALUE"""),28.0)</f>
        <v>28</v>
      </c>
      <c r="E2375" s="1"/>
    </row>
    <row r="2376">
      <c r="A2376" s="1"/>
      <c r="B2376" s="3" t="str">
        <f>IFERROR(__xludf.DUMMYFUNCTION("""COMPUTED_VALUE"""),"ANDI WAHYU ENDRIYANTO")</f>
        <v>ANDI WAHYU ENDRIYANTO</v>
      </c>
      <c r="C2376" s="3" t="str">
        <f>IFERROR(__xludf.DUMMYFUNCTION("""COMPUTED_VALUE"""),"A9325050486")</f>
        <v>A9325050486</v>
      </c>
      <c r="D2376" s="3">
        <f>IFERROR(__xludf.DUMMYFUNCTION("""COMPUTED_VALUE"""),33.0)</f>
        <v>33</v>
      </c>
      <c r="E2376" s="1"/>
    </row>
    <row r="2377">
      <c r="A2377" s="1"/>
      <c r="B2377" s="3" t="str">
        <f>IFERROR(__xludf.DUMMYFUNCTION("""COMPUTED_VALUE"""),"MUHAMMAD RUSTAM")</f>
        <v>MUHAMMAD RUSTAM</v>
      </c>
      <c r="C2377" s="3" t="str">
        <f>IFERROR(__xludf.DUMMYFUNCTION("""COMPUTED_VALUE"""),"M2525053348")</f>
        <v>M2525053348</v>
      </c>
      <c r="D2377" s="3">
        <f>IFERROR(__xludf.DUMMYFUNCTION("""COMPUTED_VALUE"""),1.0)</f>
        <v>1</v>
      </c>
      <c r="E2377" s="1"/>
    </row>
    <row r="2378">
      <c r="A2378" s="1"/>
      <c r="B2378" s="3" t="str">
        <f>IFERROR(__xludf.DUMMYFUNCTION("""COMPUTED_VALUE"""),"MUHIDDIN")</f>
        <v>MUHIDDIN</v>
      </c>
      <c r="C2378" s="3" t="str">
        <f>IFERROR(__xludf.DUMMYFUNCTION("""COMPUTED_VALUE"""),"M6625053102")</f>
        <v>M6625053102</v>
      </c>
      <c r="D2378" s="3">
        <f>IFERROR(__xludf.DUMMYFUNCTION("""COMPUTED_VALUE"""),60.0)</f>
        <v>60</v>
      </c>
      <c r="E2378" s="1"/>
    </row>
    <row r="2379">
      <c r="A2379" s="1"/>
      <c r="B2379" s="3" t="str">
        <f>IFERROR(__xludf.DUMMYFUNCTION("""COMPUTED_VALUE"""),"ISRA WAHYUNI")</f>
        <v>ISRA WAHYUNI</v>
      </c>
      <c r="C2379" s="3" t="str">
        <f>IFERROR(__xludf.DUMMYFUNCTION("""COMPUTED_VALUE"""),"I9525054075")</f>
        <v>I9525054075</v>
      </c>
      <c r="D2379" s="3">
        <f>IFERROR(__xludf.DUMMYFUNCTION("""COMPUTED_VALUE"""),30.0)</f>
        <v>30</v>
      </c>
      <c r="E2379" s="1"/>
    </row>
    <row r="2380">
      <c r="A2380" s="1"/>
      <c r="B2380" s="3" t="str">
        <f>IFERROR(__xludf.DUMMYFUNCTION("""COMPUTED_VALUE"""),"MUHAMMAD FAISAL LUBIS")</f>
        <v>MUHAMMAD FAISAL LUBIS</v>
      </c>
      <c r="C2380" s="3" t="str">
        <f>IFERROR(__xludf.DUMMYFUNCTION("""COMPUTED_VALUE"""),"M9725052929")</f>
        <v>M9725052929</v>
      </c>
      <c r="D2380" s="3">
        <f>IFERROR(__xludf.DUMMYFUNCTION("""COMPUTED_VALUE"""),29.0)</f>
        <v>29</v>
      </c>
      <c r="E2380" s="1"/>
    </row>
    <row r="2381">
      <c r="A2381" s="1"/>
      <c r="B2381" s="3" t="str">
        <f>IFERROR(__xludf.DUMMYFUNCTION("""COMPUTED_VALUE"""),"PANCA DRIA")</f>
        <v>PANCA DRIA</v>
      </c>
      <c r="C2381" s="3" t="str">
        <f>IFERROR(__xludf.DUMMYFUNCTION("""COMPUTED_VALUE"""),"P8425050000")</f>
        <v>P8425050000</v>
      </c>
      <c r="D2381" s="3">
        <f>IFERROR(__xludf.DUMMYFUNCTION("""COMPUTED_VALUE"""),42.0)</f>
        <v>42</v>
      </c>
      <c r="E2381" s="1"/>
    </row>
    <row r="2382">
      <c r="A2382" s="1"/>
      <c r="B2382" s="3" t="str">
        <f>IFERROR(__xludf.DUMMYFUNCTION("""COMPUTED_VALUE"""),"SITI RUMIYATI")</f>
        <v>SITI RUMIYATI</v>
      </c>
      <c r="C2382" s="3" t="str">
        <f>IFERROR(__xludf.DUMMYFUNCTION("""COMPUTED_VALUE"""),"S5225059977")</f>
        <v>S5225059977</v>
      </c>
      <c r="D2382" s="3">
        <f>IFERROR(__xludf.DUMMYFUNCTION("""COMPUTED_VALUE"""),74.0)</f>
        <v>74</v>
      </c>
      <c r="E2382" s="1"/>
    </row>
    <row r="2383">
      <c r="A2383" s="1"/>
      <c r="B2383" s="3" t="str">
        <f>IFERROR(__xludf.DUMMYFUNCTION("""COMPUTED_VALUE"""),"PUJI WIRANTI")</f>
        <v>PUJI WIRANTI</v>
      </c>
      <c r="C2383" s="3" t="str">
        <f>IFERROR(__xludf.DUMMYFUNCTION("""COMPUTED_VALUE"""),"P9625056007")</f>
        <v>P9625056007</v>
      </c>
      <c r="D2383" s="3">
        <f>IFERROR(__xludf.DUMMYFUNCTION("""COMPUTED_VALUE"""),29.0)</f>
        <v>29</v>
      </c>
      <c r="E2383" s="1"/>
    </row>
    <row r="2384">
      <c r="A2384" s="1"/>
      <c r="B2384" s="3" t="str">
        <f>IFERROR(__xludf.DUMMYFUNCTION("""COMPUTED_VALUE"""),"SAFRI ADAM")</f>
        <v>SAFRI ADAM</v>
      </c>
      <c r="C2384" s="3" t="str">
        <f>IFERROR(__xludf.DUMMYFUNCTION("""COMPUTED_VALUE"""),"S9425051801")</f>
        <v>S9425051801</v>
      </c>
      <c r="D2384" s="3">
        <f>IFERROR(__xludf.DUMMYFUNCTION("""COMPUTED_VALUE"""),31.0)</f>
        <v>31</v>
      </c>
      <c r="E2384" s="1"/>
    </row>
    <row r="2385">
      <c r="A2385" s="1"/>
      <c r="B2385" s="3" t="str">
        <f>IFERROR(__xludf.DUMMYFUNCTION("""COMPUTED_VALUE"""),"AZMI")</f>
        <v>AZMI</v>
      </c>
      <c r="C2385" s="3" t="str">
        <f>IFERROR(__xludf.DUMMYFUNCTION("""COMPUTED_VALUE"""),"A9425050290")</f>
        <v>A9425050290</v>
      </c>
      <c r="D2385" s="3">
        <f>IFERROR(__xludf.DUMMYFUNCTION("""COMPUTED_VALUE"""),32.0)</f>
        <v>32</v>
      </c>
      <c r="E2385" s="1"/>
    </row>
    <row r="2386">
      <c r="A2386" s="1"/>
      <c r="B2386" s="3" t="str">
        <f>IFERROR(__xludf.DUMMYFUNCTION("""COMPUTED_VALUE"""),"RENDRA NOVITO, SP")</f>
        <v>RENDRA NOVITO, SP</v>
      </c>
      <c r="C2386" s="3" t="str">
        <f>IFERROR(__xludf.DUMMYFUNCTION("""COMPUTED_VALUE"""),"R7625057125")</f>
        <v>R7625057125</v>
      </c>
      <c r="D2386" s="3">
        <f>IFERROR(__xludf.DUMMYFUNCTION("""COMPUTED_VALUE"""),49.0)</f>
        <v>49</v>
      </c>
      <c r="E2386" s="1"/>
    </row>
    <row r="2387">
      <c r="A2387" s="1"/>
      <c r="B2387" s="3" t="str">
        <f>IFERROR(__xludf.DUMMYFUNCTION("""COMPUTED_VALUE"""),"NILAM SANTIKA")</f>
        <v>NILAM SANTIKA</v>
      </c>
      <c r="C2387" s="3" t="str">
        <f>IFERROR(__xludf.DUMMYFUNCTION("""COMPUTED_VALUE"""),"N7225053377")</f>
        <v>N7225053377</v>
      </c>
      <c r="D2387" s="3">
        <f>IFERROR(__xludf.DUMMYFUNCTION("""COMPUTED_VALUE"""),54.0)</f>
        <v>54</v>
      </c>
      <c r="E2387" s="1"/>
    </row>
    <row r="2388">
      <c r="A2388" s="1"/>
      <c r="B2388" s="3" t="str">
        <f>IFERROR(__xludf.DUMMYFUNCTION("""COMPUTED_VALUE"""),"SITI HADIJAH 6201")</f>
        <v>SITI HADIJAH 6201</v>
      </c>
      <c r="C2388" s="3" t="str">
        <f>IFERROR(__xludf.DUMMYFUNCTION("""COMPUTED_VALUE"""),"S6225058540")</f>
        <v>S6225058540</v>
      </c>
      <c r="D2388" s="3">
        <f>IFERROR(__xludf.DUMMYFUNCTION("""COMPUTED_VALUE"""),64.0)</f>
        <v>64</v>
      </c>
      <c r="E2388" s="1"/>
    </row>
    <row r="2389">
      <c r="A2389" s="1"/>
      <c r="B2389" s="3" t="str">
        <f>IFERROR(__xludf.DUMMYFUNCTION("""COMPUTED_VALUE"""),"KHANSA ATALLAH PURUHITA")</f>
        <v>KHANSA ATALLAH PURUHITA</v>
      </c>
      <c r="C2389" s="3" t="str">
        <f>IFERROR(__xludf.DUMMYFUNCTION("""COMPUTED_VALUE"""),"K0025055631")</f>
        <v>K0025055631</v>
      </c>
      <c r="D2389" s="3">
        <f>IFERROR(__xludf.DUMMYFUNCTION("""COMPUTED_VALUE"""),25.0)</f>
        <v>25</v>
      </c>
      <c r="E2389" s="1"/>
    </row>
    <row r="2390">
      <c r="A2390" s="1"/>
      <c r="B2390" s="3" t="str">
        <f>IFERROR(__xludf.DUMMYFUNCTION("""COMPUTED_VALUE"""),"SATIMAN")</f>
        <v>SATIMAN</v>
      </c>
      <c r="C2390" s="3" t="str">
        <f>IFERROR(__xludf.DUMMYFUNCTION("""COMPUTED_VALUE"""),"S7525054125")</f>
        <v>S7525054125</v>
      </c>
      <c r="D2390" s="3">
        <f>IFERROR(__xludf.DUMMYFUNCTION("""COMPUTED_VALUE"""),50.0)</f>
        <v>50</v>
      </c>
      <c r="E2390" s="1"/>
    </row>
    <row r="2391">
      <c r="A2391" s="1"/>
      <c r="B2391" s="3" t="str">
        <f>IFERROR(__xludf.DUMMYFUNCTION("""COMPUTED_VALUE"""),"HERDI SETIAWAN JAYA")</f>
        <v>HERDI SETIAWAN JAYA</v>
      </c>
      <c r="C2391" s="3" t="str">
        <f>IFERROR(__xludf.DUMMYFUNCTION("""COMPUTED_VALUE"""),"H9125059720")</f>
        <v>H9125059720</v>
      </c>
      <c r="D2391" s="3">
        <f>IFERROR(__xludf.DUMMYFUNCTION("""COMPUTED_VALUE"""),35.0)</f>
        <v>35</v>
      </c>
      <c r="E2391" s="1"/>
    </row>
    <row r="2392">
      <c r="A2392" s="1"/>
      <c r="B2392" s="3" t="str">
        <f>IFERROR(__xludf.DUMMYFUNCTION("""COMPUTED_VALUE"""),"BENI BURHAN")</f>
        <v>BENI BURHAN</v>
      </c>
      <c r="C2392" s="3" t="str">
        <f>IFERROR(__xludf.DUMMYFUNCTION("""COMPUTED_VALUE"""),"B6225056543")</f>
        <v>B6225056543</v>
      </c>
      <c r="D2392" s="3">
        <f>IFERROR(__xludf.DUMMYFUNCTION("""COMPUTED_VALUE"""),64.0)</f>
        <v>64</v>
      </c>
      <c r="E2392" s="1"/>
    </row>
    <row r="2393">
      <c r="A2393" s="1"/>
      <c r="B2393" s="3" t="str">
        <f>IFERROR(__xludf.DUMMYFUNCTION("""COMPUTED_VALUE"""),"ASRUL FEBRA")</f>
        <v>ASRUL FEBRA</v>
      </c>
      <c r="C2393" s="3" t="str">
        <f>IFERROR(__xludf.DUMMYFUNCTION("""COMPUTED_VALUE"""),"A7625059626")</f>
        <v>A7625059626</v>
      </c>
      <c r="D2393" s="3">
        <f>IFERROR(__xludf.DUMMYFUNCTION("""COMPUTED_VALUE"""),50.0)</f>
        <v>50</v>
      </c>
      <c r="E2393" s="1"/>
    </row>
    <row r="2394">
      <c r="A2394" s="1"/>
      <c r="B2394" s="3" t="str">
        <f>IFERROR(__xludf.DUMMYFUNCTION("""COMPUTED_VALUE"""),"RIZQA KHAIRUNNISA")</f>
        <v>RIZQA KHAIRUNNISA</v>
      </c>
      <c r="C2394" s="3" t="str">
        <f>IFERROR(__xludf.DUMMYFUNCTION("""COMPUTED_VALUE"""),"R0025055284")</f>
        <v>R0025055284</v>
      </c>
      <c r="D2394" s="3">
        <f>IFERROR(__xludf.DUMMYFUNCTION("""COMPUTED_VALUE"""),26.0)</f>
        <v>26</v>
      </c>
      <c r="E2394" s="1"/>
    </row>
    <row r="2395">
      <c r="A2395" s="1"/>
      <c r="B2395" s="3" t="str">
        <f>IFERROR(__xludf.DUMMYFUNCTION("""COMPUTED_VALUE"""),"PEBRI GIANTO")</f>
        <v>PEBRI GIANTO</v>
      </c>
      <c r="C2395" s="3" t="str">
        <f>IFERROR(__xludf.DUMMYFUNCTION("""COMPUTED_VALUE"""),"P9625052580")</f>
        <v>P9625052580</v>
      </c>
      <c r="D2395" s="3">
        <f>IFERROR(__xludf.DUMMYFUNCTION("""COMPUTED_VALUE"""),29.0)</f>
        <v>29</v>
      </c>
      <c r="E2395" s="1"/>
    </row>
    <row r="2396">
      <c r="A2396" s="1"/>
      <c r="B2396" s="3" t="str">
        <f>IFERROR(__xludf.DUMMYFUNCTION("""COMPUTED_VALUE"""),"STEFANO")</f>
        <v>STEFANO</v>
      </c>
      <c r="C2396" s="3" t="str">
        <f>IFERROR(__xludf.DUMMYFUNCTION("""COMPUTED_VALUE"""),"S9025059890")</f>
        <v>S9025059890</v>
      </c>
      <c r="D2396" s="3">
        <f>IFERROR(__xludf.DUMMYFUNCTION("""COMPUTED_VALUE"""),35.0)</f>
        <v>35</v>
      </c>
      <c r="E2396" s="1"/>
    </row>
    <row r="2397">
      <c r="A2397" s="1"/>
      <c r="B2397" s="3" t="str">
        <f>IFERROR(__xludf.DUMMYFUNCTION("""COMPUTED_VALUE"""),"FIDIA SOFIYANTI")</f>
        <v>FIDIA SOFIYANTI</v>
      </c>
      <c r="C2397" s="3" t="str">
        <f>IFERROR(__xludf.DUMMYFUNCTION("""COMPUTED_VALUE"""),"F7725050")</f>
        <v>F7725050</v>
      </c>
      <c r="D2397" s="3">
        <f>IFERROR(__xludf.DUMMYFUNCTION("""COMPUTED_VALUE"""),49.0)</f>
        <v>49</v>
      </c>
      <c r="E2397" s="1"/>
    </row>
    <row r="2398">
      <c r="A2398" s="1"/>
      <c r="B2398" s="3" t="str">
        <f>IFERROR(__xludf.DUMMYFUNCTION("""COMPUTED_VALUE"""),"LENA6404")</f>
        <v>LENA6404</v>
      </c>
      <c r="C2398" s="3" t="str">
        <f>IFERROR(__xludf.DUMMYFUNCTION("""COMPUTED_VALUE"""),"L6425056487")</f>
        <v>L6425056487</v>
      </c>
      <c r="D2398" s="3">
        <f>IFERROR(__xludf.DUMMYFUNCTION("""COMPUTED_VALUE"""),62.0)</f>
        <v>62</v>
      </c>
      <c r="E2398" s="1"/>
    </row>
    <row r="2399">
      <c r="A2399" s="1"/>
      <c r="B2399" s="3" t="str">
        <f>IFERROR(__xludf.DUMMYFUNCTION("""COMPUTED_VALUE"""),"ARIFIN 73")</f>
        <v>ARIFIN 73</v>
      </c>
      <c r="C2399" s="3" t="str">
        <f>IFERROR(__xludf.DUMMYFUNCTION("""COMPUTED_VALUE"""),"A7325053389")</f>
        <v>A7325053389</v>
      </c>
      <c r="D2399" s="3">
        <f>IFERROR(__xludf.DUMMYFUNCTION("""COMPUTED_VALUE"""),53.0)</f>
        <v>53</v>
      </c>
      <c r="E2399" s="1"/>
    </row>
    <row r="2400">
      <c r="A2400" s="1"/>
      <c r="B2400" s="3" t="str">
        <f>IFERROR(__xludf.DUMMYFUNCTION("""COMPUTED_VALUE"""),"FELICIA ANNABELLE")</f>
        <v>FELICIA ANNABELLE</v>
      </c>
      <c r="C2400" s="3" t="str">
        <f>IFERROR(__xludf.DUMMYFUNCTION("""COMPUTED_VALUE"""),"F1223043218")</f>
        <v>F1223043218</v>
      </c>
      <c r="D2400" s="3">
        <f>IFERROR(__xludf.DUMMYFUNCTION("""COMPUTED_VALUE"""),13.0)</f>
        <v>13</v>
      </c>
      <c r="E2400" s="1"/>
    </row>
    <row r="2401">
      <c r="A2401" s="1"/>
      <c r="B2401" s="3" t="str">
        <f>IFERROR(__xludf.DUMMYFUNCTION("""COMPUTED_VALUE"""),"MUHAMMAD ZAKI")</f>
        <v>MUHAMMAD ZAKI</v>
      </c>
      <c r="C2401" s="3" t="str">
        <f>IFERROR(__xludf.DUMMYFUNCTION("""COMPUTED_VALUE"""),"M0425056491")</f>
        <v>M0425056491</v>
      </c>
      <c r="D2401" s="3">
        <f>IFERROR(__xludf.DUMMYFUNCTION("""COMPUTED_VALUE"""),21.0)</f>
        <v>21</v>
      </c>
      <c r="E2401" s="1"/>
    </row>
    <row r="2402">
      <c r="A2402" s="1"/>
      <c r="B2402" s="3" t="str">
        <f>IFERROR(__xludf.DUMMYFUNCTION("""COMPUTED_VALUE"""),"SALMAN")</f>
        <v>SALMAN</v>
      </c>
      <c r="C2402" s="3" t="str">
        <f>IFERROR(__xludf.DUMMYFUNCTION("""COMPUTED_VALUE"""),"S8925051746")</f>
        <v>S8925051746</v>
      </c>
      <c r="D2402" s="3">
        <f>IFERROR(__xludf.DUMMYFUNCTION("""COMPUTED_VALUE"""),36.0)</f>
        <v>36</v>
      </c>
      <c r="E2402" s="1"/>
    </row>
    <row r="2403">
      <c r="A2403" s="1"/>
      <c r="B2403" s="3" t="str">
        <f>IFERROR(__xludf.DUMMYFUNCTION("""COMPUTED_VALUE"""),"ADITYA MULYO HERJUNO")</f>
        <v>ADITYA MULYO HERJUNO</v>
      </c>
      <c r="C2403" s="3" t="str">
        <f>IFERROR(__xludf.DUMMYFUNCTION("""COMPUTED_VALUE"""),"A0725056290")</f>
        <v>A0725056290</v>
      </c>
      <c r="D2403" s="3">
        <f>IFERROR(__xludf.DUMMYFUNCTION("""COMPUTED_VALUE"""),19.0)</f>
        <v>19</v>
      </c>
      <c r="E2403" s="1"/>
    </row>
    <row r="2404">
      <c r="A2404" s="1"/>
      <c r="B2404" s="3" t="str">
        <f>IFERROR(__xludf.DUMMYFUNCTION("""COMPUTED_VALUE"""),"JOHANNES")</f>
        <v>JOHANNES</v>
      </c>
      <c r="C2404" s="3" t="str">
        <f>IFERROR(__xludf.DUMMYFUNCTION("""COMPUTED_VALUE"""),"J8225052187")</f>
        <v>J8225052187</v>
      </c>
      <c r="D2404" s="3">
        <f>IFERROR(__xludf.DUMMYFUNCTION("""COMPUTED_VALUE"""),43.0)</f>
        <v>43</v>
      </c>
      <c r="E2404" s="1"/>
    </row>
    <row r="2405">
      <c r="A2405" s="1"/>
      <c r="B2405" s="3" t="str">
        <f>IFERROR(__xludf.DUMMYFUNCTION("""COMPUTED_VALUE"""),"ARIF NURHADI")</f>
        <v>ARIF NURHADI</v>
      </c>
      <c r="C2405" s="3" t="str">
        <f>IFERROR(__xludf.DUMMYFUNCTION("""COMPUTED_VALUE"""),"A8925059898")</f>
        <v>A8925059898</v>
      </c>
      <c r="D2405" s="3">
        <f>IFERROR(__xludf.DUMMYFUNCTION("""COMPUTED_VALUE"""),36.0)</f>
        <v>36</v>
      </c>
      <c r="E2405" s="1"/>
    </row>
    <row r="2406">
      <c r="A2406" s="1"/>
      <c r="B2406" s="3" t="str">
        <f>IFERROR(__xludf.DUMMYFUNCTION("""COMPUTED_VALUE"""),"INDRI ISYANTI")</f>
        <v>INDRI ISYANTI</v>
      </c>
      <c r="C2406" s="3" t="str">
        <f>IFERROR(__xludf.DUMMYFUNCTION("""COMPUTED_VALUE"""),"I6525058028")</f>
        <v>I6525058028</v>
      </c>
      <c r="D2406" s="3">
        <f>IFERROR(__xludf.DUMMYFUNCTION("""COMPUTED_VALUE"""),61.0)</f>
        <v>61</v>
      </c>
      <c r="E2406" s="1"/>
    </row>
    <row r="2407">
      <c r="A2407" s="1"/>
      <c r="B2407" s="3" t="str">
        <f>IFERROR(__xludf.DUMMYFUNCTION("""COMPUTED_VALUE"""),"MUHAMMAD SATRIA WIBOWO")</f>
        <v>MUHAMMAD SATRIA WIBOWO</v>
      </c>
      <c r="C2407" s="3" t="str">
        <f>IFERROR(__xludf.DUMMYFUNCTION("""COMPUTED_VALUE"""),"M9925058511")</f>
        <v>M9925058511</v>
      </c>
      <c r="D2407" s="3">
        <f>IFERROR(__xludf.DUMMYFUNCTION("""COMPUTED_VALUE"""),26.0)</f>
        <v>26</v>
      </c>
      <c r="E2407" s="1"/>
    </row>
    <row r="2408">
      <c r="A2408" s="1"/>
      <c r="B2408" s="3" t="str">
        <f>IFERROR(__xludf.DUMMYFUNCTION("""COMPUTED_VALUE"""),"RAMA DINASTY")</f>
        <v>RAMA DINASTY</v>
      </c>
      <c r="C2408" s="3" t="str">
        <f>IFERROR(__xludf.DUMMYFUNCTION("""COMPUTED_VALUE"""),"R9825057737")</f>
        <v>R9825057737</v>
      </c>
      <c r="D2408" s="3">
        <f>IFERROR(__xludf.DUMMYFUNCTION("""COMPUTED_VALUE"""),28.0)</f>
        <v>28</v>
      </c>
      <c r="E2408" s="1"/>
    </row>
    <row r="2409">
      <c r="A2409" s="1"/>
      <c r="B2409" s="3" t="str">
        <f>IFERROR(__xludf.DUMMYFUNCTION("""COMPUTED_VALUE"""),"ANTONIUS")</f>
        <v>ANTONIUS</v>
      </c>
      <c r="C2409" s="3" t="str">
        <f>IFERROR(__xludf.DUMMYFUNCTION("""COMPUTED_VALUE"""),"A7425057345")</f>
        <v>A7425057345</v>
      </c>
      <c r="D2409" s="3">
        <f>IFERROR(__xludf.DUMMYFUNCTION("""COMPUTED_VALUE"""),51.0)</f>
        <v>51</v>
      </c>
      <c r="E2409" s="1"/>
    </row>
    <row r="2410">
      <c r="A2410" s="1"/>
      <c r="B2410" s="3" t="str">
        <f>IFERROR(__xludf.DUMMYFUNCTION("""COMPUTED_VALUE"""),"TJHIN FA KHIONG")</f>
        <v>TJHIN FA KHIONG</v>
      </c>
      <c r="C2410" s="3" t="str">
        <f>IFERROR(__xludf.DUMMYFUNCTION("""COMPUTED_VALUE"""),"T5425058686")</f>
        <v>T5425058686</v>
      </c>
      <c r="D2410" s="3">
        <f>IFERROR(__xludf.DUMMYFUNCTION("""COMPUTED_VALUE"""),71.0)</f>
        <v>71</v>
      </c>
      <c r="E2410" s="1"/>
    </row>
    <row r="2411">
      <c r="A2411" s="1"/>
      <c r="B2411" s="3" t="str">
        <f>IFERROR(__xludf.DUMMYFUNCTION("""COMPUTED_VALUE"""),"JO GEK TJU")</f>
        <v>JO GEK TJU</v>
      </c>
      <c r="C2411" s="3" t="str">
        <f>IFERROR(__xludf.DUMMYFUNCTION("""COMPUTED_VALUE"""),"J6125058686")</f>
        <v>J6125058686</v>
      </c>
      <c r="D2411" s="3">
        <f>IFERROR(__xludf.DUMMYFUNCTION("""COMPUTED_VALUE"""),64.0)</f>
        <v>64</v>
      </c>
      <c r="E2411" s="1"/>
    </row>
    <row r="2412">
      <c r="A2412" s="1"/>
      <c r="B2412" s="3" t="str">
        <f>IFERROR(__xludf.DUMMYFUNCTION("""COMPUTED_VALUE"""),"MARDIANASARI")</f>
        <v>MARDIANASARI</v>
      </c>
      <c r="C2412" s="3" t="str">
        <f>IFERROR(__xludf.DUMMYFUNCTION("""COMPUTED_VALUE"""),"M7225050046")</f>
        <v>M7225050046</v>
      </c>
      <c r="D2412" s="3">
        <f>IFERROR(__xludf.DUMMYFUNCTION("""COMPUTED_VALUE"""),54.0)</f>
        <v>54</v>
      </c>
      <c r="E2412" s="1"/>
    </row>
    <row r="2413">
      <c r="A2413" s="1"/>
      <c r="B2413" s="3" t="str">
        <f>IFERROR(__xludf.DUMMYFUNCTION("""COMPUTED_VALUE"""),"ABDUL MALIK")</f>
        <v>ABDUL MALIK</v>
      </c>
      <c r="C2413" s="3" t="str">
        <f>IFERROR(__xludf.DUMMYFUNCTION("""COMPUTED_VALUE"""),"A8625057258")</f>
        <v>A8625057258</v>
      </c>
      <c r="D2413" s="3">
        <f>IFERROR(__xludf.DUMMYFUNCTION("""COMPUTED_VALUE"""),39.0)</f>
        <v>39</v>
      </c>
      <c r="E2413" s="1"/>
    </row>
    <row r="2414">
      <c r="A2414" s="1"/>
      <c r="B2414" s="3" t="str">
        <f>IFERROR(__xludf.DUMMYFUNCTION("""COMPUTED_VALUE"""),"ANDRE GARRY MARCO")</f>
        <v>ANDRE GARRY MARCO</v>
      </c>
      <c r="C2414" s="3" t="str">
        <f>IFERROR(__xludf.DUMMYFUNCTION("""COMPUTED_VALUE"""),"A9725051214")</f>
        <v>A9725051214</v>
      </c>
      <c r="D2414" s="3">
        <f>IFERROR(__xludf.DUMMYFUNCTION("""COMPUTED_VALUE"""),29.0)</f>
        <v>29</v>
      </c>
      <c r="E2414" s="1"/>
    </row>
    <row r="2415">
      <c r="A2415" s="1"/>
      <c r="B2415" s="3" t="str">
        <f>IFERROR(__xludf.DUMMYFUNCTION("""COMPUTED_VALUE"""),"SUBARIYAH")</f>
        <v>SUBARIYAH</v>
      </c>
      <c r="C2415" s="3" t="str">
        <f>IFERROR(__xludf.DUMMYFUNCTION("""COMPUTED_VALUE"""),"S5725052657")</f>
        <v>S5725052657</v>
      </c>
      <c r="D2415" s="3">
        <f>IFERROR(__xludf.DUMMYFUNCTION("""COMPUTED_VALUE"""),69.0)</f>
        <v>69</v>
      </c>
      <c r="E2415" s="1"/>
    </row>
    <row r="2416">
      <c r="A2416" s="1"/>
      <c r="B2416" s="3" t="str">
        <f>IFERROR(__xludf.DUMMYFUNCTION("""COMPUTED_VALUE"""),"MASDIARTI")</f>
        <v>MASDIARTI</v>
      </c>
      <c r="C2416" s="3" t="str">
        <f>IFERROR(__xludf.DUMMYFUNCTION("""COMPUTED_VALUE"""),"M7525052841")</f>
        <v>M7525052841</v>
      </c>
      <c r="D2416" s="3">
        <f>IFERROR(__xludf.DUMMYFUNCTION("""COMPUTED_VALUE"""),50.0)</f>
        <v>50</v>
      </c>
      <c r="E2416" s="1"/>
    </row>
    <row r="2417">
      <c r="A2417" s="1"/>
      <c r="B2417" s="3" t="str">
        <f>IFERROR(__xludf.DUMMYFUNCTION("""COMPUTED_VALUE"""),"RITA MUSTARI")</f>
        <v>RITA MUSTARI</v>
      </c>
      <c r="C2417" s="3" t="str">
        <f>IFERROR(__xludf.DUMMYFUNCTION("""COMPUTED_VALUE"""),"R6725050750")</f>
        <v>R6725050750</v>
      </c>
      <c r="D2417" s="3">
        <f>IFERROR(__xludf.DUMMYFUNCTION("""COMPUTED_VALUE"""),58.0)</f>
        <v>58</v>
      </c>
      <c r="E2417" s="1"/>
    </row>
    <row r="2418">
      <c r="A2418" s="1"/>
      <c r="B2418" s="3" t="str">
        <f>IFERROR(__xludf.DUMMYFUNCTION("""COMPUTED_VALUE"""),"STELLA JESSICA")</f>
        <v>STELLA JESSICA</v>
      </c>
      <c r="C2418" s="3" t="str">
        <f>IFERROR(__xludf.DUMMYFUNCTION("""COMPUTED_VALUE"""),"S9425055188")</f>
        <v>S9425055188</v>
      </c>
      <c r="D2418" s="3">
        <f>IFERROR(__xludf.DUMMYFUNCTION("""COMPUTED_VALUE"""),32.0)</f>
        <v>32</v>
      </c>
      <c r="E2418" s="1"/>
    </row>
    <row r="2419">
      <c r="A2419" s="1"/>
      <c r="B2419" s="3" t="str">
        <f>IFERROR(__xludf.DUMMYFUNCTION("""COMPUTED_VALUE"""),"HENDRA PRAYITNO")</f>
        <v>HENDRA PRAYITNO</v>
      </c>
      <c r="C2419" s="3" t="str">
        <f>IFERROR(__xludf.DUMMYFUNCTION("""COMPUTED_VALUE"""),"H8225054202")</f>
        <v>H8225054202</v>
      </c>
      <c r="D2419" s="3">
        <f>IFERROR(__xludf.DUMMYFUNCTION("""COMPUTED_VALUE"""),44.0)</f>
        <v>44</v>
      </c>
      <c r="E2419" s="1"/>
    </row>
    <row r="2420">
      <c r="A2420" s="1"/>
      <c r="B2420" s="3" t="str">
        <f>IFERROR(__xludf.DUMMYFUNCTION("""COMPUTED_VALUE"""),"ABANG FATHIR USWANTO")</f>
        <v>ABANG FATHIR USWANTO</v>
      </c>
      <c r="C2420" s="3" t="str">
        <f>IFERROR(__xludf.DUMMYFUNCTION("""COMPUTED_VALUE"""),"A0725054890")</f>
        <v>A0725054890</v>
      </c>
      <c r="D2420" s="3">
        <f>IFERROR(__xludf.DUMMYFUNCTION("""COMPUTED_VALUE"""),18.0)</f>
        <v>18</v>
      </c>
      <c r="E2420" s="1"/>
    </row>
    <row r="2421">
      <c r="A2421" s="1"/>
      <c r="B2421" s="3" t="str">
        <f>IFERROR(__xludf.DUMMYFUNCTION("""COMPUTED_VALUE"""),"SEKAR KINANTI HERPRADANTI")</f>
        <v>SEKAR KINANTI HERPRADANTI</v>
      </c>
      <c r="C2421" s="3" t="str">
        <f>IFERROR(__xludf.DUMMYFUNCTION("""COMPUTED_VALUE"""),"S9825058991")</f>
        <v>S9825058991</v>
      </c>
      <c r="D2421" s="3">
        <f>IFERROR(__xludf.DUMMYFUNCTION("""COMPUTED_VALUE"""),27.0)</f>
        <v>27</v>
      </c>
      <c r="E2421" s="1"/>
    </row>
    <row r="2422">
      <c r="A2422" s="1"/>
      <c r="B2422" s="3" t="str">
        <f>IFERROR(__xludf.DUMMYFUNCTION("""COMPUTED_VALUE"""),"ARI WIBOWO")</f>
        <v>ARI WIBOWO</v>
      </c>
      <c r="C2422" s="3" t="str">
        <f>IFERROR(__xludf.DUMMYFUNCTION("""COMPUTED_VALUE"""),"A2425050699")</f>
        <v>A2425050699</v>
      </c>
      <c r="D2422" s="3">
        <f>IFERROR(__xludf.DUMMYFUNCTION("""COMPUTED_VALUE"""),2.0)</f>
        <v>2</v>
      </c>
      <c r="E2422" s="1"/>
    </row>
    <row r="2423">
      <c r="A2423" s="1"/>
      <c r="B2423" s="3" t="str">
        <f>IFERROR(__xludf.DUMMYFUNCTION("""COMPUTED_VALUE"""),"ZALBAWU")</f>
        <v>ZALBAWU</v>
      </c>
      <c r="C2423" s="3" t="str">
        <f>IFERROR(__xludf.DUMMYFUNCTION("""COMPUTED_VALUE"""),"Z9125054401")</f>
        <v>Z9125054401</v>
      </c>
      <c r="D2423" s="3">
        <f>IFERROR(__xludf.DUMMYFUNCTION("""COMPUTED_VALUE"""),34.0)</f>
        <v>34</v>
      </c>
      <c r="E2423" s="1"/>
    </row>
    <row r="2424">
      <c r="A2424" s="1"/>
      <c r="B2424" s="3" t="str">
        <f>IFERROR(__xludf.DUMMYFUNCTION("""COMPUTED_VALUE"""),"ERIK GUNAWAN")</f>
        <v>ERIK GUNAWAN</v>
      </c>
      <c r="C2424" s="3" t="str">
        <f>IFERROR(__xludf.DUMMYFUNCTION("""COMPUTED_VALUE"""),"E9525053208")</f>
        <v>E9525053208</v>
      </c>
      <c r="D2424" s="3">
        <f>IFERROR(__xludf.DUMMYFUNCTION("""COMPUTED_VALUE"""),31.0)</f>
        <v>31</v>
      </c>
      <c r="E2424" s="1"/>
    </row>
    <row r="2425">
      <c r="A2425" s="1"/>
      <c r="B2425" s="3" t="str">
        <f>IFERROR(__xludf.DUMMYFUNCTION("""COMPUTED_VALUE"""),"SOFIA LINDI")</f>
        <v>SOFIA LINDI</v>
      </c>
      <c r="C2425" s="3" t="str">
        <f>IFERROR(__xludf.DUMMYFUNCTION("""COMPUTED_VALUE"""),"S4425059065")</f>
        <v>S4425059065</v>
      </c>
      <c r="D2425" s="3">
        <f>IFERROR(__xludf.DUMMYFUNCTION("""COMPUTED_VALUE"""),82.0)</f>
        <v>82</v>
      </c>
      <c r="E2425" s="1"/>
    </row>
    <row r="2426">
      <c r="A2426" s="1"/>
      <c r="B2426" s="3" t="str">
        <f>IFERROR(__xludf.DUMMYFUNCTION("""COMPUTED_VALUE"""),"DAVID HERNANDO SIDABUTAR")</f>
        <v>DAVID HERNANDO SIDABUTAR</v>
      </c>
      <c r="C2426" s="3" t="str">
        <f>IFERROR(__xludf.DUMMYFUNCTION("""COMPUTED_VALUE"""),"D9825052611")</f>
        <v>D9825052611</v>
      </c>
      <c r="D2426" s="3">
        <f>IFERROR(__xludf.DUMMYFUNCTION("""COMPUTED_VALUE"""),27.0)</f>
        <v>27</v>
      </c>
      <c r="E2426" s="1"/>
    </row>
    <row r="2427">
      <c r="A2427" s="1"/>
      <c r="B2427" s="3" t="str">
        <f>IFERROR(__xludf.DUMMYFUNCTION("""COMPUTED_VALUE"""),"ADHE MAHENDRA")</f>
        <v>ADHE MAHENDRA</v>
      </c>
      <c r="C2427" s="3" t="str">
        <f>IFERROR(__xludf.DUMMYFUNCTION("""COMPUTED_VALUE"""),"A9625052149")</f>
        <v>A9625052149</v>
      </c>
      <c r="D2427" s="3">
        <f>IFERROR(__xludf.DUMMYFUNCTION("""COMPUTED_VALUE"""),30.0)</f>
        <v>30</v>
      </c>
      <c r="E2427" s="1"/>
    </row>
    <row r="2428">
      <c r="A2428" s="1"/>
      <c r="B2428" s="3" t="str">
        <f>IFERROR(__xludf.DUMMYFUNCTION("""COMPUTED_VALUE"""),"MARSALINA NENE")</f>
        <v>MARSALINA NENE</v>
      </c>
      <c r="C2428" s="3" t="str">
        <f>IFERROR(__xludf.DUMMYFUNCTION("""COMPUTED_VALUE"""),"M8125059115")</f>
        <v>M8125059115</v>
      </c>
      <c r="D2428" s="3">
        <f>IFERROR(__xludf.DUMMYFUNCTION("""COMPUTED_VALUE"""),44.0)</f>
        <v>44</v>
      </c>
      <c r="E2428" s="1"/>
    </row>
    <row r="2429">
      <c r="A2429" s="1"/>
      <c r="B2429" s="3" t="str">
        <f>IFERROR(__xludf.DUMMYFUNCTION("""COMPUTED_VALUE"""),"ROBI NUR FAHMI")</f>
        <v>ROBI NUR FAHMI</v>
      </c>
      <c r="C2429" s="3" t="str">
        <f>IFERROR(__xludf.DUMMYFUNCTION("""COMPUTED_VALUE"""),"R9625054528")</f>
        <v>R9625054528</v>
      </c>
      <c r="D2429" s="3">
        <f>IFERROR(__xludf.DUMMYFUNCTION("""COMPUTED_VALUE"""),29.0)</f>
        <v>29</v>
      </c>
      <c r="E2429" s="1"/>
    </row>
    <row r="2430">
      <c r="A2430" s="1"/>
      <c r="B2430" s="3" t="str">
        <f>IFERROR(__xludf.DUMMYFUNCTION("""COMPUTED_VALUE"""),"GENEVIE VALESKA")</f>
        <v>GENEVIE VALESKA</v>
      </c>
      <c r="C2430" s="3" t="str">
        <f>IFERROR(__xludf.DUMMYFUNCTION("""COMPUTED_VALUE"""),"G0925053655")</f>
        <v>G0925053655</v>
      </c>
      <c r="D2430" s="3">
        <f>IFERROR(__xludf.DUMMYFUNCTION("""COMPUTED_VALUE"""),16.0)</f>
        <v>16</v>
      </c>
      <c r="E2430" s="1"/>
    </row>
    <row r="2431">
      <c r="A2431" s="1"/>
      <c r="B2431" s="3" t="str">
        <f>IFERROR(__xludf.DUMMYFUNCTION("""COMPUTED_VALUE"""),"HANDAYANI")</f>
        <v>HANDAYANI</v>
      </c>
      <c r="C2431" s="3" t="str">
        <f>IFERROR(__xludf.DUMMYFUNCTION("""COMPUTED_VALUE"""),"H0125056559")</f>
        <v>H0125056559</v>
      </c>
      <c r="D2431" s="3">
        <f>IFERROR(__xludf.DUMMYFUNCTION("""COMPUTED_VALUE"""),25.0)</f>
        <v>25</v>
      </c>
      <c r="E2431" s="1"/>
    </row>
    <row r="2432">
      <c r="A2432" s="1"/>
      <c r="B2432" s="3" t="str">
        <f>IFERROR(__xludf.DUMMYFUNCTION("""COMPUTED_VALUE"""),"YESI FARADITA")</f>
        <v>YESI FARADITA</v>
      </c>
      <c r="C2432" s="3" t="str">
        <f>IFERROR(__xludf.DUMMYFUNCTION("""COMPUTED_VALUE"""),"Y9525051776")</f>
        <v>Y9525051776</v>
      </c>
      <c r="D2432" s="3">
        <f>IFERROR(__xludf.DUMMYFUNCTION("""COMPUTED_VALUE"""),30.0)</f>
        <v>30</v>
      </c>
      <c r="E2432" s="1"/>
    </row>
    <row r="2433">
      <c r="A2433" s="1"/>
      <c r="B2433" s="3" t="str">
        <f>IFERROR(__xludf.DUMMYFUNCTION("""COMPUTED_VALUE"""),"HENDRI 8902")</f>
        <v>HENDRI 8902</v>
      </c>
      <c r="C2433" s="3" t="str">
        <f>IFERROR(__xludf.DUMMYFUNCTION("""COMPUTED_VALUE"""),"H8925054905")</f>
        <v>H8925054905</v>
      </c>
      <c r="D2433" s="3">
        <f>IFERROR(__xludf.DUMMYFUNCTION("""COMPUTED_VALUE"""),37.0)</f>
        <v>37</v>
      </c>
      <c r="E2433" s="1"/>
    </row>
    <row r="2434">
      <c r="A2434" s="1"/>
      <c r="B2434" s="3" t="str">
        <f>IFERROR(__xludf.DUMMYFUNCTION("""COMPUTED_VALUE"""),"GRATIA MOCHALINA")</f>
        <v>GRATIA MOCHALINA</v>
      </c>
      <c r="C2434" s="3" t="str">
        <f>IFERROR(__xludf.DUMMYFUNCTION("""COMPUTED_VALUE"""),"G0625056807")</f>
        <v>G0625056807</v>
      </c>
      <c r="D2434" s="3">
        <f>IFERROR(__xludf.DUMMYFUNCTION("""COMPUTED_VALUE"""),19.0)</f>
        <v>19</v>
      </c>
      <c r="E2434" s="1"/>
    </row>
    <row r="2435">
      <c r="A2435" s="1"/>
      <c r="B2435" s="3" t="str">
        <f>IFERROR(__xludf.DUMMYFUNCTION("""COMPUTED_VALUE"""),"SUWANRY")</f>
        <v>SUWANRY</v>
      </c>
      <c r="C2435" s="3" t="str">
        <f>IFERROR(__xludf.DUMMYFUNCTION("""COMPUTED_VALUE"""),"S6825050166")</f>
        <v>S6825050166</v>
      </c>
      <c r="D2435" s="3">
        <f>IFERROR(__xludf.DUMMYFUNCTION("""COMPUTED_VALUE"""),58.0)</f>
        <v>58</v>
      </c>
      <c r="E2435" s="1"/>
    </row>
    <row r="2436">
      <c r="A2436" s="1"/>
      <c r="B2436" s="3" t="str">
        <f>IFERROR(__xludf.DUMMYFUNCTION("""COMPUTED_VALUE"""),"MUHAMMAD NAUFAL ARYOSTIA PRATAMA")</f>
        <v>MUHAMMAD NAUFAL ARYOSTIA PRATAMA</v>
      </c>
      <c r="C2436" s="3" t="str">
        <f>IFERROR(__xludf.DUMMYFUNCTION("""COMPUTED_VALUE"""),"M0725054401")</f>
        <v>M0725054401</v>
      </c>
      <c r="D2436" s="3">
        <f>IFERROR(__xludf.DUMMYFUNCTION("""COMPUTED_VALUE"""),18.0)</f>
        <v>18</v>
      </c>
      <c r="E2436" s="1"/>
    </row>
    <row r="2437">
      <c r="A2437" s="1"/>
      <c r="B2437" s="3" t="str">
        <f>IFERROR(__xludf.DUMMYFUNCTION("""COMPUTED_VALUE"""),"SUWANDI 7609")</f>
        <v>SUWANDI 7609</v>
      </c>
      <c r="C2437" s="3" t="str">
        <f>IFERROR(__xludf.DUMMYFUNCTION("""COMPUTED_VALUE"""),"S7625058881")</f>
        <v>S7625058881</v>
      </c>
      <c r="D2437" s="3">
        <f>IFERROR(__xludf.DUMMYFUNCTION("""COMPUTED_VALUE"""),49.0)</f>
        <v>49</v>
      </c>
      <c r="E2437" s="1"/>
    </row>
    <row r="2438">
      <c r="A2438" s="1"/>
      <c r="B2438" s="3" t="str">
        <f>IFERROR(__xludf.DUMMYFUNCTION("""COMPUTED_VALUE"""),"SHELLA NOVIYANSHE")</f>
        <v>SHELLA NOVIYANSHE</v>
      </c>
      <c r="C2438" s="3" t="str">
        <f>IFERROR(__xludf.DUMMYFUNCTION("""COMPUTED_VALUE"""),"S9725054040")</f>
        <v>S9725054040</v>
      </c>
      <c r="D2438" s="3">
        <f>IFERROR(__xludf.DUMMYFUNCTION("""COMPUTED_VALUE"""),28.0)</f>
        <v>28</v>
      </c>
      <c r="E2438" s="1"/>
    </row>
    <row r="2439">
      <c r="A2439" s="1"/>
      <c r="B2439" s="3" t="str">
        <f>IFERROR(__xludf.DUMMYFUNCTION("""COMPUTED_VALUE"""),"NOEVAL")</f>
        <v>NOEVAL</v>
      </c>
      <c r="C2439" s="3" t="str">
        <f>IFERROR(__xludf.DUMMYFUNCTION("""COMPUTED_VALUE"""),"N0425055874")</f>
        <v>N0425055874</v>
      </c>
      <c r="D2439" s="3">
        <f>IFERROR(__xludf.DUMMYFUNCTION("""COMPUTED_VALUE"""),22.0)</f>
        <v>22</v>
      </c>
      <c r="E2439" s="1"/>
    </row>
    <row r="2440">
      <c r="A2440" s="1"/>
      <c r="B2440" s="3" t="str">
        <f>IFERROR(__xludf.DUMMYFUNCTION("""COMPUTED_VALUE"""),"ADE RIDHANTO")</f>
        <v>ADE RIDHANTO</v>
      </c>
      <c r="C2440" s="3" t="str">
        <f>IFERROR(__xludf.DUMMYFUNCTION("""COMPUTED_VALUE"""),"A9725052312")</f>
        <v>A9725052312</v>
      </c>
      <c r="D2440" s="3">
        <f>IFERROR(__xludf.DUMMYFUNCTION("""COMPUTED_VALUE"""),28.0)</f>
        <v>28</v>
      </c>
      <c r="E2440" s="1"/>
    </row>
    <row r="2441">
      <c r="A2441" s="1"/>
      <c r="B2441" s="3" t="str">
        <f>IFERROR(__xludf.DUMMYFUNCTION("""COMPUTED_VALUE"""),"WELDA OCTAVIANNI")</f>
        <v>WELDA OCTAVIANNI</v>
      </c>
      <c r="C2441" s="3" t="str">
        <f>IFERROR(__xludf.DUMMYFUNCTION("""COMPUTED_VALUE"""),"W9425059670")</f>
        <v>W9425059670</v>
      </c>
      <c r="D2441" s="3">
        <f>IFERROR(__xludf.DUMMYFUNCTION("""COMPUTED_VALUE"""),31.0)</f>
        <v>31</v>
      </c>
      <c r="E2441" s="1"/>
    </row>
    <row r="2442">
      <c r="A2442" s="1"/>
      <c r="B2442" s="3" t="str">
        <f>IFERROR(__xludf.DUMMYFUNCTION("""COMPUTED_VALUE"""),"BELLY")</f>
        <v>BELLY</v>
      </c>
      <c r="C2442" s="3" t="str">
        <f>IFERROR(__xludf.DUMMYFUNCTION("""COMPUTED_VALUE"""),"B8825057611")</f>
        <v>B8825057611</v>
      </c>
      <c r="D2442" s="3">
        <f>IFERROR(__xludf.DUMMYFUNCTION("""COMPUTED_VALUE"""),37.0)</f>
        <v>37</v>
      </c>
      <c r="E2442" s="1"/>
    </row>
    <row r="2443">
      <c r="A2443" s="1"/>
      <c r="B2443" s="3" t="str">
        <f>IFERROR(__xludf.DUMMYFUNCTION("""COMPUTED_VALUE"""),"ULIANA SARA MARPAUNG")</f>
        <v>ULIANA SARA MARPAUNG</v>
      </c>
      <c r="C2443" s="3" t="str">
        <f>IFERROR(__xludf.DUMMYFUNCTION("""COMPUTED_VALUE"""),"U9625058921")</f>
        <v>U9625058921</v>
      </c>
      <c r="D2443" s="3">
        <f>IFERROR(__xludf.DUMMYFUNCTION("""COMPUTED_VALUE"""),29.0)</f>
        <v>29</v>
      </c>
      <c r="E2443" s="1"/>
    </row>
    <row r="2444">
      <c r="A2444" s="1"/>
      <c r="B2444" s="3" t="str">
        <f>IFERROR(__xludf.DUMMYFUNCTION("""COMPUTED_VALUE"""),"AGUS SETIADI")</f>
        <v>AGUS SETIADI</v>
      </c>
      <c r="C2444" s="3" t="str">
        <f>IFERROR(__xludf.DUMMYFUNCTION("""COMPUTED_VALUE"""),"A8525055150")</f>
        <v>A8525055150</v>
      </c>
      <c r="D2444" s="3">
        <f>IFERROR(__xludf.DUMMYFUNCTION("""COMPUTED_VALUE"""),40.0)</f>
        <v>40</v>
      </c>
      <c r="E2444" s="1"/>
    </row>
    <row r="2445">
      <c r="A2445" s="1"/>
      <c r="B2445" s="3" t="str">
        <f>IFERROR(__xludf.DUMMYFUNCTION("""COMPUTED_VALUE"""),"BOENG LIN FAH")</f>
        <v>BOENG LIN FAH</v>
      </c>
      <c r="C2445" s="3" t="str">
        <f>IFERROR(__xludf.DUMMYFUNCTION("""COMPUTED_VALUE"""),"B4825051059")</f>
        <v>B4825051059</v>
      </c>
      <c r="D2445" s="3">
        <f>IFERROR(__xludf.DUMMYFUNCTION("""COMPUTED_VALUE"""),77.0)</f>
        <v>77</v>
      </c>
      <c r="E2445" s="1"/>
    </row>
    <row r="2446">
      <c r="A2446" s="1"/>
      <c r="B2446" s="3" t="str">
        <f>IFERROR(__xludf.DUMMYFUNCTION("""COMPUTED_VALUE"""),"ENDANG SUGIARTI")</f>
        <v>ENDANG SUGIARTI</v>
      </c>
      <c r="C2446" s="3" t="str">
        <f>IFERROR(__xludf.DUMMYFUNCTION("""COMPUTED_VALUE"""),"E6425050218")</f>
        <v>E6425050218</v>
      </c>
      <c r="D2446" s="3">
        <f>IFERROR(__xludf.DUMMYFUNCTION("""COMPUTED_VALUE"""),61.0)</f>
        <v>61</v>
      </c>
      <c r="E2446" s="1"/>
    </row>
    <row r="2447">
      <c r="A2447" s="1"/>
      <c r="B2447" s="3" t="str">
        <f>IFERROR(__xludf.DUMMYFUNCTION("""COMPUTED_VALUE"""),"FIRMAN MULYANA")</f>
        <v>FIRMAN MULYANA</v>
      </c>
      <c r="C2447" s="3" t="str">
        <f>IFERROR(__xludf.DUMMYFUNCTION("""COMPUTED_VALUE"""),"F7825058577")</f>
        <v>F7825058577</v>
      </c>
      <c r="D2447" s="3">
        <f>IFERROR(__xludf.DUMMYFUNCTION("""COMPUTED_VALUE"""),48.0)</f>
        <v>48</v>
      </c>
      <c r="E2447" s="1"/>
    </row>
    <row r="2448">
      <c r="A2448" s="1"/>
      <c r="B2448" s="3" t="str">
        <f>IFERROR(__xludf.DUMMYFUNCTION("""COMPUTED_VALUE"""),"FEBRI PRIBADI SETYO")</f>
        <v>FEBRI PRIBADI SETYO</v>
      </c>
      <c r="C2448" s="3" t="str">
        <f>IFERROR(__xludf.DUMMYFUNCTION("""COMPUTED_VALUE"""),"F9525050229")</f>
        <v>F9525050229</v>
      </c>
      <c r="D2448" s="3">
        <f>IFERROR(__xludf.DUMMYFUNCTION("""COMPUTED_VALUE"""),31.0)</f>
        <v>31</v>
      </c>
      <c r="E2448" s="1"/>
    </row>
    <row r="2449">
      <c r="A2449" s="1"/>
      <c r="B2449" s="3" t="str">
        <f>IFERROR(__xludf.DUMMYFUNCTION("""COMPUTED_VALUE"""),"TIMOTIUS HARTANTO")</f>
        <v>TIMOTIUS HARTANTO</v>
      </c>
      <c r="C2449" s="3" t="str">
        <f>IFERROR(__xludf.DUMMYFUNCTION("""COMPUTED_VALUE"""),"T6225057369")</f>
        <v>T6225057369</v>
      </c>
      <c r="D2449" s="3">
        <f>IFERROR(__xludf.DUMMYFUNCTION("""COMPUTED_VALUE"""),64.0)</f>
        <v>64</v>
      </c>
      <c r="E2449" s="1"/>
    </row>
    <row r="2450">
      <c r="A2450" s="1"/>
      <c r="B2450" s="3" t="str">
        <f>IFERROR(__xludf.DUMMYFUNCTION("""COMPUTED_VALUE"""),"RUSMINI")</f>
        <v>RUSMINI</v>
      </c>
      <c r="C2450" s="3" t="str">
        <f>IFERROR(__xludf.DUMMYFUNCTION("""COMPUTED_VALUE"""),"R6125052762")</f>
        <v>R6125052762</v>
      </c>
      <c r="D2450" s="3">
        <f>IFERROR(__xludf.DUMMYFUNCTION("""COMPUTED_VALUE"""),64.0)</f>
        <v>64</v>
      </c>
      <c r="E2450" s="1"/>
    </row>
    <row r="2451">
      <c r="A2451" s="1"/>
      <c r="B2451" s="3" t="str">
        <f>IFERROR(__xludf.DUMMYFUNCTION("""COMPUTED_VALUE"""),"K. E. ANANTA UTAMI")</f>
        <v>K. E. ANANTA UTAMI</v>
      </c>
      <c r="C2451" s="3" t="str">
        <f>IFERROR(__xludf.DUMMYFUNCTION("""COMPUTED_VALUE"""),"K6925057763")</f>
        <v>K6925057763</v>
      </c>
      <c r="D2451" s="3">
        <f>IFERROR(__xludf.DUMMYFUNCTION("""COMPUTED_VALUE"""),56.0)</f>
        <v>56</v>
      </c>
      <c r="E2451" s="1"/>
    </row>
    <row r="2452">
      <c r="A2452" s="1"/>
      <c r="B2452" s="3" t="str">
        <f>IFERROR(__xludf.DUMMYFUNCTION("""COMPUTED_VALUE"""),"JUWAIRIYAH")</f>
        <v>JUWAIRIYAH</v>
      </c>
      <c r="C2452" s="3" t="str">
        <f>IFERROR(__xludf.DUMMYFUNCTION("""COMPUTED_VALUE"""),"J6825051908")</f>
        <v>J6825051908</v>
      </c>
      <c r="D2452" s="3">
        <f>IFERROR(__xludf.DUMMYFUNCTION("""COMPUTED_VALUE"""),58.0)</f>
        <v>58</v>
      </c>
      <c r="E2452" s="1"/>
    </row>
    <row r="2453">
      <c r="A2453" s="1"/>
      <c r="B2453" s="3" t="str">
        <f>IFERROR(__xludf.DUMMYFUNCTION("""COMPUTED_VALUE"""),"BAMBANG WARDANI")</f>
        <v>BAMBANG WARDANI</v>
      </c>
      <c r="C2453" s="3" t="str">
        <f>IFERROR(__xludf.DUMMYFUNCTION("""COMPUTED_VALUE"""),"B6025057727")</f>
        <v>B6025057727</v>
      </c>
      <c r="D2453" s="3">
        <f>IFERROR(__xludf.DUMMYFUNCTION("""COMPUTED_VALUE"""),65.0)</f>
        <v>65</v>
      </c>
      <c r="E2453" s="1"/>
    </row>
    <row r="2454">
      <c r="A2454" s="1"/>
      <c r="B2454" s="3" t="str">
        <f>IFERROR(__xludf.DUMMYFUNCTION("""COMPUTED_VALUE"""),"E. SUGINI")</f>
        <v>E. SUGINI</v>
      </c>
      <c r="C2454" s="3" t="str">
        <f>IFERROR(__xludf.DUMMYFUNCTION("""COMPUTED_VALUE"""),"E5125059981")</f>
        <v>E5125059981</v>
      </c>
      <c r="D2454" s="3">
        <f>IFERROR(__xludf.DUMMYFUNCTION("""COMPUTED_VALUE"""),74.0)</f>
        <v>74</v>
      </c>
      <c r="E2454" s="1"/>
    </row>
    <row r="2455">
      <c r="A2455" s="1"/>
      <c r="B2455" s="3" t="str">
        <f>IFERROR(__xludf.DUMMYFUNCTION("""COMPUTED_VALUE"""),"NOVI GUNADI")</f>
        <v>NOVI GUNADI</v>
      </c>
      <c r="C2455" s="3" t="str">
        <f>IFERROR(__xludf.DUMMYFUNCTION("""COMPUTED_VALUE"""),"N9625054742")</f>
        <v>N9625054742</v>
      </c>
      <c r="D2455" s="3">
        <f>IFERROR(__xludf.DUMMYFUNCTION("""COMPUTED_VALUE"""),29.0)</f>
        <v>29</v>
      </c>
      <c r="E2455" s="1"/>
    </row>
    <row r="2456">
      <c r="A2456" s="1"/>
      <c r="B2456" s="3" t="str">
        <f>IFERROR(__xludf.DUMMYFUNCTION("""COMPUTED_VALUE"""),"TRACY")</f>
        <v>TRACY</v>
      </c>
      <c r="C2456" s="3" t="str">
        <f>IFERROR(__xludf.DUMMYFUNCTION("""COMPUTED_VALUE"""),"T0225053119")</f>
        <v>T0225053119</v>
      </c>
      <c r="D2456" s="3">
        <f>IFERROR(__xludf.DUMMYFUNCTION("""COMPUTED_VALUE"""),23.0)</f>
        <v>23</v>
      </c>
      <c r="E2456" s="1"/>
    </row>
    <row r="2457">
      <c r="A2457" s="1"/>
      <c r="B2457" s="3" t="str">
        <f>IFERROR(__xludf.DUMMYFUNCTION("""COMPUTED_VALUE"""),"LARAS SASTI PRATIWI")</f>
        <v>LARAS SASTI PRATIWI</v>
      </c>
      <c r="C2457" s="3" t="str">
        <f>IFERROR(__xludf.DUMMYFUNCTION("""COMPUTED_VALUE"""),"L9325058829")</f>
        <v>L9325058829</v>
      </c>
      <c r="D2457" s="3">
        <f>IFERROR(__xludf.DUMMYFUNCTION("""COMPUTED_VALUE"""),33.0)</f>
        <v>33</v>
      </c>
      <c r="E2457" s="1"/>
    </row>
    <row r="2458">
      <c r="A2458" s="1"/>
      <c r="B2458" s="3" t="str">
        <f>IFERROR(__xludf.DUMMYFUNCTION("""COMPUTED_VALUE"""),"MUHAMMAD SARWANI")</f>
        <v>MUHAMMAD SARWANI</v>
      </c>
      <c r="C2458" s="3" t="str">
        <f>IFERROR(__xludf.DUMMYFUNCTION("""COMPUTED_VALUE"""),"M9925058467")</f>
        <v>M9925058467</v>
      </c>
      <c r="D2458" s="3">
        <f>IFERROR(__xludf.DUMMYFUNCTION("""COMPUTED_VALUE"""),26.0)</f>
        <v>26</v>
      </c>
      <c r="E2458" s="1"/>
    </row>
    <row r="2459">
      <c r="A2459" s="1"/>
      <c r="B2459" s="3" t="str">
        <f>IFERROR(__xludf.DUMMYFUNCTION("""COMPUTED_VALUE"""),"HENDRO 95")</f>
        <v>HENDRO 95</v>
      </c>
      <c r="C2459" s="3" t="str">
        <f>IFERROR(__xludf.DUMMYFUNCTION("""COMPUTED_VALUE"""),"H9525069172")</f>
        <v>H9525069172</v>
      </c>
      <c r="D2459" s="3">
        <f>IFERROR(__xludf.DUMMYFUNCTION("""COMPUTED_VALUE"""),30.0)</f>
        <v>30</v>
      </c>
      <c r="E2459" s="1"/>
    </row>
    <row r="2460">
      <c r="A2460" s="1"/>
      <c r="B2460" s="3" t="str">
        <f>IFERROR(__xludf.DUMMYFUNCTION("""COMPUTED_VALUE"""),"HERMAN")</f>
        <v>HERMAN</v>
      </c>
      <c r="C2460" s="3" t="str">
        <f>IFERROR(__xludf.DUMMYFUNCTION("""COMPUTED_VALUE"""),"H7825063633")</f>
        <v>H7825063633</v>
      </c>
      <c r="D2460" s="3">
        <f>IFERROR(__xludf.DUMMYFUNCTION("""COMPUTED_VALUE"""),48.0)</f>
        <v>48</v>
      </c>
      <c r="E2460" s="1"/>
    </row>
    <row r="2461">
      <c r="A2461" s="1"/>
      <c r="B2461" s="3" t="str">
        <f>IFERROR(__xludf.DUMMYFUNCTION("""COMPUTED_VALUE"""),"IIN EKA PUTRI")</f>
        <v>IIN EKA PUTRI</v>
      </c>
      <c r="C2461" s="3" t="str">
        <f>IFERROR(__xludf.DUMMYFUNCTION("""COMPUTED_VALUE"""),"I8225066978")</f>
        <v>I8225066978</v>
      </c>
      <c r="D2461" s="3">
        <f>IFERROR(__xludf.DUMMYFUNCTION("""COMPUTED_VALUE"""),43.0)</f>
        <v>43</v>
      </c>
      <c r="E2461" s="1"/>
    </row>
    <row r="2462">
      <c r="A2462" s="1"/>
      <c r="B2462" s="3" t="str">
        <f>IFERROR(__xludf.DUMMYFUNCTION("""COMPUTED_VALUE"""),"KAM TJIN TJON")</f>
        <v>KAM TJIN TJON</v>
      </c>
      <c r="C2462" s="3" t="str">
        <f>IFERROR(__xludf.DUMMYFUNCTION("""COMPUTED_VALUE"""),"K5125069057")</f>
        <v>K5125069057</v>
      </c>
      <c r="D2462" s="3">
        <f>IFERROR(__xludf.DUMMYFUNCTION("""COMPUTED_VALUE"""),74.0)</f>
        <v>74</v>
      </c>
      <c r="E2462" s="1"/>
    </row>
    <row r="2463">
      <c r="A2463" s="1"/>
      <c r="B2463" s="3" t="str">
        <f>IFERROR(__xludf.DUMMYFUNCTION("""COMPUTED_VALUE"""),"FARHAN 0306")</f>
        <v>FARHAN 0306</v>
      </c>
      <c r="C2463" s="3" t="str">
        <f>IFERROR(__xludf.DUMMYFUNCTION("""COMPUTED_VALUE"""),"F0325067874")</f>
        <v>F0325067874</v>
      </c>
      <c r="D2463" s="3">
        <f>IFERROR(__xludf.DUMMYFUNCTION("""COMPUTED_VALUE"""),23.0)</f>
        <v>23</v>
      </c>
      <c r="E2463" s="1"/>
    </row>
    <row r="2464">
      <c r="A2464" s="1"/>
      <c r="B2464" s="3" t="str">
        <f>IFERROR(__xludf.DUMMYFUNCTION("""COMPUTED_VALUE"""),"WASITO")</f>
        <v>WASITO</v>
      </c>
      <c r="C2464" s="3" t="str">
        <f>IFERROR(__xludf.DUMMYFUNCTION("""COMPUTED_VALUE"""),"W5325063189")</f>
        <v>W5325063189</v>
      </c>
      <c r="D2464" s="3">
        <f>IFERROR(__xludf.DUMMYFUNCTION("""COMPUTED_VALUE"""),72.0)</f>
        <v>72</v>
      </c>
      <c r="E2464" s="1"/>
    </row>
    <row r="2465">
      <c r="A2465" s="1"/>
      <c r="B2465" s="3" t="str">
        <f>IFERROR(__xludf.DUMMYFUNCTION("""COMPUTED_VALUE"""),"DONI ARI SETIANTO")</f>
        <v>DONI ARI SETIANTO</v>
      </c>
      <c r="C2465" s="3" t="str">
        <f>IFERROR(__xludf.DUMMYFUNCTION("""COMPUTED_VALUE"""),"D9625066495")</f>
        <v>D9625066495</v>
      </c>
      <c r="D2465" s="3">
        <f>IFERROR(__xludf.DUMMYFUNCTION("""COMPUTED_VALUE"""),29.0)</f>
        <v>29</v>
      </c>
      <c r="E2465" s="1"/>
    </row>
    <row r="2466">
      <c r="A2466" s="1"/>
      <c r="B2466" s="3" t="str">
        <f>IFERROR(__xludf.DUMMYFUNCTION("""COMPUTED_VALUE"""),"TAN REVAN ADIWITYA")</f>
        <v>TAN REVAN ADIWITYA</v>
      </c>
      <c r="C2466" s="3" t="str">
        <f>IFERROR(__xludf.DUMMYFUNCTION("""COMPUTED_VALUE"""),"T0925064832")</f>
        <v>T0925064832</v>
      </c>
      <c r="D2466" s="3">
        <f>IFERROR(__xludf.DUMMYFUNCTION("""COMPUTED_VALUE"""),17.0)</f>
        <v>17</v>
      </c>
      <c r="E2466" s="1"/>
    </row>
    <row r="2467">
      <c r="A2467" s="1"/>
      <c r="B2467" s="3" t="str">
        <f>IFERROR(__xludf.DUMMYFUNCTION("""COMPUTED_VALUE"""),"MAHILOT")</f>
        <v>MAHILOT</v>
      </c>
      <c r="C2467" s="3" t="str">
        <f>IFERROR(__xludf.DUMMYFUNCTION("""COMPUTED_VALUE"""),"M6025068934")</f>
        <v>M6025068934</v>
      </c>
      <c r="D2467" s="3">
        <f>IFERROR(__xludf.DUMMYFUNCTION("""COMPUTED_VALUE"""),65.0)</f>
        <v>65</v>
      </c>
      <c r="E2467" s="1"/>
    </row>
    <row r="2468">
      <c r="A2468" s="1"/>
      <c r="B2468" s="3" t="str">
        <f>IFERROR(__xludf.DUMMYFUNCTION("""COMPUTED_VALUE"""),"RAHADIAN FARANDI")</f>
        <v>RAHADIAN FARANDI</v>
      </c>
      <c r="C2468" s="3" t="str">
        <f>IFERROR(__xludf.DUMMYFUNCTION("""COMPUTED_VALUE"""),"R9425066090")</f>
        <v>R9425066090</v>
      </c>
      <c r="D2468" s="3">
        <f>IFERROR(__xludf.DUMMYFUNCTION("""COMPUTED_VALUE"""),31.0)</f>
        <v>31</v>
      </c>
      <c r="E2468" s="1"/>
    </row>
    <row r="2469">
      <c r="A2469" s="1"/>
      <c r="B2469" s="3" t="str">
        <f>IFERROR(__xludf.DUMMYFUNCTION("""COMPUTED_VALUE"""),"NURMEDITASARI")</f>
        <v>NURMEDITASARI</v>
      </c>
      <c r="C2469" s="3" t="str">
        <f>IFERROR(__xludf.DUMMYFUNCTION("""COMPUTED_VALUE"""),"N9625061460")</f>
        <v>N9625061460</v>
      </c>
      <c r="D2469" s="3">
        <f>IFERROR(__xludf.DUMMYFUNCTION("""COMPUTED_VALUE"""),30.0)</f>
        <v>30</v>
      </c>
      <c r="E2469" s="1"/>
    </row>
    <row r="2470">
      <c r="A2470" s="1"/>
      <c r="B2470" s="3" t="str">
        <f>IFERROR(__xludf.DUMMYFUNCTION("""COMPUTED_VALUE"""),"MUHAMMAD AKMAL JADID KURNIAWAN")</f>
        <v>MUHAMMAD AKMAL JADID KURNIAWAN</v>
      </c>
      <c r="C2470" s="3" t="str">
        <f>IFERROR(__xludf.DUMMYFUNCTION("""COMPUTED_VALUE"""),"M0825068440")</f>
        <v>M0825068440</v>
      </c>
      <c r="D2470" s="3">
        <f>IFERROR(__xludf.DUMMYFUNCTION("""COMPUTED_VALUE"""),18.0)</f>
        <v>18</v>
      </c>
      <c r="E2470" s="1"/>
    </row>
    <row r="2471">
      <c r="A2471" s="1"/>
      <c r="B2471" s="3" t="str">
        <f>IFERROR(__xludf.DUMMYFUNCTION("""COMPUTED_VALUE"""),"ERIK RADJALI")</f>
        <v>ERIK RADJALI</v>
      </c>
      <c r="C2471" s="3" t="str">
        <f>IFERROR(__xludf.DUMMYFUNCTION("""COMPUTED_VALUE"""),"E9125065078")</f>
        <v>E9125065078</v>
      </c>
      <c r="D2471" s="3">
        <f>IFERROR(__xludf.DUMMYFUNCTION("""COMPUTED_VALUE"""),35.0)</f>
        <v>35</v>
      </c>
      <c r="E2471" s="1"/>
    </row>
    <row r="2472">
      <c r="A2472" s="1"/>
      <c r="B2472" s="3" t="str">
        <f>IFERROR(__xludf.DUMMYFUNCTION("""COMPUTED_VALUE"""),"SYARIF HANIF RAMADHAN")</f>
        <v>SYARIF HANIF RAMADHAN</v>
      </c>
      <c r="C2472" s="3" t="str">
        <f>IFERROR(__xludf.DUMMYFUNCTION("""COMPUTED_VALUE"""),"S1625067980")</f>
        <v>S1625067980</v>
      </c>
      <c r="D2472" s="3">
        <f>IFERROR(__xludf.DUMMYFUNCTION("""COMPUTED_VALUE"""),9.0)</f>
        <v>9</v>
      </c>
      <c r="E2472" s="1"/>
    </row>
    <row r="2473">
      <c r="A2473" s="1"/>
      <c r="B2473" s="3" t="str">
        <f>IFERROR(__xludf.DUMMYFUNCTION("""COMPUTED_VALUE"""),"KATARINA APIN")</f>
        <v>KATARINA APIN</v>
      </c>
      <c r="C2473" s="3" t="str">
        <f>IFERROR(__xludf.DUMMYFUNCTION("""COMPUTED_VALUE"""),"K6025063145")</f>
        <v>K6025063145</v>
      </c>
      <c r="D2473" s="3">
        <f>IFERROR(__xludf.DUMMYFUNCTION("""COMPUTED_VALUE"""),66.0)</f>
        <v>66</v>
      </c>
      <c r="E2473" s="1"/>
    </row>
    <row r="2474">
      <c r="A2474" s="1"/>
      <c r="B2474" s="3" t="str">
        <f>IFERROR(__xludf.DUMMYFUNCTION("""COMPUTED_VALUE"""),"KEVINSIUS ALDITYA .P")</f>
        <v>KEVINSIUS ALDITYA .P</v>
      </c>
      <c r="C2474" s="3" t="str">
        <f>IFERROR(__xludf.DUMMYFUNCTION("""COMPUTED_VALUE"""),"K0725061871")</f>
        <v>K0725061871</v>
      </c>
      <c r="D2474" s="3">
        <f>IFERROR(__xludf.DUMMYFUNCTION("""COMPUTED_VALUE"""),19.0)</f>
        <v>19</v>
      </c>
      <c r="E2474" s="1"/>
    </row>
    <row r="2475">
      <c r="A2475" s="1"/>
      <c r="B2475" s="3" t="str">
        <f>IFERROR(__xludf.DUMMYFUNCTION("""COMPUTED_VALUE"""),"THE MOI HUN ALS TETTY YOSEPHINE")</f>
        <v>THE MOI HUN ALS TETTY YOSEPHINE</v>
      </c>
      <c r="C2475" s="3" t="str">
        <f>IFERROR(__xludf.DUMMYFUNCTION("""COMPUTED_VALUE"""),"T5825069990")</f>
        <v>T5825069990</v>
      </c>
      <c r="D2475" s="3">
        <f>IFERROR(__xludf.DUMMYFUNCTION("""COMPUTED_VALUE"""),68.0)</f>
        <v>68</v>
      </c>
      <c r="E2475" s="1"/>
    </row>
    <row r="2476">
      <c r="A2476" s="1"/>
      <c r="B2476" s="3" t="str">
        <f>IFERROR(__xludf.DUMMYFUNCTION("""COMPUTED_VALUE"""),"AYDA RIANI JOHAR")</f>
        <v>AYDA RIANI JOHAR</v>
      </c>
      <c r="C2476" s="3" t="str">
        <f>IFERROR(__xludf.DUMMYFUNCTION("""COMPUTED_VALUE"""),"A0025068439")</f>
        <v>A0025068439</v>
      </c>
      <c r="D2476" s="3">
        <f>IFERROR(__xludf.DUMMYFUNCTION("""COMPUTED_VALUE"""),25.0)</f>
        <v>25</v>
      </c>
      <c r="E2476" s="1"/>
    </row>
    <row r="2477">
      <c r="A2477" s="1"/>
      <c r="B2477" s="3" t="str">
        <f>IFERROR(__xludf.DUMMYFUNCTION("""COMPUTED_VALUE"""),"MUHAMMAD SUBHAN ILMI")</f>
        <v>MUHAMMAD SUBHAN ILMI</v>
      </c>
      <c r="C2477" s="3" t="str">
        <f>IFERROR(__xludf.DUMMYFUNCTION("""COMPUTED_VALUE"""),"M0125067791")</f>
        <v>M0125067791</v>
      </c>
      <c r="D2477" s="3">
        <f>IFERROR(__xludf.DUMMYFUNCTION("""COMPUTED_VALUE"""),25.0)</f>
        <v>25</v>
      </c>
      <c r="E2477" s="1"/>
    </row>
    <row r="2478">
      <c r="A2478" s="1"/>
      <c r="B2478" s="3" t="str">
        <f>IFERROR(__xludf.DUMMYFUNCTION("""COMPUTED_VALUE"""),"MUHAMMAD JUANDA")</f>
        <v>MUHAMMAD JUANDA</v>
      </c>
      <c r="C2478" s="3" t="str">
        <f>IFERROR(__xludf.DUMMYFUNCTION("""COMPUTED_VALUE"""),"M9023017121")</f>
        <v>M9023017121</v>
      </c>
      <c r="D2478" s="3">
        <f>IFERROR(__xludf.DUMMYFUNCTION("""COMPUTED_VALUE"""),36.0)</f>
        <v>36</v>
      </c>
      <c r="E2478" s="1"/>
    </row>
    <row r="2479">
      <c r="A2479" s="1"/>
      <c r="B2479" s="3" t="str">
        <f>IFERROR(__xludf.DUMMYFUNCTION("""COMPUTED_VALUE"""),"DECO DEMUS ASU")</f>
        <v>DECO DEMUS ASU</v>
      </c>
      <c r="C2479" s="3" t="str">
        <f>IFERROR(__xludf.DUMMYFUNCTION("""COMPUTED_VALUE"""),"D0625063400")</f>
        <v>D0625063400</v>
      </c>
      <c r="D2479" s="3">
        <f>IFERROR(__xludf.DUMMYFUNCTION("""COMPUTED_VALUE"""),20.0)</f>
        <v>20</v>
      </c>
      <c r="E2479" s="1"/>
    </row>
    <row r="2480">
      <c r="A2480" s="1"/>
      <c r="B2480" s="3" t="str">
        <f>IFERROR(__xludf.DUMMYFUNCTION("""COMPUTED_VALUE"""),"SALSAALIAPUTRI")</f>
        <v>SALSAALIAPUTRI</v>
      </c>
      <c r="C2480" s="3" t="str">
        <f>IFERROR(__xludf.DUMMYFUNCTION("""COMPUTED_VALUE"""),"S0125066746")</f>
        <v>S0125066746</v>
      </c>
      <c r="D2480" s="3">
        <f>IFERROR(__xludf.DUMMYFUNCTION("""COMPUTED_VALUE"""),24.0)</f>
        <v>24</v>
      </c>
      <c r="E2480" s="1"/>
    </row>
    <row r="2481">
      <c r="A2481" s="1"/>
      <c r="B2481" s="3" t="str">
        <f>IFERROR(__xludf.DUMMYFUNCTION("""COMPUTED_VALUE"""),"IVONNY")</f>
        <v>IVONNY</v>
      </c>
      <c r="C2481" s="3" t="str">
        <f>IFERROR(__xludf.DUMMYFUNCTION("""COMPUTED_VALUE"""),"I8825068889")</f>
        <v>I8825068889</v>
      </c>
      <c r="D2481" s="3">
        <f>IFERROR(__xludf.DUMMYFUNCTION("""COMPUTED_VALUE"""),37.0)</f>
        <v>37</v>
      </c>
      <c r="E2481" s="1"/>
    </row>
    <row r="2482">
      <c r="A2482" s="1"/>
      <c r="B2482" s="3" t="str">
        <f>IFERROR(__xludf.DUMMYFUNCTION("""COMPUTED_VALUE"""),"DIAZ KEMAL SHIHAB")</f>
        <v>DIAZ KEMAL SHIHAB</v>
      </c>
      <c r="C2482" s="3" t="str">
        <f>IFERROR(__xludf.DUMMYFUNCTION("""COMPUTED_VALUE"""),"D0925069602")</f>
        <v>D0925069602</v>
      </c>
      <c r="D2482" s="3">
        <f>IFERROR(__xludf.DUMMYFUNCTION("""COMPUTED_VALUE"""),16.0)</f>
        <v>16</v>
      </c>
      <c r="E2482" s="1"/>
    </row>
    <row r="2483">
      <c r="A2483" s="1"/>
      <c r="B2483" s="3" t="str">
        <f>IFERROR(__xludf.DUMMYFUNCTION("""COMPUTED_VALUE"""),"ADE IWAN KURNIAWAN")</f>
        <v>ADE IWAN KURNIAWAN</v>
      </c>
      <c r="C2483" s="3" t="str">
        <f>IFERROR(__xludf.DUMMYFUNCTION("""COMPUTED_VALUE"""),"A9025060759")</f>
        <v>A9025060759</v>
      </c>
      <c r="D2483" s="3">
        <f>IFERROR(__xludf.DUMMYFUNCTION("""COMPUTED_VALUE"""),35.0)</f>
        <v>35</v>
      </c>
      <c r="E2483" s="1"/>
    </row>
    <row r="2484">
      <c r="A2484" s="1"/>
      <c r="B2484" s="3" t="str">
        <f>IFERROR(__xludf.DUMMYFUNCTION("""COMPUTED_VALUE"""),"BUDIMAS TEGUH IMAN PERMATA")</f>
        <v>BUDIMAS TEGUH IMAN PERMATA</v>
      </c>
      <c r="C2484" s="3" t="str">
        <f>IFERROR(__xludf.DUMMYFUNCTION("""COMPUTED_VALUE"""),"B9525060808")</f>
        <v>B9525060808</v>
      </c>
      <c r="D2484" s="3">
        <f>IFERROR(__xludf.DUMMYFUNCTION("""COMPUTED_VALUE"""),30.0)</f>
        <v>30</v>
      </c>
      <c r="E2484" s="1"/>
    </row>
    <row r="2485">
      <c r="A2485" s="1"/>
      <c r="B2485" s="3" t="str">
        <f>IFERROR(__xludf.DUMMYFUNCTION("""COMPUTED_VALUE"""),"SHERRY MARLITA")</f>
        <v>SHERRY MARLITA</v>
      </c>
      <c r="C2485" s="3" t="str">
        <f>IFERROR(__xludf.DUMMYFUNCTION("""COMPUTED_VALUE"""),"S8025065081")</f>
        <v>S8025065081</v>
      </c>
      <c r="D2485" s="3">
        <f>IFERROR(__xludf.DUMMYFUNCTION("""COMPUTED_VALUE"""),46.0)</f>
        <v>46</v>
      </c>
      <c r="E2485" s="1"/>
    </row>
    <row r="2486">
      <c r="A2486" s="1"/>
      <c r="B2486" s="3" t="str">
        <f>IFERROR(__xludf.DUMMYFUNCTION("""COMPUTED_VALUE"""),"CANDRA EKA JAYA")</f>
        <v>CANDRA EKA JAYA</v>
      </c>
      <c r="C2486" s="3" t="str">
        <f>IFERROR(__xludf.DUMMYFUNCTION("""COMPUTED_VALUE"""),"C8525063300")</f>
        <v>C8525063300</v>
      </c>
      <c r="D2486" s="3">
        <f>IFERROR(__xludf.DUMMYFUNCTION("""COMPUTED_VALUE"""),41.0)</f>
        <v>41</v>
      </c>
      <c r="E2486" s="1"/>
    </row>
    <row r="2487">
      <c r="A2487" s="1"/>
      <c r="B2487" s="3" t="str">
        <f>IFERROR(__xludf.DUMMYFUNCTION("""COMPUTED_VALUE"""),"JO MIAUW MUI")</f>
        <v>JO MIAUW MUI</v>
      </c>
      <c r="C2487" s="3" t="str">
        <f>IFERROR(__xludf.DUMMYFUNCTION("""COMPUTED_VALUE"""),"J5525063513")</f>
        <v>J5525063513</v>
      </c>
      <c r="D2487" s="3">
        <f>IFERROR(__xludf.DUMMYFUNCTION("""COMPUTED_VALUE"""),71.0)</f>
        <v>71</v>
      </c>
      <c r="E2487" s="1"/>
    </row>
    <row r="2488">
      <c r="A2488" s="1"/>
      <c r="B2488" s="3" t="str">
        <f>IFERROR(__xludf.DUMMYFUNCTION("""COMPUTED_VALUE"""),"NIGITA KELIN")</f>
        <v>NIGITA KELIN</v>
      </c>
      <c r="C2488" s="3" t="str">
        <f>IFERROR(__xludf.DUMMYFUNCTION("""COMPUTED_VALUE"""),"N0125061553")</f>
        <v>N0125061553</v>
      </c>
      <c r="D2488" s="3">
        <f>IFERROR(__xludf.DUMMYFUNCTION("""COMPUTED_VALUE"""),25.0)</f>
        <v>25</v>
      </c>
      <c r="E2488" s="1"/>
    </row>
    <row r="2489">
      <c r="A2489" s="1"/>
      <c r="B2489" s="3" t="str">
        <f>IFERROR(__xludf.DUMMYFUNCTION("""COMPUTED_VALUE"""),"RENSA S. AKTADIVIA, S.H., S.I.K., M.H.")</f>
        <v>RENSA S. AKTADIVIA, S.H., S.I.K., M.H.</v>
      </c>
      <c r="C2489" s="3" t="str">
        <f>IFERROR(__xludf.DUMMYFUNCTION("""COMPUTED_VALUE"""),"R8625061186")</f>
        <v>R8625061186</v>
      </c>
      <c r="D2489" s="3">
        <f>IFERROR(__xludf.DUMMYFUNCTION("""COMPUTED_VALUE"""),39.0)</f>
        <v>39</v>
      </c>
      <c r="E2489" s="1"/>
    </row>
    <row r="2490">
      <c r="A2490" s="1"/>
      <c r="B2490" s="3" t="str">
        <f>IFERROR(__xludf.DUMMYFUNCTION("""COMPUTED_VALUE"""),"ASEP SETIAWAN")</f>
        <v>ASEP SETIAWAN</v>
      </c>
      <c r="C2490" s="3" t="str">
        <f>IFERROR(__xludf.DUMMYFUNCTION("""COMPUTED_VALUE"""),"A6825060057")</f>
        <v>A6825060057</v>
      </c>
      <c r="D2490" s="3">
        <f>IFERROR(__xludf.DUMMYFUNCTION("""COMPUTED_VALUE"""),58.0)</f>
        <v>58</v>
      </c>
      <c r="E2490" s="1"/>
    </row>
    <row r="2491">
      <c r="A2491" s="1"/>
      <c r="B2491" s="3" t="str">
        <f>IFERROR(__xludf.DUMMYFUNCTION("""COMPUTED_VALUE"""),"HESTI LUKITANINGSIH")</f>
        <v>HESTI LUKITANINGSIH</v>
      </c>
      <c r="C2491" s="3" t="str">
        <f>IFERROR(__xludf.DUMMYFUNCTION("""COMPUTED_VALUE"""),"H6925067845")</f>
        <v>H6925067845</v>
      </c>
      <c r="D2491" s="3">
        <f>IFERROR(__xludf.DUMMYFUNCTION("""COMPUTED_VALUE"""),56.0)</f>
        <v>56</v>
      </c>
      <c r="E2491" s="1"/>
    </row>
    <row r="2492">
      <c r="A2492" s="1"/>
      <c r="B2492" s="3" t="str">
        <f>IFERROR(__xludf.DUMMYFUNCTION("""COMPUTED_VALUE"""),"CATUR SEKAR DEWI")</f>
        <v>CATUR SEKAR DEWI</v>
      </c>
      <c r="C2492" s="3" t="str">
        <f>IFERROR(__xludf.DUMMYFUNCTION("""COMPUTED_VALUE"""),"C6825061613")</f>
        <v>C6825061613</v>
      </c>
      <c r="D2492" s="3">
        <f>IFERROR(__xludf.DUMMYFUNCTION("""COMPUTED_VALUE"""),57.0)</f>
        <v>57</v>
      </c>
      <c r="E2492" s="1"/>
    </row>
    <row r="2493">
      <c r="A2493" s="1"/>
      <c r="B2493" s="3" t="str">
        <f>IFERROR(__xludf.DUMMYFUNCTION("""COMPUTED_VALUE"""),"SARDO MARTHIN")</f>
        <v>SARDO MARTHIN</v>
      </c>
      <c r="C2493" s="3" t="str">
        <f>IFERROR(__xludf.DUMMYFUNCTION("""COMPUTED_VALUE"""),"S8525066357")</f>
        <v>S8525066357</v>
      </c>
      <c r="D2493" s="3">
        <f>IFERROR(__xludf.DUMMYFUNCTION("""COMPUTED_VALUE"""),41.0)</f>
        <v>41</v>
      </c>
      <c r="E2493" s="1"/>
    </row>
    <row r="2494">
      <c r="A2494" s="1"/>
      <c r="B2494" s="3" t="str">
        <f>IFERROR(__xludf.DUMMYFUNCTION("""COMPUTED_VALUE"""),"GAEL BENEDICT CHRISTAN")</f>
        <v>GAEL BENEDICT CHRISTAN</v>
      </c>
      <c r="C2494" s="3" t="str">
        <f>IFERROR(__xludf.DUMMYFUNCTION("""COMPUTED_VALUE"""),"G1125064924")</f>
        <v>G1125064924</v>
      </c>
      <c r="D2494" s="3">
        <f>IFERROR(__xludf.DUMMYFUNCTION("""COMPUTED_VALUE"""),15.0)</f>
        <v>15</v>
      </c>
      <c r="E2494" s="1"/>
    </row>
    <row r="2495">
      <c r="A2495" s="1"/>
      <c r="B2495" s="3" t="str">
        <f>IFERROR(__xludf.DUMMYFUNCTION("""COMPUTED_VALUE"""),"JOKO LULONO")</f>
        <v>JOKO LULONO</v>
      </c>
      <c r="C2495" s="3" t="str">
        <f>IFERROR(__xludf.DUMMYFUNCTION("""COMPUTED_VALUE"""),"J7825069000")</f>
        <v>J7825069000</v>
      </c>
      <c r="D2495" s="3">
        <f>IFERROR(__xludf.DUMMYFUNCTION("""COMPUTED_VALUE"""),47.0)</f>
        <v>47</v>
      </c>
      <c r="E2495" s="1"/>
    </row>
    <row r="2496">
      <c r="A2496" s="1"/>
      <c r="B2496" s="3" t="str">
        <f>IFERROR(__xludf.DUMMYFUNCTION("""COMPUTED_VALUE"""),"RIA NOVITA")</f>
        <v>RIA NOVITA</v>
      </c>
      <c r="C2496" s="3" t="str">
        <f>IFERROR(__xludf.DUMMYFUNCTION("""COMPUTED_VALUE"""),"R8225060222")</f>
        <v>R8225060222</v>
      </c>
      <c r="D2496" s="3">
        <f>IFERROR(__xludf.DUMMYFUNCTION("""COMPUTED_VALUE"""),43.0)</f>
        <v>43</v>
      </c>
      <c r="E2496" s="1"/>
    </row>
    <row r="2497">
      <c r="A2497" s="1"/>
      <c r="B2497" s="3" t="str">
        <f>IFERROR(__xludf.DUMMYFUNCTION("""COMPUTED_VALUE"""),"IQLIMA AZ-ZAHRA CIERSYA")</f>
        <v>IQLIMA AZ-ZAHRA CIERSYA</v>
      </c>
      <c r="C2497" s="3" t="str">
        <f>IFERROR(__xludf.DUMMYFUNCTION("""COMPUTED_VALUE"""),"I0225061117")</f>
        <v>I0225061117</v>
      </c>
      <c r="D2497" s="3">
        <f>IFERROR(__xludf.DUMMYFUNCTION("""COMPUTED_VALUE"""),24.0)</f>
        <v>24</v>
      </c>
      <c r="E2497" s="1"/>
    </row>
    <row r="2498">
      <c r="A2498" s="1"/>
      <c r="B2498" s="3" t="str">
        <f>IFERROR(__xludf.DUMMYFUNCTION("""COMPUTED_VALUE"""),"ZAIDAN KAFI RAHMAN")</f>
        <v>ZAIDAN KAFI RAHMAN</v>
      </c>
      <c r="C2498" s="3" t="str">
        <f>IFERROR(__xludf.DUMMYFUNCTION("""COMPUTED_VALUE"""),"Z1425067917")</f>
        <v>Z1425067917</v>
      </c>
      <c r="D2498" s="3">
        <f>IFERROR(__xludf.DUMMYFUNCTION("""COMPUTED_VALUE"""),12.0)</f>
        <v>12</v>
      </c>
      <c r="E2498" s="1"/>
    </row>
    <row r="2499">
      <c r="A2499" s="1"/>
      <c r="B2499" s="3" t="str">
        <f>IFERROR(__xludf.DUMMYFUNCTION("""COMPUTED_VALUE"""),"SETYA AJI")</f>
        <v>SETYA AJI</v>
      </c>
      <c r="C2499" s="3" t="str">
        <f>IFERROR(__xludf.DUMMYFUNCTION("""COMPUTED_VALUE"""),"S7025063552")</f>
        <v>S7025063552</v>
      </c>
      <c r="D2499" s="3">
        <f>IFERROR(__xludf.DUMMYFUNCTION("""COMPUTED_VALUE"""),56.0)</f>
        <v>56</v>
      </c>
      <c r="E2499" s="1"/>
    </row>
    <row r="2500">
      <c r="A2500" s="1"/>
      <c r="B2500" s="3" t="str">
        <f>IFERROR(__xludf.DUMMYFUNCTION("""COMPUTED_VALUE"""),"MUHAMMAD HAIDAR REDHA")</f>
        <v>MUHAMMAD HAIDAR REDHA</v>
      </c>
      <c r="C2500" s="3" t="str">
        <f>IFERROR(__xludf.DUMMYFUNCTION("""COMPUTED_VALUE"""),"M9025065907")</f>
        <v>M9025065907</v>
      </c>
      <c r="D2500" s="3">
        <f>IFERROR(__xludf.DUMMYFUNCTION("""COMPUTED_VALUE"""),35.0)</f>
        <v>35</v>
      </c>
      <c r="E2500" s="1"/>
    </row>
    <row r="2501">
      <c r="A2501" s="1"/>
      <c r="B2501" s="3" t="str">
        <f>IFERROR(__xludf.DUMMYFUNCTION("""COMPUTED_VALUE"""),"DRI KARI RUSMIARTI")</f>
        <v>DRI KARI RUSMIARTI</v>
      </c>
      <c r="C2501" s="3" t="str">
        <f>IFERROR(__xludf.DUMMYFUNCTION("""COMPUTED_VALUE"""),"D6725061890")</f>
        <v>D6725061890</v>
      </c>
      <c r="D2501" s="3">
        <f>IFERROR(__xludf.DUMMYFUNCTION("""COMPUTED_VALUE"""),58.0)</f>
        <v>58</v>
      </c>
      <c r="E2501" s="1"/>
    </row>
    <row r="2502">
      <c r="A2502" s="1"/>
      <c r="B2502" s="3" t="str">
        <f>IFERROR(__xludf.DUMMYFUNCTION("""COMPUTED_VALUE"""),"IRA FANIA")</f>
        <v>IRA FANIA</v>
      </c>
      <c r="C2502" s="3" t="str">
        <f>IFERROR(__xludf.DUMMYFUNCTION("""COMPUTED_VALUE"""),"I9625062006")</f>
        <v>I9625062006</v>
      </c>
      <c r="D2502" s="3">
        <f>IFERROR(__xludf.DUMMYFUNCTION("""COMPUTED_VALUE"""),29.0)</f>
        <v>29</v>
      </c>
      <c r="E2502" s="1"/>
    </row>
    <row r="2503">
      <c r="A2503" s="1"/>
      <c r="B2503" s="3" t="str">
        <f>IFERROR(__xludf.DUMMYFUNCTION("""COMPUTED_VALUE"""),"WAHONO")</f>
        <v>WAHONO</v>
      </c>
      <c r="C2503" s="3" t="str">
        <f>IFERROR(__xludf.DUMMYFUNCTION("""COMPUTED_VALUE"""),"W5325062288")</f>
        <v>W5325062288</v>
      </c>
      <c r="D2503" s="3">
        <f>IFERROR(__xludf.DUMMYFUNCTION("""COMPUTED_VALUE"""),73.0)</f>
        <v>73</v>
      </c>
      <c r="E2503" s="1"/>
    </row>
    <row r="2504">
      <c r="A2504" s="1"/>
      <c r="B2504" s="3" t="str">
        <f>IFERROR(__xludf.DUMMYFUNCTION("""COMPUTED_VALUE"""),"BRYAN CHIA PUTRA")</f>
        <v>BRYAN CHIA PUTRA</v>
      </c>
      <c r="C2504" s="3" t="str">
        <f>IFERROR(__xludf.DUMMYFUNCTION("""COMPUTED_VALUE"""),"B0625063076")</f>
        <v>B0625063076</v>
      </c>
      <c r="D2504" s="3">
        <f>IFERROR(__xludf.DUMMYFUNCTION("""COMPUTED_VALUE"""),20.0)</f>
        <v>20</v>
      </c>
      <c r="E2504" s="1"/>
    </row>
    <row r="2505">
      <c r="A2505" s="1"/>
      <c r="B2505" s="3" t="str">
        <f>IFERROR(__xludf.DUMMYFUNCTION("""COMPUTED_VALUE"""),"M EKA PUTRA YUANDA")</f>
        <v>M EKA PUTRA YUANDA</v>
      </c>
      <c r="C2505" s="3" t="str">
        <f>IFERROR(__xludf.DUMMYFUNCTION("""COMPUTED_VALUE"""),"M8725065724")</f>
        <v>M8725065724</v>
      </c>
      <c r="D2505" s="3">
        <f>IFERROR(__xludf.DUMMYFUNCTION("""COMPUTED_VALUE"""),38.0)</f>
        <v>38</v>
      </c>
      <c r="E2505" s="1"/>
    </row>
    <row r="2506">
      <c r="A2506" s="1"/>
      <c r="B2506" s="3" t="str">
        <f>IFERROR(__xludf.DUMMYFUNCTION("""COMPUTED_VALUE"""),"FAISAL")</f>
        <v>FAISAL</v>
      </c>
      <c r="C2506" s="3" t="str">
        <f>IFERROR(__xludf.DUMMYFUNCTION("""COMPUTED_VALUE"""),"F7325066880")</f>
        <v>F7325066880</v>
      </c>
      <c r="D2506" s="3">
        <f>IFERROR(__xludf.DUMMYFUNCTION("""COMPUTED_VALUE"""),52.0)</f>
        <v>52</v>
      </c>
      <c r="E2506" s="1"/>
    </row>
    <row r="2507">
      <c r="A2507" s="1"/>
      <c r="B2507" s="3" t="str">
        <f>IFERROR(__xludf.DUMMYFUNCTION("""COMPUTED_VALUE"""),"SELVIANA EFEN")</f>
        <v>SELVIANA EFEN</v>
      </c>
      <c r="C2507" s="3" t="str">
        <f>IFERROR(__xludf.DUMMYFUNCTION("""COMPUTED_VALUE"""),"S8825065555")</f>
        <v>S8825065555</v>
      </c>
      <c r="D2507" s="3">
        <f>IFERROR(__xludf.DUMMYFUNCTION("""COMPUTED_VALUE"""),37.0)</f>
        <v>37</v>
      </c>
      <c r="E2507" s="1"/>
    </row>
    <row r="2508">
      <c r="A2508" s="1"/>
      <c r="B2508" s="3" t="str">
        <f>IFERROR(__xludf.DUMMYFUNCTION("""COMPUTED_VALUE"""),"LIDIAWATI")</f>
        <v>LIDIAWATI</v>
      </c>
      <c r="C2508" s="3" t="str">
        <f>IFERROR(__xludf.DUMMYFUNCTION("""COMPUTED_VALUE"""),"L7425060706")</f>
        <v>L7425060706</v>
      </c>
      <c r="D2508" s="3">
        <f>IFERROR(__xludf.DUMMYFUNCTION("""COMPUTED_VALUE"""),52.0)</f>
        <v>52</v>
      </c>
      <c r="E2508" s="1"/>
    </row>
    <row r="2509">
      <c r="A2509" s="1"/>
      <c r="B2509" s="3" t="str">
        <f>IFERROR(__xludf.DUMMYFUNCTION("""COMPUTED_VALUE"""),"BINA INDRI HAPSARI")</f>
        <v>BINA INDRI HAPSARI</v>
      </c>
      <c r="C2509" s="3" t="str">
        <f>IFERROR(__xludf.DUMMYFUNCTION("""COMPUTED_VALUE"""),"B9325069236")</f>
        <v>B9325069236</v>
      </c>
      <c r="D2509" s="3">
        <f>IFERROR(__xludf.DUMMYFUNCTION("""COMPUTED_VALUE"""),33.0)</f>
        <v>33</v>
      </c>
      <c r="E2509" s="1"/>
    </row>
    <row r="2510">
      <c r="A2510" s="1"/>
      <c r="B2510" s="3" t="str">
        <f>IFERROR(__xludf.DUMMYFUNCTION("""COMPUTED_VALUE"""),"PARWANA")</f>
        <v>PARWANA</v>
      </c>
      <c r="C2510" s="3" t="str">
        <f>IFERROR(__xludf.DUMMYFUNCTION("""COMPUTED_VALUE"""),"P6525069010")</f>
        <v>P6525069010</v>
      </c>
      <c r="D2510" s="3">
        <f>IFERROR(__xludf.DUMMYFUNCTION("""COMPUTED_VALUE"""),60.0)</f>
        <v>60</v>
      </c>
      <c r="E2510" s="1"/>
    </row>
    <row r="2511">
      <c r="A2511" s="1"/>
      <c r="B2511" s="3" t="str">
        <f>IFERROR(__xludf.DUMMYFUNCTION("""COMPUTED_VALUE"""),"P. OBANG")</f>
        <v>P. OBANG</v>
      </c>
      <c r="C2511" s="3" t="str">
        <f>IFERROR(__xludf.DUMMYFUNCTION("""COMPUTED_VALUE"""),"P5925063080")</f>
        <v>P5925063080</v>
      </c>
      <c r="D2511" s="3">
        <f>IFERROR(__xludf.DUMMYFUNCTION("""COMPUTED_VALUE"""),67.0)</f>
        <v>67</v>
      </c>
      <c r="E2511" s="1"/>
    </row>
    <row r="2512">
      <c r="A2512" s="1"/>
      <c r="B2512" s="3" t="str">
        <f>IFERROR(__xludf.DUMMYFUNCTION("""COMPUTED_VALUE"""),"GERWYN ANDREA")</f>
        <v>GERWYN ANDREA</v>
      </c>
      <c r="C2512" s="3" t="str">
        <f>IFERROR(__xludf.DUMMYFUNCTION("""COMPUTED_VALUE"""),"G0025062792")</f>
        <v>G0025062792</v>
      </c>
      <c r="D2512" s="3">
        <f>IFERROR(__xludf.DUMMYFUNCTION("""COMPUTED_VALUE"""),25.0)</f>
        <v>25</v>
      </c>
      <c r="E2512" s="1"/>
    </row>
    <row r="2513">
      <c r="A2513" s="1"/>
      <c r="B2513" s="3" t="str">
        <f>IFERROR(__xludf.DUMMYFUNCTION("""COMPUTED_VALUE"""),"UTIN NABILA")</f>
        <v>UTIN NABILA</v>
      </c>
      <c r="C2513" s="3" t="str">
        <f>IFERROR(__xludf.DUMMYFUNCTION("""COMPUTED_VALUE"""),"U0325060116")</f>
        <v>U0325060116</v>
      </c>
      <c r="D2513" s="3">
        <f>IFERROR(__xludf.DUMMYFUNCTION("""COMPUTED_VALUE"""),23.0)</f>
        <v>23</v>
      </c>
      <c r="E2513" s="1"/>
    </row>
    <row r="2514">
      <c r="A2514" s="1"/>
      <c r="B2514" s="3" t="str">
        <f>IFERROR(__xludf.DUMMYFUNCTION("""COMPUTED_VALUE"""),"AGUS TRIYANA")</f>
        <v>AGUS TRIYANA</v>
      </c>
      <c r="C2514" s="3" t="str">
        <f>IFERROR(__xludf.DUMMYFUNCTION("""COMPUTED_VALUE"""),"A8325069005")</f>
        <v>A8325069005</v>
      </c>
      <c r="D2514" s="3">
        <f>IFERROR(__xludf.DUMMYFUNCTION("""COMPUTED_VALUE"""),42.0)</f>
        <v>42</v>
      </c>
      <c r="E2514" s="1"/>
    </row>
    <row r="2515">
      <c r="A2515" s="1"/>
      <c r="B2515" s="3" t="str">
        <f>IFERROR(__xludf.DUMMYFUNCTION("""COMPUTED_VALUE"""),"SAWITRI HERSUSANTI")</f>
        <v>SAWITRI HERSUSANTI</v>
      </c>
      <c r="C2515" s="3" t="str">
        <f>IFERROR(__xludf.DUMMYFUNCTION("""COMPUTED_VALUE"""),"S6425068991")</f>
        <v>S6425068991</v>
      </c>
      <c r="D2515" s="3">
        <f>IFERROR(__xludf.DUMMYFUNCTION("""COMPUTED_VALUE"""),61.0)</f>
        <v>61</v>
      </c>
      <c r="E2515" s="1"/>
    </row>
    <row r="2516">
      <c r="A2516" s="1"/>
      <c r="B2516" s="3" t="str">
        <f>IFERROR(__xludf.DUMMYFUNCTION("""COMPUTED_VALUE"""),"TERRA SAMIDDHA")</f>
        <v>TERRA SAMIDDHA</v>
      </c>
      <c r="C2516" s="3" t="str">
        <f>IFERROR(__xludf.DUMMYFUNCTION("""COMPUTED_VALUE"""),"T9325067779")</f>
        <v>T9325067779</v>
      </c>
      <c r="D2516" s="3">
        <f>IFERROR(__xludf.DUMMYFUNCTION("""COMPUTED_VALUE"""),33.0)</f>
        <v>33</v>
      </c>
      <c r="E2516" s="1"/>
    </row>
    <row r="2517">
      <c r="A2517" s="1"/>
      <c r="B2517" s="3" t="str">
        <f>IFERROR(__xludf.DUMMYFUNCTION("""COMPUTED_VALUE"""),"TOBIAS")</f>
        <v>TOBIAS</v>
      </c>
      <c r="C2517" s="3" t="str">
        <f>IFERROR(__xludf.DUMMYFUNCTION("""COMPUTED_VALUE"""),"T1725066978")</f>
        <v>T1725066978</v>
      </c>
      <c r="D2517" s="3">
        <f>IFERROR(__xludf.DUMMYFUNCTION("""COMPUTED_VALUE"""),9.0)</f>
        <v>9</v>
      </c>
      <c r="E2517" s="1"/>
    </row>
    <row r="2518">
      <c r="A2518" s="1"/>
      <c r="B2518" s="3" t="str">
        <f>IFERROR(__xludf.DUMMYFUNCTION("""COMPUTED_VALUE"""),"LUQMANUL HAKIM HARIS")</f>
        <v>LUQMANUL HAKIM HARIS</v>
      </c>
      <c r="C2518" s="3" t="str">
        <f>IFERROR(__xludf.DUMMYFUNCTION("""COMPUTED_VALUE"""),"L9725069360")</f>
        <v>L9725069360</v>
      </c>
      <c r="D2518" s="3">
        <f>IFERROR(__xludf.DUMMYFUNCTION("""COMPUTED_VALUE"""),29.0)</f>
        <v>29</v>
      </c>
      <c r="E2518" s="1"/>
    </row>
    <row r="2519">
      <c r="A2519" s="1"/>
      <c r="B2519" s="3" t="str">
        <f>IFERROR(__xludf.DUMMYFUNCTION("""COMPUTED_VALUE"""),"DIDI MUSBENO SIBRANI")</f>
        <v>DIDI MUSBENO SIBRANI</v>
      </c>
      <c r="C2519" s="3" t="str">
        <f>IFERROR(__xludf.DUMMYFUNCTION("""COMPUTED_VALUE"""),"D8225069447")</f>
        <v>D8225069447</v>
      </c>
      <c r="D2519" s="3">
        <f>IFERROR(__xludf.DUMMYFUNCTION("""COMPUTED_VALUE"""),44.0)</f>
        <v>44</v>
      </c>
      <c r="E2519" s="1"/>
    </row>
    <row r="2520">
      <c r="A2520" s="1"/>
      <c r="B2520" s="3" t="str">
        <f>IFERROR(__xludf.DUMMYFUNCTION("""COMPUTED_VALUE"""),"GOUW SOK HUN")</f>
        <v>GOUW SOK HUN</v>
      </c>
      <c r="C2520" s="3" t="str">
        <f>IFERROR(__xludf.DUMMYFUNCTION("""COMPUTED_VALUE"""),"G7125068416")</f>
        <v>G7125068416</v>
      </c>
      <c r="D2520" s="3">
        <f>IFERROR(__xludf.DUMMYFUNCTION("""COMPUTED_VALUE"""),55.0)</f>
        <v>55</v>
      </c>
      <c r="E2520" s="1"/>
    </row>
    <row r="2521">
      <c r="A2521" s="1"/>
      <c r="B2521" s="3" t="str">
        <f>IFERROR(__xludf.DUMMYFUNCTION("""COMPUTED_VALUE"""),"AMINA")</f>
        <v>AMINA</v>
      </c>
      <c r="C2521" s="3" t="str">
        <f>IFERROR(__xludf.DUMMYFUNCTION("""COMPUTED_VALUE"""),"A7025060822")</f>
        <v>A7025060822</v>
      </c>
      <c r="D2521" s="3">
        <f>IFERROR(__xludf.DUMMYFUNCTION("""COMPUTED_VALUE"""),55.0)</f>
        <v>55</v>
      </c>
      <c r="E2521" s="1"/>
    </row>
    <row r="2522">
      <c r="A2522" s="1"/>
      <c r="B2522" s="3" t="str">
        <f>IFERROR(__xludf.DUMMYFUNCTION("""COMPUTED_VALUE"""),"NATALIA ATA")</f>
        <v>NATALIA ATA</v>
      </c>
      <c r="C2522" s="3" t="str">
        <f>IFERROR(__xludf.DUMMYFUNCTION("""COMPUTED_VALUE"""),"N8225068799")</f>
        <v>N8225068799</v>
      </c>
      <c r="D2522" s="3">
        <f>IFERROR(__xludf.DUMMYFUNCTION("""COMPUTED_VALUE"""),43.0)</f>
        <v>43</v>
      </c>
      <c r="E2522" s="1"/>
    </row>
    <row r="2523">
      <c r="A2523" s="1"/>
      <c r="B2523" s="3" t="str">
        <f>IFERROR(__xludf.DUMMYFUNCTION("""COMPUTED_VALUE"""),"ARMANSYAH")</f>
        <v>ARMANSYAH</v>
      </c>
      <c r="C2523" s="3" t="str">
        <f>IFERROR(__xludf.DUMMYFUNCTION("""COMPUTED_VALUE"""),"A6625060750")</f>
        <v>A6625060750</v>
      </c>
      <c r="D2523" s="3">
        <f>IFERROR(__xludf.DUMMYFUNCTION("""COMPUTED_VALUE"""),59.0)</f>
        <v>59</v>
      </c>
      <c r="E2523" s="1"/>
    </row>
    <row r="2524">
      <c r="A2524" s="1"/>
      <c r="B2524" s="3" t="str">
        <f>IFERROR(__xludf.DUMMYFUNCTION("""COMPUTED_VALUE"""),"MAULANA MUHAMMAD THARIQ")</f>
        <v>MAULANA MUHAMMAD THARIQ</v>
      </c>
      <c r="C2524" s="3" t="str">
        <f>IFERROR(__xludf.DUMMYFUNCTION("""COMPUTED_VALUE"""),"M0125062135")</f>
        <v>M0125062135</v>
      </c>
      <c r="D2524" s="3">
        <f>IFERROR(__xludf.DUMMYFUNCTION("""COMPUTED_VALUE"""),24.0)</f>
        <v>24</v>
      </c>
      <c r="E2524" s="1"/>
    </row>
    <row r="2525">
      <c r="A2525" s="1"/>
      <c r="B2525" s="3" t="str">
        <f>IFERROR(__xludf.DUMMYFUNCTION("""COMPUTED_VALUE"""),"MUCHTARUDIN")</f>
        <v>MUCHTARUDIN</v>
      </c>
      <c r="C2525" s="3" t="str">
        <f>IFERROR(__xludf.DUMMYFUNCTION("""COMPUTED_VALUE"""),"M8625063338")</f>
        <v>M8625063338</v>
      </c>
      <c r="D2525" s="3">
        <f>IFERROR(__xludf.DUMMYFUNCTION("""COMPUTED_VALUE"""),40.0)</f>
        <v>40</v>
      </c>
      <c r="E2525" s="1"/>
    </row>
    <row r="2526">
      <c r="A2526" s="1"/>
      <c r="B2526" s="3" t="str">
        <f>IFERROR(__xludf.DUMMYFUNCTION("""COMPUTED_VALUE"""),"MIYO")</f>
        <v>MIYO</v>
      </c>
      <c r="C2526" s="3" t="str">
        <f>IFERROR(__xludf.DUMMYFUNCTION("""COMPUTED_VALUE"""),"M5825061742")</f>
        <v>M5825061742</v>
      </c>
      <c r="D2526" s="3">
        <f>IFERROR(__xludf.DUMMYFUNCTION("""COMPUTED_VALUE"""),68.0)</f>
        <v>68</v>
      </c>
      <c r="E2526" s="1"/>
    </row>
    <row r="2527">
      <c r="A2527" s="1"/>
      <c r="B2527" s="3" t="str">
        <f>IFERROR(__xludf.DUMMYFUNCTION("""COMPUTED_VALUE"""),"PARNINGOTAN ALOGO")</f>
        <v>PARNINGOTAN ALOGO</v>
      </c>
      <c r="C2527" s="3" t="str">
        <f>IFERROR(__xludf.DUMMYFUNCTION("""COMPUTED_VALUE"""),"P9925068917")</f>
        <v>P9925068917</v>
      </c>
      <c r="D2527" s="3">
        <f>IFERROR(__xludf.DUMMYFUNCTION("""COMPUTED_VALUE"""),27.0)</f>
        <v>27</v>
      </c>
      <c r="E2527" s="1"/>
    </row>
    <row r="2528">
      <c r="A2528" s="1"/>
      <c r="B2528" s="3" t="str">
        <f>IFERROR(__xludf.DUMMYFUNCTION("""COMPUTED_VALUE"""),"GRACIA CALLISTA VEGA")</f>
        <v>GRACIA CALLISTA VEGA</v>
      </c>
      <c r="C2528" s="3" t="str">
        <f>IFERROR(__xludf.DUMMYFUNCTION("""COMPUTED_VALUE"""),"G0725065625")</f>
        <v>G0725065625</v>
      </c>
      <c r="D2528" s="3">
        <f>IFERROR(__xludf.DUMMYFUNCTION("""COMPUTED_VALUE"""),19.0)</f>
        <v>19</v>
      </c>
      <c r="E2528" s="1"/>
    </row>
    <row r="2529">
      <c r="A2529" s="1"/>
      <c r="B2529" s="3" t="str">
        <f>IFERROR(__xludf.DUMMYFUNCTION("""COMPUTED_VALUE"""),"HAMSATUN")</f>
        <v>HAMSATUN</v>
      </c>
      <c r="C2529" s="3" t="str">
        <f>IFERROR(__xludf.DUMMYFUNCTION("""COMPUTED_VALUE"""),"H6825069401")</f>
        <v>H6825069401</v>
      </c>
      <c r="D2529" s="3">
        <f>IFERROR(__xludf.DUMMYFUNCTION("""COMPUTED_VALUE"""),58.0)</f>
        <v>58</v>
      </c>
      <c r="E2529" s="1"/>
    </row>
    <row r="2530">
      <c r="A2530" s="1"/>
      <c r="B2530" s="3" t="str">
        <f>IFERROR(__xludf.DUMMYFUNCTION("""COMPUTED_VALUE"""),"RIRIN SURYANI")</f>
        <v>RIRIN SURYANI</v>
      </c>
      <c r="C2530" s="3" t="str">
        <f>IFERROR(__xludf.DUMMYFUNCTION("""COMPUTED_VALUE"""),"R9325064715")</f>
        <v>R9325064715</v>
      </c>
      <c r="D2530" s="3">
        <f>IFERROR(__xludf.DUMMYFUNCTION("""COMPUTED_VALUE"""),33.0)</f>
        <v>33</v>
      </c>
      <c r="E2530" s="1"/>
    </row>
    <row r="2531">
      <c r="A2531" s="1"/>
      <c r="B2531" s="3" t="str">
        <f>IFERROR(__xludf.DUMMYFUNCTION("""COMPUTED_VALUE"""),"FADLI ANUGRAH")</f>
        <v>FADLI ANUGRAH</v>
      </c>
      <c r="C2531" s="3" t="str">
        <f>IFERROR(__xludf.DUMMYFUNCTION("""COMPUTED_VALUE"""),"F9925067379")</f>
        <v>F9925067379</v>
      </c>
      <c r="D2531" s="3">
        <f>IFERROR(__xludf.DUMMYFUNCTION("""COMPUTED_VALUE"""),27.0)</f>
        <v>27</v>
      </c>
      <c r="E2531" s="1"/>
    </row>
    <row r="2532">
      <c r="A2532" s="1"/>
      <c r="B2532" s="3" t="str">
        <f>IFERROR(__xludf.DUMMYFUNCTION("""COMPUTED_VALUE"""),"SUDIYANTI HO")</f>
        <v>SUDIYANTI HO</v>
      </c>
      <c r="C2532" s="3" t="str">
        <f>IFERROR(__xludf.DUMMYFUNCTION("""COMPUTED_VALUE"""),"S5325064712")</f>
        <v>S5325064712</v>
      </c>
      <c r="D2532" s="3">
        <f>IFERROR(__xludf.DUMMYFUNCTION("""COMPUTED_VALUE"""),72.0)</f>
        <v>72</v>
      </c>
      <c r="E2532" s="1"/>
    </row>
    <row r="2533">
      <c r="A2533" s="1"/>
      <c r="B2533" s="3" t="str">
        <f>IFERROR(__xludf.DUMMYFUNCTION("""COMPUTED_VALUE"""),"SAMARIA PANGESTU")</f>
        <v>SAMARIA PANGESTU</v>
      </c>
      <c r="C2533" s="3" t="str">
        <f>IFERROR(__xludf.DUMMYFUNCTION("""COMPUTED_VALUE"""),"S1025068800")</f>
        <v>S1025068800</v>
      </c>
      <c r="D2533" s="3">
        <f>IFERROR(__xludf.DUMMYFUNCTION("""COMPUTED_VALUE"""),15.0)</f>
        <v>15</v>
      </c>
      <c r="E2533" s="1"/>
    </row>
    <row r="2534">
      <c r="A2534" s="1"/>
      <c r="B2534" s="3" t="str">
        <f>IFERROR(__xludf.DUMMYFUNCTION("""COMPUTED_VALUE"""),"HERY 8410")</f>
        <v>HERY 8410</v>
      </c>
      <c r="C2534" s="3" t="str">
        <f>IFERROR(__xludf.DUMMYFUNCTION("""COMPUTED_VALUE"""),"H8425065535")</f>
        <v>H8425065535</v>
      </c>
      <c r="D2534" s="3">
        <f>IFERROR(__xludf.DUMMYFUNCTION("""COMPUTED_VALUE"""),41.0)</f>
        <v>41</v>
      </c>
      <c r="E2534" s="1"/>
    </row>
    <row r="2535">
      <c r="A2535" s="1"/>
      <c r="B2535" s="3" t="str">
        <f>IFERROR(__xludf.DUMMYFUNCTION("""COMPUTED_VALUE"""),"DIAZ MUHAMMAD REZA")</f>
        <v>DIAZ MUHAMMAD REZA</v>
      </c>
      <c r="C2535" s="3" t="str">
        <f>IFERROR(__xludf.DUMMYFUNCTION("""COMPUTED_VALUE"""),"D8925065661")</f>
        <v>D8925065661</v>
      </c>
      <c r="D2535" s="3">
        <f>IFERROR(__xludf.DUMMYFUNCTION("""COMPUTED_VALUE"""),37.0)</f>
        <v>37</v>
      </c>
      <c r="E2535" s="1"/>
    </row>
    <row r="2536">
      <c r="A2536" s="1"/>
      <c r="B2536" s="3" t="str">
        <f>IFERROR(__xludf.DUMMYFUNCTION("""COMPUTED_VALUE"""),"SYARIFAH UMMI KALTSUM")</f>
        <v>SYARIFAH UMMI KALTSUM</v>
      </c>
      <c r="C2536" s="3" t="str">
        <f>IFERROR(__xludf.DUMMYFUNCTION("""COMPUTED_VALUE"""),"S8325065820")</f>
        <v>S8325065820</v>
      </c>
      <c r="D2536" s="3">
        <f>IFERROR(__xludf.DUMMYFUNCTION("""COMPUTED_VALUE"""),42.0)</f>
        <v>42</v>
      </c>
      <c r="E2536" s="1"/>
    </row>
    <row r="2537">
      <c r="A2537" s="1"/>
      <c r="B2537" s="3" t="str">
        <f>IFERROR(__xludf.DUMMYFUNCTION("""COMPUTED_VALUE"""),"FRANS IMMANUEL SIAHAAN")</f>
        <v>FRANS IMMANUEL SIAHAAN</v>
      </c>
      <c r="C2537" s="3" t="str">
        <f>IFERROR(__xludf.DUMMYFUNCTION("""COMPUTED_VALUE"""),"F0325067556")</f>
        <v>F0325067556</v>
      </c>
      <c r="D2537" s="3">
        <f>IFERROR(__xludf.DUMMYFUNCTION("""COMPUTED_VALUE"""),22.0)</f>
        <v>22</v>
      </c>
      <c r="E2537" s="1"/>
    </row>
    <row r="2538">
      <c r="A2538" s="1"/>
      <c r="B2538" s="3" t="str">
        <f>IFERROR(__xludf.DUMMYFUNCTION("""COMPUTED_VALUE"""),"SEPTUTI MEGA POSROITO")</f>
        <v>SEPTUTI MEGA POSROITO</v>
      </c>
      <c r="C2538" s="3" t="str">
        <f>IFERROR(__xludf.DUMMYFUNCTION("""COMPUTED_VALUE"""),"S9325063633")</f>
        <v>S9325063633</v>
      </c>
      <c r="D2538" s="3">
        <f>IFERROR(__xludf.DUMMYFUNCTION("""COMPUTED_VALUE"""),32.0)</f>
        <v>32</v>
      </c>
      <c r="E2538" s="1"/>
    </row>
    <row r="2539">
      <c r="A2539" s="1"/>
      <c r="B2539" s="3" t="str">
        <f>IFERROR(__xludf.DUMMYFUNCTION("""COMPUTED_VALUE"""),"GUNTUR SUTANTO")</f>
        <v>GUNTUR SUTANTO</v>
      </c>
      <c r="C2539" s="3" t="str">
        <f>IFERROR(__xludf.DUMMYFUNCTION("""COMPUTED_VALUE"""),"G9325067202")</f>
        <v>G9325067202</v>
      </c>
      <c r="D2539" s="3">
        <f>IFERROR(__xludf.DUMMYFUNCTION("""COMPUTED_VALUE"""),32.0)</f>
        <v>32</v>
      </c>
      <c r="E2539" s="1"/>
    </row>
    <row r="2540">
      <c r="A2540" s="1"/>
      <c r="B2540" s="3" t="str">
        <f>IFERROR(__xludf.DUMMYFUNCTION("""COMPUTED_VALUE"""),"ANTONIO JANUARDI")</f>
        <v>ANTONIO JANUARDI</v>
      </c>
      <c r="C2540" s="3" t="str">
        <f>IFERROR(__xludf.DUMMYFUNCTION("""COMPUTED_VALUE"""),"A0325069944")</f>
        <v>A0325069944</v>
      </c>
      <c r="D2540" s="3">
        <f>IFERROR(__xludf.DUMMYFUNCTION("""COMPUTED_VALUE"""),23.0)</f>
        <v>23</v>
      </c>
      <c r="E2540" s="1"/>
    </row>
    <row r="2541">
      <c r="A2541" s="1"/>
      <c r="B2541" s="3" t="str">
        <f>IFERROR(__xludf.DUMMYFUNCTION("""COMPUTED_VALUE"""),"CILVA NABILAH PUTRI DANISA")</f>
        <v>CILVA NABILAH PUTRI DANISA</v>
      </c>
      <c r="C2541" s="3" t="str">
        <f>IFERROR(__xludf.DUMMYFUNCTION("""COMPUTED_VALUE"""),"C1025067758")</f>
        <v>C1025067758</v>
      </c>
      <c r="D2541" s="3">
        <f>IFERROR(__xludf.DUMMYFUNCTION("""COMPUTED_VALUE"""),15.0)</f>
        <v>15</v>
      </c>
      <c r="E2541" s="1"/>
    </row>
    <row r="2542">
      <c r="A2542" s="1"/>
      <c r="B2542" s="3" t="str">
        <f>IFERROR(__xludf.DUMMYFUNCTION("""COMPUTED_VALUE"""),"SYARIFAH NABILA AULIA RANTI")</f>
        <v>SYARIFAH NABILA AULIA RANTI</v>
      </c>
      <c r="C2542" s="3" t="str">
        <f>IFERROR(__xludf.DUMMYFUNCTION("""COMPUTED_VALUE"""),"S9425063337")</f>
        <v>S9425063337</v>
      </c>
      <c r="D2542" s="3">
        <f>IFERROR(__xludf.DUMMYFUNCTION("""COMPUTED_VALUE"""),32.0)</f>
        <v>32</v>
      </c>
      <c r="E2542" s="1"/>
    </row>
    <row r="2543">
      <c r="A2543" s="1"/>
      <c r="B2543" s="3" t="str">
        <f>IFERROR(__xludf.DUMMYFUNCTION("""COMPUTED_VALUE"""),"GIYASMAN")</f>
        <v>GIYASMAN</v>
      </c>
      <c r="C2543" s="3" t="str">
        <f>IFERROR(__xludf.DUMMYFUNCTION("""COMPUTED_VALUE"""),"G7625060554")</f>
        <v>G7625060554</v>
      </c>
      <c r="D2543" s="3">
        <f>IFERROR(__xludf.DUMMYFUNCTION("""COMPUTED_VALUE"""),50.0)</f>
        <v>50</v>
      </c>
      <c r="E2543" s="1"/>
    </row>
    <row r="2544">
      <c r="A2544" s="1"/>
      <c r="B2544" s="3" t="str">
        <f>IFERROR(__xludf.DUMMYFUNCTION("""COMPUTED_VALUE"""),"ANGELIQUE CHANDRA")</f>
        <v>ANGELIQUE CHANDRA</v>
      </c>
      <c r="C2544" s="3" t="str">
        <f>IFERROR(__xludf.DUMMYFUNCTION("""COMPUTED_VALUE"""),"A0225069051")</f>
        <v>A0225069051</v>
      </c>
      <c r="D2544" s="3">
        <f>IFERROR(__xludf.DUMMYFUNCTION("""COMPUTED_VALUE"""),23.0)</f>
        <v>23</v>
      </c>
      <c r="E2544" s="1"/>
    </row>
    <row r="2545">
      <c r="A2545" s="1"/>
      <c r="B2545" s="3" t="str">
        <f>IFERROR(__xludf.DUMMYFUNCTION("""COMPUTED_VALUE"""),"FERRIJANTO")</f>
        <v>FERRIJANTO</v>
      </c>
      <c r="C2545" s="3" t="str">
        <f>IFERROR(__xludf.DUMMYFUNCTION("""COMPUTED_VALUE"""),"F8025064580")</f>
        <v>F8025064580</v>
      </c>
      <c r="D2545" s="3">
        <f>IFERROR(__xludf.DUMMYFUNCTION("""COMPUTED_VALUE"""),45.0)</f>
        <v>45</v>
      </c>
      <c r="E2545" s="1"/>
    </row>
    <row r="2546">
      <c r="A2546" s="1"/>
      <c r="B2546" s="3" t="str">
        <f>IFERROR(__xludf.DUMMYFUNCTION("""COMPUTED_VALUE"""),"RHINO MADE S")</f>
        <v>RHINO MADE S</v>
      </c>
      <c r="C2546" s="3" t="str">
        <f>IFERROR(__xludf.DUMMYFUNCTION("""COMPUTED_VALUE"""),"R7225067974")</f>
        <v>R7225067974</v>
      </c>
      <c r="D2546" s="3">
        <f>IFERROR(__xludf.DUMMYFUNCTION("""COMPUTED_VALUE"""),54.0)</f>
        <v>54</v>
      </c>
      <c r="E2546" s="1"/>
    </row>
    <row r="2547">
      <c r="A2547" s="1"/>
      <c r="B2547" s="3" t="str">
        <f>IFERROR(__xludf.DUMMYFUNCTION("""COMPUTED_VALUE"""),"TOMMY YANSENS")</f>
        <v>TOMMY YANSENS</v>
      </c>
      <c r="C2547" s="3" t="str">
        <f>IFERROR(__xludf.DUMMYFUNCTION("""COMPUTED_VALUE"""),"T5525065588")</f>
        <v>T5525065588</v>
      </c>
      <c r="D2547" s="3">
        <f>IFERROR(__xludf.DUMMYFUNCTION("""COMPUTED_VALUE"""),70.0)</f>
        <v>70</v>
      </c>
      <c r="E2547" s="1"/>
    </row>
    <row r="2548">
      <c r="A2548" s="1"/>
      <c r="B2548" s="3" t="str">
        <f>IFERROR(__xludf.DUMMYFUNCTION("""COMPUTED_VALUE"""),"MUHAMMAD ALDHO SYAHPUTRA")</f>
        <v>MUHAMMAD ALDHO SYAHPUTRA</v>
      </c>
      <c r="C2548" s="3" t="str">
        <f>IFERROR(__xludf.DUMMYFUNCTION("""COMPUTED_VALUE"""),"M0325062614")</f>
        <v>M0325062614</v>
      </c>
      <c r="D2548" s="3">
        <f>IFERROR(__xludf.DUMMYFUNCTION("""COMPUTED_VALUE"""),22.0)</f>
        <v>22</v>
      </c>
      <c r="E2548" s="1"/>
    </row>
    <row r="2549">
      <c r="A2549" s="1"/>
      <c r="B2549" s="3" t="str">
        <f>IFERROR(__xludf.DUMMYFUNCTION("""COMPUTED_VALUE"""),"M. TRI ARIANSYAH")</f>
        <v>M. TRI ARIANSYAH</v>
      </c>
      <c r="C2549" s="3" t="str">
        <f>IFERROR(__xludf.DUMMYFUNCTION("""COMPUTED_VALUE"""),"M9525067669")</f>
        <v>M9525067669</v>
      </c>
      <c r="D2549" s="3">
        <f>IFERROR(__xludf.DUMMYFUNCTION("""COMPUTED_VALUE"""),31.0)</f>
        <v>31</v>
      </c>
      <c r="E2549" s="1"/>
    </row>
    <row r="2550">
      <c r="A2550" s="1"/>
      <c r="B2550" s="3" t="str">
        <f>IFERROR(__xludf.DUMMYFUNCTION("""COMPUTED_VALUE"""),"MARSALINA TAMPUBOLON")</f>
        <v>MARSALINA TAMPUBOLON</v>
      </c>
      <c r="C2550" s="3" t="str">
        <f>IFERROR(__xludf.DUMMYFUNCTION("""COMPUTED_VALUE"""),"M7225061366")</f>
        <v>M7225061366</v>
      </c>
      <c r="D2550" s="3">
        <f>IFERROR(__xludf.DUMMYFUNCTION("""COMPUTED_VALUE"""),54.0)</f>
        <v>54</v>
      </c>
      <c r="E2550" s="1"/>
    </row>
    <row r="2551">
      <c r="A2551" s="1"/>
      <c r="B2551" s="3" t="str">
        <f>IFERROR(__xludf.DUMMYFUNCTION("""COMPUTED_VALUE"""),"HERI PRIYONO")</f>
        <v>HERI PRIYONO</v>
      </c>
      <c r="C2551" s="3" t="str">
        <f>IFERROR(__xludf.DUMMYFUNCTION("""COMPUTED_VALUE"""),"H8925064542")</f>
        <v>H8925064542</v>
      </c>
      <c r="D2551" s="3">
        <f>IFERROR(__xludf.DUMMYFUNCTION("""COMPUTED_VALUE"""),37.0)</f>
        <v>37</v>
      </c>
      <c r="E2551" s="1"/>
    </row>
    <row r="2552">
      <c r="A2552" s="1"/>
      <c r="B2552" s="3" t="str">
        <f>IFERROR(__xludf.DUMMYFUNCTION("""COMPUTED_VALUE"""),"AGUD GUDIYAHMAN")</f>
        <v>AGUD GUDIYAHMAN</v>
      </c>
      <c r="C2552" s="3" t="str">
        <f>IFERROR(__xludf.DUMMYFUNCTION("""COMPUTED_VALUE"""),"A8625063000")</f>
        <v>A8625063000</v>
      </c>
      <c r="D2552" s="3">
        <f>IFERROR(__xludf.DUMMYFUNCTION("""COMPUTED_VALUE"""),39.0)</f>
        <v>39</v>
      </c>
      <c r="E2552" s="1"/>
    </row>
    <row r="2553">
      <c r="A2553" s="1"/>
      <c r="B2553" s="3" t="str">
        <f>IFERROR(__xludf.DUMMYFUNCTION("""COMPUTED_VALUE"""),"IMAM MAULUDDIN")</f>
        <v>IMAM MAULUDDIN</v>
      </c>
      <c r="C2553" s="3" t="str">
        <f>IFERROR(__xludf.DUMMYFUNCTION("""COMPUTED_VALUE"""),"I0325069949")</f>
        <v>I0325069949</v>
      </c>
      <c r="D2553" s="3">
        <f>IFERROR(__xludf.DUMMYFUNCTION("""COMPUTED_VALUE"""),23.0)</f>
        <v>23</v>
      </c>
      <c r="E2553" s="1"/>
    </row>
    <row r="2554">
      <c r="A2554" s="1"/>
      <c r="B2554" s="3" t="str">
        <f>IFERROR(__xludf.DUMMYFUNCTION("""COMPUTED_VALUE"""),"RESTU BINTANG NUGROHO")</f>
        <v>RESTU BINTANG NUGROHO</v>
      </c>
      <c r="C2554" s="3" t="str">
        <f>IFERROR(__xludf.DUMMYFUNCTION("""COMPUTED_VALUE"""),"R0625062913")</f>
        <v>R0625062913</v>
      </c>
      <c r="D2554" s="3">
        <f>IFERROR(__xludf.DUMMYFUNCTION("""COMPUTED_VALUE"""),19.0)</f>
        <v>19</v>
      </c>
      <c r="E2554" s="1"/>
    </row>
    <row r="2555">
      <c r="A2555" s="1"/>
      <c r="B2555" s="3" t="str">
        <f>IFERROR(__xludf.DUMMYFUNCTION("""COMPUTED_VALUE"""),"RIRIN KURNIAWATI")</f>
        <v>RIRIN KURNIAWATI</v>
      </c>
      <c r="C2555" s="3" t="str">
        <f>IFERROR(__xludf.DUMMYFUNCTION("""COMPUTED_VALUE"""),"R0025077421")</f>
        <v>R0025077421</v>
      </c>
      <c r="D2555" s="3">
        <f>IFERROR(__xludf.DUMMYFUNCTION("""COMPUTED_VALUE"""),25.0)</f>
        <v>25</v>
      </c>
      <c r="E2555" s="1"/>
    </row>
    <row r="2556">
      <c r="A2556" s="1"/>
      <c r="B2556" s="3" t="str">
        <f>IFERROR(__xludf.DUMMYFUNCTION("""COMPUTED_VALUE"""),"DRAJAT WAHYUDI")</f>
        <v>DRAJAT WAHYUDI</v>
      </c>
      <c r="C2556" s="3" t="str">
        <f>IFERROR(__xludf.DUMMYFUNCTION("""COMPUTED_VALUE"""),"D8825073113")</f>
        <v>D8825073113</v>
      </c>
      <c r="D2556" s="3">
        <f>IFERROR(__xludf.DUMMYFUNCTION("""COMPUTED_VALUE"""),38.0)</f>
        <v>38</v>
      </c>
      <c r="E2556" s="1"/>
    </row>
    <row r="2557">
      <c r="A2557" s="1"/>
      <c r="B2557" s="3" t="str">
        <f>IFERROR(__xludf.DUMMYFUNCTION("""COMPUTED_VALUE"""),"SHELLA PRASETIA")</f>
        <v>SHELLA PRASETIA</v>
      </c>
      <c r="C2557" s="3" t="str">
        <f>IFERROR(__xludf.DUMMYFUNCTION("""COMPUTED_VALUE"""),"S9425072111")</f>
        <v>S9425072111</v>
      </c>
      <c r="D2557" s="3">
        <f>IFERROR(__xludf.DUMMYFUNCTION("""COMPUTED_VALUE"""),32.0)</f>
        <v>32</v>
      </c>
      <c r="E2557" s="1"/>
    </row>
    <row r="2558">
      <c r="A2558" s="1"/>
      <c r="B2558" s="3" t="str">
        <f>IFERROR(__xludf.DUMMYFUNCTION("""COMPUTED_VALUE"""),"HENNY HO")</f>
        <v>HENNY HO</v>
      </c>
      <c r="C2558" s="3" t="str">
        <f>IFERROR(__xludf.DUMMYFUNCTION("""COMPUTED_VALUE"""),"H8325075759")</f>
        <v>H8325075759</v>
      </c>
      <c r="D2558" s="3">
        <f>IFERROR(__xludf.DUMMYFUNCTION("""COMPUTED_VALUE"""),43.0)</f>
        <v>43</v>
      </c>
      <c r="E2558" s="1"/>
    </row>
    <row r="2559">
      <c r="A2559" s="1"/>
      <c r="B2559" s="3" t="str">
        <f>IFERROR(__xludf.DUMMYFUNCTION("""COMPUTED_VALUE"""),"OLIVIA NOVELIANTI")</f>
        <v>OLIVIA NOVELIANTI</v>
      </c>
      <c r="C2559" s="3" t="str">
        <f>IFERROR(__xludf.DUMMYFUNCTION("""COMPUTED_VALUE"""),"O0925070649")</f>
        <v>O0925070649</v>
      </c>
      <c r="D2559" s="3">
        <f>IFERROR(__xludf.DUMMYFUNCTION("""COMPUTED_VALUE"""),16.0)</f>
        <v>16</v>
      </c>
      <c r="E2559" s="1"/>
    </row>
    <row r="2560">
      <c r="A2560" s="1"/>
      <c r="B2560" s="3" t="str">
        <f>IFERROR(__xludf.DUMMYFUNCTION("""COMPUTED_VALUE"""),"DAVID ACHMAD AFANDY")</f>
        <v>DAVID ACHMAD AFANDY</v>
      </c>
      <c r="C2560" s="3" t="str">
        <f>IFERROR(__xludf.DUMMYFUNCTION("""COMPUTED_VALUE"""),"D8825075568")</f>
        <v>D8825075568</v>
      </c>
      <c r="D2560" s="3">
        <f>IFERROR(__xludf.DUMMYFUNCTION("""COMPUTED_VALUE"""),38.0)</f>
        <v>38</v>
      </c>
      <c r="E2560" s="1"/>
    </row>
    <row r="2561">
      <c r="A2561" s="1"/>
      <c r="B2561" s="3" t="str">
        <f>IFERROR(__xludf.DUMMYFUNCTION("""COMPUTED_VALUE"""),"NURZAINI")</f>
        <v>NURZAINI</v>
      </c>
      <c r="C2561" s="3" t="str">
        <f>IFERROR(__xludf.DUMMYFUNCTION("""COMPUTED_VALUE"""),"N5125073362")</f>
        <v>N5125073362</v>
      </c>
      <c r="D2561" s="3">
        <f>IFERROR(__xludf.DUMMYFUNCTION("""COMPUTED_VALUE"""),74.0)</f>
        <v>74</v>
      </c>
      <c r="E2561" s="1"/>
    </row>
    <row r="2562">
      <c r="A2562" s="1"/>
      <c r="B2562" s="3" t="str">
        <f>IFERROR(__xludf.DUMMYFUNCTION("""COMPUTED_VALUE"""),"MARTAGUS")</f>
        <v>MARTAGUS</v>
      </c>
      <c r="C2562" s="3" t="str">
        <f>IFERROR(__xludf.DUMMYFUNCTION("""COMPUTED_VALUE"""),"M6725078307")</f>
        <v>M6725078307</v>
      </c>
      <c r="D2562" s="3">
        <f>IFERROR(__xludf.DUMMYFUNCTION("""COMPUTED_VALUE"""),58.0)</f>
        <v>58</v>
      </c>
      <c r="E2562" s="1"/>
    </row>
    <row r="2563">
      <c r="A2563" s="1"/>
      <c r="B2563" s="3" t="str">
        <f>IFERROR(__xludf.DUMMYFUNCTION("""COMPUTED_VALUE"""),"FADHILAH NUR ISLAMI MELINIA PUTRI")</f>
        <v>FADHILAH NUR ISLAMI MELINIA PUTRI</v>
      </c>
      <c r="C2563" s="3" t="str">
        <f>IFERROR(__xludf.DUMMYFUNCTION("""COMPUTED_VALUE"""),"F0025072040")</f>
        <v>F0025072040</v>
      </c>
      <c r="D2563" s="3">
        <f>IFERROR(__xludf.DUMMYFUNCTION("""COMPUTED_VALUE"""),26.0)</f>
        <v>26</v>
      </c>
      <c r="E2563" s="1"/>
    </row>
    <row r="2564">
      <c r="A2564" s="1"/>
      <c r="B2564" s="3" t="str">
        <f>IFERROR(__xludf.DUMMYFUNCTION("""COMPUTED_VALUE"""),"AZRIL FADILLAH")</f>
        <v>AZRIL FADILLAH</v>
      </c>
      <c r="C2564" s="3" t="str">
        <f>IFERROR(__xludf.DUMMYFUNCTION("""COMPUTED_VALUE"""),"A0225075588")</f>
        <v>A0225075588</v>
      </c>
      <c r="D2564" s="3">
        <f>IFERROR(__xludf.DUMMYFUNCTION("""COMPUTED_VALUE"""),24.0)</f>
        <v>24</v>
      </c>
      <c r="E2564" s="1"/>
    </row>
    <row r="2565">
      <c r="A2565" s="1"/>
      <c r="B2565" s="3" t="str">
        <f>IFERROR(__xludf.DUMMYFUNCTION("""COMPUTED_VALUE"""),"ELLISA RASIMIN")</f>
        <v>ELLISA RASIMIN</v>
      </c>
      <c r="C2565" s="3" t="str">
        <f>IFERROR(__xludf.DUMMYFUNCTION("""COMPUTED_VALUE"""),"E9325071431")</f>
        <v>E9325071431</v>
      </c>
      <c r="D2565" s="3">
        <f>IFERROR(__xludf.DUMMYFUNCTION("""COMPUTED_VALUE"""),33.0)</f>
        <v>33</v>
      </c>
      <c r="E2565" s="1"/>
    </row>
    <row r="2566">
      <c r="A2566" s="1"/>
      <c r="B2566" s="3" t="str">
        <f>IFERROR(__xludf.DUMMYFUNCTION("""COMPUTED_VALUE"""),"RENOET ARI DIKA")</f>
        <v>RENOET ARI DIKA</v>
      </c>
      <c r="C2566" s="3" t="str">
        <f>IFERROR(__xludf.DUMMYFUNCTION("""COMPUTED_VALUE"""),"R9725077594")</f>
        <v>R9725077594</v>
      </c>
      <c r="D2566" s="3">
        <f>IFERROR(__xludf.DUMMYFUNCTION("""COMPUTED_VALUE"""),29.0)</f>
        <v>29</v>
      </c>
      <c r="E2566" s="1"/>
    </row>
    <row r="2567">
      <c r="A2567" s="1"/>
      <c r="B2567" s="3" t="str">
        <f>IFERROR(__xludf.DUMMYFUNCTION("""COMPUTED_VALUE"""),"P. NENGSIH")</f>
        <v>P. NENGSIH</v>
      </c>
      <c r="C2567" s="3" t="str">
        <f>IFERROR(__xludf.DUMMYFUNCTION("""COMPUTED_VALUE"""),"P2525072448")</f>
        <v>P2525072448</v>
      </c>
      <c r="D2567" s="3">
        <f>IFERROR(__xludf.DUMMYFUNCTION("""COMPUTED_VALUE"""),0.0)</f>
        <v>0</v>
      </c>
      <c r="E2567" s="1"/>
    </row>
    <row r="2568">
      <c r="A2568" s="1"/>
      <c r="B2568" s="3" t="str">
        <f>IFERROR(__xludf.DUMMYFUNCTION("""COMPUTED_VALUE"""),"ERITA GUNAWAN")</f>
        <v>ERITA GUNAWAN</v>
      </c>
      <c r="C2568" s="3" t="str">
        <f>IFERROR(__xludf.DUMMYFUNCTION("""COMPUTED_VALUE"""),"E8025071596")</f>
        <v>E8025071596</v>
      </c>
      <c r="D2568" s="3">
        <f>IFERROR(__xludf.DUMMYFUNCTION("""COMPUTED_VALUE"""),45.0)</f>
        <v>45</v>
      </c>
      <c r="E2568" s="1"/>
    </row>
    <row r="2569">
      <c r="A2569" s="1"/>
      <c r="B2569" s="3" t="str">
        <f>IFERROR(__xludf.DUMMYFUNCTION("""COMPUTED_VALUE"""),"MICHAEL GIUSTI")</f>
        <v>MICHAEL GIUSTI</v>
      </c>
      <c r="C2569" s="3" t="str">
        <f>IFERROR(__xludf.DUMMYFUNCTION("""COMPUTED_VALUE"""),"M9525071318")</f>
        <v>M9525071318</v>
      </c>
      <c r="D2569" s="3">
        <f>IFERROR(__xludf.DUMMYFUNCTION("""COMPUTED_VALUE"""),31.0)</f>
        <v>31</v>
      </c>
      <c r="E2569" s="1"/>
    </row>
    <row r="2570">
      <c r="A2570" s="1"/>
      <c r="B2570" s="3" t="str">
        <f>IFERROR(__xludf.DUMMYFUNCTION("""COMPUTED_VALUE"""),"SOFIA MARLINA")</f>
        <v>SOFIA MARLINA</v>
      </c>
      <c r="C2570" s="3" t="str">
        <f>IFERROR(__xludf.DUMMYFUNCTION("""COMPUTED_VALUE"""),"S9525071318")</f>
        <v>S9525071318</v>
      </c>
      <c r="D2570" s="3">
        <f>IFERROR(__xludf.DUMMYFUNCTION("""COMPUTED_VALUE"""),31.0)</f>
        <v>31</v>
      </c>
      <c r="E2570" s="1"/>
    </row>
    <row r="2571">
      <c r="A2571" s="1"/>
      <c r="B2571" s="3" t="str">
        <f>IFERROR(__xludf.DUMMYFUNCTION("""COMPUTED_VALUE"""),"LIENA TJANDRA")</f>
        <v>LIENA TJANDRA</v>
      </c>
      <c r="C2571" s="3" t="str">
        <f>IFERROR(__xludf.DUMMYFUNCTION("""COMPUTED_VALUE"""),"L7225071788")</f>
        <v>L7225071788</v>
      </c>
      <c r="D2571" s="3">
        <f>IFERROR(__xludf.DUMMYFUNCTION("""COMPUTED_VALUE"""),53.0)</f>
        <v>53</v>
      </c>
      <c r="E2571" s="1"/>
    </row>
    <row r="2572">
      <c r="A2572" s="1"/>
      <c r="B2572" s="3" t="str">
        <f>IFERROR(__xludf.DUMMYFUNCTION("""COMPUTED_VALUE"""),"VIVIANTY")</f>
        <v>VIVIANTY</v>
      </c>
      <c r="C2572" s="3" t="str">
        <f>IFERROR(__xludf.DUMMYFUNCTION("""COMPUTED_VALUE"""),"V9225074870")</f>
        <v>V9225074870</v>
      </c>
      <c r="D2572" s="3">
        <f>IFERROR(__xludf.DUMMYFUNCTION("""COMPUTED_VALUE"""),33.0)</f>
        <v>33</v>
      </c>
      <c r="E2572" s="1"/>
    </row>
    <row r="2573">
      <c r="A2573" s="1"/>
      <c r="B2573" s="3" t="str">
        <f>IFERROR(__xludf.DUMMYFUNCTION("""COMPUTED_VALUE"""),"SUMITO WICAKSONO SIM")</f>
        <v>SUMITO WICAKSONO SIM</v>
      </c>
      <c r="C2573" s="3" t="str">
        <f>IFERROR(__xludf.DUMMYFUNCTION("""COMPUTED_VALUE"""),"S8825078486")</f>
        <v>S8825078486</v>
      </c>
      <c r="D2573" s="3">
        <f>IFERROR(__xludf.DUMMYFUNCTION("""COMPUTED_VALUE"""),38.0)</f>
        <v>38</v>
      </c>
      <c r="E2573" s="1"/>
    </row>
    <row r="2574">
      <c r="A2574" s="1"/>
      <c r="B2574" s="3" t="str">
        <f>IFERROR(__xludf.DUMMYFUNCTION("""COMPUTED_VALUE"""),"SALIMUN")</f>
        <v>SALIMUN</v>
      </c>
      <c r="C2574" s="3" t="str">
        <f>IFERROR(__xludf.DUMMYFUNCTION("""COMPUTED_VALUE"""),"S5725071186")</f>
        <v>S5725071186</v>
      </c>
      <c r="D2574" s="3">
        <f>IFERROR(__xludf.DUMMYFUNCTION("""COMPUTED_VALUE"""),69.0)</f>
        <v>69</v>
      </c>
      <c r="E2574" s="1"/>
    </row>
    <row r="2575">
      <c r="A2575" s="1"/>
      <c r="B2575" s="3" t="str">
        <f>IFERROR(__xludf.DUMMYFUNCTION("""COMPUTED_VALUE"""),"FILIPUS")</f>
        <v>FILIPUS</v>
      </c>
      <c r="C2575" s="3" t="str">
        <f>IFERROR(__xludf.DUMMYFUNCTION("""COMPUTED_VALUE"""),"F9125072332")</f>
        <v>F9125072332</v>
      </c>
      <c r="D2575" s="3">
        <f>IFERROR(__xludf.DUMMYFUNCTION("""COMPUTED_VALUE"""),35.0)</f>
        <v>35</v>
      </c>
      <c r="E2575" s="1"/>
    </row>
    <row r="2576">
      <c r="A2576" s="1"/>
      <c r="B2576" s="3" t="str">
        <f>IFERROR(__xludf.DUMMYFUNCTION("""COMPUTED_VALUE"""),"MUHAMMAD ZAMZAM QOMARUZZAMAN")</f>
        <v>MUHAMMAD ZAMZAM QOMARUZZAMAN</v>
      </c>
      <c r="C2576" s="3" t="str">
        <f>IFERROR(__xludf.DUMMYFUNCTION("""COMPUTED_VALUE"""),"M8925070454")</f>
        <v>M8925070454</v>
      </c>
      <c r="D2576" s="3">
        <f>IFERROR(__xludf.DUMMYFUNCTION("""COMPUTED_VALUE"""),37.0)</f>
        <v>37</v>
      </c>
      <c r="E2576" s="1"/>
    </row>
    <row r="2577">
      <c r="A2577" s="1"/>
      <c r="B2577" s="3" t="str">
        <f>IFERROR(__xludf.DUMMYFUNCTION("""COMPUTED_VALUE"""),"MOCHAMAD CHAFID")</f>
        <v>MOCHAMAD CHAFID</v>
      </c>
      <c r="C2577" s="3" t="str">
        <f>IFERROR(__xludf.DUMMYFUNCTION("""COMPUTED_VALUE"""),"M8525073410")</f>
        <v>M8525073410</v>
      </c>
      <c r="D2577" s="3">
        <f>IFERROR(__xludf.DUMMYFUNCTION("""COMPUTED_VALUE"""),40.0)</f>
        <v>40</v>
      </c>
      <c r="E2577" s="1"/>
    </row>
    <row r="2578">
      <c r="A2578" s="1"/>
      <c r="B2578" s="3" t="str">
        <f>IFERROR(__xludf.DUMMYFUNCTION("""COMPUTED_VALUE"""),"TOGARDO AMANTA")</f>
        <v>TOGARDO AMANTA</v>
      </c>
      <c r="C2578" s="3" t="str">
        <f>IFERROR(__xludf.DUMMYFUNCTION("""COMPUTED_VALUE"""),"T9725072362")</f>
        <v>T9725072362</v>
      </c>
      <c r="D2578" s="3">
        <f>IFERROR(__xludf.DUMMYFUNCTION("""COMPUTED_VALUE"""),28.0)</f>
        <v>28</v>
      </c>
      <c r="E2578" s="1"/>
    </row>
    <row r="2579">
      <c r="A2579" s="1"/>
      <c r="B2579" s="3" t="str">
        <f>IFERROR(__xludf.DUMMYFUNCTION("""COMPUTED_VALUE"""),"ERMA LESTARI")</f>
        <v>ERMA LESTARI</v>
      </c>
      <c r="C2579" s="3" t="str">
        <f>IFERROR(__xludf.DUMMYFUNCTION("""COMPUTED_VALUE"""),"E7125078890")</f>
        <v>E7125078890</v>
      </c>
      <c r="D2579" s="3">
        <f>IFERROR(__xludf.DUMMYFUNCTION("""COMPUTED_VALUE"""),54.0)</f>
        <v>54</v>
      </c>
      <c r="E2579" s="1"/>
    </row>
    <row r="2580">
      <c r="A2580" s="1"/>
      <c r="B2580" s="3" t="str">
        <f>IFERROR(__xludf.DUMMYFUNCTION("""COMPUTED_VALUE"""),"MICHAEL EVANDER")</f>
        <v>MICHAEL EVANDER</v>
      </c>
      <c r="C2580" s="3" t="str">
        <f>IFERROR(__xludf.DUMMYFUNCTION("""COMPUTED_VALUE"""),"M1225072448")</f>
        <v>M1225072448</v>
      </c>
      <c r="D2580" s="3">
        <f>IFERROR(__xludf.DUMMYFUNCTION("""COMPUTED_VALUE"""),14.0)</f>
        <v>14</v>
      </c>
      <c r="E2580" s="1"/>
    </row>
    <row r="2581">
      <c r="A2581" s="1"/>
      <c r="B2581" s="3" t="str">
        <f>IFERROR(__xludf.DUMMYFUNCTION("""COMPUTED_VALUE"""),"DANIEL CANDRA WIJAYA")</f>
        <v>DANIEL CANDRA WIJAYA</v>
      </c>
      <c r="C2581" s="3" t="str">
        <f>IFERROR(__xludf.DUMMYFUNCTION("""COMPUTED_VALUE"""),"D0625074544")</f>
        <v>D0625074544</v>
      </c>
      <c r="D2581" s="3">
        <f>IFERROR(__xludf.DUMMYFUNCTION("""COMPUTED_VALUE"""),19.0)</f>
        <v>19</v>
      </c>
      <c r="E2581" s="1"/>
    </row>
    <row r="2582">
      <c r="A2582" s="1"/>
      <c r="B2582" s="3" t="str">
        <f>IFERROR(__xludf.DUMMYFUNCTION("""COMPUTED_VALUE"""),"LISA PUJI UTAMI")</f>
        <v>LISA PUJI UTAMI</v>
      </c>
      <c r="C2582" s="3" t="str">
        <f>IFERROR(__xludf.DUMMYFUNCTION("""COMPUTED_VALUE"""),"L9425074540")</f>
        <v>L9425074540</v>
      </c>
      <c r="D2582" s="3">
        <f>IFERROR(__xludf.DUMMYFUNCTION("""COMPUTED_VALUE"""),31.0)</f>
        <v>31</v>
      </c>
      <c r="E2582" s="1"/>
    </row>
    <row r="2583">
      <c r="A2583" s="1"/>
      <c r="B2583" s="3" t="str">
        <f>IFERROR(__xludf.DUMMYFUNCTION("""COMPUTED_VALUE"""),"RUDI ABDI")</f>
        <v>RUDI ABDI</v>
      </c>
      <c r="C2583" s="3" t="str">
        <f>IFERROR(__xludf.DUMMYFUNCTION("""COMPUTED_VALUE"""),"R7925075957")</f>
        <v>R7925075957</v>
      </c>
      <c r="D2583" s="3">
        <f>IFERROR(__xludf.DUMMYFUNCTION("""COMPUTED_VALUE"""),47.0)</f>
        <v>47</v>
      </c>
      <c r="E2583" s="1"/>
    </row>
    <row r="2584">
      <c r="A2584" s="1"/>
      <c r="B2584" s="3" t="str">
        <f>IFERROR(__xludf.DUMMYFUNCTION("""COMPUTED_VALUE"""),"CAROLINA")</f>
        <v>CAROLINA</v>
      </c>
      <c r="C2584" s="3" t="str">
        <f>IFERROR(__xludf.DUMMYFUNCTION("""COMPUTED_VALUE"""),"C8825079359")</f>
        <v>C8825079359</v>
      </c>
      <c r="D2584" s="3">
        <f>IFERROR(__xludf.DUMMYFUNCTION("""COMPUTED_VALUE"""),37.0)</f>
        <v>37</v>
      </c>
      <c r="E2584" s="1"/>
    </row>
    <row r="2585">
      <c r="A2585" s="1"/>
      <c r="B2585" s="3" t="str">
        <f>IFERROR(__xludf.DUMMYFUNCTION("""COMPUTED_VALUE"""),"STEFANI")</f>
        <v>STEFANI</v>
      </c>
      <c r="C2585" s="3" t="str">
        <f>IFERROR(__xludf.DUMMYFUNCTION("""COMPUTED_VALUE"""),"S9425079998")</f>
        <v>S9425079998</v>
      </c>
      <c r="D2585" s="3">
        <f>IFERROR(__xludf.DUMMYFUNCTION("""COMPUTED_VALUE"""),31.0)</f>
        <v>31</v>
      </c>
      <c r="E2585" s="1"/>
    </row>
    <row r="2586">
      <c r="A2586" s="1"/>
      <c r="B2586" s="3" t="str">
        <f>IFERROR(__xludf.DUMMYFUNCTION("""COMPUTED_VALUE"""),"SUKARDI. SH MM")</f>
        <v>SUKARDI. SH MM</v>
      </c>
      <c r="C2586" s="3" t="str">
        <f>IFERROR(__xludf.DUMMYFUNCTION("""COMPUTED_VALUE"""),"S732507")</f>
        <v>S732507</v>
      </c>
      <c r="D2586" s="3">
        <f>IFERROR(__xludf.DUMMYFUNCTION("""COMPUTED_VALUE"""),52.0)</f>
        <v>52</v>
      </c>
      <c r="E2586" s="1"/>
    </row>
    <row r="2587">
      <c r="A2587" s="1"/>
      <c r="B2587" s="3" t="str">
        <f>IFERROR(__xludf.DUMMYFUNCTION("""COMPUTED_VALUE"""),"OLYVIA NUR AFIANI")</f>
        <v>OLYVIA NUR AFIANI</v>
      </c>
      <c r="C2587" s="3" t="str">
        <f>IFERROR(__xludf.DUMMYFUNCTION("""COMPUTED_VALUE"""),"O9625078188")</f>
        <v>O9625078188</v>
      </c>
      <c r="D2587" s="3">
        <f>IFERROR(__xludf.DUMMYFUNCTION("""COMPUTED_VALUE"""),29.0)</f>
        <v>29</v>
      </c>
      <c r="E2587" s="1"/>
    </row>
    <row r="2588">
      <c r="A2588" s="1"/>
      <c r="B2588" s="3" t="str">
        <f>IFERROR(__xludf.DUMMYFUNCTION("""COMPUTED_VALUE"""),"SHEREN WIYONA")</f>
        <v>SHEREN WIYONA</v>
      </c>
      <c r="C2588" s="3" t="str">
        <f>IFERROR(__xludf.DUMMYFUNCTION("""COMPUTED_VALUE"""),"S0225076469")</f>
        <v>S0225076469</v>
      </c>
      <c r="D2588" s="3">
        <f>IFERROR(__xludf.DUMMYFUNCTION("""COMPUTED_VALUE"""),23.0)</f>
        <v>23</v>
      </c>
      <c r="E2588" s="1"/>
    </row>
    <row r="2589">
      <c r="A2589" s="1"/>
      <c r="B2589" s="3" t="str">
        <f>IFERROR(__xludf.DUMMYFUNCTION("""COMPUTED_VALUE"""),"OKTAVIANUS LIO")</f>
        <v>OKTAVIANUS LIO</v>
      </c>
      <c r="C2589" s="3" t="str">
        <f>IFERROR(__xludf.DUMMYFUNCTION("""COMPUTED_VALUE"""),"O9525075555")</f>
        <v>O9525075555</v>
      </c>
      <c r="D2589" s="3">
        <f>IFERROR(__xludf.DUMMYFUNCTION("""COMPUTED_VALUE"""),30.0)</f>
        <v>30</v>
      </c>
      <c r="E2589" s="1"/>
    </row>
    <row r="2590">
      <c r="A2590" s="1"/>
      <c r="B2590" s="3" t="str">
        <f>IFERROR(__xludf.DUMMYFUNCTION("""COMPUTED_VALUE"""),"MERRY")</f>
        <v>MERRY</v>
      </c>
      <c r="C2590" s="3" t="str">
        <f>IFERROR(__xludf.DUMMYFUNCTION("""COMPUTED_VALUE"""),"M7625071479")</f>
        <v>M7625071479</v>
      </c>
      <c r="D2590" s="3">
        <f>IFERROR(__xludf.DUMMYFUNCTION("""COMPUTED_VALUE"""),50.0)</f>
        <v>50</v>
      </c>
      <c r="E2590" s="1"/>
    </row>
    <row r="2591">
      <c r="A2591" s="1"/>
      <c r="B2591" s="3" t="str">
        <f>IFERROR(__xludf.DUMMYFUNCTION("""COMPUTED_VALUE"""),"ISYAK BOY LASIMAY MAIFA")</f>
        <v>ISYAK BOY LASIMAY MAIFA</v>
      </c>
      <c r="C2591" s="3" t="str">
        <f>IFERROR(__xludf.DUMMYFUNCTION("""COMPUTED_VALUE"""),"I8825076284")</f>
        <v>I8825076284</v>
      </c>
      <c r="D2591" s="3">
        <f>IFERROR(__xludf.DUMMYFUNCTION("""COMPUTED_VALUE"""),38.0)</f>
        <v>38</v>
      </c>
      <c r="E2591" s="1"/>
    </row>
    <row r="2592">
      <c r="A2592" s="1"/>
      <c r="B2592" s="3" t="str">
        <f>IFERROR(__xludf.DUMMYFUNCTION("""COMPUTED_VALUE"""),"AFIF REFFYANDI")</f>
        <v>AFIF REFFYANDI</v>
      </c>
      <c r="C2592" s="3" t="str">
        <f>IFERROR(__xludf.DUMMYFUNCTION("""COMPUTED_VALUE"""),"A8725072306")</f>
        <v>A8725072306</v>
      </c>
      <c r="D2592" s="3">
        <f>IFERROR(__xludf.DUMMYFUNCTION("""COMPUTED_VALUE"""),38.0)</f>
        <v>38</v>
      </c>
      <c r="E2592" s="1"/>
    </row>
    <row r="2593">
      <c r="A2593" s="1"/>
      <c r="B2593" s="3" t="str">
        <f>IFERROR(__xludf.DUMMYFUNCTION("""COMPUTED_VALUE"""),"MUHAMMAD FITHRAH AQBILLAH")</f>
        <v>MUHAMMAD FITHRAH AQBILLAH</v>
      </c>
      <c r="C2593" s="3" t="str">
        <f>IFERROR(__xludf.DUMMYFUNCTION("""COMPUTED_VALUE"""),"M9825072499")</f>
        <v>M9825072499</v>
      </c>
      <c r="D2593" s="3">
        <f>IFERROR(__xludf.DUMMYFUNCTION("""COMPUTED_VALUE"""),28.0)</f>
        <v>28</v>
      </c>
      <c r="E2593" s="1"/>
    </row>
    <row r="2594">
      <c r="A2594" s="1"/>
      <c r="B2594" s="3" t="str">
        <f>IFERROR(__xludf.DUMMYFUNCTION("""COMPUTED_VALUE"""),"HENDRI 9205")</f>
        <v>HENDRI 9205</v>
      </c>
      <c r="C2594" s="3" t="str">
        <f>IFERROR(__xludf.DUMMYFUNCTION("""COMPUTED_VALUE"""),"H9225079902")</f>
        <v>H9225079902</v>
      </c>
      <c r="D2594" s="3">
        <f>IFERROR(__xludf.DUMMYFUNCTION("""COMPUTED_VALUE"""),34.0)</f>
        <v>34</v>
      </c>
      <c r="E2594" s="1"/>
    </row>
    <row r="2595">
      <c r="A2595" s="1"/>
      <c r="B2595" s="3" t="str">
        <f>IFERROR(__xludf.DUMMYFUNCTION("""COMPUTED_VALUE"""),"MELLYANI")</f>
        <v>MELLYANI</v>
      </c>
      <c r="C2595" s="3" t="str">
        <f>IFERROR(__xludf.DUMMYFUNCTION("""COMPUTED_VALUE"""),"M0125072047")</f>
        <v>M0125072047</v>
      </c>
      <c r="D2595" s="3">
        <f>IFERROR(__xludf.DUMMYFUNCTION("""COMPUTED_VALUE"""),24.0)</f>
        <v>24</v>
      </c>
      <c r="E2595" s="1"/>
    </row>
    <row r="2596">
      <c r="A2596" s="1"/>
      <c r="B2596" s="3" t="str">
        <f>IFERROR(__xludf.DUMMYFUNCTION("""COMPUTED_VALUE"""),"JAYANTA")</f>
        <v>JAYANTA</v>
      </c>
      <c r="C2596" s="3" t="str">
        <f>IFERROR(__xludf.DUMMYFUNCTION("""COMPUTED_VALUE"""),"J7825070033")</f>
        <v>J7825070033</v>
      </c>
      <c r="D2596" s="3">
        <f>IFERROR(__xludf.DUMMYFUNCTION("""COMPUTED_VALUE"""),48.0)</f>
        <v>48</v>
      </c>
      <c r="E2596" s="1"/>
    </row>
    <row r="2597">
      <c r="A2597" s="1"/>
      <c r="B2597" s="3" t="str">
        <f>IFERROR(__xludf.DUMMYFUNCTION("""COMPUTED_VALUE"""),"TANIA 0202")</f>
        <v>TANIA 0202</v>
      </c>
      <c r="C2597" s="3" t="str">
        <f>IFERROR(__xludf.DUMMYFUNCTION("""COMPUTED_VALUE"""),"T0225078504")</f>
        <v>T0225078504</v>
      </c>
      <c r="D2597" s="3">
        <f>IFERROR(__xludf.DUMMYFUNCTION("""COMPUTED_VALUE"""),24.0)</f>
        <v>24</v>
      </c>
      <c r="E2597" s="1"/>
    </row>
    <row r="2598">
      <c r="A2598" s="1"/>
      <c r="B2598" s="3" t="str">
        <f>IFERROR(__xludf.DUMMYFUNCTION("""COMPUTED_VALUE"""),"BUDI SANTOSO")</f>
        <v>BUDI SANTOSO</v>
      </c>
      <c r="C2598" s="3" t="str">
        <f>IFERROR(__xludf.DUMMYFUNCTION("""COMPUTED_VALUE"""),"B9025074942")</f>
        <v>B9025074942</v>
      </c>
      <c r="D2598" s="3">
        <f>IFERROR(__xludf.DUMMYFUNCTION("""COMPUTED_VALUE"""),35.0)</f>
        <v>35</v>
      </c>
      <c r="E2598" s="1"/>
    </row>
    <row r="2599">
      <c r="A2599" s="1"/>
      <c r="B2599" s="3" t="str">
        <f>IFERROR(__xludf.DUMMYFUNCTION("""COMPUTED_VALUE"""),"SURYATI UMAYAH")</f>
        <v>SURYATI UMAYAH</v>
      </c>
      <c r="C2599" s="3" t="str">
        <f>IFERROR(__xludf.DUMMYFUNCTION("""COMPUTED_VALUE"""),"S5925076211")</f>
        <v>S5925076211</v>
      </c>
      <c r="D2599" s="3">
        <f>IFERROR(__xludf.DUMMYFUNCTION("""COMPUTED_VALUE"""),67.0)</f>
        <v>67</v>
      </c>
      <c r="E2599" s="1"/>
    </row>
    <row r="2600">
      <c r="A2600" s="1"/>
      <c r="B2600" s="3" t="str">
        <f>IFERROR(__xludf.DUMMYFUNCTION("""COMPUTED_VALUE"""),"HILDA AZKIYA")</f>
        <v>HILDA AZKIYA</v>
      </c>
      <c r="C2600" s="3" t="str">
        <f>IFERROR(__xludf.DUMMYFUNCTION("""COMPUTED_VALUE"""),"H9225070708")</f>
        <v>H9225070708</v>
      </c>
      <c r="D2600" s="3">
        <f>IFERROR(__xludf.DUMMYFUNCTION("""COMPUTED_VALUE"""),33.0)</f>
        <v>33</v>
      </c>
      <c r="E2600" s="1"/>
    </row>
    <row r="2601">
      <c r="A2601" s="1"/>
      <c r="B2601" s="3" t="str">
        <f>IFERROR(__xludf.DUMMYFUNCTION("""COMPUTED_VALUE"""),"JUNAIDI")</f>
        <v>JUNAIDI</v>
      </c>
      <c r="C2601" s="3" t="str">
        <f>IFERROR(__xludf.DUMMYFUNCTION("""COMPUTED_VALUE"""),"J7125077595")</f>
        <v>J7125077595</v>
      </c>
      <c r="D2601" s="3">
        <f>IFERROR(__xludf.DUMMYFUNCTION("""COMPUTED_VALUE"""),55.0)</f>
        <v>55</v>
      </c>
      <c r="E2601" s="1"/>
    </row>
    <row r="2602">
      <c r="A2602" s="1"/>
      <c r="B2602" s="3" t="str">
        <f>IFERROR(__xludf.DUMMYFUNCTION("""COMPUTED_VALUE"""),"YULIANTI 8707")</f>
        <v>YULIANTI 8707</v>
      </c>
      <c r="C2602" s="3" t="str">
        <f>IFERROR(__xludf.DUMMYFUNCTION("""COMPUTED_VALUE"""),"Y8725078318")</f>
        <v>Y8725078318</v>
      </c>
      <c r="D2602" s="3">
        <f>IFERROR(__xludf.DUMMYFUNCTION("""COMPUTED_VALUE"""),38.0)</f>
        <v>38</v>
      </c>
      <c r="E2602" s="1"/>
    </row>
    <row r="2603">
      <c r="A2603" s="1"/>
      <c r="B2603" s="3" t="str">
        <f>IFERROR(__xludf.DUMMYFUNCTION("""COMPUTED_VALUE"""),"RAKA MALDINI B")</f>
        <v>RAKA MALDINI B</v>
      </c>
      <c r="C2603" s="3" t="str">
        <f>IFERROR(__xludf.DUMMYFUNCTION("""COMPUTED_VALUE"""),"R0225070099")</f>
        <v>R0225070099</v>
      </c>
      <c r="D2603" s="3">
        <f>IFERROR(__xludf.DUMMYFUNCTION("""COMPUTED_VALUE"""),24.0)</f>
        <v>24</v>
      </c>
      <c r="E2603" s="1"/>
    </row>
    <row r="2604">
      <c r="A2604" s="1"/>
      <c r="B2604" s="3" t="str">
        <f>IFERROR(__xludf.DUMMYFUNCTION("""COMPUTED_VALUE"""),"ELLEN ARIFIN")</f>
        <v>ELLEN ARIFIN</v>
      </c>
      <c r="C2604" s="3" t="str">
        <f>IFERROR(__xludf.DUMMYFUNCTION("""COMPUTED_VALUE"""),"E8925075615")</f>
        <v>E8925075615</v>
      </c>
      <c r="D2604" s="3">
        <f>IFERROR(__xludf.DUMMYFUNCTION("""COMPUTED_VALUE"""),36.0)</f>
        <v>36</v>
      </c>
      <c r="E2604" s="1"/>
    </row>
    <row r="2605">
      <c r="A2605" s="1"/>
      <c r="B2605" s="3" t="str">
        <f>IFERROR(__xludf.DUMMYFUNCTION("""COMPUTED_VALUE"""),"RIKA RIYANTI")</f>
        <v>RIKA RIYANTI</v>
      </c>
      <c r="C2605" s="3" t="str">
        <f>IFERROR(__xludf.DUMMYFUNCTION("""COMPUTED_VALUE"""),"R9225072190")</f>
        <v>R9225072190</v>
      </c>
      <c r="D2605" s="3">
        <f>IFERROR(__xludf.DUMMYFUNCTION("""COMPUTED_VALUE"""),34.0)</f>
        <v>34</v>
      </c>
      <c r="E2605" s="1"/>
    </row>
    <row r="2606">
      <c r="A2606" s="1"/>
      <c r="B2606" s="3" t="str">
        <f>IFERROR(__xludf.DUMMYFUNCTION("""COMPUTED_VALUE"""),"JULIANTO 9007")</f>
        <v>JULIANTO 9007</v>
      </c>
      <c r="C2606" s="3" t="str">
        <f>IFERROR(__xludf.DUMMYFUNCTION("""COMPUTED_VALUE"""),"J9025070228")</f>
        <v>J9025070228</v>
      </c>
      <c r="D2606" s="3">
        <f>IFERROR(__xludf.DUMMYFUNCTION("""COMPUTED_VALUE"""),35.0)</f>
        <v>35</v>
      </c>
      <c r="E2606" s="1"/>
    </row>
    <row r="2607">
      <c r="A2607" s="1"/>
      <c r="B2607" s="3" t="str">
        <f>IFERROR(__xludf.DUMMYFUNCTION("""COMPUTED_VALUE"""),"RIVHANI JUNYANDARI")</f>
        <v>RIVHANI JUNYANDARI</v>
      </c>
      <c r="C2607" s="3" t="str">
        <f>IFERROR(__xludf.DUMMYFUNCTION("""COMPUTED_VALUE"""),"R8925076962")</f>
        <v>R8925076962</v>
      </c>
      <c r="D2607" s="3">
        <f>IFERROR(__xludf.DUMMYFUNCTION("""COMPUTED_VALUE"""),37.0)</f>
        <v>37</v>
      </c>
      <c r="E2607" s="1"/>
    </row>
    <row r="2608">
      <c r="A2608" s="1"/>
      <c r="B2608" s="3" t="str">
        <f>IFERROR(__xludf.DUMMYFUNCTION("""COMPUTED_VALUE"""),"EVELYN")</f>
        <v>EVELYN</v>
      </c>
      <c r="C2608" s="3" t="str">
        <f>IFERROR(__xludf.DUMMYFUNCTION("""COMPUTED_VALUE"""),"E9225074142")</f>
        <v>E9225074142</v>
      </c>
      <c r="D2608" s="3">
        <f>IFERROR(__xludf.DUMMYFUNCTION("""COMPUTED_VALUE"""),33.0)</f>
        <v>33</v>
      </c>
      <c r="E2608" s="1"/>
    </row>
    <row r="2609">
      <c r="A2609" s="1"/>
      <c r="B2609" s="3" t="str">
        <f>IFERROR(__xludf.DUMMYFUNCTION("""COMPUTED_VALUE"""),"AGUNG MULYONO PUTRA")</f>
        <v>AGUNG MULYONO PUTRA</v>
      </c>
      <c r="C2609" s="3" t="str">
        <f>IFERROR(__xludf.DUMMYFUNCTION("""COMPUTED_VALUE"""),"A0125076474")</f>
        <v>A0125076474</v>
      </c>
      <c r="D2609" s="3">
        <f>IFERROR(__xludf.DUMMYFUNCTION("""COMPUTED_VALUE"""),25.0)</f>
        <v>25</v>
      </c>
      <c r="E2609" s="1"/>
    </row>
    <row r="2610">
      <c r="A2610" s="1"/>
      <c r="B2610" s="3" t="str">
        <f>IFERROR(__xludf.DUMMYFUNCTION("""COMPUTED_VALUE"""),"MARSALENA")</f>
        <v>MARSALENA</v>
      </c>
      <c r="C2610" s="3" t="str">
        <f>IFERROR(__xludf.DUMMYFUNCTION("""COMPUTED_VALUE"""),"M7125075867")</f>
        <v>M7125075867</v>
      </c>
      <c r="D2610" s="3">
        <f>IFERROR(__xludf.DUMMYFUNCTION("""COMPUTED_VALUE"""),54.0)</f>
        <v>54</v>
      </c>
      <c r="E2610" s="1"/>
    </row>
    <row r="2611">
      <c r="A2611" s="1"/>
      <c r="B2611" s="3" t="str">
        <f>IFERROR(__xludf.DUMMYFUNCTION("""COMPUTED_VALUE"""),"DANIEL PRANATA LIM")</f>
        <v>DANIEL PRANATA LIM</v>
      </c>
      <c r="C2611" s="3" t="str">
        <f>IFERROR(__xludf.DUMMYFUNCTION("""COMPUTED_VALUE"""),"D9325075655")</f>
        <v>D9325075655</v>
      </c>
      <c r="D2611" s="3">
        <f>IFERROR(__xludf.DUMMYFUNCTION("""COMPUTED_VALUE"""),33.0)</f>
        <v>33</v>
      </c>
      <c r="E2611" s="1"/>
    </row>
    <row r="2612">
      <c r="A2612" s="1"/>
      <c r="B2612" s="3" t="str">
        <f>IFERROR(__xludf.DUMMYFUNCTION("""COMPUTED_VALUE"""),"RAHMAD FADILAH")</f>
        <v>RAHMAD FADILAH</v>
      </c>
      <c r="C2612" s="3" t="str">
        <f>IFERROR(__xludf.DUMMYFUNCTION("""COMPUTED_VALUE"""),"R0125079414")</f>
        <v>R0125079414</v>
      </c>
      <c r="D2612" s="3">
        <f>IFERROR(__xludf.DUMMYFUNCTION("""COMPUTED_VALUE"""),24.0)</f>
        <v>24</v>
      </c>
      <c r="E2612" s="1"/>
    </row>
    <row r="2613">
      <c r="A2613" s="1"/>
      <c r="B2613" s="3" t="str">
        <f>IFERROR(__xludf.DUMMYFUNCTION("""COMPUTED_VALUE"""),"ANNA ROSIYANTI")</f>
        <v>ANNA ROSIYANTI</v>
      </c>
      <c r="C2613" s="3" t="str">
        <f>IFERROR(__xludf.DUMMYFUNCTION("""COMPUTED_VALUE"""),"A6625072226")</f>
        <v>A6625072226</v>
      </c>
      <c r="D2613" s="3">
        <f>IFERROR(__xludf.DUMMYFUNCTION("""COMPUTED_VALUE"""),60.0)</f>
        <v>60</v>
      </c>
      <c r="E2613" s="1"/>
    </row>
    <row r="2614">
      <c r="A2614" s="1"/>
      <c r="B2614" s="3" t="str">
        <f>IFERROR(__xludf.DUMMYFUNCTION("""COMPUTED_VALUE"""),"URAY DJAHARANI")</f>
        <v>URAY DJAHARANI</v>
      </c>
      <c r="C2614" s="3" t="str">
        <f>IFERROR(__xludf.DUMMYFUNCTION("""COMPUTED_VALUE"""),"U6025070873")</f>
        <v>U6025070873</v>
      </c>
      <c r="D2614" s="3">
        <f>IFERROR(__xludf.DUMMYFUNCTION("""COMPUTED_VALUE"""),66.0)</f>
        <v>66</v>
      </c>
      <c r="E2614" s="1"/>
    </row>
    <row r="2615">
      <c r="A2615" s="1"/>
      <c r="B2615" s="3" t="str">
        <f>IFERROR(__xludf.DUMMYFUNCTION("""COMPUTED_VALUE"""),"SUWARNI")</f>
        <v>SUWARNI</v>
      </c>
      <c r="C2615" s="3" t="str">
        <f>IFERROR(__xludf.DUMMYFUNCTION("""COMPUTED_VALUE"""),"S6225076415")</f>
        <v>S6225076415</v>
      </c>
      <c r="D2615" s="3">
        <f>IFERROR(__xludf.DUMMYFUNCTION("""COMPUTED_VALUE"""),64.0)</f>
        <v>64</v>
      </c>
      <c r="E2615" s="1"/>
    </row>
    <row r="2616">
      <c r="A2616" s="1"/>
      <c r="B2616" s="3" t="str">
        <f>IFERROR(__xludf.DUMMYFUNCTION("""COMPUTED_VALUE"""),"SELVIA RATNA SARIWEDI")</f>
        <v>SELVIA RATNA SARIWEDI</v>
      </c>
      <c r="C2616" s="3" t="str">
        <f>IFERROR(__xludf.DUMMYFUNCTION("""COMPUTED_VALUE"""),"S4525075406")</f>
        <v>S4525075406</v>
      </c>
      <c r="D2616" s="3">
        <f>IFERROR(__xludf.DUMMYFUNCTION("""COMPUTED_VALUE"""),80.0)</f>
        <v>80</v>
      </c>
      <c r="E2616" s="1"/>
    </row>
    <row r="2617">
      <c r="A2617" s="1"/>
      <c r="B2617" s="3" t="str">
        <f>IFERROR(__xludf.DUMMYFUNCTION("""COMPUTED_VALUE"""),"VERA WARAWATY")</f>
        <v>VERA WARAWATY</v>
      </c>
      <c r="C2617" s="3" t="str">
        <f>IFERROR(__xludf.DUMMYFUNCTION("""COMPUTED_VALUE"""),"V8025076847")</f>
        <v>V8025076847</v>
      </c>
      <c r="D2617" s="3">
        <f>IFERROR(__xludf.DUMMYFUNCTION("""COMPUTED_VALUE"""),46.0)</f>
        <v>46</v>
      </c>
      <c r="E2617" s="1"/>
    </row>
    <row r="2618">
      <c r="A2618" s="1"/>
      <c r="B2618" s="3" t="str">
        <f>IFERROR(__xludf.DUMMYFUNCTION("""COMPUTED_VALUE"""),"JONI")</f>
        <v>JONI</v>
      </c>
      <c r="C2618" s="3" t="str">
        <f>IFERROR(__xludf.DUMMYFUNCTION("""COMPUTED_VALUE"""),"J7725076552")</f>
        <v>J7725076552</v>
      </c>
      <c r="D2618" s="3">
        <f>IFERROR(__xludf.DUMMYFUNCTION("""COMPUTED_VALUE"""),48.0)</f>
        <v>48</v>
      </c>
      <c r="E2618" s="1"/>
    </row>
    <row r="2619">
      <c r="A2619" s="1"/>
      <c r="B2619" s="3" t="str">
        <f>IFERROR(__xludf.DUMMYFUNCTION("""COMPUTED_VALUE"""),"MIKTAMI CHRISTOFEN TANG")</f>
        <v>MIKTAMI CHRISTOFEN TANG</v>
      </c>
      <c r="C2619" s="3" t="str">
        <f>IFERROR(__xludf.DUMMYFUNCTION("""COMPUTED_VALUE"""),"M9525072439")</f>
        <v>M9525072439</v>
      </c>
      <c r="D2619" s="3">
        <f>IFERROR(__xludf.DUMMYFUNCTION("""COMPUTED_VALUE"""),31.0)</f>
        <v>31</v>
      </c>
      <c r="E2619" s="1"/>
    </row>
    <row r="2620">
      <c r="A2620" s="1"/>
      <c r="B2620" s="3" t="str">
        <f>IFERROR(__xludf.DUMMYFUNCTION("""COMPUTED_VALUE"""),"MARZUKI")</f>
        <v>MARZUKI</v>
      </c>
      <c r="C2620" s="3" t="str">
        <f>IFERROR(__xludf.DUMMYFUNCTION("""COMPUTED_VALUE"""),"M6425072111")</f>
        <v>M6425072111</v>
      </c>
      <c r="D2620" s="3">
        <f>IFERROR(__xludf.DUMMYFUNCTION("""COMPUTED_VALUE"""),61.0)</f>
        <v>61</v>
      </c>
      <c r="E2620" s="1"/>
    </row>
    <row r="2621">
      <c r="A2621" s="1"/>
      <c r="B2621" s="3" t="str">
        <f>IFERROR(__xludf.DUMMYFUNCTION("""COMPUTED_VALUE"""),"SALIMAN")</f>
        <v>SALIMAN</v>
      </c>
      <c r="C2621" s="3" t="str">
        <f>IFERROR(__xludf.DUMMYFUNCTION("""COMPUTED_VALUE"""),"S7425075731")</f>
        <v>S7425075731</v>
      </c>
      <c r="D2621" s="3">
        <f>IFERROR(__xludf.DUMMYFUNCTION("""COMPUTED_VALUE"""),52.0)</f>
        <v>52</v>
      </c>
      <c r="E2621" s="1"/>
    </row>
    <row r="2622">
      <c r="A2622" s="1"/>
      <c r="B2622" s="3" t="str">
        <f>IFERROR(__xludf.DUMMYFUNCTION("""COMPUTED_VALUE"""),"M. NUR")</f>
        <v>M. NUR</v>
      </c>
      <c r="C2622" s="3" t="str">
        <f>IFERROR(__xludf.DUMMYFUNCTION("""COMPUTED_VALUE"""),"M5625071964")</f>
        <v>M5625071964</v>
      </c>
      <c r="D2622" s="3">
        <f>IFERROR(__xludf.DUMMYFUNCTION("""COMPUTED_VALUE"""),69.0)</f>
        <v>69</v>
      </c>
      <c r="E2622" s="1"/>
    </row>
    <row r="2623">
      <c r="A2623" s="1"/>
      <c r="B2623" s="3" t="str">
        <f>IFERROR(__xludf.DUMMYFUNCTION("""COMPUTED_VALUE"""),"KURNIYAWATI")</f>
        <v>KURNIYAWATI</v>
      </c>
      <c r="C2623" s="3" t="str">
        <f>IFERROR(__xludf.DUMMYFUNCTION("""COMPUTED_VALUE"""),"K0325071771")</f>
        <v>K0325071771</v>
      </c>
      <c r="D2623" s="3">
        <f>IFERROR(__xludf.DUMMYFUNCTION("""COMPUTED_VALUE"""),22.0)</f>
        <v>22</v>
      </c>
      <c r="E2623" s="1"/>
    </row>
    <row r="2624">
      <c r="A2624" s="1"/>
      <c r="B2624" s="3" t="str">
        <f>IFERROR(__xludf.DUMMYFUNCTION("""COMPUTED_VALUE"""),"ILHAM MUTTAKIN")</f>
        <v>ILHAM MUTTAKIN</v>
      </c>
      <c r="C2624" s="3" t="str">
        <f>IFERROR(__xludf.DUMMYFUNCTION("""COMPUTED_VALUE"""),"I9925074687")</f>
        <v>I9925074687</v>
      </c>
      <c r="D2624" s="3">
        <f>IFERROR(__xludf.DUMMYFUNCTION("""COMPUTED_VALUE"""),26.0)</f>
        <v>26</v>
      </c>
      <c r="E2624" s="1"/>
    </row>
    <row r="2625">
      <c r="A2625" s="1"/>
      <c r="B2625" s="3" t="str">
        <f>IFERROR(__xludf.DUMMYFUNCTION("""COMPUTED_VALUE"""),"FAJAR RIYANTO")</f>
        <v>FAJAR RIYANTO</v>
      </c>
      <c r="C2625" s="3" t="str">
        <f>IFERROR(__xludf.DUMMYFUNCTION("""COMPUTED_VALUE"""),"F8425079993")</f>
        <v>F8425079993</v>
      </c>
      <c r="D2625" s="3">
        <f>IFERROR(__xludf.DUMMYFUNCTION("""COMPUTED_VALUE"""),41.0)</f>
        <v>41</v>
      </c>
      <c r="E2625" s="1"/>
    </row>
    <row r="2626">
      <c r="A2626" s="1"/>
      <c r="B2626" s="3" t="str">
        <f>IFERROR(__xludf.DUMMYFUNCTION("""COMPUTED_VALUE"""),"NURHASIAH")</f>
        <v>NURHASIAH</v>
      </c>
      <c r="C2626" s="3" t="str">
        <f>IFERROR(__xludf.DUMMYFUNCTION("""COMPUTED_VALUE"""),"N5525070477")</f>
        <v>N5525070477</v>
      </c>
      <c r="D2626" s="3">
        <f>IFERROR(__xludf.DUMMYFUNCTION("""COMPUTED_VALUE"""),71.0)</f>
        <v>71</v>
      </c>
      <c r="E2626" s="1"/>
    </row>
    <row r="2627">
      <c r="A2627" s="1"/>
      <c r="B2627" s="3" t="str">
        <f>IFERROR(__xludf.DUMMYFUNCTION("""COMPUTED_VALUE"""),"NELLY MARLINA AMD.KG")</f>
        <v>NELLY MARLINA AMD.KG</v>
      </c>
      <c r="C2627" s="3" t="str">
        <f>IFERROR(__xludf.DUMMYFUNCTION("""COMPUTED_VALUE"""),"N7725070477")</f>
        <v>N7725070477</v>
      </c>
      <c r="D2627" s="3">
        <f>IFERROR(__xludf.DUMMYFUNCTION("""COMPUTED_VALUE"""),49.0)</f>
        <v>49</v>
      </c>
      <c r="E2627" s="1"/>
    </row>
    <row r="2628">
      <c r="A2628" s="1"/>
      <c r="B2628" s="3" t="str">
        <f>IFERROR(__xludf.DUMMYFUNCTION("""COMPUTED_VALUE"""),"SRI YULI ASTUTI")</f>
        <v>SRI YULI ASTUTI</v>
      </c>
      <c r="C2628" s="3" t="str">
        <f>IFERROR(__xludf.DUMMYFUNCTION("""COMPUTED_VALUE"""),"S7225076622")</f>
        <v>S7225076622</v>
      </c>
      <c r="D2628" s="3">
        <f>IFERROR(__xludf.DUMMYFUNCTION("""COMPUTED_VALUE"""),53.0)</f>
        <v>53</v>
      </c>
      <c r="E2628" s="1"/>
    </row>
    <row r="2629">
      <c r="A2629" s="1"/>
      <c r="B2629" s="3" t="str">
        <f>IFERROR(__xludf.DUMMYFUNCTION("""COMPUTED_VALUE"""),"RICHARD HAMONANGAN SAMOSIR")</f>
        <v>RICHARD HAMONANGAN SAMOSIR</v>
      </c>
      <c r="C2629" s="3" t="str">
        <f>IFERROR(__xludf.DUMMYFUNCTION("""COMPUTED_VALUE"""),"R0425076187")</f>
        <v>R0425076187</v>
      </c>
      <c r="D2629" s="3">
        <f>IFERROR(__xludf.DUMMYFUNCTION("""COMPUTED_VALUE"""),22.0)</f>
        <v>22</v>
      </c>
      <c r="E2629" s="1"/>
    </row>
    <row r="2630">
      <c r="A2630" s="1"/>
      <c r="B2630" s="3" t="str">
        <f>IFERROR(__xludf.DUMMYFUNCTION("""COMPUTED_VALUE"""),"IMMANUEL STEVE HASIHOLAN LUMBANTORUAN")</f>
        <v>IMMANUEL STEVE HASIHOLAN LUMBANTORUAN</v>
      </c>
      <c r="C2630" s="3" t="str">
        <f>IFERROR(__xludf.DUMMYFUNCTION("""COMPUTED_VALUE"""),"I0325070012")</f>
        <v>I0325070012</v>
      </c>
      <c r="D2630" s="3">
        <f>IFERROR(__xludf.DUMMYFUNCTION("""COMPUTED_VALUE"""),23.0)</f>
        <v>23</v>
      </c>
      <c r="E2630" s="1"/>
    </row>
    <row r="2631">
      <c r="A2631" s="1"/>
      <c r="B2631" s="3" t="str">
        <f>IFERROR(__xludf.DUMMYFUNCTION("""COMPUTED_VALUE"""),"MEMBER RADIT")</f>
        <v>MEMBER RADIT</v>
      </c>
      <c r="C2631" s="3" t="str">
        <f>IFERROR(__xludf.DUMMYFUNCTION("""COMPUTED_VALUE"""),"M2525079811")</f>
        <v>M2525079811</v>
      </c>
      <c r="D2631" s="3">
        <f>IFERROR(__xludf.DUMMYFUNCTION("""COMPUTED_VALUE"""),1.0)</f>
        <v>1</v>
      </c>
      <c r="E2631" s="1"/>
    </row>
    <row r="2632">
      <c r="A2632" s="1"/>
      <c r="B2632" s="3" t="str">
        <f>IFERROR(__xludf.DUMMYFUNCTION("""COMPUTED_VALUE"""),"RAMADHAN 9604")</f>
        <v>RAMADHAN 9604</v>
      </c>
      <c r="C2632" s="3" t="str">
        <f>IFERROR(__xludf.DUMMYFUNCTION("""COMPUTED_VALUE"""),"R9625074119")</f>
        <v>R9625074119</v>
      </c>
      <c r="D2632" s="3">
        <f>IFERROR(__xludf.DUMMYFUNCTION("""COMPUTED_VALUE"""),30.0)</f>
        <v>30</v>
      </c>
      <c r="E2632" s="1"/>
    </row>
    <row r="2633">
      <c r="A2633" s="1"/>
      <c r="B2633" s="3" t="str">
        <f>IFERROR(__xludf.DUMMYFUNCTION("""COMPUTED_VALUE"""),"SANDY SHEVA JULIAN")</f>
        <v>SANDY SHEVA JULIAN</v>
      </c>
      <c r="C2633" s="3" t="str">
        <f>IFERROR(__xludf.DUMMYFUNCTION("""COMPUTED_VALUE"""),"S0825078376")</f>
        <v>S0825078376</v>
      </c>
      <c r="D2633" s="3">
        <f>IFERROR(__xludf.DUMMYFUNCTION("""COMPUTED_VALUE"""),17.0)</f>
        <v>17</v>
      </c>
      <c r="E2633" s="1"/>
    </row>
    <row r="2634">
      <c r="A2634" s="1"/>
      <c r="B2634" s="3" t="str">
        <f>IFERROR(__xludf.DUMMYFUNCTION("""COMPUTED_VALUE"""),"MUHAMMAD RISKY FIRMANSYAH")</f>
        <v>MUHAMMAD RISKY FIRMANSYAH</v>
      </c>
      <c r="C2634" s="3" t="str">
        <f>IFERROR(__xludf.DUMMYFUNCTION("""COMPUTED_VALUE"""),"M0425076023")</f>
        <v>M0425076023</v>
      </c>
      <c r="D2634" s="3">
        <f>IFERROR(__xludf.DUMMYFUNCTION("""COMPUTED_VALUE"""),21.0)</f>
        <v>21</v>
      </c>
      <c r="E2634" s="1"/>
    </row>
    <row r="2635">
      <c r="A2635" s="1"/>
      <c r="B2635" s="3" t="str">
        <f>IFERROR(__xludf.DUMMYFUNCTION("""COMPUTED_VALUE"""),"BOBY ANTA MAULANA")</f>
        <v>BOBY ANTA MAULANA</v>
      </c>
      <c r="C2635" s="3" t="str">
        <f>IFERROR(__xludf.DUMMYFUNCTION("""COMPUTED_VALUE"""),"B8525075344")</f>
        <v>B8525075344</v>
      </c>
      <c r="D2635" s="3">
        <f>IFERROR(__xludf.DUMMYFUNCTION("""COMPUTED_VALUE"""),40.0)</f>
        <v>40</v>
      </c>
      <c r="E2635" s="1"/>
    </row>
    <row r="2636">
      <c r="A2636" s="1"/>
      <c r="B2636" s="3" t="str">
        <f>IFERROR(__xludf.DUMMYFUNCTION("""COMPUTED_VALUE"""),"MUHAMMAD NADLY ALNOV")</f>
        <v>MUHAMMAD NADLY ALNOV</v>
      </c>
      <c r="C2636" s="3" t="str">
        <f>IFERROR(__xludf.DUMMYFUNCTION("""COMPUTED_VALUE"""),"M0825073380")</f>
        <v>M0825073380</v>
      </c>
      <c r="D2636" s="3">
        <f>IFERROR(__xludf.DUMMYFUNCTION("""COMPUTED_VALUE"""),17.0)</f>
        <v>17</v>
      </c>
      <c r="E2636" s="1"/>
    </row>
    <row r="2637">
      <c r="A2637" s="1"/>
      <c r="B2637" s="3" t="str">
        <f>IFERROR(__xludf.DUMMYFUNCTION("""COMPUTED_VALUE"""),"MISNAWATI")</f>
        <v>MISNAWATI</v>
      </c>
      <c r="C2637" s="3" t="str">
        <f>IFERROR(__xludf.DUMMYFUNCTION("""COMPUTED_VALUE"""),"M8525072053")</f>
        <v>M8525072053</v>
      </c>
      <c r="D2637" s="3">
        <f>IFERROR(__xludf.DUMMYFUNCTION("""COMPUTED_VALUE"""),41.0)</f>
        <v>41</v>
      </c>
      <c r="E2637" s="1"/>
    </row>
    <row r="2638">
      <c r="A2638" s="1"/>
      <c r="B2638" s="3" t="str">
        <f>IFERROR(__xludf.DUMMYFUNCTION("""COMPUTED_VALUE"""),"WELY")</f>
        <v>WELY</v>
      </c>
      <c r="C2638" s="3" t="str">
        <f>IFERROR(__xludf.DUMMYFUNCTION("""COMPUTED_VALUE"""),"W8025078200")</f>
        <v>W8025078200</v>
      </c>
      <c r="D2638" s="3">
        <f>IFERROR(__xludf.DUMMYFUNCTION("""COMPUTED_VALUE"""),45.0)</f>
        <v>45</v>
      </c>
      <c r="E2638" s="1"/>
    </row>
    <row r="2639">
      <c r="A2639" s="1"/>
      <c r="B2639" s="3" t="str">
        <f>IFERROR(__xludf.DUMMYFUNCTION("""COMPUTED_VALUE"""),"MARDIAH")</f>
        <v>MARDIAH</v>
      </c>
      <c r="C2639" s="3" t="str">
        <f>IFERROR(__xludf.DUMMYFUNCTION("""COMPUTED_VALUE"""),"M9525074050")</f>
        <v>M9525074050</v>
      </c>
      <c r="D2639" s="3">
        <f>IFERROR(__xludf.DUMMYFUNCTION("""COMPUTED_VALUE"""),30.0)</f>
        <v>30</v>
      </c>
      <c r="E2639" s="1"/>
    </row>
    <row r="2640">
      <c r="A2640" s="1"/>
      <c r="B2640" s="3" t="str">
        <f>IFERROR(__xludf.DUMMYFUNCTION("""COMPUTED_VALUE"""),"EKA LESTARI")</f>
        <v>EKA LESTARI</v>
      </c>
      <c r="C2640" s="3" t="str">
        <f>IFERROR(__xludf.DUMMYFUNCTION("""COMPUTED_VALUE"""),"E8825071979")</f>
        <v>E8825071979</v>
      </c>
      <c r="D2640" s="3">
        <f>IFERROR(__xludf.DUMMYFUNCTION("""COMPUTED_VALUE"""),37.0)</f>
        <v>37</v>
      </c>
      <c r="E2640" s="1"/>
    </row>
    <row r="2641">
      <c r="A2641" s="1"/>
      <c r="B2641" s="3" t="str">
        <f>IFERROR(__xludf.DUMMYFUNCTION("""COMPUTED_VALUE"""),"MARDIANA 6909")</f>
        <v>MARDIANA 6909</v>
      </c>
      <c r="C2641" s="3" t="str">
        <f>IFERROR(__xludf.DUMMYFUNCTION("""COMPUTED_VALUE"""),"M6925074405")</f>
        <v>M6925074405</v>
      </c>
      <c r="D2641" s="3">
        <f>IFERROR(__xludf.DUMMYFUNCTION("""COMPUTED_VALUE"""),56.0)</f>
        <v>56</v>
      </c>
      <c r="E2641" s="1"/>
    </row>
    <row r="2642">
      <c r="A2642" s="1"/>
      <c r="B2642" s="3" t="str">
        <f>IFERROR(__xludf.DUMMYFUNCTION("""COMPUTED_VALUE"""),"CECILIA SULISTIANI")</f>
        <v>CECILIA SULISTIANI</v>
      </c>
      <c r="C2642" s="3" t="str">
        <f>IFERROR(__xludf.DUMMYFUNCTION("""COMPUTED_VALUE"""),"C9425077017")</f>
        <v>C9425077017</v>
      </c>
      <c r="D2642" s="3">
        <f>IFERROR(__xludf.DUMMYFUNCTION("""COMPUTED_VALUE"""),32.0)</f>
        <v>32</v>
      </c>
      <c r="E2642" s="1"/>
    </row>
    <row r="2643">
      <c r="A2643" s="1"/>
      <c r="B2643" s="3" t="str">
        <f>IFERROR(__xludf.DUMMYFUNCTION("""COMPUTED_VALUE"""),"AB. IQBAL PRATAMA")</f>
        <v>AB. IQBAL PRATAMA</v>
      </c>
      <c r="C2643" s="3" t="str">
        <f>IFERROR(__xludf.DUMMYFUNCTION("""COMPUTED_VALUE"""),"A0625072853")</f>
        <v>A0625072853</v>
      </c>
      <c r="D2643" s="3">
        <f>IFERROR(__xludf.DUMMYFUNCTION("""COMPUTED_VALUE"""),20.0)</f>
        <v>20</v>
      </c>
      <c r="E2643" s="1"/>
    </row>
    <row r="2644">
      <c r="A2644" s="1"/>
      <c r="B2644" s="3" t="str">
        <f>IFERROR(__xludf.DUMMYFUNCTION("""COMPUTED_VALUE"""),"YANNI")</f>
        <v>YANNI</v>
      </c>
      <c r="C2644" s="3" t="str">
        <f>IFERROR(__xludf.DUMMYFUNCTION("""COMPUTED_VALUE"""),"Y7425070607")</f>
        <v>Y7425070607</v>
      </c>
      <c r="D2644" s="3">
        <f>IFERROR(__xludf.DUMMYFUNCTION("""COMPUTED_VALUE"""),52.0)</f>
        <v>52</v>
      </c>
      <c r="E2644" s="1"/>
    </row>
    <row r="2645">
      <c r="A2645" s="1"/>
      <c r="B2645" s="3" t="str">
        <f>IFERROR(__xludf.DUMMYFUNCTION("""COMPUTED_VALUE"""),"RIKA YOLANDA HUTAGAOL")</f>
        <v>RIKA YOLANDA HUTAGAOL</v>
      </c>
      <c r="C2645" s="3" t="str">
        <f>IFERROR(__xludf.DUMMYFUNCTION("""COMPUTED_VALUE"""),"R9525070095")</f>
        <v>R9525070095</v>
      </c>
      <c r="D2645" s="3">
        <f>IFERROR(__xludf.DUMMYFUNCTION("""COMPUTED_VALUE"""),30.0)</f>
        <v>30</v>
      </c>
      <c r="E2645" s="1"/>
    </row>
    <row r="2646">
      <c r="A2646" s="1"/>
      <c r="B2646" s="3" t="str">
        <f>IFERROR(__xludf.DUMMYFUNCTION("""COMPUTED_VALUE"""),"ETA NOVITA ARSANTY")</f>
        <v>ETA NOVITA ARSANTY</v>
      </c>
      <c r="C2646" s="3" t="str">
        <f>IFERROR(__xludf.DUMMYFUNCTION("""COMPUTED_VALUE"""),"E7625070157")</f>
        <v>E7625070157</v>
      </c>
      <c r="D2646" s="3">
        <f>IFERROR(__xludf.DUMMYFUNCTION("""COMPUTED_VALUE"""),49.0)</f>
        <v>49</v>
      </c>
      <c r="E2646" s="1"/>
    </row>
    <row r="2647">
      <c r="A2647" s="1"/>
      <c r="B2647" s="3" t="str">
        <f>IFERROR(__xludf.DUMMYFUNCTION("""COMPUTED_VALUE"""),"STEFFI")</f>
        <v>STEFFI</v>
      </c>
      <c r="C2647" s="3" t="str">
        <f>IFERROR(__xludf.DUMMYFUNCTION("""COMPUTED_VALUE"""),"S9225075336")</f>
        <v>S9225075336</v>
      </c>
      <c r="D2647" s="3">
        <f>IFERROR(__xludf.DUMMYFUNCTION("""COMPUTED_VALUE"""),33.0)</f>
        <v>33</v>
      </c>
      <c r="E2647" s="1"/>
    </row>
    <row r="2648">
      <c r="A2648" s="1"/>
      <c r="B2648" s="3" t="str">
        <f>IFERROR(__xludf.DUMMYFUNCTION("""COMPUTED_VALUE"""),"ANDREW KURNIAWAN")</f>
        <v>ANDREW KURNIAWAN</v>
      </c>
      <c r="C2648" s="3" t="str">
        <f>IFERROR(__xludf.DUMMYFUNCTION("""COMPUTED_VALUE"""),"A1125075396")</f>
        <v>A1125075396</v>
      </c>
      <c r="D2648" s="3">
        <f>IFERROR(__xludf.DUMMYFUNCTION("""COMPUTED_VALUE"""),15.0)</f>
        <v>15</v>
      </c>
      <c r="E2648" s="1"/>
    </row>
    <row r="2649">
      <c r="A2649" s="1"/>
      <c r="B2649" s="3" t="str">
        <f>IFERROR(__xludf.DUMMYFUNCTION("""COMPUTED_VALUE"""),"NGAKAN MADE GOTAMA")</f>
        <v>NGAKAN MADE GOTAMA</v>
      </c>
      <c r="C2649" s="3" t="str">
        <f>IFERROR(__xludf.DUMMYFUNCTION("""COMPUTED_VALUE"""),"N7425071015")</f>
        <v>N7425071015</v>
      </c>
      <c r="D2649" s="3">
        <f>IFERROR(__xludf.DUMMYFUNCTION("""COMPUTED_VALUE"""),52.0)</f>
        <v>52</v>
      </c>
      <c r="E2649" s="1"/>
    </row>
    <row r="2650">
      <c r="A2650" s="1"/>
      <c r="B2650" s="3" t="str">
        <f>IFERROR(__xludf.DUMMYFUNCTION("""COMPUTED_VALUE"""),"BAYU PUTRA NGUDI PERSADA")</f>
        <v>BAYU PUTRA NGUDI PERSADA</v>
      </c>
      <c r="C2650" s="3" t="str">
        <f>IFERROR(__xludf.DUMMYFUNCTION("""COMPUTED_VALUE"""),"B9925074472")</f>
        <v>B9925074472</v>
      </c>
      <c r="D2650" s="3">
        <f>IFERROR(__xludf.DUMMYFUNCTION("""COMPUTED_VALUE"""),26.0)</f>
        <v>26</v>
      </c>
      <c r="E2650" s="1"/>
    </row>
    <row r="2651">
      <c r="A2651" s="1"/>
      <c r="B2651" s="3" t="str">
        <f>IFERROR(__xludf.DUMMYFUNCTION("""COMPUTED_VALUE"""),"BONITA DWI ANGGREINI")</f>
        <v>BONITA DWI ANGGREINI</v>
      </c>
      <c r="C2651" s="3" t="str">
        <f>IFERROR(__xludf.DUMMYFUNCTION("""COMPUTED_VALUE"""),"B9125074477")</f>
        <v>B9125074477</v>
      </c>
      <c r="D2651" s="3">
        <f>IFERROR(__xludf.DUMMYFUNCTION("""COMPUTED_VALUE"""),35.0)</f>
        <v>35</v>
      </c>
      <c r="E2651" s="1"/>
    </row>
    <row r="2652">
      <c r="A2652" s="1"/>
      <c r="B2652" s="3" t="str">
        <f>IFERROR(__xludf.DUMMYFUNCTION("""COMPUTED_VALUE"""),"NABILA RIFDA WACHDANNISA")</f>
        <v>NABILA RIFDA WACHDANNISA</v>
      </c>
      <c r="C2652" s="3" t="str">
        <f>IFERROR(__xludf.DUMMYFUNCTION("""COMPUTED_VALUE"""),"N0225072830")</f>
        <v>N0225072830</v>
      </c>
      <c r="D2652" s="3">
        <f>IFERROR(__xludf.DUMMYFUNCTION("""COMPUTED_VALUE"""),23.0)</f>
        <v>23</v>
      </c>
      <c r="E2652" s="1"/>
    </row>
    <row r="2653">
      <c r="A2653" s="1"/>
      <c r="B2653" s="3" t="str">
        <f>IFERROR(__xludf.DUMMYFUNCTION("""COMPUTED_VALUE"""),"MUHAMMAD ILYAS HASBI")</f>
        <v>MUHAMMAD ILYAS HASBI</v>
      </c>
      <c r="C2653" s="3" t="str">
        <f>IFERROR(__xludf.DUMMYFUNCTION("""COMPUTED_VALUE"""),"M0225070251")</f>
        <v>M0225070251</v>
      </c>
      <c r="D2653" s="3">
        <f>IFERROR(__xludf.DUMMYFUNCTION("""COMPUTED_VALUE"""),23.0)</f>
        <v>23</v>
      </c>
      <c r="E2653" s="1"/>
    </row>
    <row r="2654">
      <c r="A2654" s="1"/>
      <c r="B2654" s="3" t="str">
        <f>IFERROR(__xludf.DUMMYFUNCTION("""COMPUTED_VALUE"""),"AJENG DWI SINTIYA DEWI")</f>
        <v>AJENG DWI SINTIYA DEWI</v>
      </c>
      <c r="C2654" s="3" t="str">
        <f>IFERROR(__xludf.DUMMYFUNCTION("""COMPUTED_VALUE"""),"A9625072535")</f>
        <v>A9625072535</v>
      </c>
      <c r="D2654" s="3">
        <f>IFERROR(__xludf.DUMMYFUNCTION("""COMPUTED_VALUE"""),29.0)</f>
        <v>29</v>
      </c>
      <c r="E2654" s="1"/>
    </row>
    <row r="2655">
      <c r="A2655" s="1"/>
      <c r="B2655" s="3" t="str">
        <f>IFERROR(__xludf.DUMMYFUNCTION("""COMPUTED_VALUE"""),"ARDILES SANTOS JR")</f>
        <v>ARDILES SANTOS JR</v>
      </c>
      <c r="C2655" s="3" t="str">
        <f>IFERROR(__xludf.DUMMYFUNCTION("""COMPUTED_VALUE"""),"A7825078966")</f>
        <v>A7825078966</v>
      </c>
      <c r="D2655" s="3">
        <f>IFERROR(__xludf.DUMMYFUNCTION("""COMPUTED_VALUE"""),47.0)</f>
        <v>47</v>
      </c>
      <c r="E2655" s="1"/>
    </row>
    <row r="2656">
      <c r="A2656" s="1"/>
      <c r="B2656" s="3" t="str">
        <f>IFERROR(__xludf.DUMMYFUNCTION("""COMPUTED_VALUE"""),"ASTIA")</f>
        <v>ASTIA</v>
      </c>
      <c r="C2656" s="3" t="str">
        <f>IFERROR(__xludf.DUMMYFUNCTION("""COMPUTED_VALUE"""),"A7525079700")</f>
        <v>A7525079700</v>
      </c>
      <c r="D2656" s="3">
        <f>IFERROR(__xludf.DUMMYFUNCTION("""COMPUTED_VALUE"""),50.0)</f>
        <v>50</v>
      </c>
      <c r="E2656" s="1"/>
    </row>
    <row r="2657">
      <c r="A2657" s="1"/>
      <c r="B2657" s="3" t="str">
        <f>IFERROR(__xludf.DUMMYFUNCTION("""COMPUTED_VALUE"""),"YANTI TANTRA")</f>
        <v>YANTI TANTRA</v>
      </c>
      <c r="C2657" s="3" t="str">
        <f>IFERROR(__xludf.DUMMYFUNCTION("""COMPUTED_VALUE"""),"Y8225078319")</f>
        <v>Y8225078319</v>
      </c>
      <c r="D2657" s="3">
        <f>IFERROR(__xludf.DUMMYFUNCTION("""COMPUTED_VALUE"""),43.0)</f>
        <v>43</v>
      </c>
      <c r="E2657" s="1"/>
    </row>
    <row r="2658">
      <c r="A2658" s="1"/>
      <c r="B2658" s="3" t="str">
        <f>IFERROR(__xludf.DUMMYFUNCTION("""COMPUTED_VALUE"""),"JAHFAL")</f>
        <v>JAHFAL</v>
      </c>
      <c r="C2658" s="3" t="str">
        <f>IFERROR(__xludf.DUMMYFUNCTION("""COMPUTED_VALUE"""),"J1025075435")</f>
        <v>J1025075435</v>
      </c>
      <c r="D2658" s="3">
        <f>IFERROR(__xludf.DUMMYFUNCTION("""COMPUTED_VALUE"""),15.0)</f>
        <v>15</v>
      </c>
      <c r="E2658" s="1"/>
    </row>
    <row r="2659">
      <c r="A2659" s="1"/>
      <c r="B2659" s="3" t="str">
        <f>IFERROR(__xludf.DUMMYFUNCTION("""COMPUTED_VALUE"""),"NABEELA ARVYANI")</f>
        <v>NABEELA ARVYANI</v>
      </c>
      <c r="C2659" s="3" t="str">
        <f>IFERROR(__xludf.DUMMYFUNCTION("""COMPUTED_VALUE"""),"N0125076145")</f>
        <v>N0125076145</v>
      </c>
      <c r="D2659" s="3">
        <f>IFERROR(__xludf.DUMMYFUNCTION("""COMPUTED_VALUE"""),25.0)</f>
        <v>25</v>
      </c>
      <c r="E2659" s="1"/>
    </row>
    <row r="2660">
      <c r="A2660" s="1"/>
      <c r="B2660" s="3" t="str">
        <f>IFERROR(__xludf.DUMMYFUNCTION("""COMPUTED_VALUE"""),"WAN REVALDO RIZKI NATAKUSUMA")</f>
        <v>WAN REVALDO RIZKI NATAKUSUMA</v>
      </c>
      <c r="C2660" s="3" t="str">
        <f>IFERROR(__xludf.DUMMYFUNCTION("""COMPUTED_VALUE"""),"W9625074211")</f>
        <v>W9625074211</v>
      </c>
      <c r="D2660" s="3">
        <f>IFERROR(__xludf.DUMMYFUNCTION("""COMPUTED_VALUE"""),30.0)</f>
        <v>30</v>
      </c>
      <c r="E2660" s="1"/>
    </row>
    <row r="2661">
      <c r="A2661" s="1"/>
      <c r="B2661" s="3" t="str">
        <f>IFERROR(__xludf.DUMMYFUNCTION("""COMPUTED_VALUE"""),"MIMI RESTUTI")</f>
        <v>MIMI RESTUTI</v>
      </c>
      <c r="C2661" s="3" t="str">
        <f>IFERROR(__xludf.DUMMYFUNCTION("""COMPUTED_VALUE"""),"M7525070460")</f>
        <v>M7525070460</v>
      </c>
      <c r="D2661" s="3">
        <f>IFERROR(__xludf.DUMMYFUNCTION("""COMPUTED_VALUE"""),51.0)</f>
        <v>51</v>
      </c>
      <c r="E2661" s="1"/>
    </row>
    <row r="2662">
      <c r="A2662" s="1"/>
      <c r="B2662" s="3" t="str">
        <f>IFERROR(__xludf.DUMMYFUNCTION("""COMPUTED_VALUE"""),"RAFI’AH 5508")</f>
        <v>RAFI’AH 5508</v>
      </c>
      <c r="C2662" s="3" t="str">
        <f>IFERROR(__xludf.DUMMYFUNCTION("""COMPUTED_VALUE"""),"R5525074162")</f>
        <v>R5525074162</v>
      </c>
      <c r="D2662" s="3">
        <f>IFERROR(__xludf.DUMMYFUNCTION("""COMPUTED_VALUE"""),70.0)</f>
        <v>70</v>
      </c>
      <c r="E2662" s="1"/>
    </row>
    <row r="2663">
      <c r="A2663" s="1"/>
      <c r="B2663" s="3" t="str">
        <f>IFERROR(__xludf.DUMMYFUNCTION("""COMPUTED_VALUE"""),"WANDY TANDRA")</f>
        <v>WANDY TANDRA</v>
      </c>
      <c r="C2663" s="3" t="str">
        <f>IFERROR(__xludf.DUMMYFUNCTION("""COMPUTED_VALUE"""),"W2525077966")</f>
        <v>W2525077966</v>
      </c>
      <c r="D2663" s="3">
        <f>IFERROR(__xludf.DUMMYFUNCTION("""COMPUTED_VALUE"""),0.0)</f>
        <v>0</v>
      </c>
      <c r="E2663" s="1"/>
    </row>
    <row r="2664">
      <c r="A2664" s="1"/>
      <c r="B2664" s="3" t="str">
        <f>IFERROR(__xludf.DUMMYFUNCTION("""COMPUTED_VALUE"""),"RAKHMAD")</f>
        <v>RAKHMAD</v>
      </c>
      <c r="C2664" s="3" t="str">
        <f>IFERROR(__xludf.DUMMYFUNCTION("""COMPUTED_VALUE"""),"R5325079977")</f>
        <v>R5325079977</v>
      </c>
      <c r="D2664" s="3">
        <f>IFERROR(__xludf.DUMMYFUNCTION("""COMPUTED_VALUE"""),73.0)</f>
        <v>73</v>
      </c>
      <c r="E2664" s="1"/>
    </row>
    <row r="2665">
      <c r="A2665" s="1"/>
      <c r="B2665" s="3" t="str">
        <f>IFERROR(__xludf.DUMMYFUNCTION("""COMPUTED_VALUE"""),"HENI YULIKARWATI")</f>
        <v>HENI YULIKARWATI</v>
      </c>
      <c r="C2665" s="3" t="str">
        <f>IFERROR(__xludf.DUMMYFUNCTION("""COMPUTED_VALUE"""),"H6725078818")</f>
        <v>H6725078818</v>
      </c>
      <c r="D2665" s="3">
        <f>IFERROR(__xludf.DUMMYFUNCTION("""COMPUTED_VALUE"""),58.0)</f>
        <v>58</v>
      </c>
      <c r="E2665" s="1"/>
    </row>
    <row r="2666">
      <c r="A2666" s="1"/>
      <c r="B2666" s="3" t="str">
        <f>IFERROR(__xludf.DUMMYFUNCTION("""COMPUTED_VALUE"""),"FAJRINA HASNI")</f>
        <v>FAJRINA HASNI</v>
      </c>
      <c r="C2666" s="3" t="str">
        <f>IFERROR(__xludf.DUMMYFUNCTION("""COMPUTED_VALUE"""),"F8525077772")</f>
        <v>F8525077772</v>
      </c>
      <c r="D2666" s="3">
        <f>IFERROR(__xludf.DUMMYFUNCTION("""COMPUTED_VALUE"""),41.0)</f>
        <v>41</v>
      </c>
      <c r="E2666" s="1"/>
    </row>
    <row r="2667">
      <c r="A2667" s="1"/>
      <c r="B2667" s="3" t="str">
        <f>IFERROR(__xludf.DUMMYFUNCTION("""COMPUTED_VALUE"""),"NELLA FARAS")</f>
        <v>NELLA FARAS</v>
      </c>
      <c r="C2667" s="3" t="str">
        <f>IFERROR(__xludf.DUMMYFUNCTION("""COMPUTED_VALUE"""),"N9425071768")</f>
        <v>N9425071768</v>
      </c>
      <c r="D2667" s="3">
        <f>IFERROR(__xludf.DUMMYFUNCTION("""COMPUTED_VALUE"""),32.0)</f>
        <v>32</v>
      </c>
      <c r="E2667" s="1"/>
    </row>
    <row r="2668">
      <c r="A2668" s="1"/>
      <c r="B2668" s="3" t="str">
        <f>IFERROR(__xludf.DUMMYFUNCTION("""COMPUTED_VALUE"""),"TANIA 0004")</f>
        <v>TANIA 0004</v>
      </c>
      <c r="C2668" s="3" t="str">
        <f>IFERROR(__xludf.DUMMYFUNCTION("""COMPUTED_VALUE"""),"T0025078451")</f>
        <v>T0025078451</v>
      </c>
      <c r="D2668" s="3">
        <f>IFERROR(__xludf.DUMMYFUNCTION("""COMPUTED_VALUE"""),26.0)</f>
        <v>26</v>
      </c>
      <c r="E2668" s="1"/>
    </row>
    <row r="2669">
      <c r="A2669" s="1"/>
      <c r="B2669" s="3" t="str">
        <f>IFERROR(__xludf.DUMMYFUNCTION("""COMPUTED_VALUE"""),"NG IE BUI")</f>
        <v>NG IE BUI</v>
      </c>
      <c r="C2669" s="3" t="str">
        <f>IFERROR(__xludf.DUMMYFUNCTION("""COMPUTED_VALUE"""),"N6225074612")</f>
        <v>N6225074612</v>
      </c>
      <c r="D2669" s="3">
        <f>IFERROR(__xludf.DUMMYFUNCTION("""COMPUTED_VALUE"""),64.0)</f>
        <v>64</v>
      </c>
      <c r="E2669" s="1"/>
    </row>
    <row r="2670">
      <c r="A2670" s="1"/>
      <c r="B2670" s="3" t="str">
        <f>IFERROR(__xludf.DUMMYFUNCTION("""COMPUTED_VALUE"""),"SISWADI")</f>
        <v>SISWADI</v>
      </c>
      <c r="C2670" s="3" t="str">
        <f>IFERROR(__xludf.DUMMYFUNCTION("""COMPUTED_VALUE"""),"S6125077278")</f>
        <v>S6125077278</v>
      </c>
      <c r="D2670" s="3">
        <f>IFERROR(__xludf.DUMMYFUNCTION("""COMPUTED_VALUE"""),65.0)</f>
        <v>65</v>
      </c>
      <c r="E2670" s="1"/>
    </row>
    <row r="2671">
      <c r="A2671" s="1"/>
      <c r="B2671" s="3" t="str">
        <f>IFERROR(__xludf.DUMMYFUNCTION("""COMPUTED_VALUE"""),"M.BAGUS TOMY")</f>
        <v>M.BAGUS TOMY</v>
      </c>
      <c r="C2671" s="3" t="str">
        <f>IFERROR(__xludf.DUMMYFUNCTION("""COMPUTED_VALUE"""),"M0025073908")</f>
        <v>M0025073908</v>
      </c>
      <c r="D2671" s="3">
        <f>IFERROR(__xludf.DUMMYFUNCTION("""COMPUTED_VALUE"""),25.0)</f>
        <v>25</v>
      </c>
      <c r="E2671" s="1"/>
    </row>
    <row r="2672">
      <c r="A2672" s="1"/>
      <c r="B2672" s="3" t="str">
        <f>IFERROR(__xludf.DUMMYFUNCTION("""COMPUTED_VALUE"""),"ZAMAL KENEDY")</f>
        <v>ZAMAL KENEDY</v>
      </c>
      <c r="C2672" s="3" t="str">
        <f>IFERROR(__xludf.DUMMYFUNCTION("""COMPUTED_VALUE"""),"Z5925079237")</f>
        <v>Z5925079237</v>
      </c>
      <c r="D2672" s="3">
        <f>IFERROR(__xludf.DUMMYFUNCTION("""COMPUTED_VALUE"""),66.0)</f>
        <v>66</v>
      </c>
      <c r="E2672" s="1"/>
    </row>
    <row r="2673">
      <c r="A2673" s="1"/>
      <c r="B2673" s="3" t="str">
        <f>IFERROR(__xludf.DUMMYFUNCTION("""COMPUTED_VALUE"""),"WINDRO HALIM")</f>
        <v>WINDRO HALIM</v>
      </c>
      <c r="C2673" s="3" t="str">
        <f>IFERROR(__xludf.DUMMYFUNCTION("""COMPUTED_VALUE"""),"W0025070339")</f>
        <v>W0025070339</v>
      </c>
      <c r="D2673" s="3">
        <f>IFERROR(__xludf.DUMMYFUNCTION("""COMPUTED_VALUE"""),26.0)</f>
        <v>26</v>
      </c>
      <c r="E2673" s="1"/>
    </row>
    <row r="2674">
      <c r="A2674" s="1"/>
      <c r="B2674" s="3" t="str">
        <f>IFERROR(__xludf.DUMMYFUNCTION("""COMPUTED_VALUE"""),"LIVIA TANIA PUTERI")</f>
        <v>LIVIA TANIA PUTERI</v>
      </c>
      <c r="C2674" s="3" t="str">
        <f>IFERROR(__xludf.DUMMYFUNCTION("""COMPUTED_VALUE"""),"L0025079190")</f>
        <v>L0025079190</v>
      </c>
      <c r="D2674" s="3">
        <f>IFERROR(__xludf.DUMMYFUNCTION("""COMPUTED_VALUE"""),25.0)</f>
        <v>25</v>
      </c>
      <c r="E2674" s="1"/>
    </row>
    <row r="2675">
      <c r="A2675" s="1"/>
      <c r="B2675" s="3" t="str">
        <f>IFERROR(__xludf.DUMMYFUNCTION("""COMPUTED_VALUE"""),"MARSHERLA LOVESENZIA")</f>
        <v>MARSHERLA LOVESENZIA</v>
      </c>
      <c r="C2675" s="3" t="str">
        <f>IFERROR(__xludf.DUMMYFUNCTION("""COMPUTED_VALUE"""),"M0025078448")</f>
        <v>M0025078448</v>
      </c>
      <c r="D2675" s="3">
        <f>IFERROR(__xludf.DUMMYFUNCTION("""COMPUTED_VALUE"""),26.0)</f>
        <v>26</v>
      </c>
      <c r="E2675" s="1"/>
    </row>
    <row r="2676">
      <c r="A2676" s="1"/>
      <c r="B2676" s="3" t="str">
        <f>IFERROR(__xludf.DUMMYFUNCTION("""COMPUTED_VALUE"""),"MARSHERLY LOVESENZIA")</f>
        <v>MARSHERLY LOVESENZIA</v>
      </c>
      <c r="C2676" s="3" t="str">
        <f>IFERROR(__xludf.DUMMYFUNCTION("""COMPUTED_VALUE"""),"M0025078448")</f>
        <v>M0025078448</v>
      </c>
      <c r="D2676" s="3">
        <f>IFERROR(__xludf.DUMMYFUNCTION("""COMPUTED_VALUE"""),26.0)</f>
        <v>26</v>
      </c>
      <c r="E2676" s="1"/>
    </row>
    <row r="2677">
      <c r="A2677" s="1"/>
      <c r="B2677" s="3" t="str">
        <f>IFERROR(__xludf.DUMMYFUNCTION("""COMPUTED_VALUE"""),"ASTRI YULIANI")</f>
        <v>ASTRI YULIANI</v>
      </c>
      <c r="C2677" s="3" t="str">
        <f>IFERROR(__xludf.DUMMYFUNCTION("""COMPUTED_VALUE"""),"A0325072559")</f>
        <v>A0325072559</v>
      </c>
      <c r="D2677" s="3">
        <f>IFERROR(__xludf.DUMMYFUNCTION("""COMPUTED_VALUE"""),22.0)</f>
        <v>22</v>
      </c>
      <c r="E2677" s="1"/>
    </row>
    <row r="2678">
      <c r="A2678" s="1"/>
      <c r="B2678" s="3" t="str">
        <f>IFERROR(__xludf.DUMMYFUNCTION("""COMPUTED_VALUE"""),"IGNATIUS PUSPO AJI WIDAGDO")</f>
        <v>IGNATIUS PUSPO AJI WIDAGDO</v>
      </c>
      <c r="C2678" s="3" t="str">
        <f>IFERROR(__xludf.DUMMYFUNCTION("""COMPUTED_VALUE"""),"I7925074734")</f>
        <v>I7925074734</v>
      </c>
      <c r="D2678" s="3">
        <f>IFERROR(__xludf.DUMMYFUNCTION("""COMPUTED_VALUE"""),47.0)</f>
        <v>47</v>
      </c>
      <c r="E2678" s="1"/>
    </row>
    <row r="2679">
      <c r="A2679" s="1"/>
      <c r="B2679" s="3" t="str">
        <f>IFERROR(__xludf.DUMMYFUNCTION("""COMPUTED_VALUE"""),"SELOMITA SIGIRO")</f>
        <v>SELOMITA SIGIRO</v>
      </c>
      <c r="C2679" s="3" t="str">
        <f>IFERROR(__xludf.DUMMYFUNCTION("""COMPUTED_VALUE"""),"S1925071014")</f>
        <v>S1925071014</v>
      </c>
      <c r="D2679" s="3">
        <f>IFERROR(__xludf.DUMMYFUNCTION("""COMPUTED_VALUE"""),7.0)</f>
        <v>7</v>
      </c>
      <c r="E2679" s="1"/>
    </row>
    <row r="2680">
      <c r="A2680" s="1"/>
      <c r="B2680" s="3" t="str">
        <f>IFERROR(__xludf.DUMMYFUNCTION("""COMPUTED_VALUE"""),"ELIANA")</f>
        <v>ELIANA</v>
      </c>
      <c r="C2680" s="3" t="str">
        <f>IFERROR(__xludf.DUMMYFUNCTION("""COMPUTED_VALUE"""),"E8025070020")</f>
        <v>E8025070020</v>
      </c>
      <c r="D2680" s="3">
        <f>IFERROR(__xludf.DUMMYFUNCTION("""COMPUTED_VALUE"""),45.0)</f>
        <v>45</v>
      </c>
      <c r="E2680" s="1"/>
    </row>
    <row r="2681">
      <c r="A2681" s="1"/>
      <c r="B2681" s="3" t="str">
        <f>IFERROR(__xludf.DUMMYFUNCTION("""COMPUTED_VALUE"""),"NURSUAN HO")</f>
        <v>NURSUAN HO</v>
      </c>
      <c r="C2681" s="3" t="str">
        <f>IFERROR(__xludf.DUMMYFUNCTION("""COMPUTED_VALUE"""),"N6925072882")</f>
        <v>N6925072882</v>
      </c>
      <c r="D2681" s="3">
        <f>IFERROR(__xludf.DUMMYFUNCTION("""COMPUTED_VALUE"""),57.0)</f>
        <v>57</v>
      </c>
      <c r="E2681" s="1"/>
    </row>
    <row r="2682">
      <c r="A2682" s="1"/>
      <c r="B2682" s="3" t="str">
        <f>IFERROR(__xludf.DUMMYFUNCTION("""COMPUTED_VALUE"""),"THE GWEK KHIAUW")</f>
        <v>THE GWEK KHIAUW</v>
      </c>
      <c r="C2682" s="3" t="str">
        <f>IFERROR(__xludf.DUMMYFUNCTION("""COMPUTED_VALUE"""),"T3625075669")</f>
        <v>T3625075669</v>
      </c>
      <c r="D2682" s="3">
        <f>IFERROR(__xludf.DUMMYFUNCTION("""COMPUTED_VALUE"""),89.0)</f>
        <v>89</v>
      </c>
      <c r="E2682" s="1"/>
    </row>
    <row r="2683">
      <c r="A2683" s="1"/>
      <c r="B2683" s="3" t="str">
        <f>IFERROR(__xludf.DUMMYFUNCTION("""COMPUTED_VALUE"""),"DESI")</f>
        <v>DESI</v>
      </c>
      <c r="C2683" s="3" t="str">
        <f>IFERROR(__xludf.DUMMYFUNCTION("""COMPUTED_VALUE"""),"D9525070035")</f>
        <v>D9525070035</v>
      </c>
      <c r="D2683" s="3">
        <f>IFERROR(__xludf.DUMMYFUNCTION("""COMPUTED_VALUE"""),31.0)</f>
        <v>31</v>
      </c>
      <c r="E2683" s="1"/>
    </row>
    <row r="2684">
      <c r="A2684" s="1"/>
      <c r="B2684" s="3" t="str">
        <f>IFERROR(__xludf.DUMMYFUNCTION("""COMPUTED_VALUE"""),"GAVRIEL")</f>
        <v>GAVRIEL</v>
      </c>
      <c r="C2684" s="3" t="str">
        <f>IFERROR(__xludf.DUMMYFUNCTION("""COMPUTED_VALUE"""),"G1425070067")</f>
        <v>G1425070067</v>
      </c>
      <c r="D2684" s="3">
        <f>IFERROR(__xludf.DUMMYFUNCTION("""COMPUTED_VALUE"""),12.0)</f>
        <v>12</v>
      </c>
      <c r="E2684" s="1"/>
    </row>
    <row r="2685">
      <c r="A2685" s="1"/>
      <c r="B2685" s="3" t="str">
        <f>IFERROR(__xludf.DUMMYFUNCTION("""COMPUTED_VALUE"""),"WAHYU SATRIA")</f>
        <v>WAHYU SATRIA</v>
      </c>
      <c r="C2685" s="3" t="str">
        <f>IFERROR(__xludf.DUMMYFUNCTION("""COMPUTED_VALUE"""),"W0025075225")</f>
        <v>W0025075225</v>
      </c>
      <c r="D2685" s="3">
        <f>IFERROR(__xludf.DUMMYFUNCTION("""COMPUTED_VALUE"""),26.0)</f>
        <v>26</v>
      </c>
      <c r="E2685" s="1"/>
    </row>
    <row r="2686">
      <c r="A2686" s="1"/>
      <c r="B2686" s="3" t="str">
        <f>IFERROR(__xludf.DUMMYFUNCTION("""COMPUTED_VALUE"""),"NOLLIE NOVELLA TANAJO")</f>
        <v>NOLLIE NOVELLA TANAJO</v>
      </c>
      <c r="C2686" s="3" t="str">
        <f>IFERROR(__xludf.DUMMYFUNCTION("""COMPUTED_VALUE"""),"N0725085070")</f>
        <v>N0725085070</v>
      </c>
      <c r="D2686" s="3">
        <f>IFERROR(__xludf.DUMMYFUNCTION("""COMPUTED_VALUE"""),18.0)</f>
        <v>18</v>
      </c>
      <c r="E2686" s="1"/>
    </row>
    <row r="2687">
      <c r="A2687" s="1"/>
      <c r="B2687" s="3" t="str">
        <f>IFERROR(__xludf.DUMMYFUNCTION("""COMPUTED_VALUE"""),"CHOTIJAH")</f>
        <v>CHOTIJAH</v>
      </c>
      <c r="C2687" s="3" t="str">
        <f>IFERROR(__xludf.DUMMYFUNCTION("""COMPUTED_VALUE"""),"C5325089599")</f>
        <v>C5325089599</v>
      </c>
      <c r="D2687" s="3">
        <f>IFERROR(__xludf.DUMMYFUNCTION("""COMPUTED_VALUE"""),72.0)</f>
        <v>72</v>
      </c>
      <c r="E2687" s="1"/>
    </row>
    <row r="2688">
      <c r="A2688" s="1"/>
      <c r="B2688" s="3" t="str">
        <f>IFERROR(__xludf.DUMMYFUNCTION("""COMPUTED_VALUE"""),"CHINTIA OKTAVIANY")</f>
        <v>CHINTIA OKTAVIANY</v>
      </c>
      <c r="C2688" s="3" t="str">
        <f>IFERROR(__xludf.DUMMYFUNCTION("""COMPUTED_VALUE"""),"C8525081338")</f>
        <v>C8525081338</v>
      </c>
      <c r="D2688" s="3">
        <f>IFERROR(__xludf.DUMMYFUNCTION("""COMPUTED_VALUE"""),40.0)</f>
        <v>40</v>
      </c>
      <c r="E2688" s="1"/>
    </row>
    <row r="2689">
      <c r="A2689" s="1"/>
      <c r="B2689" s="3" t="str">
        <f>IFERROR(__xludf.DUMMYFUNCTION("""COMPUTED_VALUE"""),"GILANG MAULANA")</f>
        <v>GILANG MAULANA</v>
      </c>
      <c r="C2689" s="3" t="str">
        <f>IFERROR(__xludf.DUMMYFUNCTION("""COMPUTED_VALUE"""),"G0025085646")</f>
        <v>G0025085646</v>
      </c>
      <c r="D2689" s="3">
        <f>IFERROR(__xludf.DUMMYFUNCTION("""COMPUTED_VALUE"""),26.0)</f>
        <v>26</v>
      </c>
      <c r="E2689" s="1"/>
    </row>
    <row r="2690">
      <c r="A2690" s="1"/>
      <c r="B2690" s="3" t="str">
        <f>IFERROR(__xludf.DUMMYFUNCTION("""COMPUTED_VALUE"""),"HAMDANI")</f>
        <v>HAMDANI</v>
      </c>
      <c r="C2690" s="3" t="str">
        <f>IFERROR(__xludf.DUMMYFUNCTION("""COMPUTED_VALUE"""),"H0625081751")</f>
        <v>H0625081751</v>
      </c>
      <c r="D2690" s="3">
        <f>IFERROR(__xludf.DUMMYFUNCTION("""COMPUTED_VALUE"""),19.0)</f>
        <v>19</v>
      </c>
      <c r="E2690" s="1"/>
    </row>
    <row r="2691">
      <c r="A2691" s="1"/>
      <c r="B2691" s="3" t="str">
        <f>IFERROR(__xludf.DUMMYFUNCTION("""COMPUTED_VALUE"""),"ALFIAN BONE PUTRA")</f>
        <v>ALFIAN BONE PUTRA</v>
      </c>
      <c r="C2691" s="3" t="str">
        <f>IFERROR(__xludf.DUMMYFUNCTION("""COMPUTED_VALUE"""),"A8925087212")</f>
        <v>A8925087212</v>
      </c>
      <c r="D2691" s="3">
        <f>IFERROR(__xludf.DUMMYFUNCTION("""COMPUTED_VALUE"""),36.0)</f>
        <v>36</v>
      </c>
      <c r="E2691" s="1"/>
    </row>
    <row r="2692">
      <c r="A2692" s="1"/>
      <c r="B2692" s="3" t="str">
        <f>IFERROR(__xludf.DUMMYFUNCTION("""COMPUTED_VALUE"""),"GUSTINAH")</f>
        <v>GUSTINAH</v>
      </c>
      <c r="C2692" s="3" t="str">
        <f>IFERROR(__xludf.DUMMYFUNCTION("""COMPUTED_VALUE"""),"G6024066302")</f>
        <v>G6024066302</v>
      </c>
      <c r="D2692" s="3">
        <f>IFERROR(__xludf.DUMMYFUNCTION("""COMPUTED_VALUE"""),65.0)</f>
        <v>65</v>
      </c>
      <c r="E2692" s="1"/>
    </row>
    <row r="2693">
      <c r="A2693" s="1"/>
      <c r="B2693" s="3" t="str">
        <f>IFERROR(__xludf.DUMMYFUNCTION("""COMPUTED_VALUE"""),"LEONARDO DANENDRA")</f>
        <v>LEONARDO DANENDRA</v>
      </c>
      <c r="C2693" s="3" t="str">
        <f>IFERROR(__xludf.DUMMYFUNCTION("""COMPUTED_VALUE"""),"L0125089460")</f>
        <v>L0125089460</v>
      </c>
      <c r="D2693" s="3">
        <f>IFERROR(__xludf.DUMMYFUNCTION("""COMPUTED_VALUE"""),24.0)</f>
        <v>24</v>
      </c>
      <c r="E2693" s="1"/>
    </row>
    <row r="2694">
      <c r="A2694" s="1"/>
      <c r="B2694" s="3" t="str">
        <f>IFERROR(__xludf.DUMMYFUNCTION("""COMPUTED_VALUE"""),"HJ. MARIA ULFAH")</f>
        <v>HJ. MARIA ULFAH</v>
      </c>
      <c r="C2694" s="3" t="str">
        <f>IFERROR(__xludf.DUMMYFUNCTION("""COMPUTED_VALUE"""),"H4825087125")</f>
        <v>H4825087125</v>
      </c>
      <c r="D2694" s="3">
        <f>IFERROR(__xludf.DUMMYFUNCTION("""COMPUTED_VALUE"""),78.0)</f>
        <v>78</v>
      </c>
      <c r="E2694" s="1"/>
    </row>
    <row r="2695">
      <c r="A2695" s="1"/>
      <c r="B2695" s="3" t="str">
        <f>IFERROR(__xludf.DUMMYFUNCTION("""COMPUTED_VALUE"""),"JESSANDRA PUSPARANI")</f>
        <v>JESSANDRA PUSPARANI</v>
      </c>
      <c r="C2695" s="3" t="str">
        <f>IFERROR(__xludf.DUMMYFUNCTION("""COMPUTED_VALUE"""),"J9925081874")</f>
        <v>J9925081874</v>
      </c>
      <c r="D2695" s="3">
        <f>IFERROR(__xludf.DUMMYFUNCTION("""COMPUTED_VALUE"""),26.0)</f>
        <v>26</v>
      </c>
      <c r="E2695" s="1"/>
    </row>
    <row r="2696">
      <c r="A2696" s="1"/>
      <c r="B2696" s="3" t="str">
        <f>IFERROR(__xludf.DUMMYFUNCTION("""COMPUTED_VALUE"""),"FLORENSIUS EFRENDI")</f>
        <v>FLORENSIUS EFRENDI</v>
      </c>
      <c r="C2696" s="3" t="str">
        <f>IFERROR(__xludf.DUMMYFUNCTION("""COMPUTED_VALUE"""),"F9125088080")</f>
        <v>F9125088080</v>
      </c>
      <c r="D2696" s="3">
        <f>IFERROR(__xludf.DUMMYFUNCTION("""COMPUTED_VALUE"""),35.0)</f>
        <v>35</v>
      </c>
      <c r="E2696" s="1"/>
    </row>
    <row r="2697">
      <c r="A2697" s="1"/>
      <c r="B2697" s="3" t="str">
        <f>IFERROR(__xludf.DUMMYFUNCTION("""COMPUTED_VALUE"""),"SYAHRUL MUNIR")</f>
        <v>SYAHRUL MUNIR</v>
      </c>
      <c r="C2697" s="3" t="str">
        <f>IFERROR(__xludf.DUMMYFUNCTION("""COMPUTED_VALUE"""),"S8225088794")</f>
        <v>S8225088794</v>
      </c>
      <c r="D2697" s="3">
        <f>IFERROR(__xludf.DUMMYFUNCTION("""COMPUTED_VALUE"""),43.0)</f>
        <v>43</v>
      </c>
      <c r="E2697" s="1"/>
    </row>
    <row r="2698">
      <c r="A2698" s="1"/>
      <c r="B2698" s="3" t="str">
        <f>IFERROR(__xludf.DUMMYFUNCTION("""COMPUTED_VALUE"""),"VIONY FRANSISKA")</f>
        <v>VIONY FRANSISKA</v>
      </c>
      <c r="C2698" s="3" t="str">
        <f>IFERROR(__xludf.DUMMYFUNCTION("""COMPUTED_VALUE"""),"V0225082178")</f>
        <v>V0225082178</v>
      </c>
      <c r="D2698" s="3">
        <f>IFERROR(__xludf.DUMMYFUNCTION("""COMPUTED_VALUE"""),23.0)</f>
        <v>23</v>
      </c>
      <c r="E2698" s="1"/>
    </row>
    <row r="2699">
      <c r="A2699" s="1"/>
      <c r="B2699" s="3" t="str">
        <f>IFERROR(__xludf.DUMMYFUNCTION("""COMPUTED_VALUE"""),"JANNUAR WIN")</f>
        <v>JANNUAR WIN</v>
      </c>
      <c r="C2699" s="3" t="str">
        <f>IFERROR(__xludf.DUMMYFUNCTION("""COMPUTED_VALUE"""),"J8725080200")</f>
        <v>J8725080200</v>
      </c>
      <c r="D2699" s="3">
        <f>IFERROR(__xludf.DUMMYFUNCTION("""COMPUTED_VALUE"""),39.0)</f>
        <v>39</v>
      </c>
      <c r="E2699" s="1"/>
    </row>
    <row r="2700">
      <c r="A2700" s="1"/>
      <c r="B2700" s="3" t="str">
        <f>IFERROR(__xludf.DUMMYFUNCTION("""COMPUTED_VALUE"""),"MARIVA")</f>
        <v>MARIVA</v>
      </c>
      <c r="C2700" s="3" t="str">
        <f>IFERROR(__xludf.DUMMYFUNCTION("""COMPUTED_VALUE"""),"M7925080330")</f>
        <v>M7925080330</v>
      </c>
      <c r="D2700" s="3">
        <f>IFERROR(__xludf.DUMMYFUNCTION("""COMPUTED_VALUE"""),46.0)</f>
        <v>46</v>
      </c>
      <c r="E2700" s="1"/>
    </row>
    <row r="2701">
      <c r="A2701" s="1"/>
      <c r="B2701" s="3" t="str">
        <f>IFERROR(__xludf.DUMMYFUNCTION("""COMPUTED_VALUE"""),"VINI KURNIA NINGSIH")</f>
        <v>VINI KURNIA NINGSIH</v>
      </c>
      <c r="C2701" s="3" t="str">
        <f>IFERROR(__xludf.DUMMYFUNCTION("""COMPUTED_VALUE"""),"V9425088267")</f>
        <v>V9425088267</v>
      </c>
      <c r="D2701" s="3">
        <f>IFERROR(__xludf.DUMMYFUNCTION("""COMPUTED_VALUE"""),31.0)</f>
        <v>31</v>
      </c>
      <c r="E2701" s="1"/>
    </row>
    <row r="2702">
      <c r="A2702" s="1"/>
      <c r="B2702" s="3" t="str">
        <f>IFERROR(__xludf.DUMMYFUNCTION("""COMPUTED_VALUE"""),"FELIX LUTHER DITYADI")</f>
        <v>FELIX LUTHER DITYADI</v>
      </c>
      <c r="C2702" s="3" t="str">
        <f>IFERROR(__xludf.DUMMYFUNCTION("""COMPUTED_VALUE"""),"F0325086499")</f>
        <v>F0325086499</v>
      </c>
      <c r="D2702" s="3">
        <f>IFERROR(__xludf.DUMMYFUNCTION("""COMPUTED_VALUE"""),23.0)</f>
        <v>23</v>
      </c>
      <c r="E2702" s="1"/>
    </row>
    <row r="2703">
      <c r="A2703" s="1"/>
      <c r="B2703" s="3" t="str">
        <f>IFERROR(__xludf.DUMMYFUNCTION("""COMPUTED_VALUE"""),"YUBANADI")</f>
        <v>YUBANADI</v>
      </c>
      <c r="C2703" s="3" t="str">
        <f>IFERROR(__xludf.DUMMYFUNCTION("""COMPUTED_VALUE"""),"Y5125088477")</f>
        <v>Y5125088477</v>
      </c>
      <c r="D2703" s="3">
        <f>IFERROR(__xludf.DUMMYFUNCTION("""COMPUTED_VALUE"""),75.0)</f>
        <v>75</v>
      </c>
      <c r="E2703" s="1"/>
    </row>
    <row r="2704">
      <c r="A2704" s="1"/>
      <c r="B2704" s="3" t="str">
        <f>IFERROR(__xludf.DUMMYFUNCTION("""COMPUTED_VALUE"""),"SUSY IRAWATY, NG")</f>
        <v>SUSY IRAWATY, NG</v>
      </c>
      <c r="C2704" s="3" t="str">
        <f>IFERROR(__xludf.DUMMYFUNCTION("""COMPUTED_VALUE"""),"S5825088319")</f>
        <v>S5825088319</v>
      </c>
      <c r="D2704" s="3">
        <f>IFERROR(__xludf.DUMMYFUNCTION("""COMPUTED_VALUE"""),68.0)</f>
        <v>68</v>
      </c>
      <c r="E2704" s="1"/>
    </row>
    <row r="2705">
      <c r="A2705" s="1"/>
      <c r="B2705" s="3" t="str">
        <f>IFERROR(__xludf.DUMMYFUNCTION("""COMPUTED_VALUE"""),"ARPAN DWI CAHYA")</f>
        <v>ARPAN DWI CAHYA</v>
      </c>
      <c r="C2705" s="3" t="str">
        <f>IFERROR(__xludf.DUMMYFUNCTION("""COMPUTED_VALUE"""),"A9625083700")</f>
        <v>A9625083700</v>
      </c>
      <c r="D2705" s="3">
        <f>IFERROR(__xludf.DUMMYFUNCTION("""COMPUTED_VALUE"""),29.0)</f>
        <v>29</v>
      </c>
      <c r="E2705" s="1"/>
    </row>
    <row r="2706">
      <c r="A2706" s="1"/>
      <c r="B2706" s="3" t="str">
        <f>IFERROR(__xludf.DUMMYFUNCTION("""COMPUTED_VALUE"""),"SYARIF MUHAMAAD RAHMAN")</f>
        <v>SYARIF MUHAMAAD RAHMAN</v>
      </c>
      <c r="C2706" s="3" t="str">
        <f>IFERROR(__xludf.DUMMYFUNCTION("""COMPUTED_VALUE"""),"S8225085959")</f>
        <v>S8225085959</v>
      </c>
      <c r="D2706" s="3">
        <f>IFERROR(__xludf.DUMMYFUNCTION("""COMPUTED_VALUE"""),43.0)</f>
        <v>43</v>
      </c>
      <c r="E2706" s="1"/>
    </row>
    <row r="2707">
      <c r="A2707" s="1"/>
      <c r="B2707" s="3" t="str">
        <f>IFERROR(__xludf.DUMMYFUNCTION("""COMPUTED_VALUE"""),"ANDRIADI")</f>
        <v>ANDRIADI</v>
      </c>
      <c r="C2707" s="3" t="str">
        <f>IFERROR(__xludf.DUMMYFUNCTION("""COMPUTED_VALUE"""),"A8725088071")</f>
        <v>A8725088071</v>
      </c>
      <c r="D2707" s="3">
        <f>IFERROR(__xludf.DUMMYFUNCTION("""COMPUTED_VALUE"""),38.0)</f>
        <v>38</v>
      </c>
      <c r="E2707" s="1"/>
    </row>
    <row r="2708">
      <c r="A2708" s="1"/>
      <c r="B2708" s="3" t="str">
        <f>IFERROR(__xludf.DUMMYFUNCTION("""COMPUTED_VALUE"""),"YAYUK SUKESI")</f>
        <v>YAYUK SUKESI</v>
      </c>
      <c r="C2708" s="3" t="str">
        <f>IFERROR(__xludf.DUMMYFUNCTION("""COMPUTED_VALUE"""),"Y7525084160")</f>
        <v>Y7525084160</v>
      </c>
      <c r="D2708" s="3">
        <f>IFERROR(__xludf.DUMMYFUNCTION("""COMPUTED_VALUE"""),50.0)</f>
        <v>50</v>
      </c>
      <c r="E2708" s="1"/>
    </row>
    <row r="2709">
      <c r="A2709" s="1"/>
      <c r="B2709" s="3" t="str">
        <f>IFERROR(__xludf.DUMMYFUNCTION("""COMPUTED_VALUE"""),"AGIL VERNANDO")</f>
        <v>AGIL VERNANDO</v>
      </c>
      <c r="C2709" s="3" t="str">
        <f>IFERROR(__xludf.DUMMYFUNCTION("""COMPUTED_VALUE"""),"A0625083764")</f>
        <v>A0625083764</v>
      </c>
      <c r="D2709" s="3">
        <f>IFERROR(__xludf.DUMMYFUNCTION("""COMPUTED_VALUE"""),19.0)</f>
        <v>19</v>
      </c>
      <c r="E2709" s="1"/>
    </row>
    <row r="2710">
      <c r="A2710" s="1"/>
      <c r="B2710" s="3" t="str">
        <f>IFERROR(__xludf.DUMMYFUNCTION("""COMPUTED_VALUE"""),"HAIFA")</f>
        <v>HAIFA</v>
      </c>
      <c r="C2710" s="3" t="str">
        <f>IFERROR(__xludf.DUMMYFUNCTION("""COMPUTED_VALUE"""),"H8525085959")</f>
        <v>H8525085959</v>
      </c>
      <c r="D2710" s="3">
        <f>IFERROR(__xludf.DUMMYFUNCTION("""COMPUTED_VALUE"""),40.0)</f>
        <v>40</v>
      </c>
      <c r="E2710" s="1"/>
    </row>
    <row r="2711">
      <c r="A2711" s="1"/>
      <c r="B2711" s="3" t="str">
        <f>IFERROR(__xludf.DUMMYFUNCTION("""COMPUTED_VALUE"""),"ANDRO BAO")</f>
        <v>ANDRO BAO</v>
      </c>
      <c r="C2711" s="3" t="str">
        <f>IFERROR(__xludf.DUMMYFUNCTION("""COMPUTED_VALUE"""),"A9925088893")</f>
        <v>A9925088893</v>
      </c>
      <c r="D2711" s="3">
        <f>IFERROR(__xludf.DUMMYFUNCTION("""COMPUTED_VALUE"""),26.0)</f>
        <v>26</v>
      </c>
      <c r="E2711" s="1"/>
    </row>
    <row r="2712">
      <c r="A2712" s="1"/>
      <c r="B2712" s="3" t="str">
        <f>IFERROR(__xludf.DUMMYFUNCTION("""COMPUTED_VALUE"""),"ARRON")</f>
        <v>ARRON</v>
      </c>
      <c r="C2712" s="3" t="str">
        <f>IFERROR(__xludf.DUMMYFUNCTION("""COMPUTED_VALUE"""),"A9225082999")</f>
        <v>A9225082999</v>
      </c>
      <c r="D2712" s="3">
        <f>IFERROR(__xludf.DUMMYFUNCTION("""COMPUTED_VALUE"""),33.0)</f>
        <v>33</v>
      </c>
      <c r="E2712" s="1"/>
    </row>
    <row r="2713">
      <c r="A2713" s="1"/>
      <c r="B2713" s="3" t="str">
        <f>IFERROR(__xludf.DUMMYFUNCTION("""COMPUTED_VALUE"""),"HENDRA GUNAWAN")</f>
        <v>HENDRA GUNAWAN</v>
      </c>
      <c r="C2713" s="3" t="str">
        <f>IFERROR(__xludf.DUMMYFUNCTION("""COMPUTED_VALUE"""),"H9525080524")</f>
        <v>H9525080524</v>
      </c>
      <c r="D2713" s="3">
        <f>IFERROR(__xludf.DUMMYFUNCTION("""COMPUTED_VALUE"""),30.0)</f>
        <v>30</v>
      </c>
      <c r="E2713" s="1"/>
    </row>
    <row r="2714">
      <c r="A2714" s="1"/>
      <c r="B2714" s="3" t="str">
        <f>IFERROR(__xludf.DUMMYFUNCTION("""COMPUTED_VALUE"""),"NUR HAYATI 9611")</f>
        <v>NUR HAYATI 9611</v>
      </c>
      <c r="C2714" s="3" t="str">
        <f>IFERROR(__xludf.DUMMYFUNCTION("""COMPUTED_VALUE"""),"N9625083579")</f>
        <v>N9625083579</v>
      </c>
      <c r="D2714" s="3">
        <f>IFERROR(__xludf.DUMMYFUNCTION("""COMPUTED_VALUE"""),29.0)</f>
        <v>29</v>
      </c>
      <c r="E2714" s="1"/>
    </row>
    <row r="2715">
      <c r="A2715" s="1"/>
      <c r="B2715" s="3" t="str">
        <f>IFERROR(__xludf.DUMMYFUNCTION("""COMPUTED_VALUE"""),"RAINASYA PUTRI KURNIAWAN")</f>
        <v>RAINASYA PUTRI KURNIAWAN</v>
      </c>
      <c r="C2715" s="3" t="str">
        <f>IFERROR(__xludf.DUMMYFUNCTION("""COMPUTED_VALUE"""),"R2525087850")</f>
        <v>R2525087850</v>
      </c>
      <c r="D2715" s="3">
        <f>IFERROR(__xludf.DUMMYFUNCTION("""COMPUTED_VALUE"""),0.0)</f>
        <v>0</v>
      </c>
      <c r="E2715" s="1"/>
    </row>
    <row r="2716">
      <c r="A2716" s="1"/>
      <c r="B2716" s="3" t="str">
        <f>IFERROR(__xludf.DUMMYFUNCTION("""COMPUTED_VALUE"""),"DAFID")</f>
        <v>DAFID</v>
      </c>
      <c r="C2716" s="3" t="str">
        <f>IFERROR(__xludf.DUMMYFUNCTION("""COMPUTED_VALUE"""),"D8725087201")</f>
        <v>D8725087201</v>
      </c>
      <c r="D2716" s="3">
        <f>IFERROR(__xludf.DUMMYFUNCTION("""COMPUTED_VALUE"""),38.0)</f>
        <v>38</v>
      </c>
      <c r="E2716" s="1"/>
    </row>
    <row r="2717">
      <c r="A2717" s="1"/>
      <c r="B2717" s="3" t="str">
        <f>IFERROR(__xludf.DUMMYFUNCTION("""COMPUTED_VALUE"""),"BAYU YOGA SEPTIAN")</f>
        <v>BAYU YOGA SEPTIAN</v>
      </c>
      <c r="C2717" s="3" t="str">
        <f>IFERROR(__xludf.DUMMYFUNCTION("""COMPUTED_VALUE"""),"B0025081615")</f>
        <v>B0025081615</v>
      </c>
      <c r="D2717" s="3">
        <f>IFERROR(__xludf.DUMMYFUNCTION("""COMPUTED_VALUE"""),25.0)</f>
        <v>25</v>
      </c>
      <c r="E2717" s="1"/>
    </row>
    <row r="2718">
      <c r="A2718" s="1"/>
      <c r="B2718" s="3" t="str">
        <f>IFERROR(__xludf.DUMMYFUNCTION("""COMPUTED_VALUE"""),"DIEGO RUMANIA")</f>
        <v>DIEGO RUMANIA</v>
      </c>
      <c r="C2718" s="3" t="str">
        <f>IFERROR(__xludf.DUMMYFUNCTION("""COMPUTED_VALUE"""),"D9125084788")</f>
        <v>D9125084788</v>
      </c>
      <c r="D2718" s="3">
        <f>IFERROR(__xludf.DUMMYFUNCTION("""COMPUTED_VALUE"""),35.0)</f>
        <v>35</v>
      </c>
      <c r="E2718" s="1"/>
    </row>
    <row r="2719">
      <c r="A2719" s="1"/>
      <c r="B2719" s="3" t="str">
        <f>IFERROR(__xludf.DUMMYFUNCTION("""COMPUTED_VALUE"""),"ZEA ARDELIA ALIKA JAUZA")</f>
        <v>ZEA ARDELIA ALIKA JAUZA</v>
      </c>
      <c r="C2719" s="3" t="str">
        <f>IFERROR(__xludf.DUMMYFUNCTION("""COMPUTED_VALUE"""),"Z0725083883")</f>
        <v>Z0725083883</v>
      </c>
      <c r="D2719" s="3">
        <f>IFERROR(__xludf.DUMMYFUNCTION("""COMPUTED_VALUE"""),18.0)</f>
        <v>18</v>
      </c>
      <c r="E2719" s="1"/>
    </row>
    <row r="2720">
      <c r="A2720" s="1"/>
      <c r="B2720" s="3" t="str">
        <f>IFERROR(__xludf.DUMMYFUNCTION("""COMPUTED_VALUE"""),"YOVINKA")</f>
        <v>YOVINKA</v>
      </c>
      <c r="C2720" s="3" t="str">
        <f>IFERROR(__xludf.DUMMYFUNCTION("""COMPUTED_VALUE"""),"Y9525082999")</f>
        <v>Y9525082999</v>
      </c>
      <c r="D2720" s="3">
        <f>IFERROR(__xludf.DUMMYFUNCTION("""COMPUTED_VALUE"""),30.0)</f>
        <v>30</v>
      </c>
      <c r="E2720" s="1"/>
    </row>
    <row r="2721">
      <c r="A2721" s="1"/>
      <c r="B2721" s="3" t="str">
        <f>IFERROR(__xludf.DUMMYFUNCTION("""COMPUTED_VALUE"""),"HERRI WASONO")</f>
        <v>HERRI WASONO</v>
      </c>
      <c r="C2721" s="3" t="str">
        <f>IFERROR(__xludf.DUMMYFUNCTION("""COMPUTED_VALUE"""),"H8425087651")</f>
        <v>H8425087651</v>
      </c>
      <c r="D2721" s="3">
        <f>IFERROR(__xludf.DUMMYFUNCTION("""COMPUTED_VALUE"""),42.0)</f>
        <v>42</v>
      </c>
      <c r="E2721" s="1"/>
    </row>
    <row r="2722">
      <c r="A2722" s="1"/>
      <c r="B2722" s="3" t="str">
        <f>IFERROR(__xludf.DUMMYFUNCTION("""COMPUTED_VALUE"""),"I DEWA AYU SARIPUTRI")</f>
        <v>I DEWA AYU SARIPUTRI</v>
      </c>
      <c r="C2722" s="3" t="str">
        <f>IFERROR(__xludf.DUMMYFUNCTION("""COMPUTED_VALUE"""),"I9825088872")</f>
        <v>I9825088872</v>
      </c>
      <c r="D2722" s="3">
        <f>IFERROR(__xludf.DUMMYFUNCTION("""COMPUTED_VALUE"""),27.0)</f>
        <v>27</v>
      </c>
      <c r="E2722" s="1"/>
    </row>
    <row r="2723">
      <c r="A2723" s="1"/>
      <c r="B2723" s="3" t="str">
        <f>IFERROR(__xludf.DUMMYFUNCTION("""COMPUTED_VALUE"""),"SOFHIA LEKA")</f>
        <v>SOFHIA LEKA</v>
      </c>
      <c r="C2723" s="3" t="str">
        <f>IFERROR(__xludf.DUMMYFUNCTION("""COMPUTED_VALUE"""),"S9025083777")</f>
        <v>S9025083777</v>
      </c>
      <c r="D2723" s="3">
        <f>IFERROR(__xludf.DUMMYFUNCTION("""COMPUTED_VALUE"""),35.0)</f>
        <v>35</v>
      </c>
      <c r="E2723" s="1"/>
    </row>
    <row r="2724">
      <c r="A2724" s="1"/>
      <c r="B2724" s="3" t="str">
        <f>IFERROR(__xludf.DUMMYFUNCTION("""COMPUTED_VALUE"""),"BARRY EKA PUTRA")</f>
        <v>BARRY EKA PUTRA</v>
      </c>
      <c r="C2724" s="3" t="str">
        <f>IFERROR(__xludf.DUMMYFUNCTION("""COMPUTED_VALUE"""),"B9025083777")</f>
        <v>B9025083777</v>
      </c>
      <c r="D2724" s="3">
        <f>IFERROR(__xludf.DUMMYFUNCTION("""COMPUTED_VALUE"""),36.0)</f>
        <v>36</v>
      </c>
      <c r="E2724" s="1"/>
    </row>
    <row r="2725">
      <c r="A2725" s="1"/>
      <c r="B2725" s="3" t="str">
        <f>IFERROR(__xludf.DUMMYFUNCTION("""COMPUTED_VALUE"""),"ALAMIN MZ")</f>
        <v>ALAMIN MZ</v>
      </c>
      <c r="C2725" s="3" t="str">
        <f>IFERROR(__xludf.DUMMYFUNCTION("""COMPUTED_VALUE"""),"A0125089175")</f>
        <v>A0125089175</v>
      </c>
      <c r="D2725" s="3">
        <f>IFERROR(__xludf.DUMMYFUNCTION("""COMPUTED_VALUE"""),24.0)</f>
        <v>24</v>
      </c>
      <c r="E2725" s="1"/>
    </row>
    <row r="2726">
      <c r="A2726" s="1"/>
      <c r="B2726" s="3" t="str">
        <f>IFERROR(__xludf.DUMMYFUNCTION("""COMPUTED_VALUE"""),"YUNITA")</f>
        <v>YUNITA</v>
      </c>
      <c r="C2726" s="3" t="str">
        <f>IFERROR(__xludf.DUMMYFUNCTION("""COMPUTED_VALUE"""),"Y9524111515")</f>
        <v>Y9524111515</v>
      </c>
      <c r="D2726" s="3">
        <f>IFERROR(__xludf.DUMMYFUNCTION("""COMPUTED_VALUE"""),31.0)</f>
        <v>31</v>
      </c>
      <c r="E2726" s="1"/>
    </row>
    <row r="2727">
      <c r="A2727" s="1"/>
      <c r="B2727" s="3" t="str">
        <f>IFERROR(__xludf.DUMMYFUNCTION("""COMPUTED_VALUE"""),"FRANSISKA MARIA NUR")</f>
        <v>FRANSISKA MARIA NUR</v>
      </c>
      <c r="C2727" s="3" t="str">
        <f>IFERROR(__xludf.DUMMYFUNCTION("""COMPUTED_VALUE"""),"F0425082598")</f>
        <v>F0425082598</v>
      </c>
      <c r="D2727" s="3">
        <f>IFERROR(__xludf.DUMMYFUNCTION("""COMPUTED_VALUE"""),21.0)</f>
        <v>21</v>
      </c>
      <c r="E2727" s="1"/>
    </row>
    <row r="2728">
      <c r="A2728" s="1"/>
      <c r="B2728" s="3" t="str">
        <f>IFERROR(__xludf.DUMMYFUNCTION("""COMPUTED_VALUE"""),"ALIANSYAH")</f>
        <v>ALIANSYAH</v>
      </c>
      <c r="C2728" s="3" t="str">
        <f>IFERROR(__xludf.DUMMYFUNCTION("""COMPUTED_VALUE"""),"A9925083027")</f>
        <v>A9925083027</v>
      </c>
      <c r="D2728" s="3">
        <f>IFERROR(__xludf.DUMMYFUNCTION("""COMPUTED_VALUE"""),26.0)</f>
        <v>26</v>
      </c>
      <c r="E2728" s="1"/>
    </row>
    <row r="2729">
      <c r="A2729" s="1"/>
      <c r="B2729" s="3" t="str">
        <f>IFERROR(__xludf.DUMMYFUNCTION("""COMPUTED_VALUE"""),"INDRA WIJAYA")</f>
        <v>INDRA WIJAYA</v>
      </c>
      <c r="C2729" s="3" t="str">
        <f>IFERROR(__xludf.DUMMYFUNCTION("""COMPUTED_VALUE"""),"I0425088859")</f>
        <v>I0425088859</v>
      </c>
      <c r="D2729" s="3">
        <f>IFERROR(__xludf.DUMMYFUNCTION("""COMPUTED_VALUE"""),21.0)</f>
        <v>21</v>
      </c>
      <c r="E2729" s="1"/>
    </row>
    <row r="2730">
      <c r="A2730" s="1"/>
      <c r="B2730" s="3" t="str">
        <f>IFERROR(__xludf.DUMMYFUNCTION("""COMPUTED_VALUE"""),"ALEX ALSHEN")</f>
        <v>ALEX ALSHEN</v>
      </c>
      <c r="C2730" s="3" t="str">
        <f>IFERROR(__xludf.DUMMYFUNCTION("""COMPUTED_VALUE"""),"A0425086343")</f>
        <v>A0425086343</v>
      </c>
      <c r="D2730" s="3">
        <f>IFERROR(__xludf.DUMMYFUNCTION("""COMPUTED_VALUE"""),22.0)</f>
        <v>22</v>
      </c>
      <c r="E2730" s="1"/>
    </row>
    <row r="2731">
      <c r="A2731" s="1"/>
      <c r="B2731" s="3" t="str">
        <f>IFERROR(__xludf.DUMMYFUNCTION("""COMPUTED_VALUE"""),"KHOE LIE HIA")</f>
        <v>KHOE LIE HIA</v>
      </c>
      <c r="C2731" s="3" t="str">
        <f>IFERROR(__xludf.DUMMYFUNCTION("""COMPUTED_VALUE"""),"K5625087628")</f>
        <v>K5625087628</v>
      </c>
      <c r="D2731" s="3">
        <f>IFERROR(__xludf.DUMMYFUNCTION("""COMPUTED_VALUE"""),69.0)</f>
        <v>69</v>
      </c>
      <c r="E2731" s="1"/>
    </row>
    <row r="2732">
      <c r="A2732" s="1"/>
      <c r="B2732" s="3" t="str">
        <f>IFERROR(__xludf.DUMMYFUNCTION("""COMPUTED_VALUE"""),"YULIANA 9606")</f>
        <v>YULIANA 9606</v>
      </c>
      <c r="C2732" s="3" t="str">
        <f>IFERROR(__xludf.DUMMYFUNCTION("""COMPUTED_VALUE"""),"Y9625087682")</f>
        <v>Y9625087682</v>
      </c>
      <c r="D2732" s="3">
        <f>IFERROR(__xludf.DUMMYFUNCTION("""COMPUTED_VALUE"""),30.0)</f>
        <v>30</v>
      </c>
      <c r="E2732" s="1"/>
    </row>
    <row r="2733">
      <c r="A2733" s="1"/>
      <c r="B2733" s="3" t="str">
        <f>IFERROR(__xludf.DUMMYFUNCTION("""COMPUTED_VALUE"""),"ANDRY LODIYANTO")</f>
        <v>ANDRY LODIYANTO</v>
      </c>
      <c r="C2733" s="3" t="str">
        <f>IFERROR(__xludf.DUMMYFUNCTION("""COMPUTED_VALUE"""),"A9125086876")</f>
        <v>A9125086876</v>
      </c>
      <c r="D2733" s="3">
        <f>IFERROR(__xludf.DUMMYFUNCTION("""COMPUTED_VALUE"""),35.0)</f>
        <v>35</v>
      </c>
      <c r="E2733" s="1"/>
    </row>
    <row r="2734">
      <c r="A2734" s="1"/>
      <c r="B2734" s="3" t="str">
        <f>IFERROR(__xludf.DUMMYFUNCTION("""COMPUTED_VALUE"""),"STELLA NADIA GOWINDRA")</f>
        <v>STELLA NADIA GOWINDRA</v>
      </c>
      <c r="C2734" s="3" t="str">
        <f>IFERROR(__xludf.DUMMYFUNCTION("""COMPUTED_VALUE"""),"S8725087777")</f>
        <v>S8725087777</v>
      </c>
      <c r="D2734" s="3">
        <f>IFERROR(__xludf.DUMMYFUNCTION("""COMPUTED_VALUE"""),38.0)</f>
        <v>38</v>
      </c>
      <c r="E2734" s="1"/>
    </row>
    <row r="2735">
      <c r="A2735" s="1"/>
      <c r="B2735" s="3" t="str">
        <f>IFERROR(__xludf.DUMMYFUNCTION("""COMPUTED_VALUE"""),"TAUPIQUR RAIHAN")</f>
        <v>TAUPIQUR RAIHAN</v>
      </c>
      <c r="C2735" s="3" t="str">
        <f>IFERROR(__xludf.DUMMYFUNCTION("""COMPUTED_VALUE"""),"T0525084617")</f>
        <v>T0525084617</v>
      </c>
      <c r="D2735" s="3">
        <f>IFERROR(__xludf.DUMMYFUNCTION("""COMPUTED_VALUE"""),21.0)</f>
        <v>21</v>
      </c>
      <c r="E2735" s="1"/>
    </row>
    <row r="2736">
      <c r="A2736" s="1"/>
      <c r="B2736" s="3" t="str">
        <f>IFERROR(__xludf.DUMMYFUNCTION("""COMPUTED_VALUE"""),"NAILAH QEIZHA ALMAQHVIRA")</f>
        <v>NAILAH QEIZHA ALMAQHVIRA</v>
      </c>
      <c r="C2736" s="3" t="str">
        <f>IFERROR(__xludf.DUMMYFUNCTION("""COMPUTED_VALUE"""),"N0925081359")</f>
        <v>N0925081359</v>
      </c>
      <c r="D2736" s="3">
        <f>IFERROR(__xludf.DUMMYFUNCTION("""COMPUTED_VALUE"""),17.0)</f>
        <v>17</v>
      </c>
      <c r="E2736" s="1"/>
    </row>
    <row r="2737">
      <c r="A2737" s="1"/>
      <c r="B2737" s="3" t="str">
        <f>IFERROR(__xludf.DUMMYFUNCTION("""COMPUTED_VALUE"""),"RUDIYANSYAH")</f>
        <v>RUDIYANSYAH</v>
      </c>
      <c r="C2737" s="3" t="str">
        <f>IFERROR(__xludf.DUMMYFUNCTION("""COMPUTED_VALUE"""),"R7925089659")</f>
        <v>R7925089659</v>
      </c>
      <c r="D2737" s="3">
        <f>IFERROR(__xludf.DUMMYFUNCTION("""COMPUTED_VALUE"""),47.0)</f>
        <v>47</v>
      </c>
      <c r="E2737" s="1"/>
    </row>
    <row r="2738">
      <c r="A2738" s="1"/>
      <c r="B2738" s="3" t="str">
        <f>IFERROR(__xludf.DUMMYFUNCTION("""COMPUTED_VALUE"""),"KARMIN")</f>
        <v>KARMIN</v>
      </c>
      <c r="C2738" s="3" t="str">
        <f>IFERROR(__xludf.DUMMYFUNCTION("""COMPUTED_VALUE"""),"K6225088152")</f>
        <v>K6225088152</v>
      </c>
      <c r="D2738" s="3">
        <f>IFERROR(__xludf.DUMMYFUNCTION("""COMPUTED_VALUE"""),64.0)</f>
        <v>64</v>
      </c>
      <c r="E2738" s="1"/>
    </row>
    <row r="2739">
      <c r="A2739" s="1"/>
      <c r="B2739" s="3" t="str">
        <f>IFERROR(__xludf.DUMMYFUNCTION("""COMPUTED_VALUE"""),"EVANTIO")</f>
        <v>EVANTIO</v>
      </c>
      <c r="C2739" s="3" t="str">
        <f>IFERROR(__xludf.DUMMYFUNCTION("""COMPUTED_VALUE"""),"E9625083582")</f>
        <v>E9625083582</v>
      </c>
      <c r="D2739" s="3">
        <f>IFERROR(__xludf.DUMMYFUNCTION("""COMPUTED_VALUE"""),30.0)</f>
        <v>30</v>
      </c>
      <c r="E2739" s="1"/>
    </row>
    <row r="2740">
      <c r="A2740" s="1"/>
      <c r="B2740" s="3" t="str">
        <f>IFERROR(__xludf.DUMMYFUNCTION("""COMPUTED_VALUE"""),"WENNY YOSTIA")</f>
        <v>WENNY YOSTIA</v>
      </c>
      <c r="C2740" s="3" t="str">
        <f>IFERROR(__xludf.DUMMYFUNCTION("""COMPUTED_VALUE"""),"W9125089669")</f>
        <v>W9125089669</v>
      </c>
      <c r="D2740" s="3">
        <f>IFERROR(__xludf.DUMMYFUNCTION("""COMPUTED_VALUE"""),35.0)</f>
        <v>35</v>
      </c>
      <c r="E2740" s="1"/>
    </row>
    <row r="2741">
      <c r="A2741" s="1"/>
      <c r="B2741" s="3" t="str">
        <f>IFERROR(__xludf.DUMMYFUNCTION("""COMPUTED_VALUE"""),"KHOU AI KHENG")</f>
        <v>KHOU AI KHENG</v>
      </c>
      <c r="C2741" s="3" t="str">
        <f>IFERROR(__xludf.DUMMYFUNCTION("""COMPUTED_VALUE"""),"K7525084719")</f>
        <v>K7525084719</v>
      </c>
      <c r="D2741" s="3">
        <f>IFERROR(__xludf.DUMMYFUNCTION("""COMPUTED_VALUE"""),50.0)</f>
        <v>50</v>
      </c>
      <c r="E2741" s="1"/>
    </row>
    <row r="2742">
      <c r="A2742" s="1"/>
      <c r="B2742" s="3" t="str">
        <f>IFERROR(__xludf.DUMMYFUNCTION("""COMPUTED_VALUE"""),"ELBERT")</f>
        <v>ELBERT</v>
      </c>
      <c r="C2742" s="3" t="str">
        <f>IFERROR(__xludf.DUMMYFUNCTION("""COMPUTED_VALUE"""),"E9825083788")</f>
        <v>E9825083788</v>
      </c>
      <c r="D2742" s="3">
        <f>IFERROR(__xludf.DUMMYFUNCTION("""COMPUTED_VALUE"""),28.0)</f>
        <v>28</v>
      </c>
      <c r="E2742" s="1"/>
    </row>
    <row r="2743">
      <c r="A2743" s="1"/>
      <c r="B2743" s="3" t="str">
        <f>IFERROR(__xludf.DUMMYFUNCTION("""COMPUTED_VALUE"""),"SAFIRA PUTRI WIBOWO")</f>
        <v>SAFIRA PUTRI WIBOWO</v>
      </c>
      <c r="C2743" s="3" t="str">
        <f>IFERROR(__xludf.DUMMYFUNCTION("""COMPUTED_VALUE"""),"S0825081575")</f>
        <v>S0825081575</v>
      </c>
      <c r="D2743" s="3">
        <f>IFERROR(__xludf.DUMMYFUNCTION("""COMPUTED_VALUE"""),17.0)</f>
        <v>17</v>
      </c>
      <c r="E2743" s="1"/>
    </row>
    <row r="2744">
      <c r="A2744" s="1"/>
      <c r="B2744" s="3" t="str">
        <f>IFERROR(__xludf.DUMMYFUNCTION("""COMPUTED_VALUE"""),"DHIO ASRIL DWIYONO")</f>
        <v>DHIO ASRIL DWIYONO</v>
      </c>
      <c r="C2744" s="3" t="str">
        <f>IFERROR(__xludf.DUMMYFUNCTION("""COMPUTED_VALUE"""),"D9825088969")</f>
        <v>D9825088969</v>
      </c>
      <c r="D2744" s="3">
        <f>IFERROR(__xludf.DUMMYFUNCTION("""COMPUTED_VALUE"""),27.0)</f>
        <v>27</v>
      </c>
      <c r="E2744" s="1"/>
    </row>
    <row r="2745">
      <c r="A2745" s="1"/>
      <c r="B2745" s="3" t="str">
        <f>IFERROR(__xludf.DUMMYFUNCTION("""COMPUTED_VALUE"""),"VIVO TORAS RAKONDA")</f>
        <v>VIVO TORAS RAKONDA</v>
      </c>
      <c r="C2745" s="3" t="str">
        <f>IFERROR(__xludf.DUMMYFUNCTION("""COMPUTED_VALUE"""),"V0125082642")</f>
        <v>V0125082642</v>
      </c>
      <c r="D2745" s="3">
        <f>IFERROR(__xludf.DUMMYFUNCTION("""COMPUTED_VALUE"""),24.0)</f>
        <v>24</v>
      </c>
      <c r="E2745" s="1"/>
    </row>
    <row r="2746">
      <c r="A2746" s="1"/>
      <c r="B2746" s="3" t="str">
        <f>IFERROR(__xludf.DUMMYFUNCTION("""COMPUTED_VALUE"""),"FATIMAH 5612")</f>
        <v>FATIMAH 5612</v>
      </c>
      <c r="C2746" s="3" t="str">
        <f>IFERROR(__xludf.DUMMYFUNCTION("""COMPUTED_VALUE"""),"F5625080460")</f>
        <v>F5625080460</v>
      </c>
      <c r="D2746" s="3">
        <f>IFERROR(__xludf.DUMMYFUNCTION("""COMPUTED_VALUE"""),69.0)</f>
        <v>69</v>
      </c>
      <c r="E2746" s="1"/>
    </row>
    <row r="2747">
      <c r="A2747" s="1"/>
      <c r="B2747" s="3" t="str">
        <f>IFERROR(__xludf.DUMMYFUNCTION("""COMPUTED_VALUE"""),"FARID DZULHILMI")</f>
        <v>FARID DZULHILMI</v>
      </c>
      <c r="C2747" s="3" t="str">
        <f>IFERROR(__xludf.DUMMYFUNCTION("""COMPUTED_VALUE"""),"F0825085529")</f>
        <v>F0825085529</v>
      </c>
      <c r="D2747" s="3">
        <f>IFERROR(__xludf.DUMMYFUNCTION("""COMPUTED_VALUE"""),18.0)</f>
        <v>18</v>
      </c>
      <c r="E2747" s="1"/>
    </row>
    <row r="2748">
      <c r="A2748" s="1"/>
      <c r="B2748" s="3" t="str">
        <f>IFERROR(__xludf.DUMMYFUNCTION("""COMPUTED_VALUE"""),"FIA SULIANTI")</f>
        <v>FIA SULIANTI</v>
      </c>
      <c r="C2748" s="3" t="str">
        <f>IFERROR(__xludf.DUMMYFUNCTION("""COMPUTED_VALUE"""),"F7725084795")</f>
        <v>F7725084795</v>
      </c>
      <c r="D2748" s="3">
        <f>IFERROR(__xludf.DUMMYFUNCTION("""COMPUTED_VALUE"""),49.0)</f>
        <v>49</v>
      </c>
      <c r="E2748" s="1"/>
    </row>
    <row r="2749">
      <c r="A2749" s="1"/>
      <c r="B2749" s="3" t="str">
        <f>IFERROR(__xludf.DUMMYFUNCTION("""COMPUTED_VALUE"""),"MURHAMAH. MS")</f>
        <v>MURHAMAH. MS</v>
      </c>
      <c r="C2749" s="3" t="str">
        <f>IFERROR(__xludf.DUMMYFUNCTION("""COMPUTED_VALUE"""),"M5825088764")</f>
        <v>M5825088764</v>
      </c>
      <c r="D2749" s="3">
        <f>IFERROR(__xludf.DUMMYFUNCTION("""COMPUTED_VALUE"""),67.0)</f>
        <v>67</v>
      </c>
      <c r="E2749" s="1"/>
    </row>
    <row r="2750">
      <c r="A2750" s="1"/>
      <c r="B2750" s="3" t="str">
        <f>IFERROR(__xludf.DUMMYFUNCTION("""COMPUTED_VALUE"""),"DESTY AYU WULANSARI")</f>
        <v>DESTY AYU WULANSARI</v>
      </c>
      <c r="C2750" s="3" t="str">
        <f>IFERROR(__xludf.DUMMYFUNCTION("""COMPUTED_VALUE"""),"D9625081496")</f>
        <v>D9625081496</v>
      </c>
      <c r="D2750" s="3">
        <f>IFERROR(__xludf.DUMMYFUNCTION("""COMPUTED_VALUE"""),29.0)</f>
        <v>29</v>
      </c>
      <c r="E2750" s="1"/>
    </row>
    <row r="2751">
      <c r="A2751" s="1"/>
      <c r="B2751" s="3" t="str">
        <f>IFERROR(__xludf.DUMMYFUNCTION("""COMPUTED_VALUE"""),"LIANNA NATHANIA")</f>
        <v>LIANNA NATHANIA</v>
      </c>
      <c r="C2751" s="3" t="str">
        <f>IFERROR(__xludf.DUMMYFUNCTION("""COMPUTED_VALUE"""),"L9825085931")</f>
        <v>L9825085931</v>
      </c>
      <c r="D2751" s="3">
        <f>IFERROR(__xludf.DUMMYFUNCTION("""COMPUTED_VALUE"""),28.0)</f>
        <v>28</v>
      </c>
      <c r="E2751" s="1"/>
    </row>
    <row r="2752">
      <c r="A2752" s="1"/>
      <c r="B2752" s="3" t="str">
        <f>IFERROR(__xludf.DUMMYFUNCTION("""COMPUTED_VALUE"""),"DRA. ROSMANIAR")</f>
        <v>DRA. ROSMANIAR</v>
      </c>
      <c r="C2752" s="3" t="str">
        <f>IFERROR(__xludf.DUMMYFUNCTION("""COMPUTED_VALUE"""),"D6925087602")</f>
        <v>D6925087602</v>
      </c>
      <c r="D2752" s="3">
        <f>IFERROR(__xludf.DUMMYFUNCTION("""COMPUTED_VALUE"""),56.0)</f>
        <v>56</v>
      </c>
      <c r="E2752" s="1"/>
    </row>
    <row r="2753">
      <c r="A2753" s="1"/>
      <c r="B2753" s="3" t="str">
        <f>IFERROR(__xludf.DUMMYFUNCTION("""COMPUTED_VALUE"""),"RATNA DEVI")</f>
        <v>RATNA DEVI</v>
      </c>
      <c r="C2753" s="3" t="str">
        <f>IFERROR(__xludf.DUMMYFUNCTION("""COMPUTED_VALUE"""),"R8925087378")</f>
        <v>R8925087378</v>
      </c>
      <c r="D2753" s="3">
        <f>IFERROR(__xludf.DUMMYFUNCTION("""COMPUTED_VALUE"""),37.0)</f>
        <v>37</v>
      </c>
      <c r="E2753" s="1"/>
    </row>
    <row r="2754">
      <c r="A2754" s="1"/>
      <c r="B2754" s="3" t="str">
        <f>IFERROR(__xludf.DUMMYFUNCTION("""COMPUTED_VALUE"""),"MARTINI")</f>
        <v>MARTINI</v>
      </c>
      <c r="C2754" s="3" t="str">
        <f>IFERROR(__xludf.DUMMYFUNCTION("""COMPUTED_VALUE"""),"M7225080167")</f>
        <v>M7225080167</v>
      </c>
      <c r="D2754" s="3">
        <f>IFERROR(__xludf.DUMMYFUNCTION("""COMPUTED_VALUE"""),54.0)</f>
        <v>54</v>
      </c>
      <c r="E2754" s="1"/>
    </row>
    <row r="2755">
      <c r="A2755" s="1"/>
      <c r="B2755" s="3" t="str">
        <f>IFERROR(__xludf.DUMMYFUNCTION("""COMPUTED_VALUE"""),"YOGA PATRIA")</f>
        <v>YOGA PATRIA</v>
      </c>
      <c r="C2755" s="3" t="str">
        <f>IFERROR(__xludf.DUMMYFUNCTION("""COMPUTED_VALUE"""),"Y9725088298")</f>
        <v>Y9725088298</v>
      </c>
      <c r="D2755" s="3">
        <f>IFERROR(__xludf.DUMMYFUNCTION("""COMPUTED_VALUE"""),28.0)</f>
        <v>28</v>
      </c>
      <c r="E2755" s="1"/>
    </row>
    <row r="2756">
      <c r="A2756" s="1"/>
      <c r="B2756" s="3" t="str">
        <f>IFERROR(__xludf.DUMMYFUNCTION("""COMPUTED_VALUE"""),"ALFI ANANDA HIDAYAT")</f>
        <v>ALFI ANANDA HIDAYAT</v>
      </c>
      <c r="C2756" s="3" t="str">
        <f>IFERROR(__xludf.DUMMYFUNCTION("""COMPUTED_VALUE"""),"A9925081999")</f>
        <v>A9925081999</v>
      </c>
      <c r="D2756" s="3">
        <f>IFERROR(__xludf.DUMMYFUNCTION("""COMPUTED_VALUE"""),26.0)</f>
        <v>26</v>
      </c>
      <c r="E2756" s="1"/>
    </row>
    <row r="2757">
      <c r="A2757" s="1"/>
      <c r="B2757" s="3" t="str">
        <f>IFERROR(__xludf.DUMMYFUNCTION("""COMPUTED_VALUE"""),"KHUSA ZUNIAR MUHAROMAH")</f>
        <v>KHUSA ZUNIAR MUHAROMAH</v>
      </c>
      <c r="C2757" s="3" t="str">
        <f>IFERROR(__xludf.DUMMYFUNCTION("""COMPUTED_VALUE"""),"K0725083239")</f>
        <v>K0725083239</v>
      </c>
      <c r="D2757" s="3">
        <f>IFERROR(__xludf.DUMMYFUNCTION("""COMPUTED_VALUE"""),19.0)</f>
        <v>19</v>
      </c>
      <c r="E2757" s="1"/>
    </row>
    <row r="2758">
      <c r="A2758" s="1"/>
      <c r="B2758" s="3" t="str">
        <f>IFERROR(__xludf.DUMMYFUNCTION("""COMPUTED_VALUE"""),"YOCKY RIZKI EFFENDY")</f>
        <v>YOCKY RIZKI EFFENDY</v>
      </c>
      <c r="C2758" s="3" t="str">
        <f>IFERROR(__xludf.DUMMYFUNCTION("""COMPUTED_VALUE"""),"Y9925088546")</f>
        <v>Y9925088546</v>
      </c>
      <c r="D2758" s="3">
        <f>IFERROR(__xludf.DUMMYFUNCTION("""COMPUTED_VALUE"""),27.0)</f>
        <v>27</v>
      </c>
      <c r="E2758" s="1"/>
    </row>
    <row r="2759">
      <c r="A2759" s="1"/>
      <c r="B2759" s="3" t="str">
        <f>IFERROR(__xludf.DUMMYFUNCTION("""COMPUTED_VALUE"""),"MARIANITA DARA PABAYO")</f>
        <v>MARIANITA DARA PABAYO</v>
      </c>
      <c r="C2759" s="3" t="str">
        <f>IFERROR(__xludf.DUMMYFUNCTION("""COMPUTED_VALUE"""),"M9325080443")</f>
        <v>M9325080443</v>
      </c>
      <c r="D2759" s="3">
        <f>IFERROR(__xludf.DUMMYFUNCTION("""COMPUTED_VALUE"""),33.0)</f>
        <v>33</v>
      </c>
      <c r="E2759" s="1"/>
    </row>
    <row r="2760">
      <c r="A2760" s="1"/>
      <c r="B2760" s="3" t="str">
        <f>IFERROR(__xludf.DUMMYFUNCTION("""COMPUTED_VALUE"""),"ABDUL RAHIM 9411")</f>
        <v>ABDUL RAHIM 9411</v>
      </c>
      <c r="C2760" s="3" t="str">
        <f>IFERROR(__xludf.DUMMYFUNCTION("""COMPUTED_VALUE"""),"A9425088083")</f>
        <v>A9425088083</v>
      </c>
      <c r="D2760" s="3">
        <f>IFERROR(__xludf.DUMMYFUNCTION("""COMPUTED_VALUE"""),31.0)</f>
        <v>31</v>
      </c>
      <c r="E2760" s="1"/>
    </row>
    <row r="2761">
      <c r="A2761" s="1"/>
      <c r="B2761" s="3" t="str">
        <f>IFERROR(__xludf.DUMMYFUNCTION("""COMPUTED_VALUE"""),"RITA HARJANTI")</f>
        <v>RITA HARJANTI</v>
      </c>
      <c r="C2761" s="3" t="str">
        <f>IFERROR(__xludf.DUMMYFUNCTION("""COMPUTED_VALUE"""),"R8025084828")</f>
        <v>R8025084828</v>
      </c>
      <c r="D2761" s="3">
        <f>IFERROR(__xludf.DUMMYFUNCTION("""COMPUTED_VALUE"""),45.0)</f>
        <v>45</v>
      </c>
      <c r="E2761" s="1"/>
    </row>
    <row r="2762">
      <c r="A2762" s="1"/>
      <c r="B2762" s="3" t="str">
        <f>IFERROR(__xludf.DUMMYFUNCTION("""COMPUTED_VALUE"""),"DIAN GITA SAVITRI")</f>
        <v>DIAN GITA SAVITRI</v>
      </c>
      <c r="C2762" s="3" t="str">
        <f>IFERROR(__xludf.DUMMYFUNCTION("""COMPUTED_VALUE"""),"D8825084244")</f>
        <v>D8825084244</v>
      </c>
      <c r="D2762" s="3">
        <f>IFERROR(__xludf.DUMMYFUNCTION("""COMPUTED_VALUE"""),38.0)</f>
        <v>38</v>
      </c>
      <c r="E2762" s="1"/>
    </row>
    <row r="2763">
      <c r="A2763" s="1"/>
      <c r="B2763" s="3" t="str">
        <f>IFERROR(__xludf.DUMMYFUNCTION("""COMPUTED_VALUE"""),"YOSIA GALANG PUTRA BORNEO")</f>
        <v>YOSIA GALANG PUTRA BORNEO</v>
      </c>
      <c r="C2763" s="3" t="str">
        <f>IFERROR(__xludf.DUMMYFUNCTION("""COMPUTED_VALUE"""),"Y0825082296")</f>
        <v>Y0825082296</v>
      </c>
      <c r="D2763" s="3">
        <f>IFERROR(__xludf.DUMMYFUNCTION("""COMPUTED_VALUE"""),17.0)</f>
        <v>17</v>
      </c>
      <c r="E2763" s="1"/>
    </row>
    <row r="2764">
      <c r="A2764" s="1"/>
      <c r="B2764" s="3" t="str">
        <f>IFERROR(__xludf.DUMMYFUNCTION("""COMPUTED_VALUE"""),"FISCA NATALIA")</f>
        <v>FISCA NATALIA</v>
      </c>
      <c r="C2764" s="3" t="str">
        <f>IFERROR(__xludf.DUMMYFUNCTION("""COMPUTED_VALUE"""),"F0025087304")</f>
        <v>F0025087304</v>
      </c>
      <c r="D2764" s="3">
        <f>IFERROR(__xludf.DUMMYFUNCTION("""COMPUTED_VALUE"""),25.0)</f>
        <v>25</v>
      </c>
      <c r="E2764" s="1"/>
    </row>
    <row r="2765">
      <c r="A2765" s="1"/>
      <c r="B2765" s="3" t="str">
        <f>IFERROR(__xludf.DUMMYFUNCTION("""COMPUTED_VALUE"""),"KURNIAWATI 6009")</f>
        <v>KURNIAWATI 6009</v>
      </c>
      <c r="C2765" s="3" t="str">
        <f>IFERROR(__xludf.DUMMYFUNCTION("""COMPUTED_VALUE"""),"K6025085313")</f>
        <v>K6025085313</v>
      </c>
      <c r="D2765" s="3">
        <f>IFERROR(__xludf.DUMMYFUNCTION("""COMPUTED_VALUE"""),65.0)</f>
        <v>65</v>
      </c>
      <c r="E2765" s="1"/>
    </row>
    <row r="2766">
      <c r="A2766" s="1"/>
      <c r="B2766" s="3" t="str">
        <f>IFERROR(__xludf.DUMMYFUNCTION("""COMPUTED_VALUE"""),"SULASTRI 6507")</f>
        <v>SULASTRI 6507</v>
      </c>
      <c r="C2766" s="3" t="str">
        <f>IFERROR(__xludf.DUMMYFUNCTION("""COMPUTED_VALUE"""),"S6525087232")</f>
        <v>S6525087232</v>
      </c>
      <c r="D2766" s="3">
        <f>IFERROR(__xludf.DUMMYFUNCTION("""COMPUTED_VALUE"""),60.0)</f>
        <v>60</v>
      </c>
      <c r="E2766" s="1"/>
    </row>
    <row r="2767">
      <c r="A2767" s="1"/>
      <c r="B2767" s="3" t="str">
        <f>IFERROR(__xludf.DUMMYFUNCTION("""COMPUTED_VALUE"""),"TITA SIPTY WULANDARI FUTRI")</f>
        <v>TITA SIPTY WULANDARI FUTRI</v>
      </c>
      <c r="C2767" s="3" t="str">
        <f>IFERROR(__xludf.DUMMYFUNCTION("""COMPUTED_VALUE"""),"T9625089735")</f>
        <v>T9625089735</v>
      </c>
      <c r="D2767" s="3">
        <f>IFERROR(__xludf.DUMMYFUNCTION("""COMPUTED_VALUE"""),29.0)</f>
        <v>29</v>
      </c>
      <c r="E2767" s="1"/>
    </row>
    <row r="2768">
      <c r="A2768" s="1"/>
      <c r="B2768" s="3" t="str">
        <f>IFERROR(__xludf.DUMMYFUNCTION("""COMPUTED_VALUE"""),"AZIZ YOGO HANGGORO")</f>
        <v>AZIZ YOGO HANGGORO</v>
      </c>
      <c r="C2768" s="3" t="str">
        <f>IFERROR(__xludf.DUMMYFUNCTION("""COMPUTED_VALUE"""),"A9025086119")</f>
        <v>A9025086119</v>
      </c>
      <c r="D2768" s="3">
        <f>IFERROR(__xludf.DUMMYFUNCTION("""COMPUTED_VALUE"""),35.0)</f>
        <v>35</v>
      </c>
      <c r="E2768" s="1"/>
    </row>
    <row r="2769">
      <c r="A2769" s="1"/>
      <c r="B2769" s="3" t="str">
        <f>IFERROR(__xludf.DUMMYFUNCTION("""COMPUTED_VALUE"""),"GRACIA IVANA GOUWYN")</f>
        <v>GRACIA IVANA GOUWYN</v>
      </c>
      <c r="C2769" s="3" t="str">
        <f>IFERROR(__xludf.DUMMYFUNCTION("""COMPUTED_VALUE"""),"G0425088990")</f>
        <v>G0425088990</v>
      </c>
      <c r="D2769" s="3">
        <f>IFERROR(__xludf.DUMMYFUNCTION("""COMPUTED_VALUE"""),21.0)</f>
        <v>21</v>
      </c>
      <c r="E2769" s="1"/>
    </row>
    <row r="2770">
      <c r="A2770" s="1"/>
      <c r="B2770" s="3" t="str">
        <f>IFERROR(__xludf.DUMMYFUNCTION("""COMPUTED_VALUE"""),"ATIKA MUFLIHA")</f>
        <v>ATIKA MUFLIHA</v>
      </c>
      <c r="C2770" s="3" t="str">
        <f>IFERROR(__xludf.DUMMYFUNCTION("""COMPUTED_VALUE"""),"A9725086020")</f>
        <v>A9725086020</v>
      </c>
      <c r="D2770" s="3">
        <f>IFERROR(__xludf.DUMMYFUNCTION("""COMPUTED_VALUE"""),28.0)</f>
        <v>28</v>
      </c>
      <c r="E2770" s="1"/>
    </row>
    <row r="2771">
      <c r="A2771" s="1"/>
      <c r="B2771" s="3" t="str">
        <f>IFERROR(__xludf.DUMMYFUNCTION("""COMPUTED_VALUE"""),"WILDAN ANKY PUTRA")</f>
        <v>WILDAN ANKY PUTRA</v>
      </c>
      <c r="C2771" s="3" t="str">
        <f>IFERROR(__xludf.DUMMYFUNCTION("""COMPUTED_VALUE"""),"W9325089933")</f>
        <v>W9325089933</v>
      </c>
      <c r="D2771" s="3">
        <f>IFERROR(__xludf.DUMMYFUNCTION("""COMPUTED_VALUE"""),33.0)</f>
        <v>33</v>
      </c>
      <c r="E2771" s="1"/>
    </row>
    <row r="2772">
      <c r="A2772" s="1"/>
      <c r="B2772" s="3" t="str">
        <f>IFERROR(__xludf.DUMMYFUNCTION("""COMPUTED_VALUE"""),"RAFIF HANAN")</f>
        <v>RAFIF HANAN</v>
      </c>
      <c r="C2772" s="3" t="str">
        <f>IFERROR(__xludf.DUMMYFUNCTION("""COMPUTED_VALUE"""),"R1325084646")</f>
        <v>R1325084646</v>
      </c>
      <c r="D2772" s="3">
        <f>IFERROR(__xludf.DUMMYFUNCTION("""COMPUTED_VALUE"""),13.0)</f>
        <v>13</v>
      </c>
      <c r="E2772" s="1"/>
    </row>
    <row r="2773">
      <c r="A2773" s="1"/>
      <c r="B2773" s="3" t="str">
        <f>IFERROR(__xludf.DUMMYFUNCTION("""COMPUTED_VALUE"""),"FRITA OLIVIA")</f>
        <v>FRITA OLIVIA</v>
      </c>
      <c r="C2773" s="3" t="str">
        <f>IFERROR(__xludf.DUMMYFUNCTION("""COMPUTED_VALUE"""),"F9225081879")</f>
        <v>F9225081879</v>
      </c>
      <c r="D2773" s="3">
        <f>IFERROR(__xludf.DUMMYFUNCTION("""COMPUTED_VALUE"""),33.0)</f>
        <v>33</v>
      </c>
      <c r="E2773" s="1"/>
    </row>
    <row r="2774">
      <c r="A2774" s="1"/>
      <c r="B2774" s="3" t="str">
        <f>IFERROR(__xludf.DUMMYFUNCTION("""COMPUTED_VALUE"""),"SAKITO SUSANTO")</f>
        <v>SAKITO SUSANTO</v>
      </c>
      <c r="C2774" s="3" t="str">
        <f>IFERROR(__xludf.DUMMYFUNCTION("""COMPUTED_VALUE"""),"S7025082435")</f>
        <v>S7025082435</v>
      </c>
      <c r="D2774" s="3">
        <f>IFERROR(__xludf.DUMMYFUNCTION("""COMPUTED_VALUE"""),55.0)</f>
        <v>55</v>
      </c>
      <c r="E2774" s="1"/>
    </row>
    <row r="2775">
      <c r="A2775" s="1"/>
      <c r="B2775" s="3" t="str">
        <f>IFERROR(__xludf.DUMMYFUNCTION("""COMPUTED_VALUE"""),"YAYAN BINTORO")</f>
        <v>YAYAN BINTORO</v>
      </c>
      <c r="C2775" s="3" t="str">
        <f>IFERROR(__xludf.DUMMYFUNCTION("""COMPUTED_VALUE"""),"Y8925089797")</f>
        <v>Y8925089797</v>
      </c>
      <c r="D2775" s="3">
        <f>IFERROR(__xludf.DUMMYFUNCTION("""COMPUTED_VALUE"""),36.0)</f>
        <v>36</v>
      </c>
      <c r="E2775" s="1"/>
    </row>
    <row r="2776">
      <c r="A2776" s="1"/>
      <c r="B2776" s="3" t="str">
        <f>IFERROR(__xludf.DUMMYFUNCTION("""COMPUTED_VALUE"""),"HERMANSYAH")</f>
        <v>HERMANSYAH</v>
      </c>
      <c r="C2776" s="3" t="str">
        <f>IFERROR(__xludf.DUMMYFUNCTION("""COMPUTED_VALUE"""),"H6825088740")</f>
        <v>H6825088740</v>
      </c>
      <c r="D2776" s="3">
        <f>IFERROR(__xludf.DUMMYFUNCTION("""COMPUTED_VALUE"""),57.0)</f>
        <v>57</v>
      </c>
      <c r="E2776" s="1"/>
    </row>
    <row r="2777">
      <c r="A2777" s="1"/>
      <c r="B2777" s="3" t="str">
        <f>IFERROR(__xludf.DUMMYFUNCTION("""COMPUTED_VALUE"""),"YUDI RIZALDI")</f>
        <v>YUDI RIZALDI</v>
      </c>
      <c r="C2777" s="3" t="str">
        <f>IFERROR(__xludf.DUMMYFUNCTION("""COMPUTED_VALUE"""),"Y9425081430")</f>
        <v>Y9425081430</v>
      </c>
      <c r="D2777" s="3">
        <f>IFERROR(__xludf.DUMMYFUNCTION("""COMPUTED_VALUE"""),31.0)</f>
        <v>31</v>
      </c>
      <c r="E2777" s="1"/>
    </row>
    <row r="2778">
      <c r="A2778" s="1"/>
      <c r="B2778" s="3" t="str">
        <f>IFERROR(__xludf.DUMMYFUNCTION("""COMPUTED_VALUE"""),"M KRISNA MULYANA")</f>
        <v>M KRISNA MULYANA</v>
      </c>
      <c r="C2778" s="3" t="str">
        <f>IFERROR(__xludf.DUMMYFUNCTION("""COMPUTED_VALUE"""),"M0525088577")</f>
        <v>M0525088577</v>
      </c>
      <c r="D2778" s="3">
        <f>IFERROR(__xludf.DUMMYFUNCTION("""COMPUTED_VALUE"""),21.0)</f>
        <v>21</v>
      </c>
      <c r="E2778" s="1"/>
    </row>
    <row r="2779">
      <c r="A2779" s="1"/>
      <c r="B2779" s="3" t="str">
        <f>IFERROR(__xludf.DUMMYFUNCTION("""COMPUTED_VALUE"""),"DEDDY SUKMA")</f>
        <v>DEDDY SUKMA</v>
      </c>
      <c r="C2779" s="3" t="str">
        <f>IFERROR(__xludf.DUMMYFUNCTION("""COMPUTED_VALUE"""),"D9425080116")</f>
        <v>D9425080116</v>
      </c>
      <c r="D2779" s="3">
        <f>IFERROR(__xludf.DUMMYFUNCTION("""COMPUTED_VALUE"""),31.0)</f>
        <v>31</v>
      </c>
      <c r="E2779" s="1"/>
    </row>
    <row r="2780">
      <c r="A2780" s="1"/>
      <c r="B2780" s="3" t="str">
        <f>IFERROR(__xludf.DUMMYFUNCTION("""COMPUTED_VALUE"""),"ABDURAHIM")</f>
        <v>ABDURAHIM</v>
      </c>
      <c r="C2780" s="3" t="str">
        <f>IFERROR(__xludf.DUMMYFUNCTION("""COMPUTED_VALUE"""),"A6825080")</f>
        <v>A6825080</v>
      </c>
      <c r="D2780" s="3">
        <f>IFERROR(__xludf.DUMMYFUNCTION("""COMPUTED_VALUE"""),57.0)</f>
        <v>57</v>
      </c>
      <c r="E2780" s="1"/>
    </row>
    <row r="2781">
      <c r="A2781" s="1"/>
      <c r="B2781" s="3" t="str">
        <f>IFERROR(__xludf.DUMMYFUNCTION("""COMPUTED_VALUE"""),"HASAN8504")</f>
        <v>HASAN8504</v>
      </c>
      <c r="C2781" s="3" t="str">
        <f>IFERROR(__xludf.DUMMYFUNCTION("""COMPUTED_VALUE"""),"H8525089599")</f>
        <v>H8525089599</v>
      </c>
      <c r="D2781" s="3">
        <f>IFERROR(__xludf.DUMMYFUNCTION("""COMPUTED_VALUE"""),41.0)</f>
        <v>41</v>
      </c>
      <c r="E2781" s="1"/>
    </row>
    <row r="2782">
      <c r="A2782" s="1"/>
      <c r="B2782" s="3" t="str">
        <f>IFERROR(__xludf.DUMMYFUNCTION("""COMPUTED_VALUE"""),"IWAN SUPARDI")</f>
        <v>IWAN SUPARDI</v>
      </c>
      <c r="C2782" s="3" t="str">
        <f>IFERROR(__xludf.DUMMYFUNCTION("""COMPUTED_VALUE"""),"I6825089119")</f>
        <v>I6825089119</v>
      </c>
      <c r="D2782" s="3">
        <f>IFERROR(__xludf.DUMMYFUNCTION("""COMPUTED_VALUE"""),57.0)</f>
        <v>57</v>
      </c>
      <c r="E2782" s="1"/>
    </row>
    <row r="2783">
      <c r="A2783" s="1"/>
      <c r="B2783" s="3" t="str">
        <f>IFERROR(__xludf.DUMMYFUNCTION("""COMPUTED_VALUE"""),"WIDI ASTUTI")</f>
        <v>WIDI ASTUTI</v>
      </c>
      <c r="C2783" s="3" t="str">
        <f>IFERROR(__xludf.DUMMYFUNCTION("""COMPUTED_VALUE"""),"W6425084700")</f>
        <v>W6425084700</v>
      </c>
      <c r="D2783" s="3">
        <f>IFERROR(__xludf.DUMMYFUNCTION("""COMPUTED_VALUE"""),62.0)</f>
        <v>62</v>
      </c>
      <c r="E2783" s="1"/>
    </row>
    <row r="2784">
      <c r="A2784" s="1"/>
      <c r="B2784" s="3" t="str">
        <f>IFERROR(__xludf.DUMMYFUNCTION("""COMPUTED_VALUE"""),"IMAM MAULANA FATURRAHMAN")</f>
        <v>IMAM MAULANA FATURRAHMAN</v>
      </c>
      <c r="C2784" s="3" t="str">
        <f>IFERROR(__xludf.DUMMYFUNCTION("""COMPUTED_VALUE"""),"I9925080725")</f>
        <v>I9925080725</v>
      </c>
      <c r="D2784" s="3">
        <f>IFERROR(__xludf.DUMMYFUNCTION("""COMPUTED_VALUE"""),26.0)</f>
        <v>26</v>
      </c>
      <c r="E2784" s="1"/>
    </row>
    <row r="2785">
      <c r="A2785" s="1"/>
      <c r="B2785" s="3" t="str">
        <f>IFERROR(__xludf.DUMMYFUNCTION("""COMPUTED_VALUE"""),"ALKHAWARISMA")</f>
        <v>ALKHAWARISMA</v>
      </c>
      <c r="C2785" s="3" t="str">
        <f>IFERROR(__xludf.DUMMYFUNCTION("""COMPUTED_VALUE"""),"A9625081247")</f>
        <v>A9625081247</v>
      </c>
      <c r="D2785" s="3">
        <f>IFERROR(__xludf.DUMMYFUNCTION("""COMPUTED_VALUE"""),30.0)</f>
        <v>30</v>
      </c>
      <c r="E2785" s="1"/>
    </row>
    <row r="2786">
      <c r="A2786" s="1"/>
      <c r="B2786" s="3" t="str">
        <f>IFERROR(__xludf.DUMMYFUNCTION("""COMPUTED_VALUE"""),"SUHAIMI")</f>
        <v>SUHAIMI</v>
      </c>
      <c r="C2786" s="3" t="str">
        <f>IFERROR(__xludf.DUMMYFUNCTION("""COMPUTED_VALUE"""),"S8425084764")</f>
        <v>S8425084764</v>
      </c>
      <c r="D2786" s="3">
        <f>IFERROR(__xludf.DUMMYFUNCTION("""COMPUTED_VALUE"""),42.0)</f>
        <v>42</v>
      </c>
      <c r="E2786" s="1"/>
    </row>
    <row r="2787">
      <c r="A2787" s="1"/>
      <c r="B2787" s="3" t="str">
        <f>IFERROR(__xludf.DUMMYFUNCTION("""COMPUTED_VALUE"""),"UCU SUTRISNA")</f>
        <v>UCU SUTRISNA</v>
      </c>
      <c r="C2787" s="3" t="str">
        <f>IFERROR(__xludf.DUMMYFUNCTION("""COMPUTED_VALUE"""),"U7525080")</f>
        <v>U7525080</v>
      </c>
      <c r="D2787" s="3">
        <f>IFERROR(__xludf.DUMMYFUNCTION("""COMPUTED_VALUE"""),50.0)</f>
        <v>50</v>
      </c>
      <c r="E2787" s="1"/>
    </row>
    <row r="2788">
      <c r="A2788" s="1"/>
      <c r="B2788" s="3" t="str">
        <f>IFERROR(__xludf.DUMMYFUNCTION("""COMPUTED_VALUE"""),"AHMAD DANY NOVALDI")</f>
        <v>AHMAD DANY NOVALDI</v>
      </c>
      <c r="C2788" s="3" t="str">
        <f>IFERROR(__xludf.DUMMYFUNCTION("""COMPUTED_VALUE"""),"A0625085349")</f>
        <v>A0625085349</v>
      </c>
      <c r="D2788" s="3">
        <f>IFERROR(__xludf.DUMMYFUNCTION("""COMPUTED_VALUE"""),19.0)</f>
        <v>19</v>
      </c>
      <c r="E2788" s="1"/>
    </row>
    <row r="2789">
      <c r="A2789" s="1"/>
      <c r="B2789" s="3" t="str">
        <f>IFERROR(__xludf.DUMMYFUNCTION("""COMPUTED_VALUE"""),"SRI ESRI")</f>
        <v>SRI ESRI</v>
      </c>
      <c r="C2789" s="3" t="str">
        <f>IFERROR(__xludf.DUMMYFUNCTION("""COMPUTED_VALUE"""),"S6225086797")</f>
        <v>S6225086797</v>
      </c>
      <c r="D2789" s="3">
        <f>IFERROR(__xludf.DUMMYFUNCTION("""COMPUTED_VALUE"""),63.0)</f>
        <v>63</v>
      </c>
      <c r="E2789" s="1"/>
    </row>
    <row r="2790">
      <c r="A2790" s="1"/>
      <c r="B2790" s="3" t="str">
        <f>IFERROR(__xludf.DUMMYFUNCTION("""COMPUTED_VALUE"""),"MUNAGI")</f>
        <v>MUNAGI</v>
      </c>
      <c r="C2790" s="3" t="str">
        <f>IFERROR(__xludf.DUMMYFUNCTION("""COMPUTED_VALUE"""),"M6925081515")</f>
        <v>M6925081515</v>
      </c>
      <c r="D2790" s="3">
        <f>IFERROR(__xludf.DUMMYFUNCTION("""COMPUTED_VALUE"""),57.0)</f>
        <v>57</v>
      </c>
      <c r="E2790" s="1"/>
    </row>
    <row r="2791">
      <c r="A2791" s="1"/>
      <c r="B2791" s="3" t="str">
        <f>IFERROR(__xludf.DUMMYFUNCTION("""COMPUTED_VALUE"""),"EVANIA")</f>
        <v>EVANIA</v>
      </c>
      <c r="C2791" s="3" t="str">
        <f>IFERROR(__xludf.DUMMYFUNCTION("""COMPUTED_VALUE"""),"E9025088822")</f>
        <v>E9025088822</v>
      </c>
      <c r="D2791" s="3">
        <f>IFERROR(__xludf.DUMMYFUNCTION("""COMPUTED_VALUE"""),35.0)</f>
        <v>35</v>
      </c>
      <c r="E2791" s="1"/>
    </row>
    <row r="2792">
      <c r="A2792" s="1"/>
      <c r="B2792" s="3" t="str">
        <f>IFERROR(__xludf.DUMMYFUNCTION("""COMPUTED_VALUE"""),"RIDUANSYAH")</f>
        <v>RIDUANSYAH</v>
      </c>
      <c r="C2792" s="3" t="str">
        <f>IFERROR(__xludf.DUMMYFUNCTION("""COMPUTED_VALUE"""),"R9225087828")</f>
        <v>R9225087828</v>
      </c>
      <c r="D2792" s="3">
        <f>IFERROR(__xludf.DUMMYFUNCTION("""COMPUTED_VALUE"""),33.0)</f>
        <v>33</v>
      </c>
      <c r="E2792" s="1"/>
    </row>
    <row r="2793">
      <c r="A2793" s="1"/>
      <c r="B2793" s="3" t="str">
        <f>IFERROR(__xludf.DUMMYFUNCTION("""COMPUTED_VALUE"""),"TRI ASTUTI")</f>
        <v>TRI ASTUTI</v>
      </c>
      <c r="C2793" s="3" t="str">
        <f>IFERROR(__xludf.DUMMYFUNCTION("""COMPUTED_VALUE"""),"T6825081630")</f>
        <v>T6825081630</v>
      </c>
      <c r="D2793" s="3">
        <f>IFERROR(__xludf.DUMMYFUNCTION("""COMPUTED_VALUE"""),57.0)</f>
        <v>57</v>
      </c>
      <c r="E2793" s="1"/>
    </row>
    <row r="2794">
      <c r="A2794" s="1"/>
      <c r="B2794" s="3" t="str">
        <f>IFERROR(__xludf.DUMMYFUNCTION("""COMPUTED_VALUE"""),"MUTIARA DEWI A.Q")</f>
        <v>MUTIARA DEWI A.Q</v>
      </c>
      <c r="C2794" s="3" t="str">
        <f>IFERROR(__xludf.DUMMYFUNCTION("""COMPUTED_VALUE"""),"M0025084349")</f>
        <v>M0025084349</v>
      </c>
      <c r="D2794" s="3">
        <f>IFERROR(__xludf.DUMMYFUNCTION("""COMPUTED_VALUE"""),26.0)</f>
        <v>26</v>
      </c>
      <c r="E2794" s="1"/>
    </row>
    <row r="2795">
      <c r="A2795" s="1"/>
      <c r="B2795" s="3" t="str">
        <f>IFERROR(__xludf.DUMMYFUNCTION("""COMPUTED_VALUE"""),"MEIVIAN GOUWYN")</f>
        <v>MEIVIAN GOUWYN</v>
      </c>
      <c r="C2795" s="3" t="str">
        <f>IFERROR(__xludf.DUMMYFUNCTION("""COMPUTED_VALUE"""),"M9825086178")</f>
        <v>M9825086178</v>
      </c>
      <c r="D2795" s="3">
        <f>IFERROR(__xludf.DUMMYFUNCTION("""COMPUTED_VALUE"""),28.0)</f>
        <v>28</v>
      </c>
      <c r="E2795" s="1"/>
    </row>
    <row r="2796">
      <c r="A2796" s="1"/>
      <c r="B2796" s="3" t="str">
        <f>IFERROR(__xludf.DUMMYFUNCTION("""COMPUTED_VALUE"""),"BUSTAM")</f>
        <v>BUSTAM</v>
      </c>
      <c r="C2796" s="3" t="str">
        <f>IFERROR(__xludf.DUMMYFUNCTION("""COMPUTED_VALUE"""),"B7925083989")</f>
        <v>B7925083989</v>
      </c>
      <c r="D2796" s="3">
        <f>IFERROR(__xludf.DUMMYFUNCTION("""COMPUTED_VALUE"""),46.0)</f>
        <v>46</v>
      </c>
      <c r="E2796" s="1"/>
    </row>
    <row r="2797">
      <c r="A2797" s="1"/>
      <c r="B2797" s="3" t="str">
        <f>IFERROR(__xludf.DUMMYFUNCTION("""COMPUTED_VALUE"""),"YUDHA WIJAYANTO")</f>
        <v>YUDHA WIJAYANTO</v>
      </c>
      <c r="C2797" s="3" t="str">
        <f>IFERROR(__xludf.DUMMYFUNCTION("""COMPUTED_VALUE"""),"Y9725084045")</f>
        <v>Y9725084045</v>
      </c>
      <c r="D2797" s="3">
        <f>IFERROR(__xludf.DUMMYFUNCTION("""COMPUTED_VALUE"""),29.0)</f>
        <v>29</v>
      </c>
      <c r="E2797" s="1"/>
    </row>
    <row r="2798">
      <c r="A2798" s="1"/>
      <c r="B2798" s="3" t="str">
        <f>IFERROR(__xludf.DUMMYFUNCTION("""COMPUTED_VALUE"""),"ZULKIFLI HASANUDDIN")</f>
        <v>ZULKIFLI HASANUDDIN</v>
      </c>
      <c r="C2798" s="3" t="str">
        <f>IFERROR(__xludf.DUMMYFUNCTION("""COMPUTED_VALUE"""),"Z9325081191")</f>
        <v>Z9325081191</v>
      </c>
      <c r="D2798" s="3">
        <f>IFERROR(__xludf.DUMMYFUNCTION("""COMPUTED_VALUE"""),33.0)</f>
        <v>33</v>
      </c>
      <c r="E2798" s="1"/>
    </row>
    <row r="2799">
      <c r="A2799" s="1"/>
      <c r="B2799" s="3" t="str">
        <f>IFERROR(__xludf.DUMMYFUNCTION("""COMPUTED_VALUE"""),"TJUNG KHET THIN")</f>
        <v>TJUNG KHET THIN</v>
      </c>
      <c r="C2799" s="3" t="str">
        <f>IFERROR(__xludf.DUMMYFUNCTION("""COMPUTED_VALUE"""),"T5825085129")</f>
        <v>T5825085129</v>
      </c>
      <c r="D2799" s="3">
        <f>IFERROR(__xludf.DUMMYFUNCTION("""COMPUTED_VALUE"""),68.0)</f>
        <v>68</v>
      </c>
      <c r="E2799" s="1"/>
    </row>
    <row r="2800">
      <c r="A2800" s="1"/>
      <c r="B2800" s="3" t="str">
        <f>IFERROR(__xludf.DUMMYFUNCTION("""COMPUTED_VALUE"""),"MARKAL")</f>
        <v>MARKAL</v>
      </c>
      <c r="C2800" s="3" t="str">
        <f>IFERROR(__xludf.DUMMYFUNCTION("""COMPUTED_VALUE"""),"M6525082222")</f>
        <v>M6525082222</v>
      </c>
      <c r="D2800" s="3">
        <f>IFERROR(__xludf.DUMMYFUNCTION("""COMPUTED_VALUE"""),61.0)</f>
        <v>61</v>
      </c>
      <c r="E2800" s="1"/>
    </row>
    <row r="2801">
      <c r="A2801" s="1"/>
      <c r="B2801" s="3" t="str">
        <f>IFERROR(__xludf.DUMMYFUNCTION("""COMPUTED_VALUE"""),"YURWARTINI")</f>
        <v>YURWARTINI</v>
      </c>
      <c r="C2801" s="3" t="str">
        <f>IFERROR(__xludf.DUMMYFUNCTION("""COMPUTED_VALUE"""),"Y6225086451")</f>
        <v>Y6225086451</v>
      </c>
      <c r="D2801" s="3">
        <f>IFERROR(__xludf.DUMMYFUNCTION("""COMPUTED_VALUE"""),64.0)</f>
        <v>64</v>
      </c>
      <c r="E2801" s="1"/>
    </row>
    <row r="2802">
      <c r="A2802" s="1"/>
      <c r="B2802" s="3" t="str">
        <f>IFERROR(__xludf.DUMMYFUNCTION("""COMPUTED_VALUE"""),"IIN NUR INDAHSAH")</f>
        <v>IIN NUR INDAHSAH</v>
      </c>
      <c r="C2802" s="3" t="str">
        <f>IFERROR(__xludf.DUMMYFUNCTION("""COMPUTED_VALUE"""),"I9325088707")</f>
        <v>I9325088707</v>
      </c>
      <c r="D2802" s="3">
        <f>IFERROR(__xludf.DUMMYFUNCTION("""COMPUTED_VALUE"""),32.0)</f>
        <v>32</v>
      </c>
      <c r="E2802" s="1"/>
    </row>
    <row r="2803">
      <c r="A2803" s="1"/>
      <c r="B2803" s="3" t="str">
        <f>IFERROR(__xludf.DUMMYFUNCTION("""COMPUTED_VALUE"""),"ACHMAD RIKO JULIANSYA")</f>
        <v>ACHMAD RIKO JULIANSYA</v>
      </c>
      <c r="C2803" s="3" t="str">
        <f>IFERROR(__xludf.DUMMYFUNCTION("""COMPUTED_VALUE"""),"A0525084273")</f>
        <v>A0525084273</v>
      </c>
      <c r="D2803" s="3">
        <f>IFERROR(__xludf.DUMMYFUNCTION("""COMPUTED_VALUE"""),20.0)</f>
        <v>20</v>
      </c>
      <c r="E2803" s="1"/>
    </row>
    <row r="2804">
      <c r="A2804" s="1"/>
      <c r="B2804" s="3" t="str">
        <f>IFERROR(__xludf.DUMMYFUNCTION("""COMPUTED_VALUE"""),"LIZZA NURFITRIANA")</f>
        <v>LIZZA NURFITRIANA</v>
      </c>
      <c r="C2804" s="3" t="str">
        <f>IFERROR(__xludf.DUMMYFUNCTION("""COMPUTED_VALUE"""),"L9125089927")</f>
        <v>L9125089927</v>
      </c>
      <c r="D2804" s="3">
        <f>IFERROR(__xludf.DUMMYFUNCTION("""COMPUTED_VALUE"""),35.0)</f>
        <v>35</v>
      </c>
      <c r="E2804" s="1"/>
    </row>
    <row r="2805">
      <c r="A2805" s="1"/>
      <c r="B2805" s="3" t="str">
        <f>IFERROR(__xludf.DUMMYFUNCTION("""COMPUTED_VALUE"""),"NURDILA YULIANTI")</f>
        <v>NURDILA YULIANTI</v>
      </c>
      <c r="C2805" s="3" t="str">
        <f>IFERROR(__xludf.DUMMYFUNCTION("""COMPUTED_VALUE"""),"N9025080662")</f>
        <v>N9025080662</v>
      </c>
      <c r="D2805" s="3">
        <f>IFERROR(__xludf.DUMMYFUNCTION("""COMPUTED_VALUE"""),35.0)</f>
        <v>35</v>
      </c>
      <c r="E2805" s="1"/>
    </row>
    <row r="2806">
      <c r="A2806" s="1"/>
      <c r="B2806" s="3" t="str">
        <f>IFERROR(__xludf.DUMMYFUNCTION("""COMPUTED_VALUE"""),"RAFAEL GIOFANI")</f>
        <v>RAFAEL GIOFANI</v>
      </c>
      <c r="C2806" s="3" t="str">
        <f>IFERROR(__xludf.DUMMYFUNCTION("""COMPUTED_VALUE"""),"R0525089466")</f>
        <v>R0525089466</v>
      </c>
      <c r="D2806" s="3">
        <f>IFERROR(__xludf.DUMMYFUNCTION("""COMPUTED_VALUE"""),21.0)</f>
        <v>21</v>
      </c>
      <c r="E2806" s="1"/>
    </row>
    <row r="2807">
      <c r="A2807" s="1"/>
      <c r="B2807" s="3" t="str">
        <f>IFERROR(__xludf.DUMMYFUNCTION("""COMPUTED_VALUE"""),"LILI MARTINA")</f>
        <v>LILI MARTINA</v>
      </c>
      <c r="C2807" s="3" t="str">
        <f>IFERROR(__xludf.DUMMYFUNCTION("""COMPUTED_VALUE"""),"L7925087010")</f>
        <v>L7925087010</v>
      </c>
      <c r="D2807" s="3">
        <f>IFERROR(__xludf.DUMMYFUNCTION("""COMPUTED_VALUE"""),47.0)</f>
        <v>47</v>
      </c>
      <c r="E2807" s="1"/>
    </row>
    <row r="2808">
      <c r="A2808" s="1"/>
      <c r="B2808" s="3" t="str">
        <f>IFERROR(__xludf.DUMMYFUNCTION("""COMPUTED_VALUE"""),"MERRY 5903")</f>
        <v>MERRY 5903</v>
      </c>
      <c r="C2808" s="3" t="str">
        <f>IFERROR(__xludf.DUMMYFUNCTION("""COMPUTED_VALUE"""),"M5925092525")</f>
        <v>M5925092525</v>
      </c>
      <c r="D2808" s="3">
        <f>IFERROR(__xludf.DUMMYFUNCTION("""COMPUTED_VALUE"""),67.0)</f>
        <v>67</v>
      </c>
      <c r="E2808" s="1"/>
    </row>
    <row r="2809">
      <c r="A2809" s="1"/>
      <c r="B2809" s="3" t="str">
        <f>IFERROR(__xludf.DUMMYFUNCTION("""COMPUTED_VALUE"""),"ALBYAN RAFIF MAHESWARA")</f>
        <v>ALBYAN RAFIF MAHESWARA</v>
      </c>
      <c r="C2809" s="3" t="str">
        <f>IFERROR(__xludf.DUMMYFUNCTION("""COMPUTED_VALUE"""),"A0925094650")</f>
        <v>A0925094650</v>
      </c>
      <c r="D2809" s="3">
        <f>IFERROR(__xludf.DUMMYFUNCTION("""COMPUTED_VALUE"""),17.0)</f>
        <v>17</v>
      </c>
      <c r="E2809" s="1"/>
    </row>
    <row r="2810">
      <c r="A2810" s="1"/>
      <c r="B2810" s="3" t="str">
        <f>IFERROR(__xludf.DUMMYFUNCTION("""COMPUTED_VALUE"""),"ZULKARNAIN 6006")</f>
        <v>ZULKARNAIN 6006</v>
      </c>
      <c r="C2810" s="3" t="str">
        <f>IFERROR(__xludf.DUMMYFUNCTION("""COMPUTED_VALUE"""),"Z6025097242")</f>
        <v>Z6025097242</v>
      </c>
      <c r="D2810" s="3">
        <f>IFERROR(__xludf.DUMMYFUNCTION("""COMPUTED_VALUE"""),66.0)</f>
        <v>66</v>
      </c>
      <c r="E2810" s="1"/>
    </row>
    <row r="2811">
      <c r="A2811" s="1"/>
      <c r="B2811" s="3" t="str">
        <f>IFERROR(__xludf.DUMMYFUNCTION("""COMPUTED_VALUE"""),"SANIRIN")</f>
        <v>SANIRIN</v>
      </c>
      <c r="C2811" s="3" t="str">
        <f>IFERROR(__xludf.DUMMYFUNCTION("""COMPUTED_VALUE"""),"S7325095887")</f>
        <v>S7325095887</v>
      </c>
      <c r="D2811" s="3">
        <f>IFERROR(__xludf.DUMMYFUNCTION("""COMPUTED_VALUE"""),53.0)</f>
        <v>53</v>
      </c>
      <c r="E2811" s="1"/>
    </row>
    <row r="2812">
      <c r="A2812" s="1"/>
      <c r="B2812" s="3" t="str">
        <f>IFERROR(__xludf.DUMMYFUNCTION("""COMPUTED_VALUE"""),"WAHIDAH")</f>
        <v>WAHIDAH</v>
      </c>
      <c r="C2812" s="3" t="str">
        <f>IFERROR(__xludf.DUMMYFUNCTION("""COMPUTED_VALUE"""),"W8825090023")</f>
        <v>W8825090023</v>
      </c>
      <c r="D2812" s="3">
        <f>IFERROR(__xludf.DUMMYFUNCTION("""COMPUTED_VALUE"""),37.0)</f>
        <v>37</v>
      </c>
      <c r="E2812" s="1"/>
    </row>
    <row r="2813">
      <c r="A2813" s="1"/>
      <c r="B2813" s="3" t="str">
        <f>IFERROR(__xludf.DUMMYFUNCTION("""COMPUTED_VALUE"""),"RINA FAUZIAH")</f>
        <v>RINA FAUZIAH</v>
      </c>
      <c r="C2813" s="3" t="str">
        <f>IFERROR(__xludf.DUMMYFUNCTION("""COMPUTED_VALUE"""),"R7525093436")</f>
        <v>R7525093436</v>
      </c>
      <c r="D2813" s="3">
        <f>IFERROR(__xludf.DUMMYFUNCTION("""COMPUTED_VALUE"""),50.0)</f>
        <v>50</v>
      </c>
      <c r="E2813" s="1"/>
    </row>
    <row r="2814">
      <c r="A2814" s="1"/>
      <c r="B2814" s="3" t="str">
        <f>IFERROR(__xludf.DUMMYFUNCTION("""COMPUTED_VALUE"""),"HASANAH")</f>
        <v>HASANAH</v>
      </c>
      <c r="C2814" s="3" t="str">
        <f>IFERROR(__xludf.DUMMYFUNCTION("""COMPUTED_VALUE"""),"H7525095313")</f>
        <v>H7525095313</v>
      </c>
      <c r="D2814" s="3">
        <f>IFERROR(__xludf.DUMMYFUNCTION("""COMPUTED_VALUE"""),51.0)</f>
        <v>51</v>
      </c>
      <c r="E2814" s="1"/>
    </row>
    <row r="2815">
      <c r="A2815" s="1"/>
      <c r="B2815" s="3" t="str">
        <f>IFERROR(__xludf.DUMMYFUNCTION("""COMPUTED_VALUE"""),"ERWIN FIRMANSYAH")</f>
        <v>ERWIN FIRMANSYAH</v>
      </c>
      <c r="C2815" s="3" t="str">
        <f>IFERROR(__xludf.DUMMYFUNCTION("""COMPUTED_VALUE"""),"E9725098581")</f>
        <v>E9725098581</v>
      </c>
      <c r="D2815" s="3">
        <f>IFERROR(__xludf.DUMMYFUNCTION("""COMPUTED_VALUE"""),28.0)</f>
        <v>28</v>
      </c>
      <c r="E2815" s="1"/>
    </row>
    <row r="2816">
      <c r="A2816" s="1"/>
      <c r="B2816" s="3" t="str">
        <f>IFERROR(__xludf.DUMMYFUNCTION("""COMPUTED_VALUE"""),"MARTIN")</f>
        <v>MARTIN</v>
      </c>
      <c r="C2816" s="3" t="str">
        <f>IFERROR(__xludf.DUMMYFUNCTION("""COMPUTED_VALUE"""),"M0125099595")</f>
        <v>M0125099595</v>
      </c>
      <c r="D2816" s="3">
        <f>IFERROR(__xludf.DUMMYFUNCTION("""COMPUTED_VALUE"""),24.0)</f>
        <v>24</v>
      </c>
      <c r="E2816" s="1"/>
    </row>
    <row r="2817">
      <c r="A2817" s="1"/>
      <c r="B2817" s="3" t="str">
        <f>IFERROR(__xludf.DUMMYFUNCTION("""COMPUTED_VALUE"""),"FHITO MASTURI INSANI")</f>
        <v>FHITO MASTURI INSANI</v>
      </c>
      <c r="C2817" s="3" t="str">
        <f>IFERROR(__xludf.DUMMYFUNCTION("""COMPUTED_VALUE"""),"F0225095325")</f>
        <v>F0225095325</v>
      </c>
      <c r="D2817" s="3">
        <f>IFERROR(__xludf.DUMMYFUNCTION("""COMPUTED_VALUE"""),24.0)</f>
        <v>24</v>
      </c>
      <c r="E2817" s="1"/>
    </row>
    <row r="2818">
      <c r="A2818" s="1"/>
      <c r="B2818" s="3" t="str">
        <f>IFERROR(__xludf.DUMMYFUNCTION("""COMPUTED_VALUE"""),"GINA INDRI")</f>
        <v>GINA INDRI</v>
      </c>
      <c r="C2818" s="3" t="str">
        <f>IFERROR(__xludf.DUMMYFUNCTION("""COMPUTED_VALUE"""),"G8325090525")</f>
        <v>G8325090525</v>
      </c>
      <c r="D2818" s="3">
        <f>IFERROR(__xludf.DUMMYFUNCTION("""COMPUTED_VALUE"""),42.0)</f>
        <v>42</v>
      </c>
      <c r="E2818" s="1"/>
    </row>
    <row r="2819">
      <c r="A2819" s="1"/>
      <c r="B2819" s="3" t="str">
        <f>IFERROR(__xludf.DUMMYFUNCTION("""COMPUTED_VALUE"""),"KASBI")</f>
        <v>KASBI</v>
      </c>
      <c r="C2819" s="3" t="str">
        <f>IFERROR(__xludf.DUMMYFUNCTION("""COMPUTED_VALUE"""),"K5225090123")</f>
        <v>K5225090123</v>
      </c>
      <c r="D2819" s="3">
        <f>IFERROR(__xludf.DUMMYFUNCTION("""COMPUTED_VALUE"""),74.0)</f>
        <v>74</v>
      </c>
      <c r="E2819" s="1"/>
    </row>
    <row r="2820">
      <c r="A2820" s="1"/>
      <c r="B2820" s="3" t="str">
        <f>IFERROR(__xludf.DUMMYFUNCTION("""COMPUTED_VALUE"""),"ANGGA RAHMADANI")</f>
        <v>ANGGA RAHMADANI</v>
      </c>
      <c r="C2820" s="3" t="str">
        <f>IFERROR(__xludf.DUMMYFUNCTION("""COMPUTED_VALUE"""),"A9125097217")</f>
        <v>A9125097217</v>
      </c>
      <c r="D2820" s="3">
        <f>IFERROR(__xludf.DUMMYFUNCTION("""COMPUTED_VALUE"""),35.0)</f>
        <v>35</v>
      </c>
      <c r="E2820" s="1"/>
    </row>
    <row r="2821">
      <c r="A2821" s="1"/>
      <c r="B2821" s="3" t="str">
        <f>IFERROR(__xludf.DUMMYFUNCTION("""COMPUTED_VALUE"""),"CASILDA ZAHRANA")</f>
        <v>CASILDA ZAHRANA</v>
      </c>
      <c r="C2821" s="3" t="str">
        <f>IFERROR(__xludf.DUMMYFUNCTION("""COMPUTED_VALUE"""),"C1225093006")</f>
        <v>C1225093006</v>
      </c>
      <c r="D2821" s="3">
        <f>IFERROR(__xludf.DUMMYFUNCTION("""COMPUTED_VALUE"""),13.0)</f>
        <v>13</v>
      </c>
      <c r="E2821" s="1"/>
    </row>
    <row r="2822">
      <c r="A2822" s="1"/>
      <c r="B2822" s="3" t="str">
        <f>IFERROR(__xludf.DUMMYFUNCTION("""COMPUTED_VALUE"""),"RUDI")</f>
        <v>RUDI</v>
      </c>
      <c r="C2822" s="3" t="str">
        <f>IFERROR(__xludf.DUMMYFUNCTION("""COMPUTED_VALUE"""),"R9725092235")</f>
        <v>R9725092235</v>
      </c>
      <c r="D2822" s="3">
        <f>IFERROR(__xludf.DUMMYFUNCTION("""COMPUTED_VALUE"""),28.0)</f>
        <v>28</v>
      </c>
      <c r="E2822" s="1"/>
    </row>
    <row r="2823">
      <c r="A2823" s="1"/>
      <c r="B2823" s="3" t="str">
        <f>IFERROR(__xludf.DUMMYFUNCTION("""COMPUTED_VALUE"""),"NOVIA PRATIWI")</f>
        <v>NOVIA PRATIWI</v>
      </c>
      <c r="C2823" s="3" t="str">
        <f>IFERROR(__xludf.DUMMYFUNCTION("""COMPUTED_VALUE"""),"N9625090550")</f>
        <v>N9625090550</v>
      </c>
      <c r="D2823" s="3">
        <f>IFERROR(__xludf.DUMMYFUNCTION("""COMPUTED_VALUE"""),29.0)</f>
        <v>29</v>
      </c>
      <c r="E2823" s="1"/>
    </row>
    <row r="2824">
      <c r="A2824" s="1"/>
      <c r="B2824" s="3" t="str">
        <f>IFERROR(__xludf.DUMMYFUNCTION("""COMPUTED_VALUE"""),"SURIYANI")</f>
        <v>SURIYANI</v>
      </c>
      <c r="C2824" s="3" t="str">
        <f>IFERROR(__xludf.DUMMYFUNCTION("""COMPUTED_VALUE"""),"S8125096183")</f>
        <v>S8125096183</v>
      </c>
      <c r="D2824" s="3">
        <f>IFERROR(__xludf.DUMMYFUNCTION("""COMPUTED_VALUE"""),45.0)</f>
        <v>45</v>
      </c>
      <c r="E2824" s="1"/>
    </row>
    <row r="2825">
      <c r="A2825" s="1"/>
      <c r="B2825" s="3" t="str">
        <f>IFERROR(__xludf.DUMMYFUNCTION("""COMPUTED_VALUE"""),"SANTI")</f>
        <v>SANTI</v>
      </c>
      <c r="C2825" s="3" t="str">
        <f>IFERROR(__xludf.DUMMYFUNCTION("""COMPUTED_VALUE"""),"S7125090898")</f>
        <v>S7125090898</v>
      </c>
      <c r="D2825" s="3">
        <f>IFERROR(__xludf.DUMMYFUNCTION("""COMPUTED_VALUE"""),55.0)</f>
        <v>55</v>
      </c>
      <c r="E2825" s="1"/>
    </row>
    <row r="2826">
      <c r="A2826" s="1"/>
      <c r="B2826" s="3" t="str">
        <f>IFERROR(__xludf.DUMMYFUNCTION("""COMPUTED_VALUE"""),"LIA")</f>
        <v>LIA</v>
      </c>
      <c r="C2826" s="3" t="str">
        <f>IFERROR(__xludf.DUMMYFUNCTION("""COMPUTED_VALUE"""),"L8925090200")</f>
        <v>L8925090200</v>
      </c>
      <c r="D2826" s="3">
        <f>IFERROR(__xludf.DUMMYFUNCTION("""COMPUTED_VALUE"""),36.0)</f>
        <v>36</v>
      </c>
      <c r="E2826" s="1"/>
    </row>
    <row r="2827">
      <c r="A2827" s="1"/>
      <c r="B2827" s="3" t="str">
        <f>IFERROR(__xludf.DUMMYFUNCTION("""COMPUTED_VALUE"""),"EUFEMIA VIRGINNE MILLENIA")</f>
        <v>EUFEMIA VIRGINNE MILLENIA</v>
      </c>
      <c r="C2827" s="3" t="str">
        <f>IFERROR(__xludf.DUMMYFUNCTION("""COMPUTED_VALUE"""),"E0025090")</f>
        <v>E0025090</v>
      </c>
      <c r="D2827" s="3">
        <f>IFERROR(__xludf.DUMMYFUNCTION("""COMPUTED_VALUE"""),25.0)</f>
        <v>25</v>
      </c>
      <c r="E2827" s="1"/>
    </row>
    <row r="2828">
      <c r="A2828" s="1"/>
      <c r="B2828" s="3" t="str">
        <f>IFERROR(__xludf.DUMMYFUNCTION("""COMPUTED_VALUE"""),"FIKANTIYAS DINIATI")</f>
        <v>FIKANTIYAS DINIATI</v>
      </c>
      <c r="C2828" s="3" t="str">
        <f>IFERROR(__xludf.DUMMYFUNCTION("""COMPUTED_VALUE"""),"F8325094650")</f>
        <v>F8325094650</v>
      </c>
      <c r="D2828" s="3">
        <f>IFERROR(__xludf.DUMMYFUNCTION("""COMPUTED_VALUE"""),43.0)</f>
        <v>43</v>
      </c>
      <c r="E2828" s="1"/>
    </row>
    <row r="2829">
      <c r="A2829" s="1"/>
      <c r="B2829" s="3" t="str">
        <f>IFERROR(__xludf.DUMMYFUNCTION("""COMPUTED_VALUE"""),"ROYMOND CHANDRA P")</f>
        <v>ROYMOND CHANDRA P</v>
      </c>
      <c r="C2829" s="3" t="str">
        <f>IFERROR(__xludf.DUMMYFUNCTION("""COMPUTED_VALUE"""),"R9325090723")</f>
        <v>R9325090723</v>
      </c>
      <c r="D2829" s="3">
        <f>IFERROR(__xludf.DUMMYFUNCTION("""COMPUTED_VALUE"""),33.0)</f>
        <v>33</v>
      </c>
      <c r="E2829" s="1"/>
    </row>
    <row r="2830">
      <c r="A2830" s="1"/>
      <c r="B2830" s="3" t="str">
        <f>IFERROR(__xludf.DUMMYFUNCTION("""COMPUTED_VALUE"""),"EMYLIA TRIANA SAPUTRI")</f>
        <v>EMYLIA TRIANA SAPUTRI</v>
      </c>
      <c r="C2830" s="3" t="str">
        <f>IFERROR(__xludf.DUMMYFUNCTION("""COMPUTED_VALUE"""),"E0325098158")</f>
        <v>E0325098158</v>
      </c>
      <c r="D2830" s="3">
        <f>IFERROR(__xludf.DUMMYFUNCTION("""COMPUTED_VALUE"""),22.0)</f>
        <v>22</v>
      </c>
      <c r="E2830" s="1"/>
    </row>
    <row r="2831">
      <c r="A2831" s="1"/>
      <c r="B2831" s="3" t="str">
        <f>IFERROR(__xludf.DUMMYFUNCTION("""COMPUTED_VALUE"""),"ANDRIANI")</f>
        <v>ANDRIANI</v>
      </c>
      <c r="C2831" s="3" t="str">
        <f>IFERROR(__xludf.DUMMYFUNCTION("""COMPUTED_VALUE"""),"A5625092572")</f>
        <v>A5625092572</v>
      </c>
      <c r="D2831" s="3">
        <f>IFERROR(__xludf.DUMMYFUNCTION("""COMPUTED_VALUE"""),69.0)</f>
        <v>69</v>
      </c>
      <c r="E2831" s="1"/>
    </row>
    <row r="2832">
      <c r="A2832" s="1"/>
      <c r="B2832" s="3" t="str">
        <f>IFERROR(__xludf.DUMMYFUNCTION("""COMPUTED_VALUE"""),"JONG NYUK KIM ALS FATIMAH")</f>
        <v>JONG NYUK KIM ALS FATIMAH</v>
      </c>
      <c r="C2832" s="3" t="str">
        <f>IFERROR(__xludf.DUMMYFUNCTION("""COMPUTED_VALUE"""),"J6025097234")</f>
        <v>J6025097234</v>
      </c>
      <c r="D2832" s="3">
        <f>IFERROR(__xludf.DUMMYFUNCTION("""COMPUTED_VALUE"""),66.0)</f>
        <v>66</v>
      </c>
      <c r="E2832" s="1"/>
    </row>
    <row r="2833">
      <c r="A2833" s="1"/>
      <c r="B2833" s="3" t="str">
        <f>IFERROR(__xludf.DUMMYFUNCTION("""COMPUTED_VALUE"""),"MICHAEL EMERSON YANSENS")</f>
        <v>MICHAEL EMERSON YANSENS</v>
      </c>
      <c r="C2833" s="3" t="str">
        <f>IFERROR(__xludf.DUMMYFUNCTION("""COMPUTED_VALUE"""),"M8625091074")</f>
        <v>M8625091074</v>
      </c>
      <c r="D2833" s="3">
        <f>IFERROR(__xludf.DUMMYFUNCTION("""COMPUTED_VALUE"""),39.0)</f>
        <v>39</v>
      </c>
      <c r="E2833" s="1"/>
    </row>
    <row r="2834">
      <c r="A2834" s="1"/>
      <c r="B2834" s="3" t="str">
        <f>IFERROR(__xludf.DUMMYFUNCTION("""COMPUTED_VALUE"""),"DAULIAH")</f>
        <v>DAULIAH</v>
      </c>
      <c r="C2834" s="3" t="str">
        <f>IFERROR(__xludf.DUMMYFUNCTION("""COMPUTED_VALUE"""),"D7225090")</f>
        <v>D7225090</v>
      </c>
      <c r="D2834" s="3">
        <f>IFERROR(__xludf.DUMMYFUNCTION("""COMPUTED_VALUE"""),54.0)</f>
        <v>54</v>
      </c>
      <c r="E2834" s="1"/>
    </row>
    <row r="2835">
      <c r="A2835" s="1"/>
      <c r="B2835" s="3" t="str">
        <f>IFERROR(__xludf.DUMMYFUNCTION("""COMPUTED_VALUE"""),"WULAN SITI AISYAH")</f>
        <v>WULAN SITI AISYAH</v>
      </c>
      <c r="C2835" s="3" t="str">
        <f>IFERROR(__xludf.DUMMYFUNCTION("""COMPUTED_VALUE"""),"W0825093044")</f>
        <v>W0825093044</v>
      </c>
      <c r="D2835" s="3">
        <f>IFERROR(__xludf.DUMMYFUNCTION("""COMPUTED_VALUE"""),18.0)</f>
        <v>18</v>
      </c>
      <c r="E2835" s="1"/>
    </row>
    <row r="2836">
      <c r="A2836" s="1"/>
      <c r="B2836" s="3" t="str">
        <f>IFERROR(__xludf.DUMMYFUNCTION("""COMPUTED_VALUE"""),"MARIA ELLISA")</f>
        <v>MARIA ELLISA</v>
      </c>
      <c r="C2836" s="3" t="str">
        <f>IFERROR(__xludf.DUMMYFUNCTION("""COMPUTED_VALUE"""),"M0725093359")</f>
        <v>M0725093359</v>
      </c>
      <c r="D2836" s="3">
        <f>IFERROR(__xludf.DUMMYFUNCTION("""COMPUTED_VALUE"""),18.0)</f>
        <v>18</v>
      </c>
      <c r="E2836" s="1"/>
    </row>
    <row r="2837">
      <c r="A2837" s="1"/>
      <c r="B2837" s="3" t="str">
        <f>IFERROR(__xludf.DUMMYFUNCTION("""COMPUTED_VALUE"""),"M RAKHA WIBISANA")</f>
        <v>M RAKHA WIBISANA</v>
      </c>
      <c r="C2837" s="3" t="str">
        <f>IFERROR(__xludf.DUMMYFUNCTION("""COMPUTED_VALUE"""),"M9725099009")</f>
        <v>M9725099009</v>
      </c>
      <c r="D2837" s="3">
        <f>IFERROR(__xludf.DUMMYFUNCTION("""COMPUTED_VALUE"""),29.0)</f>
        <v>29</v>
      </c>
      <c r="E2837" s="1"/>
    </row>
    <row r="2838">
      <c r="A2838" s="1"/>
      <c r="B2838" s="3" t="str">
        <f>IFERROR(__xludf.DUMMYFUNCTION("""COMPUTED_VALUE"""),"INKA RUSADY")</f>
        <v>INKA RUSADY</v>
      </c>
      <c r="C2838" s="3" t="str">
        <f>IFERROR(__xludf.DUMMYFUNCTION("""COMPUTED_VALUE"""),"I9525094175")</f>
        <v>I9525094175</v>
      </c>
      <c r="D2838" s="3">
        <f>IFERROR(__xludf.DUMMYFUNCTION("""COMPUTED_VALUE"""),30.0)</f>
        <v>30</v>
      </c>
      <c r="E2838" s="1"/>
    </row>
    <row r="2839">
      <c r="A2839" s="1"/>
      <c r="B2839" s="3" t="str">
        <f>IFERROR(__xludf.DUMMYFUNCTION("""COMPUTED_VALUE"""),"RANDY GIAN SETIAWAN")</f>
        <v>RANDY GIAN SETIAWAN</v>
      </c>
      <c r="C2839" s="3" t="str">
        <f>IFERROR(__xludf.DUMMYFUNCTION("""COMPUTED_VALUE"""),"R9625094100")</f>
        <v>R9625094100</v>
      </c>
      <c r="D2839" s="3">
        <f>IFERROR(__xludf.DUMMYFUNCTION("""COMPUTED_VALUE"""),30.0)</f>
        <v>30</v>
      </c>
      <c r="E2839" s="1"/>
    </row>
    <row r="2840">
      <c r="A2840" s="1"/>
      <c r="B2840" s="3" t="str">
        <f>IFERROR(__xludf.DUMMYFUNCTION("""COMPUTED_VALUE"""),"INDINA SHINTA DEWI")</f>
        <v>INDINA SHINTA DEWI</v>
      </c>
      <c r="C2840" s="3" t="str">
        <f>IFERROR(__xludf.DUMMYFUNCTION("""COMPUTED_VALUE"""),"I8825095691")</f>
        <v>I8825095691</v>
      </c>
      <c r="D2840" s="3">
        <f>IFERROR(__xludf.DUMMYFUNCTION("""COMPUTED_VALUE"""),38.0)</f>
        <v>38</v>
      </c>
      <c r="E2840" s="1"/>
    </row>
    <row r="2841">
      <c r="A2841" s="1"/>
      <c r="B2841" s="3" t="str">
        <f>IFERROR(__xludf.DUMMYFUNCTION("""COMPUTED_VALUE"""),"ERLIN NURLIAWATY")</f>
        <v>ERLIN NURLIAWATY</v>
      </c>
      <c r="C2841" s="3" t="str">
        <f>IFERROR(__xludf.DUMMYFUNCTION("""COMPUTED_VALUE"""),"E8425098000")</f>
        <v>E8425098000</v>
      </c>
      <c r="D2841" s="3">
        <f>IFERROR(__xludf.DUMMYFUNCTION("""COMPUTED_VALUE"""),41.0)</f>
        <v>41</v>
      </c>
      <c r="E2841" s="1"/>
    </row>
    <row r="2842">
      <c r="A2842" s="1"/>
      <c r="B2842" s="3" t="str">
        <f>IFERROR(__xludf.DUMMYFUNCTION("""COMPUTED_VALUE"""),"GERHANA AISYAH")</f>
        <v>GERHANA AISYAH</v>
      </c>
      <c r="C2842" s="3" t="str">
        <f>IFERROR(__xludf.DUMMYFUNCTION("""COMPUTED_VALUE"""),"G9525099652")</f>
        <v>G9525099652</v>
      </c>
      <c r="D2842" s="3">
        <f>IFERROR(__xludf.DUMMYFUNCTION("""COMPUTED_VALUE"""),30.0)</f>
        <v>30</v>
      </c>
      <c r="E2842" s="1"/>
    </row>
    <row r="2843">
      <c r="A2843" s="1"/>
      <c r="B2843" s="3" t="str">
        <f>IFERROR(__xludf.DUMMYFUNCTION("""COMPUTED_VALUE"""),"RUDI HARTONO")</f>
        <v>RUDI HARTONO</v>
      </c>
      <c r="C2843" s="3" t="str">
        <f>IFERROR(__xludf.DUMMYFUNCTION("""COMPUTED_VALUE"""),"R2525091389")</f>
        <v>R2525091389</v>
      </c>
      <c r="D2843" s="3">
        <f>IFERROR(__xludf.DUMMYFUNCTION("""COMPUTED_VALUE"""),1.0)</f>
        <v>1</v>
      </c>
      <c r="E2843" s="1"/>
    </row>
    <row r="2844">
      <c r="A2844" s="1"/>
      <c r="B2844" s="3" t="str">
        <f>IFERROR(__xludf.DUMMYFUNCTION("""COMPUTED_VALUE"""),"SRI HARTINI9803")</f>
        <v>SRI HARTINI9803</v>
      </c>
      <c r="C2844" s="3" t="str">
        <f>IFERROR(__xludf.DUMMYFUNCTION("""COMPUTED_VALUE"""),"S9825099009")</f>
        <v>S9825099009</v>
      </c>
      <c r="D2844" s="3">
        <f>IFERROR(__xludf.DUMMYFUNCTION("""COMPUTED_VALUE"""),28.0)</f>
        <v>28</v>
      </c>
      <c r="E2844" s="1"/>
    </row>
    <row r="2845">
      <c r="A2845" s="1"/>
      <c r="B2845" s="3" t="str">
        <f>IFERROR(__xludf.DUMMYFUNCTION("""COMPUTED_VALUE"""),"VERREL QEYRICH WALIVIN")</f>
        <v>VERREL QEYRICH WALIVIN</v>
      </c>
      <c r="C2845" s="3" t="str">
        <f>IFERROR(__xludf.DUMMYFUNCTION("""COMPUTED_VALUE"""),"V1425096888")</f>
        <v>V1425096888</v>
      </c>
      <c r="D2845" s="3">
        <f>IFERROR(__xludf.DUMMYFUNCTION("""COMPUTED_VALUE"""),11.0)</f>
        <v>11</v>
      </c>
      <c r="E2845" s="1"/>
    </row>
    <row r="2846">
      <c r="A2846" s="1"/>
      <c r="B2846" s="3" t="str">
        <f>IFERROR(__xludf.DUMMYFUNCTION("""COMPUTED_VALUE"""),"SHERLYKA UTARI SYACHPULIANTI")</f>
        <v>SHERLYKA UTARI SYACHPULIANTI</v>
      </c>
      <c r="C2846" s="3" t="str">
        <f>IFERROR(__xludf.DUMMYFUNCTION("""COMPUTED_VALUE"""),"S9225097330")</f>
        <v>S9225097330</v>
      </c>
      <c r="D2846" s="3">
        <f>IFERROR(__xludf.DUMMYFUNCTION("""COMPUTED_VALUE"""),33.0)</f>
        <v>33</v>
      </c>
      <c r="E2846" s="1"/>
    </row>
    <row r="2847">
      <c r="A2847" s="1"/>
      <c r="B2847" s="3" t="str">
        <f>IFERROR(__xludf.DUMMYFUNCTION("""COMPUTED_VALUE"""),"LINAWARTI")</f>
        <v>LINAWARTI</v>
      </c>
      <c r="C2847" s="3" t="str">
        <f>IFERROR(__xludf.DUMMYFUNCTION("""COMPUTED_VALUE"""),"L8725091989")</f>
        <v>L8725091989</v>
      </c>
      <c r="D2847" s="3">
        <f>IFERROR(__xludf.DUMMYFUNCTION("""COMPUTED_VALUE"""),39.0)</f>
        <v>39</v>
      </c>
      <c r="E2847" s="1"/>
    </row>
    <row r="2848">
      <c r="A2848" s="1"/>
      <c r="B2848" s="3" t="str">
        <f>IFERROR(__xludf.DUMMYFUNCTION("""COMPUTED_VALUE"""),"HALIM MASNO SUTJIANTO")</f>
        <v>HALIM MASNO SUTJIANTO</v>
      </c>
      <c r="C2848" s="3" t="str">
        <f>IFERROR(__xludf.DUMMYFUNCTION("""COMPUTED_VALUE"""),"H7125097575")</f>
        <v>H7125097575</v>
      </c>
      <c r="D2848" s="3">
        <f>IFERROR(__xludf.DUMMYFUNCTION("""COMPUTED_VALUE"""),55.0)</f>
        <v>55</v>
      </c>
      <c r="E2848" s="1"/>
    </row>
    <row r="2849">
      <c r="A2849" s="1"/>
      <c r="B2849" s="3" t="str">
        <f>IFERROR(__xludf.DUMMYFUNCTION("""COMPUTED_VALUE"""),"MENG NIAN ALIAS RUDI")</f>
        <v>MENG NIAN ALIAS RUDI</v>
      </c>
      <c r="C2849" s="3" t="str">
        <f>IFERROR(__xludf.DUMMYFUNCTION("""COMPUTED_VALUE"""),"M6825090")</f>
        <v>M6825090</v>
      </c>
      <c r="D2849" s="3">
        <f>IFERROR(__xludf.DUMMYFUNCTION("""COMPUTED_VALUE"""),57.0)</f>
        <v>57</v>
      </c>
      <c r="E2849" s="1"/>
    </row>
    <row r="2850">
      <c r="A2850" s="1"/>
      <c r="B2850" s="3" t="str">
        <f>IFERROR(__xludf.DUMMYFUNCTION("""COMPUTED_VALUE"""),"MUHAMMAD HENDRI. SE")</f>
        <v>MUHAMMAD HENDRI. SE</v>
      </c>
      <c r="C2850" s="3" t="str">
        <f>IFERROR(__xludf.DUMMYFUNCTION("""COMPUTED_VALUE"""),"M8125099997")</f>
        <v>M8125099997</v>
      </c>
      <c r="D2850" s="3">
        <f>IFERROR(__xludf.DUMMYFUNCTION("""COMPUTED_VALUE"""),45.0)</f>
        <v>45</v>
      </c>
      <c r="E2850" s="1"/>
    </row>
    <row r="2851">
      <c r="A2851" s="1"/>
      <c r="B2851" s="3" t="str">
        <f>IFERROR(__xludf.DUMMYFUNCTION("""COMPUTED_VALUE"""),"NADYNE ARSYFA NUR AS’ADIYAH")</f>
        <v>NADYNE ARSYFA NUR AS’ADIYAH</v>
      </c>
      <c r="C2851" s="3" t="str">
        <f>IFERROR(__xludf.DUMMYFUNCTION("""COMPUTED_VALUE"""),"N2525095500")</f>
        <v>N2525095500</v>
      </c>
      <c r="D2851" s="3">
        <f>IFERROR(__xludf.DUMMYFUNCTION("""COMPUTED_VALUE"""),0.0)</f>
        <v>0</v>
      </c>
      <c r="E2851" s="1"/>
    </row>
    <row r="2852">
      <c r="A2852" s="1"/>
      <c r="B2852" s="3" t="str">
        <f>IFERROR(__xludf.DUMMYFUNCTION("""COMPUTED_VALUE"""),"NURIL HUDA ATHARIQ UKASAH")</f>
        <v>NURIL HUDA ATHARIQ UKASAH</v>
      </c>
      <c r="C2852" s="3" t="str">
        <f>IFERROR(__xludf.DUMMYFUNCTION("""COMPUTED_VALUE"""),"N9825094835")</f>
        <v>N9825094835</v>
      </c>
      <c r="D2852" s="3">
        <f>IFERROR(__xludf.DUMMYFUNCTION("""COMPUTED_VALUE"""),27.0)</f>
        <v>27</v>
      </c>
      <c r="E2852" s="1"/>
    </row>
    <row r="2853">
      <c r="A2853" s="1"/>
      <c r="B2853" s="3" t="str">
        <f>IFERROR(__xludf.DUMMYFUNCTION("""COMPUTED_VALUE"""),"LUQMAN ABDUL JABBAR")</f>
        <v>LUQMAN ABDUL JABBAR</v>
      </c>
      <c r="C2853" s="3" t="str">
        <f>IFERROR(__xludf.DUMMYFUNCTION("""COMPUTED_VALUE"""),"L7525094307")</f>
        <v>L7525094307</v>
      </c>
      <c r="D2853" s="3">
        <f>IFERROR(__xludf.DUMMYFUNCTION("""COMPUTED_VALUE"""),51.0)</f>
        <v>51</v>
      </c>
      <c r="E2853" s="1"/>
    </row>
    <row r="2854">
      <c r="A2854" s="1"/>
      <c r="B2854" s="3" t="str">
        <f>IFERROR(__xludf.DUMMYFUNCTION("""COMPUTED_VALUE"""),"ERLINA KURNIAWAN")</f>
        <v>ERLINA KURNIAWAN</v>
      </c>
      <c r="C2854" s="3" t="str">
        <f>IFERROR(__xludf.DUMMYFUNCTION("""COMPUTED_VALUE"""),"E8725098616")</f>
        <v>E8725098616</v>
      </c>
      <c r="D2854" s="3">
        <f>IFERROR(__xludf.DUMMYFUNCTION("""COMPUTED_VALUE"""),38.0)</f>
        <v>38</v>
      </c>
      <c r="E2854" s="1"/>
    </row>
    <row r="2855">
      <c r="A2855" s="1"/>
      <c r="B2855" s="3" t="str">
        <f>IFERROR(__xludf.DUMMYFUNCTION("""COMPUTED_VALUE"""),"ALDA KENDRA ARTANTI")</f>
        <v>ALDA KENDRA ARTANTI</v>
      </c>
      <c r="C2855" s="3" t="str">
        <f>IFERROR(__xludf.DUMMYFUNCTION("""COMPUTED_VALUE"""),"A2525091800")</f>
        <v>A2525091800</v>
      </c>
      <c r="D2855" s="3">
        <f>IFERROR(__xludf.DUMMYFUNCTION("""COMPUTED_VALUE"""),0.0)</f>
        <v>0</v>
      </c>
      <c r="E2855" s="1"/>
    </row>
    <row r="2856">
      <c r="A2856" s="1"/>
      <c r="B2856" s="3" t="str">
        <f>IFERROR(__xludf.DUMMYFUNCTION("""COMPUTED_VALUE"""),"KADE DESMILAWATI")</f>
        <v>KADE DESMILAWATI</v>
      </c>
      <c r="C2856" s="3" t="str">
        <f>IFERROR(__xludf.DUMMYFUNCTION("""COMPUTED_VALUE"""),"K8225090080")</f>
        <v>K8225090080</v>
      </c>
      <c r="D2856" s="3">
        <f>IFERROR(__xludf.DUMMYFUNCTION("""COMPUTED_VALUE"""),43.0)</f>
        <v>43</v>
      </c>
      <c r="E2856" s="1"/>
    </row>
    <row r="2857">
      <c r="A2857" s="1"/>
      <c r="B2857" s="3" t="str">
        <f>IFERROR(__xludf.DUMMYFUNCTION("""COMPUTED_VALUE"""),"MUHAFIDZAH NADZEEFA RASYADA")</f>
        <v>MUHAFIDZAH NADZEEFA RASYADA</v>
      </c>
      <c r="C2857" s="3" t="str">
        <f>IFERROR(__xludf.DUMMYFUNCTION("""COMPUTED_VALUE"""),"M1125093332")</f>
        <v>M1125093332</v>
      </c>
      <c r="D2857" s="3">
        <f>IFERROR(__xludf.DUMMYFUNCTION("""COMPUTED_VALUE"""),15.0)</f>
        <v>15</v>
      </c>
      <c r="E2857" s="1"/>
    </row>
    <row r="2858">
      <c r="A2858" s="1"/>
      <c r="B2858" s="3" t="str">
        <f>IFERROR(__xludf.DUMMYFUNCTION("""COMPUTED_VALUE"""),"HAIRIL AL-HAM")</f>
        <v>HAIRIL AL-HAM</v>
      </c>
      <c r="C2858" s="3" t="str">
        <f>IFERROR(__xludf.DUMMYFUNCTION("""COMPUTED_VALUE"""),"H0225090832")</f>
        <v>H0225090832</v>
      </c>
      <c r="D2858" s="3">
        <f>IFERROR(__xludf.DUMMYFUNCTION("""COMPUTED_VALUE"""),23.0)</f>
        <v>23</v>
      </c>
      <c r="E2858" s="1"/>
    </row>
    <row r="2859">
      <c r="A2859" s="1"/>
      <c r="B2859" s="3" t="str">
        <f>IFERROR(__xludf.DUMMYFUNCTION("""COMPUTED_VALUE"""),"ARENDRA BAYU WICAKSONO")</f>
        <v>ARENDRA BAYU WICAKSONO</v>
      </c>
      <c r="C2859" s="3" t="str">
        <f>IFERROR(__xludf.DUMMYFUNCTION("""COMPUTED_VALUE"""),"A9025096726")</f>
        <v>A9025096726</v>
      </c>
      <c r="D2859" s="3">
        <f>IFERROR(__xludf.DUMMYFUNCTION("""COMPUTED_VALUE"""),36.0)</f>
        <v>36</v>
      </c>
      <c r="E2859" s="1"/>
    </row>
    <row r="2860">
      <c r="A2860" s="1"/>
      <c r="B2860" s="3" t="str">
        <f>IFERROR(__xludf.DUMMYFUNCTION("""COMPUTED_VALUE"""),"RAIHANI")</f>
        <v>RAIHANI</v>
      </c>
      <c r="C2860" s="3" t="str">
        <f>IFERROR(__xludf.DUMMYFUNCTION("""COMPUTED_VALUE"""),"R2525095104")</f>
        <v>R2525095104</v>
      </c>
      <c r="D2860" s="3">
        <f>IFERROR(__xludf.DUMMYFUNCTION("""COMPUTED_VALUE"""),0.0)</f>
        <v>0</v>
      </c>
      <c r="E2860" s="1"/>
    </row>
    <row r="2861">
      <c r="A2861" s="1"/>
      <c r="B2861" s="3" t="str">
        <f>IFERROR(__xludf.DUMMYFUNCTION("""COMPUTED_VALUE"""),"EDY HARTONO")</f>
        <v>EDY HARTONO</v>
      </c>
      <c r="C2861" s="3" t="str">
        <f>IFERROR(__xludf.DUMMYFUNCTION("""COMPUTED_VALUE"""),"E7525090355")</f>
        <v>E7525090355</v>
      </c>
      <c r="D2861" s="3">
        <f>IFERROR(__xludf.DUMMYFUNCTION("""COMPUTED_VALUE"""),51.0)</f>
        <v>51</v>
      </c>
      <c r="E2861" s="1"/>
    </row>
    <row r="2862">
      <c r="A2862" s="1"/>
      <c r="B2862" s="3" t="str">
        <f>IFERROR(__xludf.DUMMYFUNCTION("""COMPUTED_VALUE"""),"KHOU AI NA")</f>
        <v>KHOU AI NA</v>
      </c>
      <c r="C2862" s="3" t="str">
        <f>IFERROR(__xludf.DUMMYFUNCTION("""COMPUTED_VALUE"""),"K7925099117")</f>
        <v>K7925099117</v>
      </c>
      <c r="D2862" s="3">
        <f>IFERROR(__xludf.DUMMYFUNCTION("""COMPUTED_VALUE"""),46.0)</f>
        <v>46</v>
      </c>
      <c r="E2862" s="1"/>
    </row>
    <row r="2863">
      <c r="A2863" s="1"/>
      <c r="B2863" s="3" t="str">
        <f>IFERROR(__xludf.DUMMYFUNCTION("""COMPUTED_VALUE"""),"ALIF FISAYIDIN")</f>
        <v>ALIF FISAYIDIN</v>
      </c>
      <c r="C2863" s="3" t="str">
        <f>IFERROR(__xludf.DUMMYFUNCTION("""COMPUTED_VALUE"""),"A9925094720")</f>
        <v>A9925094720</v>
      </c>
      <c r="D2863" s="3">
        <f>IFERROR(__xludf.DUMMYFUNCTION("""COMPUTED_VALUE"""),26.0)</f>
        <v>26</v>
      </c>
      <c r="E2863" s="1"/>
    </row>
    <row r="2864">
      <c r="A2864" s="1"/>
      <c r="B2864" s="3" t="str">
        <f>IFERROR(__xludf.DUMMYFUNCTION("""COMPUTED_VALUE"""),"RICKY THERISNO")</f>
        <v>RICKY THERISNO</v>
      </c>
      <c r="C2864" s="3" t="str">
        <f>IFERROR(__xludf.DUMMYFUNCTION("""COMPUTED_VALUE"""),"R9725098379")</f>
        <v>R9725098379</v>
      </c>
      <c r="D2864" s="3">
        <f>IFERROR(__xludf.DUMMYFUNCTION("""COMPUTED_VALUE"""),28.0)</f>
        <v>28</v>
      </c>
      <c r="E2864" s="1"/>
    </row>
    <row r="2865">
      <c r="A2865" s="1"/>
      <c r="B2865" s="3" t="str">
        <f>IFERROR(__xludf.DUMMYFUNCTION("""COMPUTED_VALUE"""),"NANANG RADENDRA")</f>
        <v>NANANG RADENDRA</v>
      </c>
      <c r="C2865" s="3" t="str">
        <f>IFERROR(__xludf.DUMMYFUNCTION("""COMPUTED_VALUE"""),"N8825093456")</f>
        <v>N8825093456</v>
      </c>
      <c r="D2865" s="3">
        <f>IFERROR(__xludf.DUMMYFUNCTION("""COMPUTED_VALUE"""),38.0)</f>
        <v>38</v>
      </c>
      <c r="E2865" s="1"/>
    </row>
    <row r="2866">
      <c r="A2866" s="1"/>
      <c r="B2866" s="3" t="str">
        <f>IFERROR(__xludf.DUMMYFUNCTION("""COMPUTED_VALUE"""),"PUJI MULYANI")</f>
        <v>PUJI MULYANI</v>
      </c>
      <c r="C2866" s="3" t="str">
        <f>IFERROR(__xludf.DUMMYFUNCTION("""COMPUTED_VALUE"""),"P7525096189")</f>
        <v>P7525096189</v>
      </c>
      <c r="D2866" s="3">
        <f>IFERROR(__xludf.DUMMYFUNCTION("""COMPUTED_VALUE"""),51.0)</f>
        <v>51</v>
      </c>
      <c r="E2866" s="1"/>
    </row>
    <row r="2867">
      <c r="A2867" s="1"/>
      <c r="B2867" s="3" t="str">
        <f>IFERROR(__xludf.DUMMYFUNCTION("""COMPUTED_VALUE"""),"FATMAWATI")</f>
        <v>FATMAWATI</v>
      </c>
      <c r="C2867" s="3" t="str">
        <f>IFERROR(__xludf.DUMMYFUNCTION("""COMPUTED_VALUE"""),"F6925098775")</f>
        <v>F6925098775</v>
      </c>
      <c r="D2867" s="3">
        <f>IFERROR(__xludf.DUMMYFUNCTION("""COMPUTED_VALUE"""),56.0)</f>
        <v>56</v>
      </c>
      <c r="E2867" s="1"/>
    </row>
    <row r="2868">
      <c r="A2868" s="1"/>
      <c r="B2868" s="3" t="str">
        <f>IFERROR(__xludf.DUMMYFUNCTION("""COMPUTED_VALUE"""),"HARTONO")</f>
        <v>HARTONO</v>
      </c>
      <c r="C2868" s="3" t="str">
        <f>IFERROR(__xludf.DUMMYFUNCTION("""COMPUTED_VALUE"""),"H8825094803")</f>
        <v>H8825094803</v>
      </c>
      <c r="D2868" s="3">
        <f>IFERROR(__xludf.DUMMYFUNCTION("""COMPUTED_VALUE"""),38.0)</f>
        <v>38</v>
      </c>
      <c r="E2868" s="1"/>
    </row>
    <row r="2869">
      <c r="A2869" s="1"/>
      <c r="B2869" s="3" t="str">
        <f>IFERROR(__xludf.DUMMYFUNCTION("""COMPUTED_VALUE"""),"NG SIA CIN")</f>
        <v>NG SIA CIN</v>
      </c>
      <c r="C2869" s="3" t="str">
        <f>IFERROR(__xludf.DUMMYFUNCTION("""COMPUTED_VALUE"""),"N5825097333")</f>
        <v>N5825097333</v>
      </c>
      <c r="D2869" s="3">
        <f>IFERROR(__xludf.DUMMYFUNCTION("""COMPUTED_VALUE"""),67.0)</f>
        <v>67</v>
      </c>
      <c r="E2869" s="1"/>
    </row>
    <row r="2870">
      <c r="A2870" s="1"/>
      <c r="B2870" s="3" t="str">
        <f>IFERROR(__xludf.DUMMYFUNCTION("""COMPUTED_VALUE"""),"DINDA SAFITRI")</f>
        <v>DINDA SAFITRI</v>
      </c>
      <c r="C2870" s="3" t="str">
        <f>IFERROR(__xludf.DUMMYFUNCTION("""COMPUTED_VALUE"""),"D0225093120")</f>
        <v>D0225093120</v>
      </c>
      <c r="D2870" s="3">
        <f>IFERROR(__xludf.DUMMYFUNCTION("""COMPUTED_VALUE"""),23.0)</f>
        <v>23</v>
      </c>
      <c r="E2870" s="1"/>
    </row>
    <row r="2871">
      <c r="A2871" s="1"/>
      <c r="B2871" s="3" t="str">
        <f>IFERROR(__xludf.DUMMYFUNCTION("""COMPUTED_VALUE"""),"LENY SUMANTRI")</f>
        <v>LENY SUMANTRI</v>
      </c>
      <c r="C2871" s="3" t="str">
        <f>IFERROR(__xludf.DUMMYFUNCTION("""COMPUTED_VALUE"""),"L8725094767")</f>
        <v>L8725094767</v>
      </c>
      <c r="D2871" s="3">
        <f>IFERROR(__xludf.DUMMYFUNCTION("""COMPUTED_VALUE"""),38.0)</f>
        <v>38</v>
      </c>
      <c r="E2871" s="1"/>
    </row>
    <row r="2872">
      <c r="A2872" s="1"/>
      <c r="B2872" s="3" t="str">
        <f>IFERROR(__xludf.DUMMYFUNCTION("""COMPUTED_VALUE"""),"FATHAN AUFA HAFIDZI")</f>
        <v>FATHAN AUFA HAFIDZI</v>
      </c>
      <c r="C2872" s="3" t="str">
        <f>IFERROR(__xludf.DUMMYFUNCTION("""COMPUTED_VALUE"""),"F1325098833")</f>
        <v>F1325098833</v>
      </c>
      <c r="D2872" s="3">
        <f>IFERROR(__xludf.DUMMYFUNCTION("""COMPUTED_VALUE"""),12.0)</f>
        <v>12</v>
      </c>
      <c r="E2872" s="1"/>
    </row>
    <row r="2873">
      <c r="A2873" s="1"/>
      <c r="B2873" s="3" t="str">
        <f>IFERROR(__xludf.DUMMYFUNCTION("""COMPUTED_VALUE"""),"JUNIARDY WONGSO")</f>
        <v>JUNIARDY WONGSO</v>
      </c>
      <c r="C2873" s="3" t="str">
        <f>IFERROR(__xludf.DUMMYFUNCTION("""COMPUTED_VALUE"""),"J9525098892")</f>
        <v>J9525098892</v>
      </c>
      <c r="D2873" s="3">
        <f>IFERROR(__xludf.DUMMYFUNCTION("""COMPUTED_VALUE"""),30.0)</f>
        <v>30</v>
      </c>
      <c r="E2873" s="1"/>
    </row>
    <row r="2874">
      <c r="A2874" s="1"/>
      <c r="B2874" s="3" t="str">
        <f>IFERROR(__xludf.DUMMYFUNCTION("""COMPUTED_VALUE"""),"MUTMAINAH")</f>
        <v>MUTMAINAH</v>
      </c>
      <c r="C2874" s="3" t="str">
        <f>IFERROR(__xludf.DUMMYFUNCTION("""COMPUTED_VALUE"""),"M7625091296")</f>
        <v>M7625091296</v>
      </c>
      <c r="D2874" s="3">
        <f>IFERROR(__xludf.DUMMYFUNCTION("""COMPUTED_VALUE"""),49.0)</f>
        <v>49</v>
      </c>
      <c r="E2874" s="1"/>
    </row>
    <row r="2875">
      <c r="A2875" s="1"/>
      <c r="B2875" s="3" t="str">
        <f>IFERROR(__xludf.DUMMYFUNCTION("""COMPUTED_VALUE"""),"SUDARMI")</f>
        <v>SUDARMI</v>
      </c>
      <c r="C2875" s="3" t="str">
        <f>IFERROR(__xludf.DUMMYFUNCTION("""COMPUTED_VALUE"""),"S5025099659")</f>
        <v>S5025099659</v>
      </c>
      <c r="D2875" s="3">
        <f>IFERROR(__xludf.DUMMYFUNCTION("""COMPUTED_VALUE"""),75.0)</f>
        <v>75</v>
      </c>
      <c r="E2875" s="1"/>
    </row>
    <row r="2876">
      <c r="A2876" s="1"/>
      <c r="B2876" s="3" t="str">
        <f>IFERROR(__xludf.DUMMYFUNCTION("""COMPUTED_VALUE"""),"ANAM SAPUTRO MARGO UTOMO")</f>
        <v>ANAM SAPUTRO MARGO UTOMO</v>
      </c>
      <c r="C2876" s="3" t="str">
        <f>IFERROR(__xludf.DUMMYFUNCTION("""COMPUTED_VALUE"""),"A9925090758")</f>
        <v>A9925090758</v>
      </c>
      <c r="D2876" s="3">
        <f>IFERROR(__xludf.DUMMYFUNCTION("""COMPUTED_VALUE"""),26.0)</f>
        <v>26</v>
      </c>
      <c r="E2876" s="1"/>
    </row>
    <row r="2877">
      <c r="A2877" s="1"/>
      <c r="B2877" s="3" t="str">
        <f>IFERROR(__xludf.DUMMYFUNCTION("""COMPUTED_VALUE"""),"MUHAMMAD CHAIRUDDIN, S.A.P")</f>
        <v>MUHAMMAD CHAIRUDDIN, S.A.P</v>
      </c>
      <c r="C2877" s="3" t="str">
        <f>IFERROR(__xludf.DUMMYFUNCTION("""COMPUTED_VALUE"""),"M7825098720")</f>
        <v>M7825098720</v>
      </c>
      <c r="D2877" s="3">
        <f>IFERROR(__xludf.DUMMYFUNCTION("""COMPUTED_VALUE"""),47.0)</f>
        <v>47</v>
      </c>
      <c r="E2877" s="1"/>
    </row>
    <row r="2878">
      <c r="A2878" s="1"/>
      <c r="B2878" s="3" t="str">
        <f>IFERROR(__xludf.DUMMYFUNCTION("""COMPUTED_VALUE"""),"MARIYAM")</f>
        <v>MARIYAM</v>
      </c>
      <c r="C2878" s="3" t="str">
        <f>IFERROR(__xludf.DUMMYFUNCTION("""COMPUTED_VALUE"""),"M6825093469")</f>
        <v>M6825093469</v>
      </c>
      <c r="D2878" s="3">
        <f>IFERROR(__xludf.DUMMYFUNCTION("""COMPUTED_VALUE"""),58.0)</f>
        <v>58</v>
      </c>
      <c r="E2878" s="1"/>
    </row>
    <row r="2879">
      <c r="A2879" s="1"/>
      <c r="B2879" s="3" t="str">
        <f>IFERROR(__xludf.DUMMYFUNCTION("""COMPUTED_VALUE"""),"FANRITA NABILA ISLAMY")</f>
        <v>FANRITA NABILA ISLAMY</v>
      </c>
      <c r="C2879" s="3" t="str">
        <f>IFERROR(__xludf.DUMMYFUNCTION("""COMPUTED_VALUE"""),"F9425098820")</f>
        <v>F9425098820</v>
      </c>
      <c r="D2879" s="3">
        <f>IFERROR(__xludf.DUMMYFUNCTION("""COMPUTED_VALUE"""),31.0)</f>
        <v>31</v>
      </c>
      <c r="E2879" s="1"/>
    </row>
    <row r="2880">
      <c r="A2880" s="1"/>
      <c r="B2880" s="3" t="str">
        <f>IFERROR(__xludf.DUMMYFUNCTION("""COMPUTED_VALUE"""),"BAENAH")</f>
        <v>BAENAH</v>
      </c>
      <c r="C2880" s="3" t="str">
        <f>IFERROR(__xludf.DUMMYFUNCTION("""COMPUTED_VALUE"""),"B6525099498")</f>
        <v>B6525099498</v>
      </c>
      <c r="D2880" s="3">
        <f>IFERROR(__xludf.DUMMYFUNCTION("""COMPUTED_VALUE"""),60.0)</f>
        <v>60</v>
      </c>
      <c r="E2880" s="1"/>
    </row>
    <row r="2881">
      <c r="A2881" s="1"/>
      <c r="B2881" s="3" t="str">
        <f>IFERROR(__xludf.DUMMYFUNCTION("""COMPUTED_VALUE"""),"PARANGE MANURUNG, S. H.")</f>
        <v>PARANGE MANURUNG, S. H.</v>
      </c>
      <c r="C2881" s="3" t="str">
        <f>IFERROR(__xludf.DUMMYFUNCTION("""COMPUTED_VALUE"""),"P7025095075")</f>
        <v>P7025095075</v>
      </c>
      <c r="D2881" s="3">
        <f>IFERROR(__xludf.DUMMYFUNCTION("""COMPUTED_VALUE"""),56.0)</f>
        <v>56</v>
      </c>
      <c r="E2881" s="1"/>
    </row>
    <row r="2882">
      <c r="A2882" s="1"/>
      <c r="B2882" s="3" t="str">
        <f>IFERROR(__xludf.DUMMYFUNCTION("""COMPUTED_VALUE"""),"DESTRIYANA DARMASTUTI")</f>
        <v>DESTRIYANA DARMASTUTI</v>
      </c>
      <c r="C2882" s="3" t="str">
        <f>IFERROR(__xludf.DUMMYFUNCTION("""COMPUTED_VALUE"""),"D9025090308")</f>
        <v>D9025090308</v>
      </c>
      <c r="D2882" s="3">
        <f>IFERROR(__xludf.DUMMYFUNCTION("""COMPUTED_VALUE"""),35.0)</f>
        <v>35</v>
      </c>
      <c r="E2882" s="1"/>
    </row>
    <row r="2883">
      <c r="A2883" s="1"/>
      <c r="B2883" s="3" t="str">
        <f>IFERROR(__xludf.DUMMYFUNCTION("""COMPUTED_VALUE"""),"MELINDA CAROLINA")</f>
        <v>MELINDA CAROLINA</v>
      </c>
      <c r="C2883" s="3" t="str">
        <f>IFERROR(__xludf.DUMMYFUNCTION("""COMPUTED_VALUE"""),"M9125091223")</f>
        <v>M9125091223</v>
      </c>
      <c r="D2883" s="3">
        <f>IFERROR(__xludf.DUMMYFUNCTION("""COMPUTED_VALUE"""),34.0)</f>
        <v>34</v>
      </c>
      <c r="E2883" s="1"/>
    </row>
    <row r="2884">
      <c r="A2884" s="1"/>
      <c r="B2884" s="3" t="str">
        <f>IFERROR(__xludf.DUMMYFUNCTION("""COMPUTED_VALUE"""),"SAMUEL LISHAN")</f>
        <v>SAMUEL LISHAN</v>
      </c>
      <c r="C2884" s="3" t="str">
        <f>IFERROR(__xludf.DUMMYFUNCTION("""COMPUTED_VALUE"""),"S9425090056")</f>
        <v>S9425090056</v>
      </c>
      <c r="D2884" s="3">
        <f>IFERROR(__xludf.DUMMYFUNCTION("""COMPUTED_VALUE"""),31.0)</f>
        <v>31</v>
      </c>
      <c r="E2884" s="1"/>
    </row>
    <row r="2885">
      <c r="A2885" s="1"/>
      <c r="B2885" s="3" t="str">
        <f>IFERROR(__xludf.DUMMYFUNCTION("""COMPUTED_VALUE"""),"LILI JARIAH")</f>
        <v>LILI JARIAH</v>
      </c>
      <c r="C2885" s="3" t="str">
        <f>IFERROR(__xludf.DUMMYFUNCTION("""COMPUTED_VALUE"""),"L8125099600")</f>
        <v>L8125099600</v>
      </c>
      <c r="D2885" s="3">
        <f>IFERROR(__xludf.DUMMYFUNCTION("""COMPUTED_VALUE"""),45.0)</f>
        <v>45</v>
      </c>
      <c r="E2885" s="1"/>
    </row>
    <row r="2886">
      <c r="A2886" s="1"/>
      <c r="B2886" s="3" t="str">
        <f>IFERROR(__xludf.DUMMYFUNCTION("""COMPUTED_VALUE"""),"A. SYUKUR H. JAFRI")</f>
        <v>A. SYUKUR H. JAFRI</v>
      </c>
      <c r="C2886" s="3" t="str">
        <f>IFERROR(__xludf.DUMMYFUNCTION("""COMPUTED_VALUE"""),"A6125094370")</f>
        <v>A6125094370</v>
      </c>
      <c r="D2886" s="3">
        <f>IFERROR(__xludf.DUMMYFUNCTION("""COMPUTED_VALUE"""),64.0)</f>
        <v>64</v>
      </c>
      <c r="E2886" s="1"/>
    </row>
    <row r="2887">
      <c r="A2887" s="1"/>
      <c r="B2887" s="3" t="str">
        <f>IFERROR(__xludf.DUMMYFUNCTION("""COMPUTED_VALUE"""),"AEGA YASA UTAMI")</f>
        <v>AEGA YASA UTAMI</v>
      </c>
      <c r="C2887" s="3" t="str">
        <f>IFERROR(__xludf.DUMMYFUNCTION("""COMPUTED_VALUE"""),"A8725092429")</f>
        <v>A8725092429</v>
      </c>
      <c r="D2887" s="3">
        <f>IFERROR(__xludf.DUMMYFUNCTION("""COMPUTED_VALUE"""),38.0)</f>
        <v>38</v>
      </c>
      <c r="E2887" s="1"/>
    </row>
    <row r="2888">
      <c r="A2888" s="1"/>
      <c r="B2888" s="3" t="str">
        <f>IFERROR(__xludf.DUMMYFUNCTION("""COMPUTED_VALUE"""),"SYAHRIL AKBARI")</f>
        <v>SYAHRIL AKBARI</v>
      </c>
      <c r="C2888" s="3" t="str">
        <f>IFERROR(__xludf.DUMMYFUNCTION("""COMPUTED_VALUE"""),"S9725092033")</f>
        <v>S9725092033</v>
      </c>
      <c r="D2888" s="3">
        <f>IFERROR(__xludf.DUMMYFUNCTION("""COMPUTED_VALUE"""),29.0)</f>
        <v>29</v>
      </c>
      <c r="E2888" s="1"/>
    </row>
    <row r="2889">
      <c r="A2889" s="1"/>
      <c r="B2889" s="3" t="str">
        <f>IFERROR(__xludf.DUMMYFUNCTION("""COMPUTED_VALUE"""),"PAYING")</f>
        <v>PAYING</v>
      </c>
      <c r="C2889" s="3" t="str">
        <f>IFERROR(__xludf.DUMMYFUNCTION("""COMPUTED_VALUE"""),"P6325090")</f>
        <v>P6325090</v>
      </c>
      <c r="D2889" s="3">
        <f>IFERROR(__xludf.DUMMYFUNCTION("""COMPUTED_VALUE"""),63.0)</f>
        <v>63</v>
      </c>
      <c r="E2889" s="1"/>
    </row>
    <row r="2890">
      <c r="A2890" s="1"/>
      <c r="B2890" s="3" t="str">
        <f>IFERROR(__xludf.DUMMYFUNCTION("""COMPUTED_VALUE"""),"DIKIFIRNANDA")</f>
        <v>DIKIFIRNANDA</v>
      </c>
      <c r="C2890" s="3" t="str">
        <f>IFERROR(__xludf.DUMMYFUNCTION("""COMPUTED_VALUE"""),"D0525097586")</f>
        <v>D0525097586</v>
      </c>
      <c r="D2890" s="3">
        <f>IFERROR(__xludf.DUMMYFUNCTION("""COMPUTED_VALUE"""),21.0)</f>
        <v>21</v>
      </c>
      <c r="E2890" s="1"/>
    </row>
    <row r="2891">
      <c r="A2891" s="1"/>
      <c r="B2891" s="3" t="str">
        <f>IFERROR(__xludf.DUMMYFUNCTION("""COMPUTED_VALUE"""),"SUPENDI")</f>
        <v>SUPENDI</v>
      </c>
      <c r="C2891" s="3" t="str">
        <f>IFERROR(__xludf.DUMMYFUNCTION("""COMPUTED_VALUE"""),"S8225092183")</f>
        <v>S8225092183</v>
      </c>
      <c r="D2891" s="3">
        <f>IFERROR(__xludf.DUMMYFUNCTION("""COMPUTED_VALUE"""),44.0)</f>
        <v>44</v>
      </c>
      <c r="E2891" s="1"/>
    </row>
    <row r="2892">
      <c r="A2892" s="1"/>
      <c r="B2892" s="3" t="str">
        <f>IFERROR(__xludf.DUMMYFUNCTION("""COMPUTED_VALUE"""),"HELIE")</f>
        <v>HELIE</v>
      </c>
      <c r="C2892" s="3" t="str">
        <f>IFERROR(__xludf.DUMMYFUNCTION("""COMPUTED_VALUE"""),"H7825098625")</f>
        <v>H7825098625</v>
      </c>
      <c r="D2892" s="3">
        <f>IFERROR(__xludf.DUMMYFUNCTION("""COMPUTED_VALUE"""),47.0)</f>
        <v>47</v>
      </c>
      <c r="E2892" s="1"/>
    </row>
    <row r="2893">
      <c r="A2893" s="1"/>
      <c r="B2893" s="3" t="str">
        <f>IFERROR(__xludf.DUMMYFUNCTION("""COMPUTED_VALUE"""),"M. FAIZ AZRIELRIANDRA")</f>
        <v>M. FAIZ AZRIELRIANDRA</v>
      </c>
      <c r="C2893" s="3" t="str">
        <f>IFERROR(__xludf.DUMMYFUNCTION("""COMPUTED_VALUE"""),"M0925093175")</f>
        <v>M0925093175</v>
      </c>
      <c r="D2893" s="3">
        <f>IFERROR(__xludf.DUMMYFUNCTION("""COMPUTED_VALUE"""),16.0)</f>
        <v>16</v>
      </c>
      <c r="E2893" s="1"/>
    </row>
    <row r="2894">
      <c r="A2894" s="1"/>
      <c r="B2894" s="3" t="str">
        <f>IFERROR(__xludf.DUMMYFUNCTION("""COMPUTED_VALUE"""),"LUHUT SIHOMBING")</f>
        <v>LUHUT SIHOMBING</v>
      </c>
      <c r="C2894" s="3" t="str">
        <f>IFERROR(__xludf.DUMMYFUNCTION("""COMPUTED_VALUE"""),"L6225093510")</f>
        <v>L6225093510</v>
      </c>
      <c r="D2894" s="3">
        <f>IFERROR(__xludf.DUMMYFUNCTION("""COMPUTED_VALUE"""),63.0)</f>
        <v>63</v>
      </c>
      <c r="E2894" s="1"/>
    </row>
    <row r="2895">
      <c r="A2895" s="1"/>
      <c r="B2895" s="3" t="str">
        <f>IFERROR(__xludf.DUMMYFUNCTION("""COMPUTED_VALUE"""),"MAWAR SARIANI")</f>
        <v>MAWAR SARIANI</v>
      </c>
      <c r="C2895" s="3" t="str">
        <f>IFERROR(__xludf.DUMMYFUNCTION("""COMPUTED_VALUE"""),"M9225090860")</f>
        <v>M9225090860</v>
      </c>
      <c r="D2895" s="3">
        <f>IFERROR(__xludf.DUMMYFUNCTION("""COMPUTED_VALUE"""),34.0)</f>
        <v>34</v>
      </c>
      <c r="E2895" s="1"/>
    </row>
    <row r="2896">
      <c r="A2896" s="1"/>
      <c r="B2896" s="3" t="str">
        <f>IFERROR(__xludf.DUMMYFUNCTION("""COMPUTED_VALUE"""),"YUNI ISHAFIZA")</f>
        <v>YUNI ISHAFIZA</v>
      </c>
      <c r="C2896" s="3" t="str">
        <f>IFERROR(__xludf.DUMMYFUNCTION("""COMPUTED_VALUE"""),"Y6625092191")</f>
        <v>Y6625092191</v>
      </c>
      <c r="D2896" s="3">
        <f>IFERROR(__xludf.DUMMYFUNCTION("""COMPUTED_VALUE"""),59.0)</f>
        <v>59</v>
      </c>
      <c r="E2896" s="1"/>
    </row>
    <row r="2897">
      <c r="A2897" s="1"/>
      <c r="B2897" s="3" t="str">
        <f>IFERROR(__xludf.DUMMYFUNCTION("""COMPUTED_VALUE"""),"KLEMENS SUADRIAN")</f>
        <v>KLEMENS SUADRIAN</v>
      </c>
      <c r="C2897" s="3" t="str">
        <f>IFERROR(__xludf.DUMMYFUNCTION("""COMPUTED_VALUE"""),"K8725099796")</f>
        <v>K8725099796</v>
      </c>
      <c r="D2897" s="3">
        <f>IFERROR(__xludf.DUMMYFUNCTION("""COMPUTED_VALUE"""),39.0)</f>
        <v>39</v>
      </c>
      <c r="E2897" s="1"/>
    </row>
    <row r="2898">
      <c r="A2898" s="1"/>
      <c r="B2898" s="3" t="str">
        <f>IFERROR(__xludf.DUMMYFUNCTION("""COMPUTED_VALUE"""),"ADRIANA")</f>
        <v>ADRIANA</v>
      </c>
      <c r="C2898" s="3" t="str">
        <f>IFERROR(__xludf.DUMMYFUNCTION("""COMPUTED_VALUE"""),"A6925093510")</f>
        <v>A6925093510</v>
      </c>
      <c r="D2898" s="3">
        <f>IFERROR(__xludf.DUMMYFUNCTION("""COMPUTED_VALUE"""),57.0)</f>
        <v>57</v>
      </c>
      <c r="E2898" s="1"/>
    </row>
    <row r="2899">
      <c r="A2899" s="1"/>
      <c r="B2899" s="3" t="str">
        <f>IFERROR(__xludf.DUMMYFUNCTION("""COMPUTED_VALUE"""),"RYUDINATA WILLIAM")</f>
        <v>RYUDINATA WILLIAM</v>
      </c>
      <c r="C2899" s="3" t="str">
        <f>IFERROR(__xludf.DUMMYFUNCTION("""COMPUTED_VALUE"""),"R1225091811")</f>
        <v>R1225091811</v>
      </c>
      <c r="D2899" s="3">
        <f>IFERROR(__xludf.DUMMYFUNCTION("""COMPUTED_VALUE"""),13.0)</f>
        <v>13</v>
      </c>
      <c r="E2899" s="1"/>
    </row>
    <row r="2900">
      <c r="A2900" s="1"/>
      <c r="B2900" s="3" t="str">
        <f>IFERROR(__xludf.DUMMYFUNCTION("""COMPUTED_VALUE"""),"FRANKY WILLIAM")</f>
        <v>FRANKY WILLIAM</v>
      </c>
      <c r="C2900" s="3" t="str">
        <f>IFERROR(__xludf.DUMMYFUNCTION("""COMPUTED_VALUE"""),"F4925091811")</f>
        <v>F4925091811</v>
      </c>
      <c r="D2900" s="3">
        <f>IFERROR(__xludf.DUMMYFUNCTION("""COMPUTED_VALUE"""),76.0)</f>
        <v>76</v>
      </c>
      <c r="E2900" s="1"/>
    </row>
    <row r="2901">
      <c r="A2901" s="1"/>
      <c r="B2901" s="3" t="str">
        <f>IFERROR(__xludf.DUMMYFUNCTION("""COMPUTED_VALUE"""),"LIU BI CUNG")</f>
        <v>LIU BI CUNG</v>
      </c>
      <c r="C2901" s="3" t="str">
        <f>IFERROR(__xludf.DUMMYFUNCTION("""COMPUTED_VALUE"""),"L6925096674")</f>
        <v>L6925096674</v>
      </c>
      <c r="D2901" s="3">
        <f>IFERROR(__xludf.DUMMYFUNCTION("""COMPUTED_VALUE"""),56.0)</f>
        <v>56</v>
      </c>
      <c r="E2901" s="1"/>
    </row>
    <row r="2902">
      <c r="A2902" s="1"/>
      <c r="B2902" s="3" t="str">
        <f>IFERROR(__xludf.DUMMYFUNCTION("""COMPUTED_VALUE"""),"SANTUN TOGATOROP")</f>
        <v>SANTUN TOGATOROP</v>
      </c>
      <c r="C2902" s="3" t="str">
        <f>IFERROR(__xludf.DUMMYFUNCTION("""COMPUTED_VALUE"""),"S5925098785")</f>
        <v>S5925098785</v>
      </c>
      <c r="D2902" s="3">
        <f>IFERROR(__xludf.DUMMYFUNCTION("""COMPUTED_VALUE"""),66.0)</f>
        <v>66</v>
      </c>
      <c r="E2902" s="1"/>
    </row>
    <row r="2903">
      <c r="A2903" s="1"/>
      <c r="B2903" s="3" t="str">
        <f>IFERROR(__xludf.DUMMYFUNCTION("""COMPUTED_VALUE"""),"AISHA NAJWA AQILA")</f>
        <v>AISHA NAJWA AQILA</v>
      </c>
      <c r="C2903" s="3" t="str">
        <f>IFERROR(__xludf.DUMMYFUNCTION("""COMPUTED_VALUE"""),"A0825098780")</f>
        <v>A0825098780</v>
      </c>
      <c r="D2903" s="3">
        <f>IFERROR(__xludf.DUMMYFUNCTION("""COMPUTED_VALUE"""),18.0)</f>
        <v>18</v>
      </c>
      <c r="E2903" s="1"/>
    </row>
    <row r="2904">
      <c r="A2904" s="1"/>
      <c r="B2904" s="3" t="str">
        <f>IFERROR(__xludf.DUMMYFUNCTION("""COMPUTED_VALUE"""),"ENNY RATNAWATI")</f>
        <v>ENNY RATNAWATI</v>
      </c>
      <c r="C2904" s="3" t="str">
        <f>IFERROR(__xludf.DUMMYFUNCTION("""COMPUTED_VALUE"""),"E6025095285")</f>
        <v>E6025095285</v>
      </c>
      <c r="D2904" s="3">
        <f>IFERROR(__xludf.DUMMYFUNCTION("""COMPUTED_VALUE"""),66.0)</f>
        <v>66</v>
      </c>
      <c r="E2904" s="1"/>
    </row>
    <row r="2905">
      <c r="A2905" s="1"/>
      <c r="B2905" s="3" t="str">
        <f>IFERROR(__xludf.DUMMYFUNCTION("""COMPUTED_VALUE"""),"SUYONO")</f>
        <v>SUYONO</v>
      </c>
      <c r="C2905" s="3" t="str">
        <f>IFERROR(__xludf.DUMMYFUNCTION("""COMPUTED_VALUE"""),"S7125096750")</f>
        <v>S7125096750</v>
      </c>
      <c r="D2905" s="3">
        <f>IFERROR(__xludf.DUMMYFUNCTION("""COMPUTED_VALUE"""),55.0)</f>
        <v>55</v>
      </c>
      <c r="E2905" s="1"/>
    </row>
    <row r="2906">
      <c r="A2906" s="1"/>
      <c r="B2906" s="3" t="str">
        <f>IFERROR(__xludf.DUMMYFUNCTION("""COMPUTED_VALUE"""),"SUHERMAN")</f>
        <v>SUHERMAN</v>
      </c>
      <c r="C2906" s="3" t="str">
        <f>IFERROR(__xludf.DUMMYFUNCTION("""COMPUTED_VALUE"""),"S7625091177")</f>
        <v>S7625091177</v>
      </c>
      <c r="D2906" s="3">
        <f>IFERROR(__xludf.DUMMYFUNCTION("""COMPUTED_VALUE"""),49.0)</f>
        <v>49</v>
      </c>
      <c r="E2906" s="1"/>
    </row>
    <row r="2907">
      <c r="A2907" s="1"/>
      <c r="B2907" s="3" t="str">
        <f>IFERROR(__xludf.DUMMYFUNCTION("""COMPUTED_VALUE"""),"HENG KENG SENG")</f>
        <v>HENG KENG SENG</v>
      </c>
      <c r="C2907" s="3" t="str">
        <f>IFERROR(__xludf.DUMMYFUNCTION("""COMPUTED_VALUE"""),"H5325098176")</f>
        <v>H5325098176</v>
      </c>
      <c r="D2907" s="3">
        <f>IFERROR(__xludf.DUMMYFUNCTION("""COMPUTED_VALUE"""),73.0)</f>
        <v>73</v>
      </c>
      <c r="E2907" s="1"/>
    </row>
    <row r="2908">
      <c r="A2908" s="1"/>
      <c r="B2908" s="3" t="str">
        <f>IFERROR(__xludf.DUMMYFUNCTION("""COMPUTED_VALUE"""),"CINDY KURNIA CHAIRUMIN")</f>
        <v>CINDY KURNIA CHAIRUMIN</v>
      </c>
      <c r="C2908" s="3" t="str">
        <f>IFERROR(__xludf.DUMMYFUNCTION("""COMPUTED_VALUE"""),"C9125097470")</f>
        <v>C9125097470</v>
      </c>
      <c r="D2908" s="3">
        <f>IFERROR(__xludf.DUMMYFUNCTION("""COMPUTED_VALUE"""),35.0)</f>
        <v>35</v>
      </c>
      <c r="E2908" s="1"/>
    </row>
    <row r="2909">
      <c r="A2909" s="1"/>
      <c r="B2909" s="3" t="str">
        <f>IFERROR(__xludf.DUMMYFUNCTION("""COMPUTED_VALUE"""),"NAI HAK KHIM")</f>
        <v>NAI HAK KHIM</v>
      </c>
      <c r="C2909" s="3" t="str">
        <f>IFERROR(__xludf.DUMMYFUNCTION("""COMPUTED_VALUE"""),"N6225097470")</f>
        <v>N6225097470</v>
      </c>
      <c r="D2909" s="3">
        <f>IFERROR(__xludf.DUMMYFUNCTION("""COMPUTED_VALUE"""),64.0)</f>
        <v>64</v>
      </c>
      <c r="E2909" s="1"/>
    </row>
    <row r="2910">
      <c r="A2910" s="1"/>
      <c r="B2910" s="3" t="str">
        <f>IFERROR(__xludf.DUMMYFUNCTION("""COMPUTED_VALUE"""),"FITRI HALUDIAWATI")</f>
        <v>FITRI HALUDIAWATI</v>
      </c>
      <c r="C2910" s="3" t="str">
        <f>IFERROR(__xludf.DUMMYFUNCTION("""COMPUTED_VALUE"""),"F9725096709")</f>
        <v>F9725096709</v>
      </c>
      <c r="D2910" s="3">
        <f>IFERROR(__xludf.DUMMYFUNCTION("""COMPUTED_VALUE"""),28.0)</f>
        <v>28</v>
      </c>
      <c r="E2910" s="1"/>
    </row>
    <row r="2911">
      <c r="A2911" s="1"/>
      <c r="B2911" s="3" t="str">
        <f>IFERROR(__xludf.DUMMYFUNCTION("""COMPUTED_VALUE"""),"LIM OI SIP ALS ERNY")</f>
        <v>LIM OI SIP ALS ERNY</v>
      </c>
      <c r="C2911" s="3" t="str">
        <f>IFERROR(__xludf.DUMMYFUNCTION("""COMPUTED_VALUE"""),"L5325099995")</f>
        <v>L5325099995</v>
      </c>
      <c r="D2911" s="3">
        <f>IFERROR(__xludf.DUMMYFUNCTION("""COMPUTED_VALUE"""),73.0)</f>
        <v>73</v>
      </c>
      <c r="E2911" s="1"/>
    </row>
    <row r="2912">
      <c r="A2912" s="1"/>
      <c r="B2912" s="3" t="str">
        <f>IFERROR(__xludf.DUMMYFUNCTION("""COMPUTED_VALUE"""),"HARRY FURQAN")</f>
        <v>HARRY FURQAN</v>
      </c>
      <c r="C2912" s="3" t="str">
        <f>IFERROR(__xludf.DUMMYFUNCTION("""COMPUTED_VALUE"""),"H9025092496")</f>
        <v>H9025092496</v>
      </c>
      <c r="D2912" s="3">
        <f>IFERROR(__xludf.DUMMYFUNCTION("""COMPUTED_VALUE"""),35.0)</f>
        <v>35</v>
      </c>
      <c r="E2912" s="1"/>
    </row>
    <row r="2913">
      <c r="A2913" s="1"/>
      <c r="B2913" s="3" t="str">
        <f>IFERROR(__xludf.DUMMYFUNCTION("""COMPUTED_VALUE"""),"TEGUH PANGESTU")</f>
        <v>TEGUH PANGESTU</v>
      </c>
      <c r="C2913" s="3" t="str">
        <f>IFERROR(__xludf.DUMMYFUNCTION("""COMPUTED_VALUE"""),"T0125096931")</f>
        <v>T0125096931</v>
      </c>
      <c r="D2913" s="3">
        <f>IFERROR(__xludf.DUMMYFUNCTION("""COMPUTED_VALUE"""),25.0)</f>
        <v>25</v>
      </c>
      <c r="E2913" s="1"/>
    </row>
    <row r="2914">
      <c r="A2914" s="1"/>
      <c r="B2914" s="3" t="str">
        <f>IFERROR(__xludf.DUMMYFUNCTION("""COMPUTED_VALUE"""),"IRFAN APRISON")</f>
        <v>IRFAN APRISON</v>
      </c>
      <c r="C2914" s="3" t="str">
        <f>IFERROR(__xludf.DUMMYFUNCTION("""COMPUTED_VALUE"""),"I9525090")</f>
        <v>I9525090</v>
      </c>
      <c r="D2914" s="3">
        <f>IFERROR(__xludf.DUMMYFUNCTION("""COMPUTED_VALUE"""),30.0)</f>
        <v>30</v>
      </c>
      <c r="E2914" s="1"/>
    </row>
    <row r="2915">
      <c r="A2915" s="1"/>
      <c r="B2915" s="3" t="str">
        <f>IFERROR(__xludf.DUMMYFUNCTION("""COMPUTED_VALUE"""),"SINTA CLARENCIA")</f>
        <v>SINTA CLARENCIA</v>
      </c>
      <c r="C2915" s="3" t="str">
        <f>IFERROR(__xludf.DUMMYFUNCTION("""COMPUTED_VALUE"""),"S8625097998")</f>
        <v>S8625097998</v>
      </c>
      <c r="D2915" s="3">
        <f>IFERROR(__xludf.DUMMYFUNCTION("""COMPUTED_VALUE"""),39.0)</f>
        <v>39</v>
      </c>
      <c r="E2915" s="1"/>
    </row>
    <row r="2916">
      <c r="A2916" s="1"/>
      <c r="B2916" s="3" t="str">
        <f>IFERROR(__xludf.DUMMYFUNCTION("""COMPUTED_VALUE"""),"ERWIN RAMDANI")</f>
        <v>ERWIN RAMDANI</v>
      </c>
      <c r="C2916" s="3" t="str">
        <f>IFERROR(__xludf.DUMMYFUNCTION("""COMPUTED_VALUE"""),"E9325090")</f>
        <v>E9325090</v>
      </c>
      <c r="D2916" s="3">
        <f>IFERROR(__xludf.DUMMYFUNCTION("""COMPUTED_VALUE"""),32.0)</f>
        <v>32</v>
      </c>
      <c r="E2916" s="1"/>
    </row>
    <row r="2917">
      <c r="A2917" s="1"/>
      <c r="B2917" s="3" t="str">
        <f>IFERROR(__xludf.DUMMYFUNCTION("""COMPUTED_VALUE"""),"BAI FURKON HILMI, SE")</f>
        <v>BAI FURKON HILMI, SE</v>
      </c>
      <c r="C2917" s="3" t="str">
        <f>IFERROR(__xludf.DUMMYFUNCTION("""COMPUTED_VALUE"""),"B7125094370")</f>
        <v>B7125094370</v>
      </c>
      <c r="D2917" s="3">
        <f>IFERROR(__xludf.DUMMYFUNCTION("""COMPUTED_VALUE"""),54.0)</f>
        <v>54</v>
      </c>
      <c r="E2917" s="1"/>
    </row>
    <row r="2918">
      <c r="A2918" s="1"/>
      <c r="B2918" s="3" t="str">
        <f>IFERROR(__xludf.DUMMYFUNCTION("""COMPUTED_VALUE"""),"REINHART ANANDA")</f>
        <v>REINHART ANANDA</v>
      </c>
      <c r="C2918" s="3" t="str">
        <f>IFERROR(__xludf.DUMMYFUNCTION("""COMPUTED_VALUE"""),"R0125092606")</f>
        <v>R0125092606</v>
      </c>
      <c r="D2918" s="3">
        <f>IFERROR(__xludf.DUMMYFUNCTION("""COMPUTED_VALUE"""),24.0)</f>
        <v>24</v>
      </c>
      <c r="E2918" s="1"/>
    </row>
    <row r="2919">
      <c r="A2919" s="1"/>
      <c r="B2919" s="3" t="str">
        <f>IFERROR(__xludf.DUMMYFUNCTION("""COMPUTED_VALUE"""),"FERDINAN")</f>
        <v>FERDINAN</v>
      </c>
      <c r="C2919" s="3" t="str">
        <f>IFERROR(__xludf.DUMMYFUNCTION("""COMPUTED_VALUE"""),"F7525096886")</f>
        <v>F7525096886</v>
      </c>
      <c r="D2919" s="3">
        <f>IFERROR(__xludf.DUMMYFUNCTION("""COMPUTED_VALUE"""),50.0)</f>
        <v>50</v>
      </c>
      <c r="E2919" s="1"/>
    </row>
    <row r="2920">
      <c r="A2920" s="1"/>
      <c r="B2920" s="3" t="str">
        <f>IFERROR(__xludf.DUMMYFUNCTION("""COMPUTED_VALUE"""),"DEVIN PANGESTU")</f>
        <v>DEVIN PANGESTU</v>
      </c>
      <c r="C2920" s="3" t="str">
        <f>IFERROR(__xludf.DUMMYFUNCTION("""COMPUTED_VALUE"""),"D1025091558")</f>
        <v>D1025091558</v>
      </c>
      <c r="D2920" s="3">
        <f>IFERROR(__xludf.DUMMYFUNCTION("""COMPUTED_VALUE"""),16.0)</f>
        <v>16</v>
      </c>
      <c r="E2920" s="1"/>
    </row>
    <row r="2921">
      <c r="A2921" s="1"/>
      <c r="B2921" s="3" t="str">
        <f>IFERROR(__xludf.DUMMYFUNCTION("""COMPUTED_VALUE"""),"DELILA")</f>
        <v>DELILA</v>
      </c>
      <c r="C2921" s="3" t="str">
        <f>IFERROR(__xludf.DUMMYFUNCTION("""COMPUTED_VALUE"""),"D9225097701")</f>
        <v>D9225097701</v>
      </c>
      <c r="D2921" s="3">
        <f>IFERROR(__xludf.DUMMYFUNCTION("""COMPUTED_VALUE"""),33.0)</f>
        <v>33</v>
      </c>
      <c r="E2921" s="1"/>
    </row>
    <row r="2922">
      <c r="A2922" s="1"/>
      <c r="B2922" s="3" t="str">
        <f>IFERROR(__xludf.DUMMYFUNCTION("""COMPUTED_VALUE"""),"RAFRIANDI SYAFLIADI")</f>
        <v>RAFRIANDI SYAFLIADI</v>
      </c>
      <c r="C2922" s="3" t="str">
        <f>IFERROR(__xludf.DUMMYFUNCTION("""COMPUTED_VALUE"""),"R8925093148")</f>
        <v>R8925093148</v>
      </c>
      <c r="D2922" s="3">
        <f>IFERROR(__xludf.DUMMYFUNCTION("""COMPUTED_VALUE"""),37.0)</f>
        <v>37</v>
      </c>
      <c r="E2922" s="1"/>
    </row>
    <row r="2923">
      <c r="A2923" s="1"/>
      <c r="B2923" s="3" t="str">
        <f>IFERROR(__xludf.DUMMYFUNCTION("""COMPUTED_VALUE"""),"AFNUR RIKI AMRULLAH")</f>
        <v>AFNUR RIKI AMRULLAH</v>
      </c>
      <c r="C2923" s="3" t="str">
        <f>IFERROR(__xludf.DUMMYFUNCTION("""COMPUTED_VALUE"""),"A9025092121")</f>
        <v>A9025092121</v>
      </c>
      <c r="D2923" s="3">
        <f>IFERROR(__xludf.DUMMYFUNCTION("""COMPUTED_VALUE"""),36.0)</f>
        <v>36</v>
      </c>
      <c r="E2923" s="1"/>
    </row>
    <row r="2924">
      <c r="A2924" s="1"/>
      <c r="B2924" s="3" t="str">
        <f>IFERROR(__xludf.DUMMYFUNCTION("""COMPUTED_VALUE"""),"FATI ARIFAH")</f>
        <v>FATI ARIFAH</v>
      </c>
      <c r="C2924" s="3" t="str">
        <f>IFERROR(__xludf.DUMMYFUNCTION("""COMPUTED_VALUE"""),"F1025103034")</f>
        <v>F1025103034</v>
      </c>
      <c r="D2924" s="3">
        <f>IFERROR(__xludf.DUMMYFUNCTION("""COMPUTED_VALUE"""),16.0)</f>
        <v>16</v>
      </c>
      <c r="E2924" s="1"/>
    </row>
    <row r="2925">
      <c r="A2925" s="1"/>
      <c r="B2925" s="3" t="str">
        <f>IFERROR(__xludf.DUMMYFUNCTION("""COMPUTED_VALUE"""),"LIM OI KHIUN ALS RIANA")</f>
        <v>LIM OI KHIUN ALS RIANA</v>
      </c>
      <c r="C2925" s="3" t="str">
        <f>IFERROR(__xludf.DUMMYFUNCTION("""COMPUTED_VALUE"""),"L5925109995")</f>
        <v>L5925109995</v>
      </c>
      <c r="D2925" s="3">
        <f>IFERROR(__xludf.DUMMYFUNCTION("""COMPUTED_VALUE"""),67.0)</f>
        <v>67</v>
      </c>
      <c r="E2925" s="1"/>
    </row>
    <row r="2926">
      <c r="A2926" s="1"/>
      <c r="B2926" s="3" t="str">
        <f>IFERROR(__xludf.DUMMYFUNCTION("""COMPUTED_VALUE"""),"SUHERDIYANTO, S.PD")</f>
        <v>SUHERDIYANTO, S.PD</v>
      </c>
      <c r="C2926" s="3" t="str">
        <f>IFERROR(__xludf.DUMMYFUNCTION("""COMPUTED_VALUE"""),"S8025102353")</f>
        <v>S8025102353</v>
      </c>
      <c r="D2926" s="3">
        <f>IFERROR(__xludf.DUMMYFUNCTION("""COMPUTED_VALUE"""),46.0)</f>
        <v>46</v>
      </c>
      <c r="E2926" s="1"/>
    </row>
    <row r="2927">
      <c r="A2927" s="1"/>
      <c r="B2927" s="3" t="str">
        <f>IFERROR(__xludf.DUMMYFUNCTION("""COMPUTED_VALUE"""),"LISA MEGASARI")</f>
        <v>LISA MEGASARI</v>
      </c>
      <c r="C2927" s="3" t="str">
        <f>IFERROR(__xludf.DUMMYFUNCTION("""COMPUTED_VALUE"""),"L8625105331")</f>
        <v>L8625105331</v>
      </c>
      <c r="D2927" s="3">
        <f>IFERROR(__xludf.DUMMYFUNCTION("""COMPUTED_VALUE"""),39.0)</f>
        <v>39</v>
      </c>
      <c r="E2927" s="1"/>
    </row>
    <row r="2928">
      <c r="A2928" s="1"/>
      <c r="B2928" s="3" t="str">
        <f>IFERROR(__xludf.DUMMYFUNCTION("""COMPUTED_VALUE"""),"ARIFIN NUR ROCHMAD")</f>
        <v>ARIFIN NUR ROCHMAD</v>
      </c>
      <c r="C2928" s="3" t="str">
        <f>IFERROR(__xludf.DUMMYFUNCTION("""COMPUTED_VALUE"""),"A9025108786")</f>
        <v>A9025108786</v>
      </c>
      <c r="D2928" s="3">
        <f>IFERROR(__xludf.DUMMYFUNCTION("""COMPUTED_VALUE"""),35.0)</f>
        <v>35</v>
      </c>
      <c r="E2928" s="1"/>
    </row>
    <row r="2929">
      <c r="A2929" s="1"/>
      <c r="B2929" s="3" t="str">
        <f>IFERROR(__xludf.DUMMYFUNCTION("""COMPUTED_VALUE"""),"SHAOUQI NASHUHA")</f>
        <v>SHAOUQI NASHUHA</v>
      </c>
      <c r="C2929" s="3" t="str">
        <f>IFERROR(__xludf.DUMMYFUNCTION("""COMPUTED_VALUE"""),"S9625108010")</f>
        <v>S9625108010</v>
      </c>
      <c r="D2929" s="3">
        <f>IFERROR(__xludf.DUMMYFUNCTION("""COMPUTED_VALUE"""),29.0)</f>
        <v>29</v>
      </c>
      <c r="E2929" s="1"/>
    </row>
    <row r="2930">
      <c r="A2930" s="1"/>
      <c r="B2930" s="3" t="str">
        <f>IFERROR(__xludf.DUMMYFUNCTION("""COMPUTED_VALUE"""),"RAHMAD PUNGKI WALUYO")</f>
        <v>RAHMAD PUNGKI WALUYO</v>
      </c>
      <c r="C2930" s="3" t="str">
        <f>IFERROR(__xludf.DUMMYFUNCTION("""COMPUTED_VALUE"""),"R7925105884")</f>
        <v>R7925105884</v>
      </c>
      <c r="D2930" s="3">
        <f>IFERROR(__xludf.DUMMYFUNCTION("""COMPUTED_VALUE"""),46.0)</f>
        <v>46</v>
      </c>
      <c r="E2930" s="1"/>
    </row>
    <row r="2931">
      <c r="A2931" s="1"/>
      <c r="B2931" s="3" t="str">
        <f>IFERROR(__xludf.DUMMYFUNCTION("""COMPUTED_VALUE"""),"ROBINSON NAINGGOLAN")</f>
        <v>ROBINSON NAINGGOLAN</v>
      </c>
      <c r="C2931" s="3" t="str">
        <f>IFERROR(__xludf.DUMMYFUNCTION("""COMPUTED_VALUE"""),"R9625100137")</f>
        <v>R9625100137</v>
      </c>
      <c r="D2931" s="3">
        <f>IFERROR(__xludf.DUMMYFUNCTION("""COMPUTED_VALUE"""),29.0)</f>
        <v>29</v>
      </c>
      <c r="E2931" s="1"/>
    </row>
    <row r="2932">
      <c r="A2932" s="1"/>
      <c r="B2932" s="3" t="str">
        <f>IFERROR(__xludf.DUMMYFUNCTION("""COMPUTED_VALUE"""),"LENI DIANTAMI")</f>
        <v>LENI DIANTAMI</v>
      </c>
      <c r="C2932" s="3" t="str">
        <f>IFERROR(__xludf.DUMMYFUNCTION("""COMPUTED_VALUE"""),"L2525104585")</f>
        <v>L2525104585</v>
      </c>
      <c r="D2932" s="3">
        <f>IFERROR(__xludf.DUMMYFUNCTION("""COMPUTED_VALUE"""),0.0)</f>
        <v>0</v>
      </c>
      <c r="E2932" s="1"/>
    </row>
    <row r="2933">
      <c r="A2933" s="1"/>
      <c r="B2933" s="3" t="str">
        <f>IFERROR(__xludf.DUMMYFUNCTION("""COMPUTED_VALUE"""),"AMARA PUTRI NAZARISKA")</f>
        <v>AMARA PUTRI NAZARISKA</v>
      </c>
      <c r="C2933" s="3" t="str">
        <f>IFERROR(__xludf.DUMMYFUNCTION("""COMPUTED_VALUE"""),"A0925107929")</f>
        <v>A0925107929</v>
      </c>
      <c r="D2933" s="3">
        <f>IFERROR(__xludf.DUMMYFUNCTION("""COMPUTED_VALUE"""),16.0)</f>
        <v>16</v>
      </c>
      <c r="E2933" s="1"/>
    </row>
    <row r="2934">
      <c r="A2934" s="1"/>
      <c r="B2934" s="3" t="str">
        <f>IFERROR(__xludf.DUMMYFUNCTION("""COMPUTED_VALUE"""),"ROSWITA")</f>
        <v>ROSWITA</v>
      </c>
      <c r="C2934" s="3" t="str">
        <f>IFERROR(__xludf.DUMMYFUNCTION("""COMPUTED_VALUE"""),"R7325101626")</f>
        <v>R7325101626</v>
      </c>
      <c r="D2934" s="3">
        <f>IFERROR(__xludf.DUMMYFUNCTION("""COMPUTED_VALUE"""),52.0)</f>
        <v>52</v>
      </c>
      <c r="E2934" s="1"/>
    </row>
    <row r="2935">
      <c r="A2935" s="1"/>
      <c r="B2935" s="3" t="str">
        <f>IFERROR(__xludf.DUMMYFUNCTION("""COMPUTED_VALUE"""),"BIBI NAIZA")</f>
        <v>BIBI NAIZA</v>
      </c>
      <c r="C2935" s="3" t="str">
        <f>IFERROR(__xludf.DUMMYFUNCTION("""COMPUTED_VALUE"""),"B8025102980")</f>
        <v>B8025102980</v>
      </c>
      <c r="D2935" s="3">
        <f>IFERROR(__xludf.DUMMYFUNCTION("""COMPUTED_VALUE"""),45.0)</f>
        <v>45</v>
      </c>
      <c r="E2935" s="1"/>
    </row>
    <row r="2936">
      <c r="A2936" s="1"/>
      <c r="B2936" s="3" t="str">
        <f>IFERROR(__xludf.DUMMYFUNCTION("""COMPUTED_VALUE"""),"TITIN MARIANTI S.PDI")</f>
        <v>TITIN MARIANTI S.PDI</v>
      </c>
      <c r="C2936" s="3" t="str">
        <f>IFERROR(__xludf.DUMMYFUNCTION("""COMPUTED_VALUE"""),"T6625103145")</f>
        <v>T6625103145</v>
      </c>
      <c r="D2936" s="3">
        <f>IFERROR(__xludf.DUMMYFUNCTION("""COMPUTED_VALUE"""),59.0)</f>
        <v>59</v>
      </c>
      <c r="E2936" s="1"/>
    </row>
    <row r="2937">
      <c r="A2937" s="1"/>
      <c r="B2937" s="3" t="str">
        <f>IFERROR(__xludf.DUMMYFUNCTION("""COMPUTED_VALUE"""),"MUHAMMAD AMSYARUL FIKRI")</f>
        <v>MUHAMMAD AMSYARUL FIKRI</v>
      </c>
      <c r="C2937" s="3" t="str">
        <f>IFERROR(__xludf.DUMMYFUNCTION("""COMPUTED_VALUE"""),"M1125104945")</f>
        <v>M1125104945</v>
      </c>
      <c r="D2937" s="3">
        <f>IFERROR(__xludf.DUMMYFUNCTION("""COMPUTED_VALUE"""),15.0)</f>
        <v>15</v>
      </c>
      <c r="E2937" s="1"/>
    </row>
    <row r="2938">
      <c r="A2938" s="1"/>
      <c r="B2938" s="3" t="str">
        <f>IFERROR(__xludf.DUMMYFUNCTION("""COMPUTED_VALUE"""),"DWI SARTIKA SARI")</f>
        <v>DWI SARTIKA SARI</v>
      </c>
      <c r="C2938" s="3" t="str">
        <f>IFERROR(__xludf.DUMMYFUNCTION("""COMPUTED_VALUE"""),"D8625106969")</f>
        <v>D8625106969</v>
      </c>
      <c r="D2938" s="3">
        <f>IFERROR(__xludf.DUMMYFUNCTION("""COMPUTED_VALUE"""),39.0)</f>
        <v>39</v>
      </c>
      <c r="E2938" s="1"/>
    </row>
    <row r="2939">
      <c r="A2939" s="1"/>
      <c r="B2939" s="3" t="str">
        <f>IFERROR(__xludf.DUMMYFUNCTION("""COMPUTED_VALUE"""),"RESTU WAHYUNI")</f>
        <v>RESTU WAHYUNI</v>
      </c>
      <c r="C2939" s="3" t="str">
        <f>IFERROR(__xludf.DUMMYFUNCTION("""COMPUTED_VALUE"""),"R2525109524")</f>
        <v>R2525109524</v>
      </c>
      <c r="D2939" s="3">
        <f>IFERROR(__xludf.DUMMYFUNCTION("""COMPUTED_VALUE"""),1.0)</f>
        <v>1</v>
      </c>
      <c r="E2939" s="1"/>
    </row>
    <row r="2940">
      <c r="A2940" s="1"/>
      <c r="B2940" s="3" t="str">
        <f>IFERROR(__xludf.DUMMYFUNCTION("""COMPUTED_VALUE"""),"MARISA HANDAYANI")</f>
        <v>MARISA HANDAYANI</v>
      </c>
      <c r="C2940" s="3" t="str">
        <f>IFERROR(__xludf.DUMMYFUNCTION("""COMPUTED_VALUE"""),"M9225108407")</f>
        <v>M9225108407</v>
      </c>
      <c r="D2940" s="3">
        <f>IFERROR(__xludf.DUMMYFUNCTION("""COMPUTED_VALUE"""),34.0)</f>
        <v>34</v>
      </c>
      <c r="E2940" s="1"/>
    </row>
    <row r="2941">
      <c r="A2941" s="1"/>
      <c r="B2941" s="3" t="str">
        <f>IFERROR(__xludf.DUMMYFUNCTION("""COMPUTED_VALUE"""),"CINTHYA MEILIZA")</f>
        <v>CINTHYA MEILIZA</v>
      </c>
      <c r="C2941" s="3" t="str">
        <f>IFERROR(__xludf.DUMMYFUNCTION("""COMPUTED_VALUE"""),"C9725104448")</f>
        <v>C9725104448</v>
      </c>
      <c r="D2941" s="3">
        <f>IFERROR(__xludf.DUMMYFUNCTION("""COMPUTED_VALUE"""),29.0)</f>
        <v>29</v>
      </c>
      <c r="E2941" s="1"/>
    </row>
    <row r="2942">
      <c r="A2942" s="1"/>
      <c r="B2942" s="3" t="str">
        <f>IFERROR(__xludf.DUMMYFUNCTION("""COMPUTED_VALUE"""),"SILVI AULIA")</f>
        <v>SILVI AULIA</v>
      </c>
      <c r="C2942" s="3" t="str">
        <f>IFERROR(__xludf.DUMMYFUNCTION("""COMPUTED_VALUE"""),"S0125102986")</f>
        <v>S0125102986</v>
      </c>
      <c r="D2942" s="3">
        <f>IFERROR(__xludf.DUMMYFUNCTION("""COMPUTED_VALUE"""),24.0)</f>
        <v>24</v>
      </c>
      <c r="E2942" s="1"/>
    </row>
    <row r="2943">
      <c r="A2943" s="1"/>
      <c r="B2943" s="3" t="str">
        <f>IFERROR(__xludf.DUMMYFUNCTION("""COMPUTED_VALUE"""),"BENI PRAYOGA")</f>
        <v>BENI PRAYOGA</v>
      </c>
      <c r="C2943" s="3" t="str">
        <f>IFERROR(__xludf.DUMMYFUNCTION("""COMPUTED_VALUE"""),"B9925104512")</f>
        <v>B9925104512</v>
      </c>
      <c r="D2943" s="3">
        <f>IFERROR(__xludf.DUMMYFUNCTION("""COMPUTED_VALUE"""),26.0)</f>
        <v>26</v>
      </c>
      <c r="E2943" s="1"/>
    </row>
    <row r="2944">
      <c r="A2944" s="1"/>
      <c r="B2944" s="3" t="str">
        <f>IFERROR(__xludf.DUMMYFUNCTION("""COMPUTED_VALUE"""),"UMI KHOLIFAH")</f>
        <v>UMI KHOLIFAH</v>
      </c>
      <c r="C2944" s="3" t="str">
        <f>IFERROR(__xludf.DUMMYFUNCTION("""COMPUTED_VALUE"""),"U7225107075")</f>
        <v>U7225107075</v>
      </c>
      <c r="D2944" s="3">
        <f>IFERROR(__xludf.DUMMYFUNCTION("""COMPUTED_VALUE"""),54.0)</f>
        <v>54</v>
      </c>
      <c r="E2944" s="1"/>
    </row>
    <row r="2945">
      <c r="A2945" s="1"/>
      <c r="B2945" s="3" t="str">
        <f>IFERROR(__xludf.DUMMYFUNCTION("""COMPUTED_VALUE"""),"ROSKIAMY")</f>
        <v>ROSKIAMY</v>
      </c>
      <c r="C2945" s="3" t="str">
        <f>IFERROR(__xludf.DUMMYFUNCTION("""COMPUTED_VALUE"""),"R5725106810")</f>
        <v>R5725106810</v>
      </c>
      <c r="D2945" s="3">
        <f>IFERROR(__xludf.DUMMYFUNCTION("""COMPUTED_VALUE"""),68.0)</f>
        <v>68</v>
      </c>
      <c r="E2945" s="1"/>
    </row>
    <row r="2946">
      <c r="A2946" s="1"/>
      <c r="B2946" s="3" t="str">
        <f>IFERROR(__xludf.DUMMYFUNCTION("""COMPUTED_VALUE"""),"MUHAMMAD ALIWA PASHYA")</f>
        <v>MUHAMMAD ALIWA PASHYA</v>
      </c>
      <c r="C2946" s="3" t="str">
        <f>IFERROR(__xludf.DUMMYFUNCTION("""COMPUTED_VALUE"""),"M0325109801")</f>
        <v>M0325109801</v>
      </c>
      <c r="D2946" s="3">
        <f>IFERROR(__xludf.DUMMYFUNCTION("""COMPUTED_VALUE"""),22.0)</f>
        <v>22</v>
      </c>
      <c r="E2946" s="1"/>
    </row>
    <row r="2947">
      <c r="A2947" s="1"/>
      <c r="B2947" s="3" t="str">
        <f>IFERROR(__xludf.DUMMYFUNCTION("""COMPUTED_VALUE"""),"SIGI WIRAPUTRA")</f>
        <v>SIGI WIRAPUTRA</v>
      </c>
      <c r="C2947" s="3" t="str">
        <f>IFERROR(__xludf.DUMMYFUNCTION("""COMPUTED_VALUE"""),"S1525106484")</f>
        <v>S1525106484</v>
      </c>
      <c r="D2947" s="3">
        <f>IFERROR(__xludf.DUMMYFUNCTION("""COMPUTED_VALUE"""),10.0)</f>
        <v>10</v>
      </c>
      <c r="E2947" s="1"/>
    </row>
    <row r="2948">
      <c r="A2948" s="1"/>
      <c r="B2948" s="3" t="str">
        <f>IFERROR(__xludf.DUMMYFUNCTION("""COMPUTED_VALUE"""),"ADIYATH RANDY YUDIMAMASE, SE.M.M")</f>
        <v>ADIYATH RANDY YUDIMAMASE, SE.M.M</v>
      </c>
      <c r="C2948" s="3" t="str">
        <f>IFERROR(__xludf.DUMMYFUNCTION("""COMPUTED_VALUE"""),"A9125100553")</f>
        <v>A9125100553</v>
      </c>
      <c r="D2948" s="3">
        <f>IFERROR(__xludf.DUMMYFUNCTION("""COMPUTED_VALUE"""),34.0)</f>
        <v>34</v>
      </c>
      <c r="E2948" s="1"/>
    </row>
    <row r="2949">
      <c r="A2949" s="1"/>
      <c r="B2949" s="3" t="str">
        <f>IFERROR(__xludf.DUMMYFUNCTION("""COMPUTED_VALUE"""),"SYLVIANI")</f>
        <v>SYLVIANI</v>
      </c>
      <c r="C2949" s="3" t="str">
        <f>IFERROR(__xludf.DUMMYFUNCTION("""COMPUTED_VALUE"""),"S5525103307")</f>
        <v>S5525103307</v>
      </c>
      <c r="D2949" s="3">
        <f>IFERROR(__xludf.DUMMYFUNCTION("""COMPUTED_VALUE"""),70.0)</f>
        <v>70</v>
      </c>
      <c r="E2949" s="1"/>
    </row>
    <row r="2950">
      <c r="A2950" s="1"/>
      <c r="B2950" s="3" t="str">
        <f>IFERROR(__xludf.DUMMYFUNCTION("""COMPUTED_VALUE"""),"BINTARI INDAH SAPUTRI")</f>
        <v>BINTARI INDAH SAPUTRI</v>
      </c>
      <c r="C2950" s="3" t="str">
        <f>IFERROR(__xludf.DUMMYFUNCTION("""COMPUTED_VALUE"""),"B8025102288")</f>
        <v>B8025102288</v>
      </c>
      <c r="D2950" s="3">
        <f>IFERROR(__xludf.DUMMYFUNCTION("""COMPUTED_VALUE"""),45.0)</f>
        <v>45</v>
      </c>
      <c r="E2950" s="1"/>
    </row>
    <row r="2951">
      <c r="A2951" s="1"/>
      <c r="B2951" s="3" t="str">
        <f>IFERROR(__xludf.DUMMYFUNCTION("""COMPUTED_VALUE"""),"ELWIN LAVEDA")</f>
        <v>ELWIN LAVEDA</v>
      </c>
      <c r="C2951" s="3" t="str">
        <f>IFERROR(__xludf.DUMMYFUNCTION("""COMPUTED_VALUE"""),"E0025103200")</f>
        <v>E0025103200</v>
      </c>
      <c r="D2951" s="3">
        <f>IFERROR(__xludf.DUMMYFUNCTION("""COMPUTED_VALUE"""),26.0)</f>
        <v>26</v>
      </c>
      <c r="E2951" s="1"/>
    </row>
    <row r="2952">
      <c r="A2952" s="1"/>
      <c r="B2952" s="3" t="str">
        <f>IFERROR(__xludf.DUMMYFUNCTION("""COMPUTED_VALUE"""),"RIA UTAMI")</f>
        <v>RIA UTAMI</v>
      </c>
      <c r="C2952" s="3" t="str">
        <f>IFERROR(__xludf.DUMMYFUNCTION("""COMPUTED_VALUE"""),"R7825108100")</f>
        <v>R7825108100</v>
      </c>
      <c r="D2952" s="3">
        <f>IFERROR(__xludf.DUMMYFUNCTION("""COMPUTED_VALUE"""),48.0)</f>
        <v>48</v>
      </c>
      <c r="E2952" s="1"/>
    </row>
    <row r="2953">
      <c r="A2953" s="1"/>
      <c r="B2953" s="3" t="str">
        <f>IFERROR(__xludf.DUMMYFUNCTION("""COMPUTED_VALUE"""),"FITRI ANGGRAINI")</f>
        <v>FITRI ANGGRAINI</v>
      </c>
      <c r="C2953" s="3" t="str">
        <f>IFERROR(__xludf.DUMMYFUNCTION("""COMPUTED_VALUE"""),"F0225101419")</f>
        <v>F0225101419</v>
      </c>
      <c r="D2953" s="3">
        <f>IFERROR(__xludf.DUMMYFUNCTION("""COMPUTED_VALUE"""),23.0)</f>
        <v>23</v>
      </c>
      <c r="E2953" s="1"/>
    </row>
    <row r="2954">
      <c r="A2954" s="1"/>
      <c r="B2954" s="3" t="str">
        <f>IFERROR(__xludf.DUMMYFUNCTION("""COMPUTED_VALUE"""),"JULIO ARIE PANANGIAN NAPITUPULU")</f>
        <v>JULIO ARIE PANANGIAN NAPITUPULU</v>
      </c>
      <c r="C2954" s="3" t="str">
        <f>IFERROR(__xludf.DUMMYFUNCTION("""COMPUTED_VALUE"""),"J9425106812")</f>
        <v>J9425106812</v>
      </c>
      <c r="D2954" s="3">
        <f>IFERROR(__xludf.DUMMYFUNCTION("""COMPUTED_VALUE"""),31.0)</f>
        <v>31</v>
      </c>
      <c r="E2954" s="1"/>
    </row>
    <row r="2955">
      <c r="A2955" s="1"/>
      <c r="B2955" s="3" t="str">
        <f>IFERROR(__xludf.DUMMYFUNCTION("""COMPUTED_VALUE"""),"TEGUH KURNIAWAN")</f>
        <v>TEGUH KURNIAWAN</v>
      </c>
      <c r="C2955" s="3" t="str">
        <f>IFERROR(__xludf.DUMMYFUNCTION("""COMPUTED_VALUE"""),"T8625107487")</f>
        <v>T8625107487</v>
      </c>
      <c r="D2955" s="3">
        <f>IFERROR(__xludf.DUMMYFUNCTION("""COMPUTED_VALUE"""),39.0)</f>
        <v>39</v>
      </c>
      <c r="E2955" s="1"/>
    </row>
    <row r="2956">
      <c r="A2956" s="1"/>
      <c r="B2956" s="3" t="str">
        <f>IFERROR(__xludf.DUMMYFUNCTION("""COMPUTED_VALUE"""),"NANI ERNIEYATI")</f>
        <v>NANI ERNIEYATI</v>
      </c>
      <c r="C2956" s="3" t="str">
        <f>IFERROR(__xludf.DUMMYFUNCTION("""COMPUTED_VALUE"""),"N7425100815")</f>
        <v>N7425100815</v>
      </c>
      <c r="D2956" s="3">
        <f>IFERROR(__xludf.DUMMYFUNCTION("""COMPUTED_VALUE"""),52.0)</f>
        <v>52</v>
      </c>
      <c r="E2956" s="1"/>
    </row>
    <row r="2957">
      <c r="A2957" s="1"/>
      <c r="B2957" s="3" t="str">
        <f>IFERROR(__xludf.DUMMYFUNCTION("""COMPUTED_VALUE"""),"HJ. NURDESWATI SH")</f>
        <v>HJ. NURDESWATI SH</v>
      </c>
      <c r="C2957" s="3" t="str">
        <f>IFERROR(__xludf.DUMMYFUNCTION("""COMPUTED_VALUE"""),"H2525100224")</f>
        <v>H2525100224</v>
      </c>
      <c r="D2957" s="3">
        <f>IFERROR(__xludf.DUMMYFUNCTION("""COMPUTED_VALUE"""),1.0)</f>
        <v>1</v>
      </c>
      <c r="E2957" s="1"/>
    </row>
    <row r="2958">
      <c r="A2958" s="1"/>
      <c r="B2958" s="3" t="str">
        <f>IFERROR(__xludf.DUMMYFUNCTION("""COMPUTED_VALUE"""),"GREGORIUS TACCHINARDI")</f>
        <v>GREGORIUS TACCHINARDI</v>
      </c>
      <c r="C2958" s="3" t="str">
        <f>IFERROR(__xludf.DUMMYFUNCTION("""COMPUTED_VALUE"""),"G0225101517")</f>
        <v>G0225101517</v>
      </c>
      <c r="D2958" s="3">
        <f>IFERROR(__xludf.DUMMYFUNCTION("""COMPUTED_VALUE"""),24.0)</f>
        <v>24</v>
      </c>
      <c r="E2958" s="1"/>
    </row>
    <row r="2959">
      <c r="A2959" s="1"/>
      <c r="B2959" s="3" t="str">
        <f>IFERROR(__xludf.DUMMYFUNCTION("""COMPUTED_VALUE"""),"ERIC JORDAN")</f>
        <v>ERIC JORDAN</v>
      </c>
      <c r="C2959" s="3" t="str">
        <f>IFERROR(__xludf.DUMMYFUNCTION("""COMPUTED_VALUE"""),"E9925108783")</f>
        <v>E9925108783</v>
      </c>
      <c r="D2959" s="3">
        <f>IFERROR(__xludf.DUMMYFUNCTION("""COMPUTED_VALUE"""),26.0)</f>
        <v>26</v>
      </c>
      <c r="E2959" s="1"/>
    </row>
    <row r="2960">
      <c r="A2960" s="1"/>
      <c r="B2960" s="3" t="str">
        <f>IFERROR(__xludf.DUMMYFUNCTION("""COMPUTED_VALUE"""),"FATIH HAWWARI")</f>
        <v>FATIH HAWWARI</v>
      </c>
      <c r="C2960" s="3" t="str">
        <f>IFERROR(__xludf.DUMMYFUNCTION("""COMPUTED_VALUE"""),"F1025100245")</f>
        <v>F1025100245</v>
      </c>
      <c r="D2960" s="3">
        <f>IFERROR(__xludf.DUMMYFUNCTION("""COMPUTED_VALUE"""),15.0)</f>
        <v>15</v>
      </c>
      <c r="E2960" s="1"/>
    </row>
    <row r="2961">
      <c r="A2961" s="1"/>
      <c r="B2961" s="3" t="str">
        <f>IFERROR(__xludf.DUMMYFUNCTION("""COMPUTED_VALUE"""),"AZARYA JADAYN ARYO")</f>
        <v>AZARYA JADAYN ARYO</v>
      </c>
      <c r="C2961" s="3" t="str">
        <f>IFERROR(__xludf.DUMMYFUNCTION("""COMPUTED_VALUE"""),"A1025102304")</f>
        <v>A1025102304</v>
      </c>
      <c r="D2961" s="3">
        <f>IFERROR(__xludf.DUMMYFUNCTION("""COMPUTED_VALUE"""),16.0)</f>
        <v>16</v>
      </c>
      <c r="E2961" s="1"/>
    </row>
    <row r="2962">
      <c r="A2962" s="1"/>
      <c r="B2962" s="3" t="str">
        <f>IFERROR(__xludf.DUMMYFUNCTION("""COMPUTED_VALUE"""),"MULLY ENDAH PRATIWI")</f>
        <v>MULLY ENDAH PRATIWI</v>
      </c>
      <c r="C2962" s="3" t="str">
        <f>IFERROR(__xludf.DUMMYFUNCTION("""COMPUTED_VALUE"""),"M7825100800")</f>
        <v>M7825100800</v>
      </c>
      <c r="D2962" s="3">
        <f>IFERROR(__xludf.DUMMYFUNCTION("""COMPUTED_VALUE"""),48.0)</f>
        <v>48</v>
      </c>
      <c r="E2962" s="1"/>
    </row>
    <row r="2963">
      <c r="A2963" s="1"/>
      <c r="B2963" s="3" t="str">
        <f>IFERROR(__xludf.DUMMYFUNCTION("""COMPUTED_VALUE"""),"FIKA DWI MEILISA")</f>
        <v>FIKA DWI MEILISA</v>
      </c>
      <c r="C2963" s="3" t="str">
        <f>IFERROR(__xludf.DUMMYFUNCTION("""COMPUTED_VALUE"""),"F0625102235")</f>
        <v>F0625102235</v>
      </c>
      <c r="D2963" s="3">
        <f>IFERROR(__xludf.DUMMYFUNCTION("""COMPUTED_VALUE"""),20.0)</f>
        <v>20</v>
      </c>
      <c r="E2963" s="1"/>
    </row>
    <row r="2964">
      <c r="A2964" s="1"/>
      <c r="B2964" s="3" t="str">
        <f>IFERROR(__xludf.DUMMYFUNCTION("""COMPUTED_VALUE"""),"RASIANI")</f>
        <v>RASIANI</v>
      </c>
      <c r="C2964" s="3" t="str">
        <f>IFERROR(__xludf.DUMMYFUNCTION("""COMPUTED_VALUE"""),"R8125102726")</f>
        <v>R8125102726</v>
      </c>
      <c r="D2964" s="3">
        <f>IFERROR(__xludf.DUMMYFUNCTION("""COMPUTED_VALUE"""),45.0)</f>
        <v>45</v>
      </c>
      <c r="E2964" s="1"/>
    </row>
    <row r="2965">
      <c r="A2965" s="1"/>
      <c r="B2965" s="3" t="str">
        <f>IFERROR(__xludf.DUMMYFUNCTION("""COMPUTED_VALUE"""),"RICKY ISKANDAR")</f>
        <v>RICKY ISKANDAR</v>
      </c>
      <c r="C2965" s="3" t="str">
        <f>IFERROR(__xludf.DUMMYFUNCTION("""COMPUTED_VALUE"""),"R8825109439")</f>
        <v>R8825109439</v>
      </c>
      <c r="D2965" s="3">
        <f>IFERROR(__xludf.DUMMYFUNCTION("""COMPUTED_VALUE"""),38.0)</f>
        <v>38</v>
      </c>
      <c r="E2965" s="1"/>
    </row>
    <row r="2966">
      <c r="A2966" s="1"/>
      <c r="B2966" s="3" t="str">
        <f>IFERROR(__xludf.DUMMYFUNCTION("""COMPUTED_VALUE"""),"UTIN ROSWITA")</f>
        <v>UTIN ROSWITA</v>
      </c>
      <c r="C2966" s="3" t="str">
        <f>IFERROR(__xludf.DUMMYFUNCTION("""COMPUTED_VALUE"""),"U6125104228")</f>
        <v>U6125104228</v>
      </c>
      <c r="D2966" s="3">
        <f>IFERROR(__xludf.DUMMYFUNCTION("""COMPUTED_VALUE"""),64.0)</f>
        <v>64</v>
      </c>
      <c r="E2966" s="1"/>
    </row>
    <row r="2967">
      <c r="A2967" s="1"/>
      <c r="B2967" s="3" t="str">
        <f>IFERROR(__xludf.DUMMYFUNCTION("""COMPUTED_VALUE"""),"FITRIYANI")</f>
        <v>FITRIYANI</v>
      </c>
      <c r="C2967" s="3" t="str">
        <f>IFERROR(__xludf.DUMMYFUNCTION("""COMPUTED_VALUE"""),"F8825103616")</f>
        <v>F8825103616</v>
      </c>
      <c r="D2967" s="3">
        <f>IFERROR(__xludf.DUMMYFUNCTION("""COMPUTED_VALUE"""),38.0)</f>
        <v>38</v>
      </c>
      <c r="E2967" s="1"/>
    </row>
    <row r="2968">
      <c r="A2968" s="1"/>
      <c r="B2968" s="3" t="str">
        <f>IFERROR(__xludf.DUMMYFUNCTION("""COMPUTED_VALUE"""),"AHMAD ZAINI")</f>
        <v>AHMAD ZAINI</v>
      </c>
      <c r="C2968" s="3" t="str">
        <f>IFERROR(__xludf.DUMMYFUNCTION("""COMPUTED_VALUE"""),"A2325109493")</f>
        <v>A2325109493</v>
      </c>
      <c r="D2968" s="3">
        <f>IFERROR(__xludf.DUMMYFUNCTION("""COMPUTED_VALUE"""),3.0)</f>
        <v>3</v>
      </c>
      <c r="E2968" s="1"/>
    </row>
    <row r="2969">
      <c r="A2969" s="1"/>
      <c r="B2969" s="3" t="str">
        <f>IFERROR(__xludf.DUMMYFUNCTION("""COMPUTED_VALUE"""),"HADIJAH")</f>
        <v>HADIJAH</v>
      </c>
      <c r="C2969" s="3" t="str">
        <f>IFERROR(__xludf.DUMMYFUNCTION("""COMPUTED_VALUE"""),"H6725101225")</f>
        <v>H6725101225</v>
      </c>
      <c r="D2969" s="3">
        <f>IFERROR(__xludf.DUMMYFUNCTION("""COMPUTED_VALUE"""),59.0)</f>
        <v>59</v>
      </c>
      <c r="E2969" s="1"/>
    </row>
    <row r="2970">
      <c r="A2970" s="1"/>
      <c r="B2970" s="3" t="str">
        <f>IFERROR(__xludf.DUMMYFUNCTION("""COMPUTED_VALUE"""),"ROKIDI")</f>
        <v>ROKIDI</v>
      </c>
      <c r="C2970" s="3" t="str">
        <f>IFERROR(__xludf.DUMMYFUNCTION("""COMPUTED_VALUE"""),"R6625106996")</f>
        <v>R6625106996</v>
      </c>
      <c r="D2970" s="3">
        <f>IFERROR(__xludf.DUMMYFUNCTION("""COMPUTED_VALUE"""),60.0)</f>
        <v>60</v>
      </c>
      <c r="E2970" s="1"/>
    </row>
    <row r="2971">
      <c r="A2971" s="1"/>
      <c r="B2971" s="3" t="str">
        <f>IFERROR(__xludf.DUMMYFUNCTION("""COMPUTED_VALUE"""),"ELLYSA FERONIKA HALIM")</f>
        <v>ELLYSA FERONIKA HALIM</v>
      </c>
      <c r="C2971" s="3" t="str">
        <f>IFERROR(__xludf.DUMMYFUNCTION("""COMPUTED_VALUE"""),"E9425102074")</f>
        <v>E9425102074</v>
      </c>
      <c r="D2971" s="3">
        <f>IFERROR(__xludf.DUMMYFUNCTION("""COMPUTED_VALUE"""),32.0)</f>
        <v>32</v>
      </c>
      <c r="E2971" s="1"/>
    </row>
    <row r="2972">
      <c r="A2972" s="1"/>
      <c r="B2972" s="3" t="str">
        <f>IFERROR(__xludf.DUMMYFUNCTION("""COMPUTED_VALUE"""),"RICKY FARIZA LUBIS")</f>
        <v>RICKY FARIZA LUBIS</v>
      </c>
      <c r="C2972" s="3" t="str">
        <f>IFERROR(__xludf.DUMMYFUNCTION("""COMPUTED_VALUE"""),"R8125108947")</f>
        <v>R8125108947</v>
      </c>
      <c r="D2972" s="3">
        <f>IFERROR(__xludf.DUMMYFUNCTION("""COMPUTED_VALUE"""),44.0)</f>
        <v>44</v>
      </c>
      <c r="E2972" s="1"/>
    </row>
    <row r="2973">
      <c r="A2973" s="1"/>
      <c r="B2973" s="3" t="str">
        <f>IFERROR(__xludf.DUMMYFUNCTION("""COMPUTED_VALUE"""),"ANDI")</f>
        <v>ANDI</v>
      </c>
      <c r="C2973" s="3" t="str">
        <f>IFERROR(__xludf.DUMMYFUNCTION("""COMPUTED_VALUE"""),"A9425105994")</f>
        <v>A9425105994</v>
      </c>
      <c r="D2973" s="3">
        <f>IFERROR(__xludf.DUMMYFUNCTION("""COMPUTED_VALUE"""),32.0)</f>
        <v>32</v>
      </c>
      <c r="E2973" s="1"/>
    </row>
    <row r="2974">
      <c r="A2974" s="1"/>
      <c r="B2974" s="3" t="str">
        <f>IFERROR(__xludf.DUMMYFUNCTION("""COMPUTED_VALUE"""),"RECKI SEPTIANDA")</f>
        <v>RECKI SEPTIANDA</v>
      </c>
      <c r="C2974" s="3" t="str">
        <f>IFERROR(__xludf.DUMMYFUNCTION("""COMPUTED_VALUE"""),"R9625105757")</f>
        <v>R9625105757</v>
      </c>
      <c r="D2974" s="3">
        <f>IFERROR(__xludf.DUMMYFUNCTION("""COMPUTED_VALUE"""),29.0)</f>
        <v>29</v>
      </c>
      <c r="E2974" s="1"/>
    </row>
    <row r="2975">
      <c r="A2975" s="1"/>
      <c r="B2975" s="3" t="str">
        <f>IFERROR(__xludf.DUMMYFUNCTION("""COMPUTED_VALUE"""),"KRISTIANI")</f>
        <v>KRISTIANI</v>
      </c>
      <c r="C2975" s="3" t="str">
        <f>IFERROR(__xludf.DUMMYFUNCTION("""COMPUTED_VALUE"""),"K9925107744")</f>
        <v>K9925107744</v>
      </c>
      <c r="D2975" s="3">
        <f>IFERROR(__xludf.DUMMYFUNCTION("""COMPUTED_VALUE"""),26.0)</f>
        <v>26</v>
      </c>
      <c r="E2975" s="1"/>
    </row>
    <row r="2976">
      <c r="A2976" s="1"/>
      <c r="B2976" s="3" t="str">
        <f>IFERROR(__xludf.DUMMYFUNCTION("""COMPUTED_VALUE"""),"SUHARMI")</f>
        <v>SUHARMI</v>
      </c>
      <c r="C2976" s="3" t="str">
        <f>IFERROR(__xludf.DUMMYFUNCTION("""COMPUTED_VALUE"""),"S6325104795")</f>
        <v>S6325104795</v>
      </c>
      <c r="D2976" s="3">
        <f>IFERROR(__xludf.DUMMYFUNCTION("""COMPUTED_VALUE"""),62.0)</f>
        <v>62</v>
      </c>
      <c r="E2976" s="1"/>
    </row>
    <row r="2977">
      <c r="A2977" s="1"/>
      <c r="B2977" s="3" t="str">
        <f>IFERROR(__xludf.DUMMYFUNCTION("""COMPUTED_VALUE"""),"AQILA AFIFAH OCTAFRIYANA")</f>
        <v>AQILA AFIFAH OCTAFRIYANA</v>
      </c>
      <c r="C2977" s="3" t="str">
        <f>IFERROR(__xludf.DUMMYFUNCTION("""COMPUTED_VALUE"""),"A0125104452")</f>
        <v>A0125104452</v>
      </c>
      <c r="D2977" s="3">
        <f>IFERROR(__xludf.DUMMYFUNCTION("""COMPUTED_VALUE"""),24.0)</f>
        <v>24</v>
      </c>
      <c r="E2977" s="1"/>
    </row>
    <row r="2978">
      <c r="A2978" s="1"/>
      <c r="B2978" s="3" t="str">
        <f>IFERROR(__xludf.DUMMYFUNCTION("""COMPUTED_VALUE"""),"HERDY")</f>
        <v>HERDY</v>
      </c>
      <c r="C2978" s="3" t="str">
        <f>IFERROR(__xludf.DUMMYFUNCTION("""COMPUTED_VALUE"""),"H0125105276")</f>
        <v>H0125105276</v>
      </c>
      <c r="D2978" s="3">
        <f>IFERROR(__xludf.DUMMYFUNCTION("""COMPUTED_VALUE"""),24.0)</f>
        <v>24</v>
      </c>
      <c r="E2978" s="1"/>
    </row>
    <row r="2979">
      <c r="A2979" s="1"/>
      <c r="B2979" s="3" t="str">
        <f>IFERROR(__xludf.DUMMYFUNCTION("""COMPUTED_VALUE"""),"MUHAMMAD FADLI LUTFIANDO")</f>
        <v>MUHAMMAD FADLI LUTFIANDO</v>
      </c>
      <c r="C2979" s="3" t="str">
        <f>IFERROR(__xludf.DUMMYFUNCTION("""COMPUTED_VALUE"""),"M9825103838")</f>
        <v>M9825103838</v>
      </c>
      <c r="D2979" s="3">
        <f>IFERROR(__xludf.DUMMYFUNCTION("""COMPUTED_VALUE"""),27.0)</f>
        <v>27</v>
      </c>
      <c r="E2979" s="1"/>
    </row>
    <row r="2980">
      <c r="A2980" s="1"/>
      <c r="B2980" s="3" t="str">
        <f>IFERROR(__xludf.DUMMYFUNCTION("""COMPUTED_VALUE"""),"LANDON CRYSANDER ALI")</f>
        <v>LANDON CRYSANDER ALI</v>
      </c>
      <c r="C2980" s="3" t="str">
        <f>IFERROR(__xludf.DUMMYFUNCTION("""COMPUTED_VALUE"""),"L0825103838")</f>
        <v>L0825103838</v>
      </c>
      <c r="D2980" s="3">
        <f>IFERROR(__xludf.DUMMYFUNCTION("""COMPUTED_VALUE"""),18.0)</f>
        <v>18</v>
      </c>
      <c r="E2980" s="1"/>
    </row>
    <row r="2981">
      <c r="A2981" s="1"/>
      <c r="B2981" s="3" t="str">
        <f>IFERROR(__xludf.DUMMYFUNCTION("""COMPUTED_VALUE"""),"TUTI TRISNAWATI")</f>
        <v>TUTI TRISNAWATI</v>
      </c>
      <c r="C2981" s="3" t="str">
        <f>IFERROR(__xludf.DUMMYFUNCTION("""COMPUTED_VALUE"""),"T7325100015")</f>
        <v>T7325100015</v>
      </c>
      <c r="D2981" s="3">
        <f>IFERROR(__xludf.DUMMYFUNCTION("""COMPUTED_VALUE"""),53.0)</f>
        <v>53</v>
      </c>
      <c r="E2981" s="1"/>
    </row>
    <row r="2982">
      <c r="A2982" s="1"/>
      <c r="B2982" s="3" t="str">
        <f>IFERROR(__xludf.DUMMYFUNCTION("""COMPUTED_VALUE"""),"BOBBY AUDITHA VANDRI")</f>
        <v>BOBBY AUDITHA VANDRI</v>
      </c>
      <c r="C2982" s="3" t="str">
        <f>IFERROR(__xludf.DUMMYFUNCTION("""COMPUTED_VALUE"""),"B9425106600")</f>
        <v>B9425106600</v>
      </c>
      <c r="D2982" s="3">
        <f>IFERROR(__xludf.DUMMYFUNCTION("""COMPUTED_VALUE"""),31.0)</f>
        <v>31</v>
      </c>
      <c r="E2982" s="1"/>
    </row>
    <row r="2983">
      <c r="A2983" s="1"/>
      <c r="B2983" s="3" t="str">
        <f>IFERROR(__xludf.DUMMYFUNCTION("""COMPUTED_VALUE"""),"MIFTAHUL BAROKY")</f>
        <v>MIFTAHUL BAROKY</v>
      </c>
      <c r="C2983" s="3" t="str">
        <f>IFERROR(__xludf.DUMMYFUNCTION("""COMPUTED_VALUE"""),"M0125103039")</f>
        <v>M0125103039</v>
      </c>
      <c r="D2983" s="3">
        <f>IFERROR(__xludf.DUMMYFUNCTION("""COMPUTED_VALUE"""),25.0)</f>
        <v>25</v>
      </c>
      <c r="E2983" s="1"/>
    </row>
    <row r="2984">
      <c r="A2984" s="1"/>
      <c r="B2984" s="3" t="str">
        <f>IFERROR(__xludf.DUMMYFUNCTION("""COMPUTED_VALUE"""),"IRRINA FAUZIARNI")</f>
        <v>IRRINA FAUZIARNI</v>
      </c>
      <c r="C2984" s="3" t="str">
        <f>IFERROR(__xludf.DUMMYFUNCTION("""COMPUTED_VALUE"""),"I8025109996")</f>
        <v>I8025109996</v>
      </c>
      <c r="D2984" s="3">
        <f>IFERROR(__xludf.DUMMYFUNCTION("""COMPUTED_VALUE"""),45.0)</f>
        <v>45</v>
      </c>
      <c r="E2984" s="1"/>
    </row>
    <row r="2985">
      <c r="A2985" s="1"/>
      <c r="B2985" s="3" t="str">
        <f>IFERROR(__xludf.DUMMYFUNCTION("""COMPUTED_VALUE"""),"ERWIN JULIANSAH")</f>
        <v>ERWIN JULIANSAH</v>
      </c>
      <c r="C2985" s="3" t="str">
        <f>IFERROR(__xludf.DUMMYFUNCTION("""COMPUTED_VALUE"""),"E0125101871")</f>
        <v>E0125101871</v>
      </c>
      <c r="D2985" s="3">
        <f>IFERROR(__xludf.DUMMYFUNCTION("""COMPUTED_VALUE"""),24.0)</f>
        <v>24</v>
      </c>
      <c r="E2985" s="1"/>
    </row>
    <row r="2986">
      <c r="A2986" s="1"/>
      <c r="B2986" s="3" t="str">
        <f>IFERROR(__xludf.DUMMYFUNCTION("""COMPUTED_VALUE"""),"BELLA BESTIANA TJANDRA")</f>
        <v>BELLA BESTIANA TJANDRA</v>
      </c>
      <c r="C2986" s="3" t="str">
        <f>IFERROR(__xludf.DUMMYFUNCTION("""COMPUTED_VALUE"""),"B9825108681")</f>
        <v>B9825108681</v>
      </c>
      <c r="D2986" s="3">
        <f>IFERROR(__xludf.DUMMYFUNCTION("""COMPUTED_VALUE"""),28.0)</f>
        <v>28</v>
      </c>
      <c r="E2986" s="1"/>
    </row>
    <row r="2987">
      <c r="A2987" s="1"/>
      <c r="B2987" s="3" t="str">
        <f>IFERROR(__xludf.DUMMYFUNCTION("""COMPUTED_VALUE"""),"SHARON LIE")</f>
        <v>SHARON LIE</v>
      </c>
      <c r="C2987" s="3" t="str">
        <f>IFERROR(__xludf.DUMMYFUNCTION("""COMPUTED_VALUE"""),"S0825106969")</f>
        <v>S0825106969</v>
      </c>
      <c r="D2987" s="3">
        <f>IFERROR(__xludf.DUMMYFUNCTION("""COMPUTED_VALUE"""),17.0)</f>
        <v>17</v>
      </c>
      <c r="E2987" s="1"/>
    </row>
    <row r="2988">
      <c r="A2988" s="1"/>
      <c r="B2988" s="3" t="str">
        <f>IFERROR(__xludf.DUMMYFUNCTION("""COMPUTED_VALUE"""),"ANDRE CORIYONGSEN TEDO")</f>
        <v>ANDRE CORIYONGSEN TEDO</v>
      </c>
      <c r="C2988" s="3" t="str">
        <f>IFERROR(__xludf.DUMMYFUNCTION("""COMPUTED_VALUE"""),"A9825105032")</f>
        <v>A9825105032</v>
      </c>
      <c r="D2988" s="3">
        <f>IFERROR(__xludf.DUMMYFUNCTION("""COMPUTED_VALUE"""),27.0)</f>
        <v>27</v>
      </c>
      <c r="E2988" s="1"/>
    </row>
    <row r="2989">
      <c r="A2989" s="1"/>
      <c r="B2989" s="3" t="str">
        <f>IFERROR(__xludf.DUMMYFUNCTION("""COMPUTED_VALUE"""),"KATELYN ELANOR LIM")</f>
        <v>KATELYN ELANOR LIM</v>
      </c>
      <c r="C2989" s="3" t="str">
        <f>IFERROR(__xludf.DUMMYFUNCTION("""COMPUTED_VALUE"""),"K1625104577")</f>
        <v>K1625104577</v>
      </c>
      <c r="D2989" s="3">
        <f>IFERROR(__xludf.DUMMYFUNCTION("""COMPUTED_VALUE"""),9.0)</f>
        <v>9</v>
      </c>
      <c r="E2989" s="1"/>
    </row>
    <row r="2990">
      <c r="A2990" s="1"/>
      <c r="B2990" s="3" t="str">
        <f>IFERROR(__xludf.DUMMYFUNCTION("""COMPUTED_VALUE"""),"BUJANG")</f>
        <v>BUJANG</v>
      </c>
      <c r="C2990" s="3" t="str">
        <f>IFERROR(__xludf.DUMMYFUNCTION("""COMPUTED_VALUE"""),"B7325109155")</f>
        <v>B7325109155</v>
      </c>
      <c r="D2990" s="3">
        <f>IFERROR(__xludf.DUMMYFUNCTION("""COMPUTED_VALUE"""),53.0)</f>
        <v>53</v>
      </c>
      <c r="E2990" s="1"/>
    </row>
    <row r="2991">
      <c r="A2991" s="1"/>
      <c r="B2991" s="3" t="str">
        <f>IFERROR(__xludf.DUMMYFUNCTION("""COMPUTED_VALUE"""),"DECKY WAHYUDI")</f>
        <v>DECKY WAHYUDI</v>
      </c>
      <c r="C2991" s="3" t="str">
        <f>IFERROR(__xludf.DUMMYFUNCTION("""COMPUTED_VALUE"""),"D9825108138")</f>
        <v>D9825108138</v>
      </c>
      <c r="D2991" s="3">
        <f>IFERROR(__xludf.DUMMYFUNCTION("""COMPUTED_VALUE"""),28.0)</f>
        <v>28</v>
      </c>
      <c r="E2991" s="1"/>
    </row>
    <row r="2992">
      <c r="A2992" s="1"/>
      <c r="B2992" s="3" t="str">
        <f>IFERROR(__xludf.DUMMYFUNCTION("""COMPUTED_VALUE"""),"NASYWA EDGINA HAPSARI")</f>
        <v>NASYWA EDGINA HAPSARI</v>
      </c>
      <c r="C2992" s="3" t="str">
        <f>IFERROR(__xludf.DUMMYFUNCTION("""COMPUTED_VALUE"""),"N0525103483")</f>
        <v>N0525103483</v>
      </c>
      <c r="D2992" s="3">
        <f>IFERROR(__xludf.DUMMYFUNCTION("""COMPUTED_VALUE"""),20.0)</f>
        <v>20</v>
      </c>
      <c r="E2992" s="1"/>
    </row>
    <row r="2993">
      <c r="A2993" s="1"/>
      <c r="B2993" s="3" t="str">
        <f>IFERROR(__xludf.DUMMYFUNCTION("""COMPUTED_VALUE"""),"WAZIAN ZIRA ANTANYA")</f>
        <v>WAZIAN ZIRA ANTANYA</v>
      </c>
      <c r="C2993" s="3" t="str">
        <f>IFERROR(__xludf.DUMMYFUNCTION("""COMPUTED_VALUE"""),"W0825106980")</f>
        <v>W0825106980</v>
      </c>
      <c r="D2993" s="3">
        <f>IFERROR(__xludf.DUMMYFUNCTION("""COMPUTED_VALUE"""),18.0)</f>
        <v>18</v>
      </c>
      <c r="E2993" s="1"/>
    </row>
    <row r="2994">
      <c r="A2994" s="1"/>
      <c r="B2994" s="3" t="str">
        <f>IFERROR(__xludf.DUMMYFUNCTION("""COMPUTED_VALUE"""),"M. ARSYAD")</f>
        <v>M. ARSYAD</v>
      </c>
      <c r="C2994" s="3" t="str">
        <f>IFERROR(__xludf.DUMMYFUNCTION("""COMPUTED_VALUE"""),"M6125100219")</f>
        <v>M6125100219</v>
      </c>
      <c r="D2994" s="3">
        <f>IFERROR(__xludf.DUMMYFUNCTION("""COMPUTED_VALUE"""),65.0)</f>
        <v>65</v>
      </c>
      <c r="E2994" s="1"/>
    </row>
    <row r="2995">
      <c r="A2995" s="1"/>
      <c r="B2995" s="3" t="str">
        <f>IFERROR(__xludf.DUMMYFUNCTION("""COMPUTED_VALUE"""),"DHUTA ERLANGGA SUPRAYITNO")</f>
        <v>DHUTA ERLANGGA SUPRAYITNO</v>
      </c>
      <c r="C2995" s="3" t="str">
        <f>IFERROR(__xludf.DUMMYFUNCTION("""COMPUTED_VALUE"""),"D0625102206")</f>
        <v>D0625102206</v>
      </c>
      <c r="D2995" s="3">
        <f>IFERROR(__xludf.DUMMYFUNCTION("""COMPUTED_VALUE"""),19.0)</f>
        <v>19</v>
      </c>
      <c r="E2995" s="1"/>
    </row>
    <row r="2996">
      <c r="A2996" s="1"/>
      <c r="B2996" s="3" t="str">
        <f>IFERROR(__xludf.DUMMYFUNCTION("""COMPUTED_VALUE"""),"ARDI ZAJULI")</f>
        <v>ARDI ZAJULI</v>
      </c>
      <c r="C2996" s="3" t="str">
        <f>IFERROR(__xludf.DUMMYFUNCTION("""COMPUTED_VALUE"""),"A9125109974")</f>
        <v>A9125109974</v>
      </c>
      <c r="D2996" s="3">
        <f>IFERROR(__xludf.DUMMYFUNCTION("""COMPUTED_VALUE"""),34.0)</f>
        <v>34</v>
      </c>
      <c r="E2996" s="1"/>
    </row>
    <row r="2997">
      <c r="A2997" s="1"/>
      <c r="B2997" s="3" t="str">
        <f>IFERROR(__xludf.DUMMYFUNCTION("""COMPUTED_VALUE"""),"NOEVAL MUZZAKY")</f>
        <v>NOEVAL MUZZAKY</v>
      </c>
      <c r="C2997" s="3" t="str">
        <f>IFERROR(__xludf.DUMMYFUNCTION("""COMPUTED_VALUE"""),"N0425105874")</f>
        <v>N0425105874</v>
      </c>
      <c r="D2997" s="3">
        <f>IFERROR(__xludf.DUMMYFUNCTION("""COMPUTED_VALUE"""),22.0)</f>
        <v>22</v>
      </c>
      <c r="E2997" s="1"/>
    </row>
    <row r="2998">
      <c r="A2998" s="1"/>
      <c r="B2998" s="3" t="str">
        <f>IFERROR(__xludf.DUMMYFUNCTION("""COMPUTED_VALUE"""),"RAJEMAH")</f>
        <v>RAJEMAH</v>
      </c>
      <c r="C2998" s="3" t="str">
        <f>IFERROR(__xludf.DUMMYFUNCTION("""COMPUTED_VALUE"""),"R6425100682")</f>
        <v>R6425100682</v>
      </c>
      <c r="D2998" s="3">
        <f>IFERROR(__xludf.DUMMYFUNCTION("""COMPUTED_VALUE"""),61.0)</f>
        <v>61</v>
      </c>
      <c r="E2998" s="1"/>
    </row>
    <row r="2999">
      <c r="A2999" s="1"/>
      <c r="B2999" s="3" t="str">
        <f>IFERROR(__xludf.DUMMYFUNCTION("""COMPUTED_VALUE"""),"ANGELICA BUNARDI")</f>
        <v>ANGELICA BUNARDI</v>
      </c>
      <c r="C2999" s="3" t="str">
        <f>IFERROR(__xludf.DUMMYFUNCTION("""COMPUTED_VALUE"""),"A9925105509")</f>
        <v>A9925105509</v>
      </c>
      <c r="D2999" s="3">
        <f>IFERROR(__xludf.DUMMYFUNCTION("""COMPUTED_VALUE"""),27.0)</f>
        <v>27</v>
      </c>
      <c r="E2999" s="1"/>
    </row>
    <row r="3000">
      <c r="A3000" s="1"/>
      <c r="B3000" s="3" t="str">
        <f>IFERROR(__xludf.DUMMYFUNCTION("""COMPUTED_VALUE"""),"OBIN")</f>
        <v>OBIN</v>
      </c>
      <c r="C3000" s="3" t="str">
        <f>IFERROR(__xludf.DUMMYFUNCTION("""COMPUTED_VALUE"""),"O7825104730")</f>
        <v>O7825104730</v>
      </c>
      <c r="D3000" s="3">
        <f>IFERROR(__xludf.DUMMYFUNCTION("""COMPUTED_VALUE"""),48.0)</f>
        <v>48</v>
      </c>
      <c r="E3000" s="1"/>
    </row>
    <row r="3001">
      <c r="A3001" s="1"/>
      <c r="B3001" s="3" t="str">
        <f>IFERROR(__xludf.DUMMYFUNCTION("""COMPUTED_VALUE"""),"RINA TJENDERA")</f>
        <v>RINA TJENDERA</v>
      </c>
      <c r="C3001" s="3" t="str">
        <f>IFERROR(__xludf.DUMMYFUNCTION("""COMPUTED_VALUE"""),"R5625107738")</f>
        <v>R5625107738</v>
      </c>
      <c r="D3001" s="3">
        <f>IFERROR(__xludf.DUMMYFUNCTION("""COMPUTED_VALUE"""),70.0)</f>
        <v>70</v>
      </c>
      <c r="E3001" s="1"/>
    </row>
    <row r="3002">
      <c r="A3002" s="1"/>
      <c r="B3002" s="3" t="str">
        <f>IFERROR(__xludf.DUMMYFUNCTION("""COMPUTED_VALUE"""),"MAHIYE")</f>
        <v>MAHIYE</v>
      </c>
      <c r="C3002" s="3" t="str">
        <f>IFERROR(__xludf.DUMMYFUNCTION("""COMPUTED_VALUE"""),"M7925108167")</f>
        <v>M7925108167</v>
      </c>
      <c r="D3002" s="3">
        <f>IFERROR(__xludf.DUMMYFUNCTION("""COMPUTED_VALUE"""),46.0)</f>
        <v>46</v>
      </c>
      <c r="E3002" s="1"/>
    </row>
    <row r="3003">
      <c r="A3003" s="1"/>
      <c r="B3003" s="3" t="str">
        <f>IFERROR(__xludf.DUMMYFUNCTION("""COMPUTED_VALUE"""),"TJANG JUN BU")</f>
        <v>TJANG JUN BU</v>
      </c>
      <c r="C3003" s="3" t="str">
        <f>IFERROR(__xludf.DUMMYFUNCTION("""COMPUTED_VALUE"""),"T6325109944")</f>
        <v>T6325109944</v>
      </c>
      <c r="D3003" s="3">
        <f>IFERROR(__xludf.DUMMYFUNCTION("""COMPUTED_VALUE"""),62.0)</f>
        <v>62</v>
      </c>
      <c r="E3003" s="1"/>
    </row>
    <row r="3004">
      <c r="A3004" s="1"/>
      <c r="B3004" s="3" t="str">
        <f>IFERROR(__xludf.DUMMYFUNCTION("""COMPUTED_VALUE"""),"RIKSON ARMAGEDON PURBA")</f>
        <v>RIKSON ARMAGEDON PURBA</v>
      </c>
      <c r="C3004" s="3" t="str">
        <f>IFERROR(__xludf.DUMMYFUNCTION("""COMPUTED_VALUE"""),"R6725103408")</f>
        <v>R6725103408</v>
      </c>
      <c r="D3004" s="3">
        <f>IFERROR(__xludf.DUMMYFUNCTION("""COMPUTED_VALUE"""),59.0)</f>
        <v>59</v>
      </c>
      <c r="E3004" s="1"/>
    </row>
    <row r="3005">
      <c r="A3005" s="1"/>
      <c r="B3005" s="3" t="str">
        <f>IFERROR(__xludf.DUMMYFUNCTION("""COMPUTED_VALUE"""),"RAHDIAN EDISON")</f>
        <v>RAHDIAN EDISON</v>
      </c>
      <c r="C3005" s="3" t="str">
        <f>IFERROR(__xludf.DUMMYFUNCTION("""COMPUTED_VALUE"""),"R9025103337")</f>
        <v>R9025103337</v>
      </c>
      <c r="D3005" s="3">
        <f>IFERROR(__xludf.DUMMYFUNCTION("""COMPUTED_VALUE"""),35.0)</f>
        <v>35</v>
      </c>
      <c r="E3005" s="1"/>
    </row>
    <row r="3006">
      <c r="A3006" s="1"/>
      <c r="B3006" s="3" t="str">
        <f>IFERROR(__xludf.DUMMYFUNCTION("""COMPUTED_VALUE"""),"WIWID YULIAN SAPUTRO")</f>
        <v>WIWID YULIAN SAPUTRO</v>
      </c>
      <c r="C3006" s="3" t="str">
        <f>IFERROR(__xludf.DUMMYFUNCTION("""COMPUTED_VALUE"""),"W9525106146")</f>
        <v>W9525106146</v>
      </c>
      <c r="D3006" s="3">
        <f>IFERROR(__xludf.DUMMYFUNCTION("""COMPUTED_VALUE"""),30.0)</f>
        <v>30</v>
      </c>
      <c r="E3006" s="1"/>
    </row>
    <row r="3007">
      <c r="A3007" s="1"/>
      <c r="B3007" s="3" t="str">
        <f>IFERROR(__xludf.DUMMYFUNCTION("""COMPUTED_VALUE"""),"TUKINEM")</f>
        <v>TUKINEM</v>
      </c>
      <c r="C3007" s="3" t="str">
        <f>IFERROR(__xludf.DUMMYFUNCTION("""COMPUTED_VALUE"""),"T6525103639")</f>
        <v>T6525103639</v>
      </c>
      <c r="D3007" s="3">
        <f>IFERROR(__xludf.DUMMYFUNCTION("""COMPUTED_VALUE"""),60.0)</f>
        <v>60</v>
      </c>
      <c r="E3007" s="1"/>
    </row>
    <row r="3008">
      <c r="A3008" s="1"/>
      <c r="B3008" s="3" t="str">
        <f>IFERROR(__xludf.DUMMYFUNCTION("""COMPUTED_VALUE"""),"DELLY MARINA")</f>
        <v>DELLY MARINA</v>
      </c>
      <c r="C3008" s="3" t="str">
        <f>IFERROR(__xludf.DUMMYFUNCTION("""COMPUTED_VALUE"""),"D8225100100")</f>
        <v>D8225100100</v>
      </c>
      <c r="D3008" s="3">
        <f>IFERROR(__xludf.DUMMYFUNCTION("""COMPUTED_VALUE"""),43.0)</f>
        <v>43</v>
      </c>
      <c r="E3008" s="1"/>
    </row>
    <row r="3009">
      <c r="A3009" s="1"/>
      <c r="B3009" s="3" t="str">
        <f>IFERROR(__xludf.DUMMYFUNCTION("""COMPUTED_VALUE"""),"AGUS BUDIANTO")</f>
        <v>AGUS BUDIANTO</v>
      </c>
      <c r="C3009" s="3" t="str">
        <f>IFERROR(__xludf.DUMMYFUNCTION("""COMPUTED_VALUE"""),"A8925106005")</f>
        <v>A8925106005</v>
      </c>
      <c r="D3009" s="3">
        <f>IFERROR(__xludf.DUMMYFUNCTION("""COMPUTED_VALUE"""),37.0)</f>
        <v>37</v>
      </c>
      <c r="E3009" s="1"/>
    </row>
    <row r="3010">
      <c r="A3010" s="1"/>
      <c r="B3010" s="3" t="str">
        <f>IFERROR(__xludf.DUMMYFUNCTION("""COMPUTED_VALUE"""),"RINI ADIYANTI K")</f>
        <v>RINI ADIYANTI K</v>
      </c>
      <c r="C3010" s="3" t="str">
        <f>IFERROR(__xludf.DUMMYFUNCTION("""COMPUTED_VALUE"""),"R7225102104")</f>
        <v>R7225102104</v>
      </c>
      <c r="D3010" s="3">
        <f>IFERROR(__xludf.DUMMYFUNCTION("""COMPUTED_VALUE"""),53.0)</f>
        <v>53</v>
      </c>
      <c r="E3010" s="1"/>
    </row>
    <row r="3011">
      <c r="A3011" s="1"/>
      <c r="B3011" s="3" t="str">
        <f>IFERROR(__xludf.DUMMYFUNCTION("""COMPUTED_VALUE"""),"FADLURROHMAN ASSHIDDIQI")</f>
        <v>FADLURROHMAN ASSHIDDIQI</v>
      </c>
      <c r="C3011" s="3" t="str">
        <f>IFERROR(__xludf.DUMMYFUNCTION("""COMPUTED_VALUE"""),"F0225102200")</f>
        <v>F0225102200</v>
      </c>
      <c r="D3011" s="3">
        <f>IFERROR(__xludf.DUMMYFUNCTION("""COMPUTED_VALUE"""),23.0)</f>
        <v>23</v>
      </c>
      <c r="E3011" s="1"/>
    </row>
    <row r="3012">
      <c r="A3012" s="1"/>
      <c r="B3012" s="3" t="str">
        <f>IFERROR(__xludf.DUMMYFUNCTION("""COMPUTED_VALUE"""),"DWI CHRISTIANA")</f>
        <v>DWI CHRISTIANA</v>
      </c>
      <c r="C3012" s="3" t="str">
        <f>IFERROR(__xludf.DUMMYFUNCTION("""COMPUTED_VALUE"""),"D7925106622")</f>
        <v>D7925106622</v>
      </c>
      <c r="D3012" s="3">
        <f>IFERROR(__xludf.DUMMYFUNCTION("""COMPUTED_VALUE"""),46.0)</f>
        <v>46</v>
      </c>
      <c r="E3012" s="1"/>
    </row>
    <row r="3013">
      <c r="A3013" s="1"/>
      <c r="B3013" s="3" t="str">
        <f>IFERROR(__xludf.DUMMYFUNCTION("""COMPUTED_VALUE"""),"SUKAWATI EFFENDY")</f>
        <v>SUKAWATI EFFENDY</v>
      </c>
      <c r="C3013" s="3" t="str">
        <f>IFERROR(__xludf.DUMMYFUNCTION("""COMPUTED_VALUE"""),"S4725109888")</f>
        <v>S4725109888</v>
      </c>
      <c r="D3013" s="3">
        <f>IFERROR(__xludf.DUMMYFUNCTION("""COMPUTED_VALUE"""),78.0)</f>
        <v>78</v>
      </c>
      <c r="E3013" s="1"/>
    </row>
    <row r="3014">
      <c r="A3014" s="1"/>
      <c r="B3014" s="3" t="str">
        <f>IFERROR(__xludf.DUMMYFUNCTION("""COMPUTED_VALUE"""),"TRI ALFAIRUS")</f>
        <v>TRI ALFAIRUS</v>
      </c>
      <c r="C3014" s="3" t="str">
        <f>IFERROR(__xludf.DUMMYFUNCTION("""COMPUTED_VALUE"""),"T1125116231")</f>
        <v>T1125116231</v>
      </c>
      <c r="D3014" s="3">
        <f>IFERROR(__xludf.DUMMYFUNCTION("""COMPUTED_VALUE"""),15.0)</f>
        <v>15</v>
      </c>
      <c r="E3014" s="1"/>
    </row>
    <row r="3015">
      <c r="A3015" s="1"/>
      <c r="B3015" s="3" t="str">
        <f>IFERROR(__xludf.DUMMYFUNCTION("""COMPUTED_VALUE"""),"TIURLAN RANIA SITOMPUL")</f>
        <v>TIURLAN RANIA SITOMPUL</v>
      </c>
      <c r="C3015" s="3" t="str">
        <f>IFERROR(__xludf.DUMMYFUNCTION("""COMPUTED_VALUE"""),"T9925112700")</f>
        <v>T9925112700</v>
      </c>
      <c r="D3015" s="3">
        <f>IFERROR(__xludf.DUMMYFUNCTION("""COMPUTED_VALUE"""),27.0)</f>
        <v>27</v>
      </c>
      <c r="E3015" s="1"/>
    </row>
    <row r="3016">
      <c r="A3016" s="1"/>
      <c r="B3016" s="3" t="str">
        <f>IFERROR(__xludf.DUMMYFUNCTION("""COMPUTED_VALUE"""),"NOVIANTO")</f>
        <v>NOVIANTO</v>
      </c>
      <c r="C3016" s="3" t="str">
        <f>IFERROR(__xludf.DUMMYFUNCTION("""COMPUTED_VALUE"""),"N8325117007")</f>
        <v>N8325117007</v>
      </c>
      <c r="D3016" s="3">
        <f>IFERROR(__xludf.DUMMYFUNCTION("""COMPUTED_VALUE"""),42.0)</f>
        <v>42</v>
      </c>
      <c r="E3016" s="1"/>
    </row>
    <row r="3017">
      <c r="A3017" s="1"/>
      <c r="B3017" s="3" t="str">
        <f>IFERROR(__xludf.DUMMYFUNCTION("""COMPUTED_VALUE"""),"SITI HALIMAH")</f>
        <v>SITI HALIMAH</v>
      </c>
      <c r="C3017" s="3" t="str">
        <f>IFERROR(__xludf.DUMMYFUNCTION("""COMPUTED_VALUE"""),"S8525111805")</f>
        <v>S8525111805</v>
      </c>
      <c r="D3017" s="3">
        <f>IFERROR(__xludf.DUMMYFUNCTION("""COMPUTED_VALUE"""),41.0)</f>
        <v>41</v>
      </c>
      <c r="E3017" s="1"/>
    </row>
    <row r="3018">
      <c r="A3018" s="1"/>
      <c r="B3018" s="3" t="str">
        <f>IFERROR(__xludf.DUMMYFUNCTION("""COMPUTED_VALUE"""),"VIONA PRICILA")</f>
        <v>VIONA PRICILA</v>
      </c>
      <c r="C3018" s="3" t="str">
        <f>IFERROR(__xludf.DUMMYFUNCTION("""COMPUTED_VALUE"""),"V9525116763")</f>
        <v>V9525116763</v>
      </c>
      <c r="D3018" s="3">
        <f>IFERROR(__xludf.DUMMYFUNCTION("""COMPUTED_VALUE"""),31.0)</f>
        <v>31</v>
      </c>
      <c r="E3018" s="1"/>
    </row>
    <row r="3019">
      <c r="A3019" s="1"/>
      <c r="B3019" s="3" t="str">
        <f>IFERROR(__xludf.DUMMYFUNCTION("""COMPUTED_VALUE"""),"LUCIA HIDAYAT")</f>
        <v>LUCIA HIDAYAT</v>
      </c>
      <c r="C3019" s="3" t="str">
        <f>IFERROR(__xludf.DUMMYFUNCTION("""COMPUTED_VALUE"""),"L7725110799")</f>
        <v>L7725110799</v>
      </c>
      <c r="D3019" s="3">
        <f>IFERROR(__xludf.DUMMYFUNCTION("""COMPUTED_VALUE"""),49.0)</f>
        <v>49</v>
      </c>
      <c r="E3019" s="1"/>
    </row>
    <row r="3020">
      <c r="A3020" s="1"/>
      <c r="B3020" s="3" t="str">
        <f>IFERROR(__xludf.DUMMYFUNCTION("""COMPUTED_VALUE"""),"DYAN ARISTA")</f>
        <v>DYAN ARISTA</v>
      </c>
      <c r="C3020" s="3" t="str">
        <f>IFERROR(__xludf.DUMMYFUNCTION("""COMPUTED_VALUE"""),"D9325118833")</f>
        <v>D9325118833</v>
      </c>
      <c r="D3020" s="3">
        <f>IFERROR(__xludf.DUMMYFUNCTION("""COMPUTED_VALUE"""),32.0)</f>
        <v>32</v>
      </c>
      <c r="E3020" s="1"/>
    </row>
    <row r="3021">
      <c r="A3021" s="1"/>
      <c r="B3021" s="3" t="str">
        <f>IFERROR(__xludf.DUMMYFUNCTION("""COMPUTED_VALUE"""),"ASTISZA SYAHLA LUDMILLA PARABI")</f>
        <v>ASTISZA SYAHLA LUDMILLA PARABI</v>
      </c>
      <c r="C3021" s="3" t="str">
        <f>IFERROR(__xludf.DUMMYFUNCTION("""COMPUTED_VALUE"""),"A9925114514")</f>
        <v>A9925114514</v>
      </c>
      <c r="D3021" s="3">
        <f>IFERROR(__xludf.DUMMYFUNCTION("""COMPUTED_VALUE"""),26.0)</f>
        <v>26</v>
      </c>
      <c r="E3021" s="1"/>
    </row>
    <row r="3022">
      <c r="A3022" s="1"/>
      <c r="B3022" s="3" t="str">
        <f>IFERROR(__xludf.DUMMYFUNCTION("""COMPUTED_VALUE"""),"MAULIDIA AKHIR")</f>
        <v>MAULIDIA AKHIR</v>
      </c>
      <c r="C3022" s="3" t="str">
        <f>IFERROR(__xludf.DUMMYFUNCTION("""COMPUTED_VALUE"""),"M9825114498")</f>
        <v>M9825114498</v>
      </c>
      <c r="D3022" s="3">
        <f>IFERROR(__xludf.DUMMYFUNCTION("""COMPUTED_VALUE"""),27.0)</f>
        <v>27</v>
      </c>
      <c r="E3022" s="1"/>
    </row>
    <row r="3023">
      <c r="A3023" s="1"/>
      <c r="B3023" s="3" t="str">
        <f>IFERROR(__xludf.DUMMYFUNCTION("""COMPUTED_VALUE"""),"GUSTI MURI IRFAN")</f>
        <v>GUSTI MURI IRFAN</v>
      </c>
      <c r="C3023" s="3" t="str">
        <f>IFERROR(__xludf.DUMMYFUNCTION("""COMPUTED_VALUE"""),"G9825110702")</f>
        <v>G9825110702</v>
      </c>
      <c r="D3023" s="3">
        <f>IFERROR(__xludf.DUMMYFUNCTION("""COMPUTED_VALUE"""),27.0)</f>
        <v>27</v>
      </c>
      <c r="E3023" s="1"/>
    </row>
    <row r="3024">
      <c r="A3024" s="1"/>
      <c r="B3024" s="3" t="str">
        <f>IFERROR(__xludf.DUMMYFUNCTION("""COMPUTED_VALUE"""),"HAUNAN FACHRY ROHILIE")</f>
        <v>HAUNAN FACHRY ROHILIE</v>
      </c>
      <c r="C3024" s="3" t="str">
        <f>IFERROR(__xludf.DUMMYFUNCTION("""COMPUTED_VALUE"""),"H9025119334")</f>
        <v>H9025119334</v>
      </c>
      <c r="D3024" s="3">
        <f>IFERROR(__xludf.DUMMYFUNCTION("""COMPUTED_VALUE"""),36.0)</f>
        <v>36</v>
      </c>
      <c r="E3024" s="1"/>
    </row>
    <row r="3025">
      <c r="A3025" s="1"/>
      <c r="B3025" s="3" t="str">
        <f>IFERROR(__xludf.DUMMYFUNCTION("""COMPUTED_VALUE"""),"AINIYATUL FITRIYAH")</f>
        <v>AINIYATUL FITRIYAH</v>
      </c>
      <c r="C3025" s="3" t="str">
        <f>IFERROR(__xludf.DUMMYFUNCTION("""COMPUTED_VALUE"""),"A9525119187")</f>
        <v>A9525119187</v>
      </c>
      <c r="D3025" s="3">
        <f>IFERROR(__xludf.DUMMYFUNCTION("""COMPUTED_VALUE"""),31.0)</f>
        <v>31</v>
      </c>
      <c r="E3025" s="1"/>
    </row>
    <row r="3026">
      <c r="A3026" s="1"/>
      <c r="B3026" s="3" t="str">
        <f>IFERROR(__xludf.DUMMYFUNCTION("""COMPUTED_VALUE"""),"NURJANAH 7203")</f>
        <v>NURJANAH 7203</v>
      </c>
      <c r="C3026" s="3" t="str">
        <f>IFERROR(__xludf.DUMMYFUNCTION("""COMPUTED_VALUE"""),"N7225117623")</f>
        <v>N7225117623</v>
      </c>
      <c r="D3026" s="3">
        <f>IFERROR(__xludf.DUMMYFUNCTION("""COMPUTED_VALUE"""),54.0)</f>
        <v>54</v>
      </c>
      <c r="E3026" s="1"/>
    </row>
    <row r="3027">
      <c r="A3027" s="1"/>
      <c r="B3027" s="3" t="str">
        <f>IFERROR(__xludf.DUMMYFUNCTION("""COMPUTED_VALUE"""),"BRAMA DARUSSALAM JATMIKO")</f>
        <v>BRAMA DARUSSALAM JATMIKO</v>
      </c>
      <c r="C3027" s="3" t="str">
        <f>IFERROR(__xludf.DUMMYFUNCTION("""COMPUTED_VALUE"""),"B0025116716")</f>
        <v>B0025116716</v>
      </c>
      <c r="D3027" s="3">
        <f>IFERROR(__xludf.DUMMYFUNCTION("""COMPUTED_VALUE"""),25.0)</f>
        <v>25</v>
      </c>
      <c r="E3027" s="1"/>
    </row>
    <row r="3028">
      <c r="A3028" s="1"/>
      <c r="B3028" s="3" t="str">
        <f>IFERROR(__xludf.DUMMYFUNCTION("""COMPUTED_VALUE"""),"MISSRIWATI")</f>
        <v>MISSRIWATI</v>
      </c>
      <c r="C3028" s="3" t="str">
        <f>IFERROR(__xludf.DUMMYFUNCTION("""COMPUTED_VALUE"""),"M8525119888")</f>
        <v>M8525119888</v>
      </c>
      <c r="D3028" s="3">
        <f>IFERROR(__xludf.DUMMYFUNCTION("""COMPUTED_VALUE"""),40.0)</f>
        <v>40</v>
      </c>
      <c r="E3028" s="1"/>
    </row>
    <row r="3029">
      <c r="A3029" s="1"/>
      <c r="B3029" s="3" t="str">
        <f>IFERROR(__xludf.DUMMYFUNCTION("""COMPUTED_VALUE"""),"NURHASANA")</f>
        <v>NURHASANA</v>
      </c>
      <c r="C3029" s="3" t="str">
        <f>IFERROR(__xludf.DUMMYFUNCTION("""COMPUTED_VALUE"""),"N8525112090")</f>
        <v>N8525112090</v>
      </c>
      <c r="D3029" s="3">
        <f>IFERROR(__xludf.DUMMYFUNCTION("""COMPUTED_VALUE"""),40.0)</f>
        <v>40</v>
      </c>
      <c r="E3029" s="1"/>
    </row>
    <row r="3030">
      <c r="A3030" s="1"/>
      <c r="B3030" s="3" t="str">
        <f>IFERROR(__xludf.DUMMYFUNCTION("""COMPUTED_VALUE"""),"SUKARNI 8012")</f>
        <v>SUKARNI 8012</v>
      </c>
      <c r="C3030" s="3" t="str">
        <f>IFERROR(__xludf.DUMMYFUNCTION("""COMPUTED_VALUE"""),"S8025117111")</f>
        <v>S8025117111</v>
      </c>
      <c r="D3030" s="3">
        <f>IFERROR(__xludf.DUMMYFUNCTION("""COMPUTED_VALUE"""),45.0)</f>
        <v>45</v>
      </c>
      <c r="E3030" s="1"/>
    </row>
    <row r="3031">
      <c r="A3031" s="1"/>
      <c r="B3031" s="3" t="str">
        <f>IFERROR(__xludf.DUMMYFUNCTION("""COMPUTED_VALUE"""),"MIA HARTE")</f>
        <v>MIA HARTE</v>
      </c>
      <c r="C3031" s="3" t="str">
        <f>IFERROR(__xludf.DUMMYFUNCTION("""COMPUTED_VALUE"""),"M6925117500")</f>
        <v>M6925117500</v>
      </c>
      <c r="D3031" s="3">
        <f>IFERROR(__xludf.DUMMYFUNCTION("""COMPUTED_VALUE"""),56.0)</f>
        <v>56</v>
      </c>
      <c r="E3031" s="1"/>
    </row>
    <row r="3032">
      <c r="A3032" s="1"/>
      <c r="B3032" s="3" t="str">
        <f>IFERROR(__xludf.DUMMYFUNCTION("""COMPUTED_VALUE"""),"MAWRICE CHUARESMO MARTIN")</f>
        <v>MAWRICE CHUARESMO MARTIN</v>
      </c>
      <c r="C3032" s="3" t="str">
        <f>IFERROR(__xludf.DUMMYFUNCTION("""COMPUTED_VALUE"""),"M0825116129")</f>
        <v>M0825116129</v>
      </c>
      <c r="D3032" s="3">
        <f>IFERROR(__xludf.DUMMYFUNCTION("""COMPUTED_VALUE"""),18.0)</f>
        <v>18</v>
      </c>
      <c r="E3032" s="1"/>
    </row>
    <row r="3033">
      <c r="A3033" s="1"/>
      <c r="B3033" s="3" t="str">
        <f>IFERROR(__xludf.DUMMYFUNCTION("""COMPUTED_VALUE"""),"BARTOLOMEUS LAUDY GALIH ARTO")</f>
        <v>BARTOLOMEUS LAUDY GALIH ARTO</v>
      </c>
      <c r="C3033" s="3" t="str">
        <f>IFERROR(__xludf.DUMMYFUNCTION("""COMPUTED_VALUE"""),"B0125112743")</f>
        <v>B0125112743</v>
      </c>
      <c r="D3033" s="3">
        <f>IFERROR(__xludf.DUMMYFUNCTION("""COMPUTED_VALUE"""),24.0)</f>
        <v>24</v>
      </c>
      <c r="E3033" s="1"/>
    </row>
    <row r="3034">
      <c r="A3034" s="1"/>
      <c r="B3034" s="3" t="str">
        <f>IFERROR(__xludf.DUMMYFUNCTION("""COMPUTED_VALUE"""),"TENORRIO")</f>
        <v>TENORRIO</v>
      </c>
      <c r="C3034" s="3" t="str">
        <f>IFERROR(__xludf.DUMMYFUNCTION("""COMPUTED_VALUE"""),"T0225118094")</f>
        <v>T0225118094</v>
      </c>
      <c r="D3034" s="3">
        <f>IFERROR(__xludf.DUMMYFUNCTION("""COMPUTED_VALUE"""),23.0)</f>
        <v>23</v>
      </c>
      <c r="E3034" s="1"/>
    </row>
    <row r="3035">
      <c r="A3035" s="1"/>
      <c r="B3035" s="3" t="str">
        <f>IFERROR(__xludf.DUMMYFUNCTION("""COMPUTED_VALUE"""),"ERVINAWATI KUSUMA")</f>
        <v>ERVINAWATI KUSUMA</v>
      </c>
      <c r="C3035" s="3" t="str">
        <f>IFERROR(__xludf.DUMMYFUNCTION("""COMPUTED_VALUE"""),"E8625112448")</f>
        <v>E8625112448</v>
      </c>
      <c r="D3035" s="3">
        <f>IFERROR(__xludf.DUMMYFUNCTION("""COMPUTED_VALUE"""),40.0)</f>
        <v>40</v>
      </c>
      <c r="E3035" s="1"/>
    </row>
    <row r="3036">
      <c r="A3036" s="1"/>
      <c r="B3036" s="3" t="str">
        <f>IFERROR(__xludf.DUMMYFUNCTION("""COMPUTED_VALUE"""),"OWEN LOWIRA")</f>
        <v>OWEN LOWIRA</v>
      </c>
      <c r="C3036" s="3" t="str">
        <f>IFERROR(__xludf.DUMMYFUNCTION("""COMPUTED_VALUE"""),"O0825111109")</f>
        <v>O0825111109</v>
      </c>
      <c r="D3036" s="3">
        <f>IFERROR(__xludf.DUMMYFUNCTION("""COMPUTED_VALUE"""),17.0)</f>
        <v>17</v>
      </c>
      <c r="E3036" s="1"/>
    </row>
    <row r="3037">
      <c r="A3037" s="1"/>
      <c r="B3037" s="3" t="str">
        <f>IFERROR(__xludf.DUMMYFUNCTION("""COMPUTED_VALUE"""),"RAHMAT REZA FAHLEVI")</f>
        <v>RAHMAT REZA FAHLEVI</v>
      </c>
      <c r="C3037" s="3" t="str">
        <f>IFERROR(__xludf.DUMMYFUNCTION("""COMPUTED_VALUE"""),"R0625117725")</f>
        <v>R0625117725</v>
      </c>
      <c r="D3037" s="3">
        <f>IFERROR(__xludf.DUMMYFUNCTION("""COMPUTED_VALUE"""),20.0)</f>
        <v>20</v>
      </c>
      <c r="E3037" s="1"/>
    </row>
    <row r="3038">
      <c r="A3038" s="1"/>
      <c r="B3038" s="3" t="str">
        <f>IFERROR(__xludf.DUMMYFUNCTION("""COMPUTED_VALUE"""),"DJAUW KHIE TJIN")</f>
        <v>DJAUW KHIE TJIN</v>
      </c>
      <c r="C3038" s="3" t="str">
        <f>IFERROR(__xludf.DUMMYFUNCTION("""COMPUTED_VALUE"""),"D6525119328")</f>
        <v>D6525119328</v>
      </c>
      <c r="D3038" s="3">
        <f>IFERROR(__xludf.DUMMYFUNCTION("""COMPUTED_VALUE"""),60.0)</f>
        <v>60</v>
      </c>
      <c r="E3038" s="1"/>
    </row>
    <row r="3039">
      <c r="A3039" s="1"/>
      <c r="B3039" s="3" t="str">
        <f>IFERROR(__xludf.DUMMYFUNCTION("""COMPUTED_VALUE"""),"JULIA KARUNIA")</f>
        <v>JULIA KARUNIA</v>
      </c>
      <c r="C3039" s="3" t="str">
        <f>IFERROR(__xludf.DUMMYFUNCTION("""COMPUTED_VALUE"""),"J8625111997")</f>
        <v>J8625111997</v>
      </c>
      <c r="D3039" s="3">
        <f>IFERROR(__xludf.DUMMYFUNCTION("""COMPUTED_VALUE"""),39.0)</f>
        <v>39</v>
      </c>
      <c r="E3039" s="1"/>
    </row>
    <row r="3040">
      <c r="A3040" s="1"/>
      <c r="B3040" s="3" t="str">
        <f>IFERROR(__xludf.DUMMYFUNCTION("""COMPUTED_VALUE"""),"ARYA KUSUMA RAMADAN")</f>
        <v>ARYA KUSUMA RAMADAN</v>
      </c>
      <c r="C3040" s="3" t="str">
        <f>IFERROR(__xludf.DUMMYFUNCTION("""COMPUTED_VALUE"""),"A0625113812")</f>
        <v>A0625113812</v>
      </c>
      <c r="D3040" s="3">
        <f>IFERROR(__xludf.DUMMYFUNCTION("""COMPUTED_VALUE"""),19.0)</f>
        <v>19</v>
      </c>
      <c r="E3040" s="1"/>
    </row>
    <row r="3041">
      <c r="A3041" s="1"/>
      <c r="B3041" s="3" t="str">
        <f>IFERROR(__xludf.DUMMYFUNCTION("""COMPUTED_VALUE"""),"SUGIANTO WIJAYA")</f>
        <v>SUGIANTO WIJAYA</v>
      </c>
      <c r="C3041" s="3" t="str">
        <f>IFERROR(__xludf.DUMMYFUNCTION("""COMPUTED_VALUE"""),"S9525118899")</f>
        <v>S9525118899</v>
      </c>
      <c r="D3041" s="3">
        <f>IFERROR(__xludf.DUMMYFUNCTION("""COMPUTED_VALUE"""),30.0)</f>
        <v>30</v>
      </c>
      <c r="E3041" s="1"/>
    </row>
    <row r="3042">
      <c r="A3042" s="1"/>
      <c r="B3042" s="3" t="str">
        <f>IFERROR(__xludf.DUMMYFUNCTION("""COMPUTED_VALUE"""),"MUHAMMAD TAUFIK")</f>
        <v>MUHAMMAD TAUFIK</v>
      </c>
      <c r="C3042" s="3" t="str">
        <f>IFERROR(__xludf.DUMMYFUNCTION("""COMPUTED_VALUE"""),"M8425111626")</f>
        <v>M8425111626</v>
      </c>
      <c r="D3042" s="3">
        <f>IFERROR(__xludf.DUMMYFUNCTION("""COMPUTED_VALUE"""),42.0)</f>
        <v>42</v>
      </c>
      <c r="E3042" s="1"/>
    </row>
    <row r="3043">
      <c r="A3043" s="1"/>
      <c r="B3043" s="3" t="str">
        <f>IFERROR(__xludf.DUMMYFUNCTION("""COMPUTED_VALUE"""),"KALYCA ANDANIA")</f>
        <v>KALYCA ANDANIA</v>
      </c>
      <c r="C3043" s="3" t="str">
        <f>IFERROR(__xludf.DUMMYFUNCTION("""COMPUTED_VALUE"""),"K0825116630")</f>
        <v>K0825116630</v>
      </c>
      <c r="D3043" s="3">
        <f>IFERROR(__xludf.DUMMYFUNCTION("""COMPUTED_VALUE"""),17.0)</f>
        <v>17</v>
      </c>
      <c r="E3043" s="1"/>
    </row>
    <row r="3044">
      <c r="A3044" s="1"/>
      <c r="B3044" s="3" t="str">
        <f>IFERROR(__xludf.DUMMYFUNCTION("""COMPUTED_VALUE"""),"CAMELIA DESNIGO")</f>
        <v>CAMELIA DESNIGO</v>
      </c>
      <c r="C3044" s="3" t="str">
        <f>IFERROR(__xludf.DUMMYFUNCTION("""COMPUTED_VALUE"""),"C0525114334")</f>
        <v>C0525114334</v>
      </c>
      <c r="D3044" s="3">
        <f>IFERROR(__xludf.DUMMYFUNCTION("""COMPUTED_VALUE"""),20.0)</f>
        <v>20</v>
      </c>
      <c r="E3044" s="1"/>
    </row>
    <row r="3045">
      <c r="A3045" s="1"/>
      <c r="B3045" s="3" t="str">
        <f>IFERROR(__xludf.DUMMYFUNCTION("""COMPUTED_VALUE"""),"ELLA FITRIA")</f>
        <v>ELLA FITRIA</v>
      </c>
      <c r="C3045" s="3" t="str">
        <f>IFERROR(__xludf.DUMMYFUNCTION("""COMPUTED_VALUE"""),"E9725118035")</f>
        <v>E9725118035</v>
      </c>
      <c r="D3045" s="3">
        <f>IFERROR(__xludf.DUMMYFUNCTION("""COMPUTED_VALUE"""),29.0)</f>
        <v>29</v>
      </c>
      <c r="E3045" s="1"/>
    </row>
    <row r="3046">
      <c r="A3046" s="1"/>
      <c r="B3046" s="3" t="str">
        <f>IFERROR(__xludf.DUMMYFUNCTION("""COMPUTED_VALUE"""),"MARIYAMINA RUPINA")</f>
        <v>MARIYAMINA RUPINA</v>
      </c>
      <c r="C3046" s="3" t="str">
        <f>IFERROR(__xludf.DUMMYFUNCTION("""COMPUTED_VALUE"""),"M5325110126")</f>
        <v>M5325110126</v>
      </c>
      <c r="D3046" s="3">
        <f>IFERROR(__xludf.DUMMYFUNCTION("""COMPUTED_VALUE"""),73.0)</f>
        <v>73</v>
      </c>
      <c r="E3046" s="1"/>
    </row>
    <row r="3047">
      <c r="A3047" s="1"/>
      <c r="B3047" s="3" t="str">
        <f>IFERROR(__xludf.DUMMYFUNCTION("""COMPUTED_VALUE"""),"DANY SUWARNO")</f>
        <v>DANY SUWARNO</v>
      </c>
      <c r="C3047" s="3" t="str">
        <f>IFERROR(__xludf.DUMMYFUNCTION("""COMPUTED_VALUE"""),"D8525114110")</f>
        <v>D8525114110</v>
      </c>
      <c r="D3047" s="3">
        <f>IFERROR(__xludf.DUMMYFUNCTION("""COMPUTED_VALUE"""),40.0)</f>
        <v>40</v>
      </c>
      <c r="E3047" s="1"/>
    </row>
    <row r="3048">
      <c r="A3048" s="1"/>
      <c r="B3048" s="3" t="str">
        <f>IFERROR(__xludf.DUMMYFUNCTION("""COMPUTED_VALUE"""),"FATIMA")</f>
        <v>FATIMA</v>
      </c>
      <c r="C3048" s="3" t="str">
        <f>IFERROR(__xludf.DUMMYFUNCTION("""COMPUTED_VALUE"""),"F2525111598")</f>
        <v>F2525111598</v>
      </c>
      <c r="D3048" s="3">
        <f>IFERROR(__xludf.DUMMYFUNCTION("""COMPUTED_VALUE"""),0.0)</f>
        <v>0</v>
      </c>
      <c r="E3048" s="1"/>
    </row>
    <row r="3049">
      <c r="A3049" s="1"/>
      <c r="B3049" s="3" t="str">
        <f>IFERROR(__xludf.DUMMYFUNCTION("""COMPUTED_VALUE"""),"MEDIANA SULISTIAWATI")</f>
        <v>MEDIANA SULISTIAWATI</v>
      </c>
      <c r="C3049" s="3" t="str">
        <f>IFERROR(__xludf.DUMMYFUNCTION("""COMPUTED_VALUE"""),"M0425117629")</f>
        <v>M0425117629</v>
      </c>
      <c r="D3049" s="3">
        <f>IFERROR(__xludf.DUMMYFUNCTION("""COMPUTED_VALUE"""),22.0)</f>
        <v>22</v>
      </c>
      <c r="E3049" s="1"/>
    </row>
    <row r="3050">
      <c r="A3050" s="1"/>
      <c r="B3050" s="3" t="str">
        <f>IFERROR(__xludf.DUMMYFUNCTION("""COMPUTED_VALUE"""),"SALLY ISKANDAR TAN")</f>
        <v>SALLY ISKANDAR TAN</v>
      </c>
      <c r="C3050" s="3" t="str">
        <f>IFERROR(__xludf.DUMMYFUNCTION("""COMPUTED_VALUE"""),"S0125112891")</f>
        <v>S0125112891</v>
      </c>
      <c r="D3050" s="3">
        <f>IFERROR(__xludf.DUMMYFUNCTION("""COMPUTED_VALUE"""),25.0)</f>
        <v>25</v>
      </c>
      <c r="E3050" s="1"/>
    </row>
    <row r="3051">
      <c r="A3051" s="1"/>
      <c r="B3051" s="3" t="str">
        <f>IFERROR(__xludf.DUMMYFUNCTION("""COMPUTED_VALUE"""),"SUMIATI")</f>
        <v>SUMIATI</v>
      </c>
      <c r="C3051" s="3" t="str">
        <f>IFERROR(__xludf.DUMMYFUNCTION("""COMPUTED_VALUE"""),"S8525116452")</f>
        <v>S8525116452</v>
      </c>
      <c r="D3051" s="3">
        <f>IFERROR(__xludf.DUMMYFUNCTION("""COMPUTED_VALUE"""),41.0)</f>
        <v>41</v>
      </c>
      <c r="E3051" s="1"/>
    </row>
    <row r="3052">
      <c r="A3052" s="1"/>
      <c r="B3052" s="3" t="str">
        <f>IFERROR(__xludf.DUMMYFUNCTION("""COMPUTED_VALUE"""),"WARRIN WIJAYA")</f>
        <v>WARRIN WIJAYA</v>
      </c>
      <c r="C3052" s="3" t="str">
        <f>IFERROR(__xludf.DUMMYFUNCTION("""COMPUTED_VALUE"""),"W9725116553")</f>
        <v>W9725116553</v>
      </c>
      <c r="D3052" s="3">
        <f>IFERROR(__xludf.DUMMYFUNCTION("""COMPUTED_VALUE"""),28.0)</f>
        <v>28</v>
      </c>
      <c r="E3052" s="1"/>
    </row>
    <row r="3053">
      <c r="A3053" s="1"/>
      <c r="B3053" s="3" t="str">
        <f>IFERROR(__xludf.DUMMYFUNCTION("""COMPUTED_VALUE"""),"TAN TJHUN TIE ALS ROBERT")</f>
        <v>TAN TJHUN TIE ALS ROBERT</v>
      </c>
      <c r="C3053" s="3" t="str">
        <f>IFERROR(__xludf.DUMMYFUNCTION("""COMPUTED_VALUE"""),"T5625119994")</f>
        <v>T5625119994</v>
      </c>
      <c r="D3053" s="3">
        <f>IFERROR(__xludf.DUMMYFUNCTION("""COMPUTED_VALUE"""),70.0)</f>
        <v>70</v>
      </c>
      <c r="E3053" s="1"/>
    </row>
    <row r="3054">
      <c r="A3054" s="1"/>
      <c r="B3054" s="3" t="str">
        <f>IFERROR(__xludf.DUMMYFUNCTION("""COMPUTED_VALUE"""),"SRI HERYANTI")</f>
        <v>SRI HERYANTI</v>
      </c>
      <c r="C3054" s="3" t="str">
        <f>IFERROR(__xludf.DUMMYFUNCTION("""COMPUTED_VALUE"""),"S6025112254")</f>
        <v>S6025112254</v>
      </c>
      <c r="D3054" s="3">
        <f>IFERROR(__xludf.DUMMYFUNCTION("""COMPUTED_VALUE"""),65.0)</f>
        <v>65</v>
      </c>
      <c r="E3054" s="1"/>
    </row>
    <row r="3055">
      <c r="A3055" s="1"/>
      <c r="B3055" s="3" t="str">
        <f>IFERROR(__xludf.DUMMYFUNCTION("""COMPUTED_VALUE"""),"THIAM NGOEAN")</f>
        <v>THIAM NGOEAN</v>
      </c>
      <c r="C3055" s="3" t="str">
        <f>IFERROR(__xludf.DUMMYFUNCTION("""COMPUTED_VALUE"""),"T5925115260")</f>
        <v>T5925115260</v>
      </c>
      <c r="D3055" s="3">
        <f>IFERROR(__xludf.DUMMYFUNCTION("""COMPUTED_VALUE"""),67.0)</f>
        <v>67</v>
      </c>
      <c r="E3055" s="1"/>
    </row>
    <row r="3056">
      <c r="A3056" s="1"/>
      <c r="B3056" s="3" t="str">
        <f>IFERROR(__xludf.DUMMYFUNCTION("""COMPUTED_VALUE"""),"SEBASTIAN")</f>
        <v>SEBASTIAN</v>
      </c>
      <c r="C3056" s="3" t="str">
        <f>IFERROR(__xludf.DUMMYFUNCTION("""COMPUTED_VALUE"""),"S0125117555")</f>
        <v>S0125117555</v>
      </c>
      <c r="D3056" s="3">
        <f>IFERROR(__xludf.DUMMYFUNCTION("""COMPUTED_VALUE"""),24.0)</f>
        <v>24</v>
      </c>
      <c r="E3056" s="1"/>
    </row>
    <row r="3057">
      <c r="A3057" s="1"/>
      <c r="B3057" s="3" t="str">
        <f>IFERROR(__xludf.DUMMYFUNCTION("""COMPUTED_VALUE"""),"CANDY WIBOWO")</f>
        <v>CANDY WIBOWO</v>
      </c>
      <c r="C3057" s="3" t="str">
        <f>IFERROR(__xludf.DUMMYFUNCTION("""COMPUTED_VALUE"""),"C9025117272")</f>
        <v>C9025117272</v>
      </c>
      <c r="D3057" s="3">
        <f>IFERROR(__xludf.DUMMYFUNCTION("""COMPUTED_VALUE"""),35.0)</f>
        <v>35</v>
      </c>
      <c r="E3057" s="1"/>
    </row>
    <row r="3058">
      <c r="A3058" s="1"/>
      <c r="B3058" s="3" t="str">
        <f>IFERROR(__xludf.DUMMYFUNCTION("""COMPUTED_VALUE"""),"ANDRI WIJAYA KUSUMA")</f>
        <v>ANDRI WIJAYA KUSUMA</v>
      </c>
      <c r="C3058" s="3" t="str">
        <f>IFERROR(__xludf.DUMMYFUNCTION("""COMPUTED_VALUE"""),"A8525117983")</f>
        <v>A8525117983</v>
      </c>
      <c r="D3058" s="3">
        <f>IFERROR(__xludf.DUMMYFUNCTION("""COMPUTED_VALUE"""),40.0)</f>
        <v>40</v>
      </c>
      <c r="E3058" s="1"/>
    </row>
    <row r="3059">
      <c r="A3059" s="1"/>
      <c r="B3059" s="3" t="str">
        <f>IFERROR(__xludf.DUMMYFUNCTION("""COMPUTED_VALUE"""),"SAITA")</f>
        <v>SAITA</v>
      </c>
      <c r="C3059" s="3" t="str">
        <f>IFERROR(__xludf.DUMMYFUNCTION("""COMPUTED_VALUE"""),"S5925119334")</f>
        <v>S5925119334</v>
      </c>
      <c r="D3059" s="3">
        <f>IFERROR(__xludf.DUMMYFUNCTION("""COMPUTED_VALUE"""),67.0)</f>
        <v>67</v>
      </c>
      <c r="E3059" s="1"/>
    </row>
    <row r="3060">
      <c r="A3060" s="1"/>
      <c r="B3060" s="3" t="str">
        <f>IFERROR(__xludf.DUMMYFUNCTION("""COMPUTED_VALUE"""),"SUSANTI 8501")</f>
        <v>SUSANTI 8501</v>
      </c>
      <c r="C3060" s="3" t="str">
        <f>IFERROR(__xludf.DUMMYFUNCTION("""COMPUTED_VALUE"""),"S8525111888")</f>
        <v>S8525111888</v>
      </c>
      <c r="D3060" s="3">
        <f>IFERROR(__xludf.DUMMYFUNCTION("""COMPUTED_VALUE"""),40.0)</f>
        <v>40</v>
      </c>
      <c r="E3060" s="1"/>
    </row>
    <row r="3061">
      <c r="A3061" s="1"/>
      <c r="B3061" s="3" t="str">
        <f>IFERROR(__xludf.DUMMYFUNCTION("""COMPUTED_VALUE"""),"GILANG RIDHO ANANDA")</f>
        <v>GILANG RIDHO ANANDA</v>
      </c>
      <c r="C3061" s="3" t="str">
        <f>IFERROR(__xludf.DUMMYFUNCTION("""COMPUTED_VALUE"""),"G9725111612")</f>
        <v>G9725111612</v>
      </c>
      <c r="D3061" s="3">
        <f>IFERROR(__xludf.DUMMYFUNCTION("""COMPUTED_VALUE"""),29.0)</f>
        <v>29</v>
      </c>
      <c r="E3061" s="1"/>
    </row>
    <row r="3062">
      <c r="A3062" s="1"/>
      <c r="B3062" s="3" t="str">
        <f>IFERROR(__xludf.DUMMYFUNCTION("""COMPUTED_VALUE"""),"YESI VERDIANTI")</f>
        <v>YESI VERDIANTI</v>
      </c>
      <c r="C3062" s="3" t="str">
        <f>IFERROR(__xludf.DUMMYFUNCTION("""COMPUTED_VALUE"""),"Y9325112254")</f>
        <v>Y9325112254</v>
      </c>
      <c r="D3062" s="3">
        <f>IFERROR(__xludf.DUMMYFUNCTION("""COMPUTED_VALUE"""),33.0)</f>
        <v>33</v>
      </c>
      <c r="E3062" s="1"/>
    </row>
    <row r="3063">
      <c r="A3063" s="1"/>
      <c r="B3063" s="3" t="str">
        <f>IFERROR(__xludf.DUMMYFUNCTION("""COMPUTED_VALUE"""),"FREDY TANDIONO")</f>
        <v>FREDY TANDIONO</v>
      </c>
      <c r="C3063" s="3" t="str">
        <f>IFERROR(__xludf.DUMMYFUNCTION("""COMPUTED_VALUE"""),"F8125119889")</f>
        <v>F8125119889</v>
      </c>
      <c r="D3063" s="3">
        <f>IFERROR(__xludf.DUMMYFUNCTION("""COMPUTED_VALUE"""),45.0)</f>
        <v>45</v>
      </c>
      <c r="E3063" s="1"/>
    </row>
    <row r="3064">
      <c r="A3064" s="1"/>
      <c r="B3064" s="3" t="str">
        <f>IFERROR(__xludf.DUMMYFUNCTION("""COMPUTED_VALUE"""),"STEVANI")</f>
        <v>STEVANI</v>
      </c>
      <c r="C3064" s="3" t="str">
        <f>IFERROR(__xludf.DUMMYFUNCTION("""COMPUTED_VALUE"""),"S0325118209")</f>
        <v>S0325118209</v>
      </c>
      <c r="D3064" s="3">
        <f>IFERROR(__xludf.DUMMYFUNCTION("""COMPUTED_VALUE"""),23.0)</f>
        <v>23</v>
      </c>
      <c r="E3064" s="1"/>
    </row>
    <row r="3065">
      <c r="A3065" s="1"/>
      <c r="B3065" s="3" t="str">
        <f>IFERROR(__xludf.DUMMYFUNCTION("""COMPUTED_VALUE"""),"M IQBAL")</f>
        <v>M IQBAL</v>
      </c>
      <c r="C3065" s="3" t="str">
        <f>IFERROR(__xludf.DUMMYFUNCTION("""COMPUTED_VALUE"""),"M0425114646")</f>
        <v>M0425114646</v>
      </c>
      <c r="D3065" s="3">
        <f>IFERROR(__xludf.DUMMYFUNCTION("""COMPUTED_VALUE"""),21.0)</f>
        <v>21</v>
      </c>
      <c r="E3065" s="1"/>
    </row>
    <row r="3066">
      <c r="A3066" s="1"/>
      <c r="B3066" s="3" t="str">
        <f>IFERROR(__xludf.DUMMYFUNCTION("""COMPUTED_VALUE"""),"NAJWA NUR AZWINA")</f>
        <v>NAJWA NUR AZWINA</v>
      </c>
      <c r="C3066" s="3" t="str">
        <f>IFERROR(__xludf.DUMMYFUNCTION("""COMPUTED_VALUE"""),"N0725118277")</f>
        <v>N0725118277</v>
      </c>
      <c r="D3066" s="3">
        <f>IFERROR(__xludf.DUMMYFUNCTION("""COMPUTED_VALUE"""),18.0)</f>
        <v>18</v>
      </c>
      <c r="E3066" s="1"/>
    </row>
    <row r="3067">
      <c r="A3067" s="1"/>
      <c r="B3067" s="3" t="str">
        <f>IFERROR(__xludf.DUMMYFUNCTION("""COMPUTED_VALUE"""),"AZMI 8804")</f>
        <v>AZMI 8804</v>
      </c>
      <c r="C3067" s="3" t="str">
        <f>IFERROR(__xludf.DUMMYFUNCTION("""COMPUTED_VALUE"""),"A8825114554")</f>
        <v>A8825114554</v>
      </c>
      <c r="D3067" s="3">
        <f>IFERROR(__xludf.DUMMYFUNCTION("""COMPUTED_VALUE"""),38.0)</f>
        <v>38</v>
      </c>
      <c r="E3067" s="1"/>
    </row>
    <row r="3068">
      <c r="A3068" s="1"/>
      <c r="B3068" s="3" t="str">
        <f>IFERROR(__xludf.DUMMYFUNCTION("""COMPUTED_VALUE"""),"MUHAMMAD DHUHA KUSUMA")</f>
        <v>MUHAMMAD DHUHA KUSUMA</v>
      </c>
      <c r="C3068" s="3" t="str">
        <f>IFERROR(__xludf.DUMMYFUNCTION("""COMPUTED_VALUE"""),"M0325114391")</f>
        <v>M0325114391</v>
      </c>
      <c r="D3068" s="3">
        <f>IFERROR(__xludf.DUMMYFUNCTION("""COMPUTED_VALUE"""),22.0)</f>
        <v>22</v>
      </c>
      <c r="E3068" s="1"/>
    </row>
    <row r="3069">
      <c r="A3069" s="1"/>
      <c r="B3069" s="3" t="str">
        <f>IFERROR(__xludf.DUMMYFUNCTION("""COMPUTED_VALUE"""),"MINARWATY")</f>
        <v>MINARWATY</v>
      </c>
      <c r="C3069" s="3" t="str">
        <f>IFERROR(__xludf.DUMMYFUNCTION("""COMPUTED_VALUE"""),"M7525114704")</f>
        <v>M7525114704</v>
      </c>
      <c r="D3069" s="3">
        <f>IFERROR(__xludf.DUMMYFUNCTION("""COMPUTED_VALUE"""),51.0)</f>
        <v>51</v>
      </c>
      <c r="E3069" s="1"/>
    </row>
    <row r="3070">
      <c r="A3070" s="1"/>
      <c r="B3070" s="3" t="str">
        <f>IFERROR(__xludf.DUMMYFUNCTION("""COMPUTED_VALUE"""),"VANES ALBERT")</f>
        <v>VANES ALBERT</v>
      </c>
      <c r="C3070" s="3" t="str">
        <f>IFERROR(__xludf.DUMMYFUNCTION("""COMPUTED_VALUE"""),"V0825111714")</f>
        <v>V0825111714</v>
      </c>
      <c r="D3070" s="3">
        <f>IFERROR(__xludf.DUMMYFUNCTION("""COMPUTED_VALUE"""),18.0)</f>
        <v>18</v>
      </c>
      <c r="E3070" s="1"/>
    </row>
    <row r="3071">
      <c r="A3071" s="1"/>
      <c r="B3071" s="3" t="str">
        <f>IFERROR(__xludf.DUMMYFUNCTION("""COMPUTED_VALUE"""),"RD RHAFLI HASSAN BISRI")</f>
        <v>RD RHAFLI HASSAN BISRI</v>
      </c>
      <c r="C3071" s="3" t="str">
        <f>IFERROR(__xludf.DUMMYFUNCTION("""COMPUTED_VALUE"""),"R0325114352")</f>
        <v>R0325114352</v>
      </c>
      <c r="D3071" s="3">
        <f>IFERROR(__xludf.DUMMYFUNCTION("""COMPUTED_VALUE"""),23.0)</f>
        <v>23</v>
      </c>
      <c r="E3071" s="1"/>
    </row>
    <row r="3072">
      <c r="A3072" s="1"/>
      <c r="B3072" s="3" t="str">
        <f>IFERROR(__xludf.DUMMYFUNCTION("""COMPUTED_VALUE"""),"RATNAWITA")</f>
        <v>RATNAWITA</v>
      </c>
      <c r="C3072" s="3" t="str">
        <f>IFERROR(__xludf.DUMMYFUNCTION("""COMPUTED_VALUE"""),"R6925118000")</f>
        <v>R6925118000</v>
      </c>
      <c r="D3072" s="3">
        <f>IFERROR(__xludf.DUMMYFUNCTION("""COMPUTED_VALUE"""),57.0)</f>
        <v>57</v>
      </c>
      <c r="E3072" s="1"/>
    </row>
    <row r="3073">
      <c r="A3073" s="1"/>
      <c r="B3073" s="3" t="str">
        <f>IFERROR(__xludf.DUMMYFUNCTION("""COMPUTED_VALUE"""),"SEPTIAN MARLI ARLISTA")</f>
        <v>SEPTIAN MARLI ARLISTA</v>
      </c>
      <c r="C3073" s="3" t="str">
        <f>IFERROR(__xludf.DUMMYFUNCTION("""COMPUTED_VALUE"""),"S9325115631")</f>
        <v>S9325115631</v>
      </c>
      <c r="D3073" s="3">
        <f>IFERROR(__xludf.DUMMYFUNCTION("""COMPUTED_VALUE"""),32.0)</f>
        <v>32</v>
      </c>
      <c r="E3073" s="1"/>
    </row>
    <row r="3074">
      <c r="A3074" s="1"/>
      <c r="B3074" s="3" t="str">
        <f>IFERROR(__xludf.DUMMYFUNCTION("""COMPUTED_VALUE"""),"RINI SATMAWATI")</f>
        <v>RINI SATMAWATI</v>
      </c>
      <c r="C3074" s="3" t="str">
        <f>IFERROR(__xludf.DUMMYFUNCTION("""COMPUTED_VALUE"""),"R6825110615")</f>
        <v>R6825110615</v>
      </c>
      <c r="D3074" s="3">
        <f>IFERROR(__xludf.DUMMYFUNCTION("""COMPUTED_VALUE"""),57.0)</f>
        <v>57</v>
      </c>
      <c r="E3074" s="1"/>
    </row>
    <row r="3075">
      <c r="A3075" s="1"/>
      <c r="B3075" s="3" t="str">
        <f>IFERROR(__xludf.DUMMYFUNCTION("""COMPUTED_VALUE"""),"JUSTIKA MAHAR RANI")</f>
        <v>JUSTIKA MAHAR RANI</v>
      </c>
      <c r="C3075" s="3" t="str">
        <f>IFERROR(__xludf.DUMMYFUNCTION("""COMPUTED_VALUE"""),"J9825115575")</f>
        <v>J9825115575</v>
      </c>
      <c r="D3075" s="3">
        <f>IFERROR(__xludf.DUMMYFUNCTION("""COMPUTED_VALUE"""),27.0)</f>
        <v>27</v>
      </c>
      <c r="E3075" s="1"/>
    </row>
    <row r="3076">
      <c r="A3076" s="1"/>
      <c r="B3076" s="3" t="str">
        <f>IFERROR(__xludf.DUMMYFUNCTION("""COMPUTED_VALUE"""),"HANY JULIANI")</f>
        <v>HANY JULIANI</v>
      </c>
      <c r="C3076" s="3" t="str">
        <f>IFERROR(__xludf.DUMMYFUNCTION("""COMPUTED_VALUE"""),"H1025113976")</f>
        <v>H1025113976</v>
      </c>
      <c r="D3076" s="3">
        <f>IFERROR(__xludf.DUMMYFUNCTION("""COMPUTED_VALUE"""),15.0)</f>
        <v>15</v>
      </c>
      <c r="E3076" s="1"/>
    </row>
    <row r="3077">
      <c r="A3077" s="1"/>
      <c r="B3077" s="3" t="str">
        <f>IFERROR(__xludf.DUMMYFUNCTION("""COMPUTED_VALUE"""),"NURHAYATI 6206")</f>
        <v>NURHAYATI 6206</v>
      </c>
      <c r="C3077" s="3" t="str">
        <f>IFERROR(__xludf.DUMMYFUNCTION("""COMPUTED_VALUE"""),"N6225110960")</f>
        <v>N6225110960</v>
      </c>
      <c r="D3077" s="3">
        <f>IFERROR(__xludf.DUMMYFUNCTION("""COMPUTED_VALUE"""),64.0)</f>
        <v>64</v>
      </c>
      <c r="E3077" s="1"/>
    </row>
    <row r="3078">
      <c r="A3078" s="1"/>
      <c r="B3078" s="3" t="str">
        <f>IFERROR(__xludf.DUMMYFUNCTION("""COMPUTED_VALUE"""),"MUHAMMAD DEVA ERLANGGA")</f>
        <v>MUHAMMAD DEVA ERLANGGA</v>
      </c>
      <c r="C3078" s="3" t="str">
        <f>IFERROR(__xludf.DUMMYFUNCTION("""COMPUTED_VALUE"""),"M0025117586")</f>
        <v>M0025117586</v>
      </c>
      <c r="D3078" s="3">
        <f>IFERROR(__xludf.DUMMYFUNCTION("""COMPUTED_VALUE"""),25.0)</f>
        <v>25</v>
      </c>
      <c r="E3078" s="1"/>
    </row>
    <row r="3079">
      <c r="A3079" s="1"/>
      <c r="B3079" s="3" t="str">
        <f>IFERROR(__xludf.DUMMYFUNCTION("""COMPUTED_VALUE"""),"ANDI DE")</f>
        <v>ANDI DE</v>
      </c>
      <c r="C3079" s="3" t="str">
        <f>IFERROR(__xludf.DUMMYFUNCTION("""COMPUTED_VALUE"""),"A7025110923")</f>
        <v>A7025110923</v>
      </c>
      <c r="D3079" s="3">
        <f>IFERROR(__xludf.DUMMYFUNCTION("""COMPUTED_VALUE"""),55.0)</f>
        <v>55</v>
      </c>
      <c r="E3079" s="1"/>
    </row>
    <row r="3080">
      <c r="A3080" s="1"/>
      <c r="B3080" s="3" t="str">
        <f>IFERROR(__xludf.DUMMYFUNCTION("""COMPUTED_VALUE"""),"SUPOMO")</f>
        <v>SUPOMO</v>
      </c>
      <c r="C3080" s="3" t="str">
        <f>IFERROR(__xludf.DUMMYFUNCTION("""COMPUTED_VALUE"""),"S7325111991")</f>
        <v>S7325111991</v>
      </c>
      <c r="D3080" s="3">
        <f>IFERROR(__xludf.DUMMYFUNCTION("""COMPUTED_VALUE"""),53.0)</f>
        <v>53</v>
      </c>
      <c r="E3080" s="1"/>
    </row>
    <row r="3081">
      <c r="A3081" s="1"/>
      <c r="B3081" s="3" t="str">
        <f>IFERROR(__xludf.DUMMYFUNCTION("""COMPUTED_VALUE"""),"HUMAIRA NOVRIYATI")</f>
        <v>HUMAIRA NOVRIYATI</v>
      </c>
      <c r="C3081" s="3" t="str">
        <f>IFERROR(__xludf.DUMMYFUNCTION("""COMPUTED_VALUE"""),"H7825116588")</f>
        <v>H7825116588</v>
      </c>
      <c r="D3081" s="3">
        <f>IFERROR(__xludf.DUMMYFUNCTION("""COMPUTED_VALUE"""),47.0)</f>
        <v>47</v>
      </c>
      <c r="E3081" s="1"/>
    </row>
    <row r="3082">
      <c r="A3082" s="1"/>
      <c r="B3082" s="3" t="str">
        <f>IFERROR(__xludf.DUMMYFUNCTION("""COMPUTED_VALUE"""),"AKIAN")</f>
        <v>AKIAN</v>
      </c>
      <c r="C3082" s="3" t="str">
        <f>IFERROR(__xludf.DUMMYFUNCTION("""COMPUTED_VALUE"""),"A9425110177")</f>
        <v>A9425110177</v>
      </c>
      <c r="D3082" s="3">
        <f>IFERROR(__xludf.DUMMYFUNCTION("""COMPUTED_VALUE"""),31.0)</f>
        <v>31</v>
      </c>
      <c r="E3082" s="1"/>
    </row>
    <row r="3083">
      <c r="A3083" s="1"/>
      <c r="B3083" s="3" t="str">
        <f>IFERROR(__xludf.DUMMYFUNCTION("""COMPUTED_VALUE"""),"WISNU")</f>
        <v>WISNU</v>
      </c>
      <c r="C3083" s="3" t="str">
        <f>IFERROR(__xludf.DUMMYFUNCTION("""COMPUTED_VALUE"""),"W0725110582")</f>
        <v>W0725110582</v>
      </c>
      <c r="D3083" s="3">
        <f>IFERROR(__xludf.DUMMYFUNCTION("""COMPUTED_VALUE"""),18.0)</f>
        <v>18</v>
      </c>
      <c r="E3083" s="1"/>
    </row>
    <row r="3084">
      <c r="A3084" s="1"/>
      <c r="B3084" s="3" t="str">
        <f>IFERROR(__xludf.DUMMYFUNCTION("""COMPUTED_VALUE"""),"SOFIA PHUA")</f>
        <v>SOFIA PHUA</v>
      </c>
      <c r="C3084" s="3" t="str">
        <f>IFERROR(__xludf.DUMMYFUNCTION("""COMPUTED_VALUE"""),"S4425117922")</f>
        <v>S4425117922</v>
      </c>
      <c r="D3084" s="3">
        <f>IFERROR(__xludf.DUMMYFUNCTION("""COMPUTED_VALUE"""),82.0)</f>
        <v>82</v>
      </c>
      <c r="E3084" s="1"/>
    </row>
    <row r="3085">
      <c r="A3085" s="1"/>
      <c r="B3085" s="3" t="str">
        <f>IFERROR(__xludf.DUMMYFUNCTION("""COMPUTED_VALUE"""),"AULI FATHIA PUTRIATI S.FARM, APT")</f>
        <v>AULI FATHIA PUTRIATI S.FARM, APT</v>
      </c>
      <c r="C3085" s="3" t="str">
        <f>IFERROR(__xludf.DUMMYFUNCTION("""COMPUTED_VALUE"""),"A8725115557")</f>
        <v>A8725115557</v>
      </c>
      <c r="D3085" s="3">
        <f>IFERROR(__xludf.DUMMYFUNCTION("""COMPUTED_VALUE"""),38.0)</f>
        <v>38</v>
      </c>
      <c r="E3085" s="1"/>
    </row>
    <row r="3086">
      <c r="A3086" s="1"/>
      <c r="B3086" s="3" t="str">
        <f>IFERROR(__xludf.DUMMYFUNCTION("""COMPUTED_VALUE"""),"SETIO BONO SAPUTRO")</f>
        <v>SETIO BONO SAPUTRO</v>
      </c>
      <c r="C3086" s="3" t="str">
        <f>IFERROR(__xludf.DUMMYFUNCTION("""COMPUTED_VALUE"""),"S7325119020")</f>
        <v>S7325119020</v>
      </c>
      <c r="D3086" s="3">
        <f>IFERROR(__xludf.DUMMYFUNCTION("""COMPUTED_VALUE"""),52.0)</f>
        <v>52</v>
      </c>
      <c r="E3086" s="1"/>
    </row>
    <row r="3087">
      <c r="A3087" s="1"/>
      <c r="B3087" s="3" t="str">
        <f>IFERROR(__xludf.DUMMYFUNCTION("""COMPUTED_VALUE"""),"IDRIS 5503")</f>
        <v>IDRIS 5503</v>
      </c>
      <c r="C3087" s="3" t="str">
        <f>IFERROR(__xludf.DUMMYFUNCTION("""COMPUTED_VALUE"""),"I5525110751")</f>
        <v>I5525110751</v>
      </c>
      <c r="D3087" s="3">
        <f>IFERROR(__xludf.DUMMYFUNCTION("""COMPUTED_VALUE"""),71.0)</f>
        <v>71</v>
      </c>
      <c r="E3087" s="1"/>
    </row>
    <row r="3088">
      <c r="A3088" s="1"/>
      <c r="B3088" s="3" t="str">
        <f>IFERROR(__xludf.DUMMYFUNCTION("""COMPUTED_VALUE"""),"CHIKI AMARA SYAHLITHA")</f>
        <v>CHIKI AMARA SYAHLITHA</v>
      </c>
      <c r="C3088" s="3" t="str">
        <f>IFERROR(__xludf.DUMMYFUNCTION("""COMPUTED_VALUE"""),"C9925116192")</f>
        <v>C9925116192</v>
      </c>
      <c r="D3088" s="3">
        <f>IFERROR(__xludf.DUMMYFUNCTION("""COMPUTED_VALUE"""),26.0)</f>
        <v>26</v>
      </c>
      <c r="E3088" s="1"/>
    </row>
    <row r="3089">
      <c r="A3089" s="1"/>
      <c r="B3089" s="3" t="str">
        <f>IFERROR(__xludf.DUMMYFUNCTION("""COMPUTED_VALUE"""),"ALYSSA SALSABILLA")</f>
        <v>ALYSSA SALSABILLA</v>
      </c>
      <c r="C3089" s="3" t="str">
        <f>IFERROR(__xludf.DUMMYFUNCTION("""COMPUTED_VALUE"""),"A0125119292")</f>
        <v>A0125119292</v>
      </c>
      <c r="D3089" s="3">
        <f>IFERROR(__xludf.DUMMYFUNCTION("""COMPUTED_VALUE"""),25.0)</f>
        <v>25</v>
      </c>
      <c r="E3089" s="1"/>
    </row>
    <row r="3090">
      <c r="A3090" s="1"/>
      <c r="B3090" s="3" t="str">
        <f>IFERROR(__xludf.DUMMYFUNCTION("""COMPUTED_VALUE"""),"CHRISTIAN WIDIYANTO")</f>
        <v>CHRISTIAN WIDIYANTO</v>
      </c>
      <c r="C3090" s="3" t="str">
        <f>IFERROR(__xludf.DUMMYFUNCTION("""COMPUTED_VALUE"""),"C0525115291")</f>
        <v>C0525115291</v>
      </c>
      <c r="D3090" s="3">
        <f>IFERROR(__xludf.DUMMYFUNCTION("""COMPUTED_VALUE"""),20.0)</f>
        <v>20</v>
      </c>
      <c r="E3090" s="1"/>
    </row>
    <row r="3091">
      <c r="A3091" s="1"/>
      <c r="B3091" s="3" t="str">
        <f>IFERROR(__xludf.DUMMYFUNCTION("""COMPUTED_VALUE"""),"MUH AGUS MAULANA")</f>
        <v>MUH AGUS MAULANA</v>
      </c>
      <c r="C3091" s="3" t="str">
        <f>IFERROR(__xludf.DUMMYFUNCTION("""COMPUTED_VALUE"""),"M9225117800")</f>
        <v>M9225117800</v>
      </c>
      <c r="D3091" s="3">
        <f>IFERROR(__xludf.DUMMYFUNCTION("""COMPUTED_VALUE"""),33.0)</f>
        <v>33</v>
      </c>
      <c r="E3091" s="1"/>
    </row>
    <row r="3092">
      <c r="A3092" s="1"/>
      <c r="B3092" s="3" t="str">
        <f>IFERROR(__xludf.DUMMYFUNCTION("""COMPUTED_VALUE"""),"IRIYANI")</f>
        <v>IRIYANI</v>
      </c>
      <c r="C3092" s="3" t="str">
        <f>IFERROR(__xludf.DUMMYFUNCTION("""COMPUTED_VALUE"""),"I5825112202")</f>
        <v>I5825112202</v>
      </c>
      <c r="D3092" s="3">
        <f>IFERROR(__xludf.DUMMYFUNCTION("""COMPUTED_VALUE"""),68.0)</f>
        <v>68</v>
      </c>
      <c r="E3092" s="1"/>
    </row>
    <row r="3093">
      <c r="A3093" s="1"/>
      <c r="B3093" s="3" t="str">
        <f>IFERROR(__xludf.DUMMYFUNCTION("""COMPUTED_VALUE"""),"HELGA MACHARA NOVIA")</f>
        <v>HELGA MACHARA NOVIA</v>
      </c>
      <c r="C3093" s="3" t="str">
        <f>IFERROR(__xludf.DUMMYFUNCTION("""COMPUTED_VALUE"""),"H8525115939")</f>
        <v>H8525115939</v>
      </c>
      <c r="D3093" s="3">
        <f>IFERROR(__xludf.DUMMYFUNCTION("""COMPUTED_VALUE"""),40.0)</f>
        <v>40</v>
      </c>
      <c r="E3093" s="1"/>
    </row>
    <row r="3094">
      <c r="A3094" s="1"/>
      <c r="B3094" s="3" t="str">
        <f>IFERROR(__xludf.DUMMYFUNCTION("""COMPUTED_VALUE"""),"OSKAR FEBRIANO HASITTO")</f>
        <v>OSKAR FEBRIANO HASITTO</v>
      </c>
      <c r="C3094" s="3" t="str">
        <f>IFERROR(__xludf.DUMMYFUNCTION("""COMPUTED_VALUE"""),"O0925115685")</f>
        <v>O0925115685</v>
      </c>
      <c r="D3094" s="3">
        <f>IFERROR(__xludf.DUMMYFUNCTION("""COMPUTED_VALUE"""),17.0)</f>
        <v>17</v>
      </c>
      <c r="E3094" s="1"/>
    </row>
    <row r="3095">
      <c r="A3095" s="1"/>
      <c r="B3095" s="3" t="str">
        <f>IFERROR(__xludf.DUMMYFUNCTION("""COMPUTED_VALUE"""),"JASON VALENCIUS")</f>
        <v>JASON VALENCIUS</v>
      </c>
      <c r="C3095" s="3" t="str">
        <f>IFERROR(__xludf.DUMMYFUNCTION("""COMPUTED_VALUE"""),"J0825113594")</f>
        <v>J0825113594</v>
      </c>
      <c r="D3095" s="3">
        <f>IFERROR(__xludf.DUMMYFUNCTION("""COMPUTED_VALUE"""),18.0)</f>
        <v>18</v>
      </c>
      <c r="E3095" s="1"/>
    </row>
    <row r="3096">
      <c r="A3096" s="1"/>
      <c r="B3096" s="3" t="str">
        <f>IFERROR(__xludf.DUMMYFUNCTION("""COMPUTED_VALUE"""),"MASKADARNI")</f>
        <v>MASKADARNI</v>
      </c>
      <c r="C3096" s="3" t="str">
        <f>IFERROR(__xludf.DUMMYFUNCTION("""COMPUTED_VALUE"""),"M7125117366")</f>
        <v>M7125117366</v>
      </c>
      <c r="D3096" s="3">
        <f>IFERROR(__xludf.DUMMYFUNCTION("""COMPUTED_VALUE"""),54.0)</f>
        <v>54</v>
      </c>
      <c r="E3096" s="1"/>
    </row>
    <row r="3097">
      <c r="A3097" s="1"/>
      <c r="B3097" s="3" t="str">
        <f>IFERROR(__xludf.DUMMYFUNCTION("""COMPUTED_VALUE"""),"FACHRUL APRIAN")</f>
        <v>FACHRUL APRIAN</v>
      </c>
      <c r="C3097" s="3" t="str">
        <f>IFERROR(__xludf.DUMMYFUNCTION("""COMPUTED_VALUE"""),"F9625115501")</f>
        <v>F9625115501</v>
      </c>
      <c r="D3097" s="3">
        <f>IFERROR(__xludf.DUMMYFUNCTION("""COMPUTED_VALUE"""),30.0)</f>
        <v>30</v>
      </c>
      <c r="E3097" s="1"/>
    </row>
    <row r="3098">
      <c r="A3098" s="1"/>
      <c r="B3098" s="3" t="str">
        <f>IFERROR(__xludf.DUMMYFUNCTION("""COMPUTED_VALUE"""),"EMA KULATA")</f>
        <v>EMA KULATA</v>
      </c>
      <c r="C3098" s="3" t="str">
        <f>IFERROR(__xludf.DUMMYFUNCTION("""COMPUTED_VALUE"""),"E7325114705")</f>
        <v>E7325114705</v>
      </c>
      <c r="D3098" s="3">
        <f>IFERROR(__xludf.DUMMYFUNCTION("""COMPUTED_VALUE"""),53.0)</f>
        <v>53</v>
      </c>
      <c r="E3098" s="1"/>
    </row>
    <row r="3099">
      <c r="A3099" s="1"/>
      <c r="B3099" s="3" t="str">
        <f>IFERROR(__xludf.DUMMYFUNCTION("""COMPUTED_VALUE"""),"GURUH PARYONO")</f>
        <v>GURUH PARYONO</v>
      </c>
      <c r="C3099" s="3" t="str">
        <f>IFERROR(__xludf.DUMMYFUNCTION("""COMPUTED_VALUE"""),"G6825114705")</f>
        <v>G6825114705</v>
      </c>
      <c r="D3099" s="3">
        <f>IFERROR(__xludf.DUMMYFUNCTION("""COMPUTED_VALUE"""),57.0)</f>
        <v>57</v>
      </c>
      <c r="E3099" s="1"/>
    </row>
    <row r="3100">
      <c r="A3100" s="1"/>
      <c r="B3100" s="3" t="str">
        <f>IFERROR(__xludf.DUMMYFUNCTION("""COMPUTED_VALUE"""),"SISKA DAMASTUTI")</f>
        <v>SISKA DAMASTUTI</v>
      </c>
      <c r="C3100" s="3" t="str">
        <f>IFERROR(__xludf.DUMMYFUNCTION("""COMPUTED_VALUE"""),"S9225116214")</f>
        <v>S9225116214</v>
      </c>
      <c r="D3100" s="3">
        <f>IFERROR(__xludf.DUMMYFUNCTION("""COMPUTED_VALUE"""),33.0)</f>
        <v>33</v>
      </c>
      <c r="E3100" s="1"/>
    </row>
    <row r="3101">
      <c r="A3101" s="1"/>
      <c r="B3101" s="3" t="str">
        <f>IFERROR(__xludf.DUMMYFUNCTION("""COMPUTED_VALUE"""),"TENGKU PUTRI DEVANTY")</f>
        <v>TENGKU PUTRI DEVANTY</v>
      </c>
      <c r="C3101" s="3" t="str">
        <f>IFERROR(__xludf.DUMMYFUNCTION("""COMPUTED_VALUE"""),"T8425110655")</f>
        <v>T8425110655</v>
      </c>
      <c r="D3101" s="3">
        <f>IFERROR(__xludf.DUMMYFUNCTION("""COMPUTED_VALUE"""),41.0)</f>
        <v>41</v>
      </c>
      <c r="E3101" s="1"/>
    </row>
    <row r="3102">
      <c r="A3102" s="1"/>
      <c r="B3102" s="3" t="str">
        <f>IFERROR(__xludf.DUMMYFUNCTION("""COMPUTED_VALUE"""),"RESYA NOVADITYA")</f>
        <v>RESYA NOVADITYA</v>
      </c>
      <c r="C3102" s="3" t="str">
        <f>IFERROR(__xludf.DUMMYFUNCTION("""COMPUTED_VALUE"""),"R0825114030")</f>
        <v>R0825114030</v>
      </c>
      <c r="D3102" s="3">
        <f>IFERROR(__xludf.DUMMYFUNCTION("""COMPUTED_VALUE"""),17.0)</f>
        <v>17</v>
      </c>
      <c r="E3102" s="1"/>
    </row>
    <row r="3103">
      <c r="A3103" s="1"/>
      <c r="B3103" s="3" t="str">
        <f>IFERROR(__xludf.DUMMYFUNCTION("""COMPUTED_VALUE"""),"RIA IRAWAN")</f>
        <v>RIA IRAWAN</v>
      </c>
      <c r="C3103" s="3" t="str">
        <f>IFERROR(__xludf.DUMMYFUNCTION("""COMPUTED_VALUE"""),"R9725110019")</f>
        <v>R9725110019</v>
      </c>
      <c r="D3103" s="3">
        <f>IFERROR(__xludf.DUMMYFUNCTION("""COMPUTED_VALUE"""),29.0)</f>
        <v>29</v>
      </c>
      <c r="E3103" s="1"/>
    </row>
    <row r="3104">
      <c r="A3104" s="1"/>
      <c r="B3104" s="3" t="str">
        <f>IFERROR(__xludf.DUMMYFUNCTION("""COMPUTED_VALUE"""),"VIVIYANTI")</f>
        <v>VIVIYANTI</v>
      </c>
      <c r="C3104" s="3" t="str">
        <f>IFERROR(__xludf.DUMMYFUNCTION("""COMPUTED_VALUE"""),"V8825112988")</f>
        <v>V8825112988</v>
      </c>
      <c r="D3104" s="3">
        <f>IFERROR(__xludf.DUMMYFUNCTION("""COMPUTED_VALUE"""),38.0)</f>
        <v>38</v>
      </c>
      <c r="E3104" s="1"/>
    </row>
    <row r="3105">
      <c r="A3105" s="1"/>
      <c r="B3105" s="3" t="str">
        <f>IFERROR(__xludf.DUMMYFUNCTION("""COMPUTED_VALUE"""),"WILLY WIJAYA")</f>
        <v>WILLY WIJAYA</v>
      </c>
      <c r="C3105" s="3" t="str">
        <f>IFERROR(__xludf.DUMMYFUNCTION("""COMPUTED_VALUE"""),"W9625110758")</f>
        <v>W9625110758</v>
      </c>
      <c r="D3105" s="3">
        <f>IFERROR(__xludf.DUMMYFUNCTION("""COMPUTED_VALUE"""),29.0)</f>
        <v>29</v>
      </c>
      <c r="E3105" s="1"/>
    </row>
    <row r="3106">
      <c r="A3106" s="1"/>
      <c r="B3106" s="3" t="str">
        <f>IFERROR(__xludf.DUMMYFUNCTION("""COMPUTED_VALUE"""),"DELA MASTIKA")</f>
        <v>DELA MASTIKA</v>
      </c>
      <c r="C3106" s="3" t="str">
        <f>IFERROR(__xludf.DUMMYFUNCTION("""COMPUTED_VALUE"""),"D0725113899")</f>
        <v>D0725113899</v>
      </c>
      <c r="D3106" s="3">
        <f>IFERROR(__xludf.DUMMYFUNCTION("""COMPUTED_VALUE"""),18.0)</f>
        <v>18</v>
      </c>
      <c r="E3106" s="1"/>
    </row>
    <row r="3107">
      <c r="A3107" s="1"/>
      <c r="B3107" s="3" t="str">
        <f>IFERROR(__xludf.DUMMYFUNCTION("""COMPUTED_VALUE"""),"JOVAN EDUARDO LO")</f>
        <v>JOVAN EDUARDO LO</v>
      </c>
      <c r="C3107" s="3" t="str">
        <f>IFERROR(__xludf.DUMMYFUNCTION("""COMPUTED_VALUE"""),"J0525113412")</f>
        <v>J0525113412</v>
      </c>
      <c r="D3107" s="3">
        <f>IFERROR(__xludf.DUMMYFUNCTION("""COMPUTED_VALUE"""),21.0)</f>
        <v>21</v>
      </c>
      <c r="E3107" s="1"/>
    </row>
    <row r="3108">
      <c r="A3108" s="1"/>
      <c r="B3108" s="3" t="str">
        <f>IFERROR(__xludf.DUMMYFUNCTION("""COMPUTED_VALUE"""),"DARA RANTI PURBASAR")</f>
        <v>DARA RANTI PURBASAR</v>
      </c>
      <c r="C3108" s="3" t="str">
        <f>IFERROR(__xludf.DUMMYFUNCTION("""COMPUTED_VALUE"""),"D9425115021")</f>
        <v>D9425115021</v>
      </c>
      <c r="D3108" s="3">
        <f>IFERROR(__xludf.DUMMYFUNCTION("""COMPUTED_VALUE"""),31.0)</f>
        <v>31</v>
      </c>
      <c r="E3108" s="1"/>
    </row>
    <row r="3109">
      <c r="A3109" s="1"/>
      <c r="B3109" s="3" t="str">
        <f>IFERROR(__xludf.DUMMYFUNCTION("""COMPUTED_VALUE"""),"ANDY")</f>
        <v>ANDY</v>
      </c>
      <c r="C3109" s="3" t="str">
        <f>IFERROR(__xludf.DUMMYFUNCTION("""COMPUTED_VALUE"""),"A9125115541")</f>
        <v>A9125115541</v>
      </c>
      <c r="D3109" s="3">
        <f>IFERROR(__xludf.DUMMYFUNCTION("""COMPUTED_VALUE"""),35.0)</f>
        <v>35</v>
      </c>
      <c r="E3109" s="1"/>
    </row>
    <row r="3110">
      <c r="A3110" s="1"/>
      <c r="B3110" s="3" t="str">
        <f>IFERROR(__xludf.DUMMYFUNCTION("""COMPUTED_VALUE"""),"SELVINUS ONOT")</f>
        <v>SELVINUS ONOT</v>
      </c>
      <c r="C3110" s="3" t="str">
        <f>IFERROR(__xludf.DUMMYFUNCTION("""COMPUTED_VALUE"""),"S6925111527")</f>
        <v>S6925111527</v>
      </c>
      <c r="D3110" s="3">
        <f>IFERROR(__xludf.DUMMYFUNCTION("""COMPUTED_VALUE"""),57.0)</f>
        <v>57</v>
      </c>
      <c r="E3110" s="1"/>
    </row>
    <row r="3111">
      <c r="A3111" s="1"/>
      <c r="B3111" s="3" t="str">
        <f>IFERROR(__xludf.DUMMYFUNCTION("""COMPUTED_VALUE"""),"VERDICO ARIEF")</f>
        <v>VERDICO ARIEF</v>
      </c>
      <c r="C3111" s="3" t="str">
        <f>IFERROR(__xludf.DUMMYFUNCTION("""COMPUTED_VALUE"""),"V8925118000")</f>
        <v>V8925118000</v>
      </c>
      <c r="D3111" s="3">
        <f>IFERROR(__xludf.DUMMYFUNCTION("""COMPUTED_VALUE"""),37.0)</f>
        <v>37</v>
      </c>
      <c r="E3111" s="1"/>
    </row>
    <row r="3112">
      <c r="A3112" s="1"/>
      <c r="B3112" s="3" t="str">
        <f>IFERROR(__xludf.DUMMYFUNCTION("""COMPUTED_VALUE"""),"JULIANA")</f>
        <v>JULIANA</v>
      </c>
      <c r="C3112" s="3" t="str">
        <f>IFERROR(__xludf.DUMMYFUNCTION("""COMPUTED_VALUE"""),"J8425110309")</f>
        <v>J8425110309</v>
      </c>
      <c r="D3112" s="3">
        <f>IFERROR(__xludf.DUMMYFUNCTION("""COMPUTED_VALUE"""),42.0)</f>
        <v>42</v>
      </c>
      <c r="E3112" s="1"/>
    </row>
    <row r="3113">
      <c r="A3113" s="1"/>
      <c r="B3113" s="3" t="str">
        <f>IFERROR(__xludf.DUMMYFUNCTION("""COMPUTED_VALUE"""),"LIM JONG HENG")</f>
        <v>LIM JONG HENG</v>
      </c>
      <c r="C3113" s="3" t="str">
        <f>IFERROR(__xludf.DUMMYFUNCTION("""COMPUTED_VALUE"""),"L5525111188")</f>
        <v>L5525111188</v>
      </c>
      <c r="D3113" s="3">
        <f>IFERROR(__xludf.DUMMYFUNCTION("""COMPUTED_VALUE"""),71.0)</f>
        <v>71</v>
      </c>
      <c r="E3113" s="1"/>
    </row>
    <row r="3114">
      <c r="A3114" s="1"/>
      <c r="B3114" s="3" t="str">
        <f>IFERROR(__xludf.DUMMYFUNCTION("""COMPUTED_VALUE"""),"HENGKI AFRIANUS")</f>
        <v>HENGKI AFRIANUS</v>
      </c>
      <c r="C3114" s="3" t="str">
        <f>IFERROR(__xludf.DUMMYFUNCTION("""COMPUTED_VALUE"""),"H0625118331")</f>
        <v>H0625118331</v>
      </c>
      <c r="D3114" s="3">
        <f>IFERROR(__xludf.DUMMYFUNCTION("""COMPUTED_VALUE"""),20.0)</f>
        <v>20</v>
      </c>
      <c r="E3114" s="1"/>
    </row>
    <row r="3115">
      <c r="A3115" s="1"/>
      <c r="B3115" s="3" t="str">
        <f>IFERROR(__xludf.DUMMYFUNCTION("""COMPUTED_VALUE"""),"RENA")</f>
        <v>RENA</v>
      </c>
      <c r="C3115" s="3" t="str">
        <f>IFERROR(__xludf.DUMMYFUNCTION("""COMPUTED_VALUE"""),"R0025116078")</f>
        <v>R0025116078</v>
      </c>
      <c r="D3115" s="3">
        <f>IFERROR(__xludf.DUMMYFUNCTION("""COMPUTED_VALUE"""),25.0)</f>
        <v>25</v>
      </c>
      <c r="E3115" s="1"/>
    </row>
    <row r="3116">
      <c r="A3116" s="1"/>
      <c r="B3116" s="3" t="str">
        <f>IFERROR(__xludf.DUMMYFUNCTION("""COMPUTED_VALUE"""),"BENHUR SITUMORANG")</f>
        <v>BENHUR SITUMORANG</v>
      </c>
      <c r="C3116" s="3" t="str">
        <f>IFERROR(__xludf.DUMMYFUNCTION("""COMPUTED_VALUE"""),"B8225112104")</f>
        <v>B8225112104</v>
      </c>
      <c r="D3116" s="3">
        <f>IFERROR(__xludf.DUMMYFUNCTION("""COMPUTED_VALUE"""),43.0)</f>
        <v>43</v>
      </c>
      <c r="E3116" s="1"/>
    </row>
    <row r="3117">
      <c r="A3117" s="1"/>
      <c r="B3117" s="3" t="str">
        <f>IFERROR(__xludf.DUMMYFUNCTION("""COMPUTED_VALUE"""),"KHIM FAT")</f>
        <v>KHIM FAT</v>
      </c>
      <c r="C3117" s="3" t="str">
        <f>IFERROR(__xludf.DUMMYFUNCTION("""COMPUTED_VALUE"""),"K6925117323")</f>
        <v>K6925117323</v>
      </c>
      <c r="D3117" s="3">
        <f>IFERROR(__xludf.DUMMYFUNCTION("""COMPUTED_VALUE"""),56.0)</f>
        <v>56</v>
      </c>
      <c r="E3117" s="1"/>
    </row>
    <row r="3118">
      <c r="A3118" s="1"/>
      <c r="B3118" s="3" t="str">
        <f>IFERROR(__xludf.DUMMYFUNCTION("""COMPUTED_VALUE"""),"IQLIMA ZAHRA")</f>
        <v>IQLIMA ZAHRA</v>
      </c>
      <c r="C3118" s="3" t="str">
        <f>IFERROR(__xludf.DUMMYFUNCTION("""COMPUTED_VALUE"""),"I0025112738")</f>
        <v>I0025112738</v>
      </c>
      <c r="D3118" s="3">
        <f>IFERROR(__xludf.DUMMYFUNCTION("""COMPUTED_VALUE"""),25.0)</f>
        <v>25</v>
      </c>
      <c r="E3118" s="1"/>
    </row>
    <row r="3119">
      <c r="A3119" s="1"/>
      <c r="B3119" s="3" t="str">
        <f>IFERROR(__xludf.DUMMYFUNCTION("""COMPUTED_VALUE"""),"REZA")</f>
        <v>REZA</v>
      </c>
      <c r="C3119" s="3" t="str">
        <f>IFERROR(__xludf.DUMMYFUNCTION("""COMPUTED_VALUE"""),"R0325117252")</f>
        <v>R0325117252</v>
      </c>
      <c r="D3119" s="3">
        <f>IFERROR(__xludf.DUMMYFUNCTION("""COMPUTED_VALUE"""),23.0)</f>
        <v>23</v>
      </c>
      <c r="E3119" s="1"/>
    </row>
    <row r="3120">
      <c r="A3120" s="1"/>
      <c r="B3120" s="3" t="str">
        <f>IFERROR(__xludf.DUMMYFUNCTION("""COMPUTED_VALUE"""),"ANSELMUS RINALDHY, SE.,MM")</f>
        <v>ANSELMUS RINALDHY, SE.,MM</v>
      </c>
      <c r="C3120" s="3" t="str">
        <f>IFERROR(__xludf.DUMMYFUNCTION("""COMPUTED_VALUE"""),"A8525119797")</f>
        <v>A8525119797</v>
      </c>
      <c r="D3120" s="3">
        <f>IFERROR(__xludf.DUMMYFUNCTION("""COMPUTED_VALUE"""),41.0)</f>
        <v>41</v>
      </c>
      <c r="E3120" s="1"/>
    </row>
    <row r="3121">
      <c r="A3121" s="1"/>
      <c r="B3121" s="3" t="str">
        <f>IFERROR(__xludf.DUMMYFUNCTION("""COMPUTED_VALUE"""),"VERTY SARI PUSPARINI")</f>
        <v>VERTY SARI PUSPARINI</v>
      </c>
      <c r="C3121" s="3" t="str">
        <f>IFERROR(__xludf.DUMMYFUNCTION("""COMPUTED_VALUE"""),"V8625117580")</f>
        <v>V8625117580</v>
      </c>
      <c r="D3121" s="3">
        <f>IFERROR(__xludf.DUMMYFUNCTION("""COMPUTED_VALUE"""),39.0)</f>
        <v>39</v>
      </c>
      <c r="E3121" s="1"/>
    </row>
    <row r="3122">
      <c r="A3122" s="1"/>
      <c r="B3122" s="3" t="str">
        <f>IFERROR(__xludf.DUMMYFUNCTION("""COMPUTED_VALUE"""),"YULIA WIDIANARTI")</f>
        <v>YULIA WIDIANARTI</v>
      </c>
      <c r="C3122" s="3" t="str">
        <f>IFERROR(__xludf.DUMMYFUNCTION("""COMPUTED_VALUE"""),"Y7025113569")</f>
        <v>Y7025113569</v>
      </c>
      <c r="D3122" s="3">
        <f>IFERROR(__xludf.DUMMYFUNCTION("""COMPUTED_VALUE"""),55.0)</f>
        <v>55</v>
      </c>
      <c r="E3122" s="1"/>
    </row>
    <row r="3123">
      <c r="A3123" s="1"/>
      <c r="B3123" s="3" t="str">
        <f>IFERROR(__xludf.DUMMYFUNCTION("""COMPUTED_VALUE"""),"DEVKY DERMAWANSYAH")</f>
        <v>DEVKY DERMAWANSYAH</v>
      </c>
      <c r="C3123" s="3" t="str">
        <f>IFERROR(__xludf.DUMMYFUNCTION("""COMPUTED_VALUE"""),"D9225112288")</f>
        <v>D9225112288</v>
      </c>
      <c r="D3123" s="3">
        <f>IFERROR(__xludf.DUMMYFUNCTION("""COMPUTED_VALUE"""),33.0)</f>
        <v>33</v>
      </c>
      <c r="E3123" s="1"/>
    </row>
    <row r="3124">
      <c r="A3124" s="1"/>
      <c r="B3124" s="3" t="str">
        <f>IFERROR(__xludf.DUMMYFUNCTION("""COMPUTED_VALUE"""),"ALPAWI")</f>
        <v>ALPAWI</v>
      </c>
      <c r="C3124" s="3" t="str">
        <f>IFERROR(__xludf.DUMMYFUNCTION("""COMPUTED_VALUE"""),"A5125112484")</f>
        <v>A5125112484</v>
      </c>
      <c r="D3124" s="3">
        <f>IFERROR(__xludf.DUMMYFUNCTION("""COMPUTED_VALUE"""),74.0)</f>
        <v>74</v>
      </c>
      <c r="E3124" s="1"/>
    </row>
    <row r="3125">
      <c r="A3125" s="1"/>
      <c r="B3125" s="3" t="str">
        <f>IFERROR(__xludf.DUMMYFUNCTION("""COMPUTED_VALUE"""),"DIMAS PRATAMA PUTRA")</f>
        <v>DIMAS PRATAMA PUTRA</v>
      </c>
      <c r="C3125" s="3" t="str">
        <f>IFERROR(__xludf.DUMMYFUNCTION("""COMPUTED_VALUE"""),"D9825113571")</f>
        <v>D9825113571</v>
      </c>
      <c r="D3125" s="3">
        <f>IFERROR(__xludf.DUMMYFUNCTION("""COMPUTED_VALUE"""),28.0)</f>
        <v>28</v>
      </c>
      <c r="E3125" s="1"/>
    </row>
    <row r="3126">
      <c r="A3126" s="1"/>
      <c r="B3126" s="3" t="str">
        <f>IFERROR(__xludf.DUMMYFUNCTION("""COMPUTED_VALUE"""),"ROHANI")</f>
        <v>ROHANI</v>
      </c>
      <c r="C3126" s="3" t="str">
        <f>IFERROR(__xludf.DUMMYFUNCTION("""COMPUTED_VALUE"""),"R5825110969")</f>
        <v>R5825110969</v>
      </c>
      <c r="D3126" s="3">
        <f>IFERROR(__xludf.DUMMYFUNCTION("""COMPUTED_VALUE"""),68.0)</f>
        <v>68</v>
      </c>
      <c r="E3126" s="1"/>
    </row>
    <row r="3127">
      <c r="A3127" s="1"/>
      <c r="B3127" s="3" t="str">
        <f>IFERROR(__xludf.DUMMYFUNCTION("""COMPUTED_VALUE"""),"YULIANA SST")</f>
        <v>YULIANA SST</v>
      </c>
      <c r="C3127" s="3" t="str">
        <f>IFERROR(__xludf.DUMMYFUNCTION("""COMPUTED_VALUE"""),"Y8625113524")</f>
        <v>Y8625113524</v>
      </c>
      <c r="D3127" s="3">
        <f>IFERROR(__xludf.DUMMYFUNCTION("""COMPUTED_VALUE"""),39.0)</f>
        <v>39</v>
      </c>
      <c r="E3127" s="1"/>
    </row>
    <row r="3128">
      <c r="A3128" s="1"/>
      <c r="B3128" s="3" t="str">
        <f>IFERROR(__xludf.DUMMYFUNCTION("""COMPUTED_VALUE"""),"RUSDI SULAIMAN")</f>
        <v>RUSDI SULAIMAN</v>
      </c>
      <c r="C3128" s="3" t="str">
        <f>IFERROR(__xludf.DUMMYFUNCTION("""COMPUTED_VALUE"""),"R7525118199")</f>
        <v>R7525118199</v>
      </c>
      <c r="D3128" s="3">
        <f>IFERROR(__xludf.DUMMYFUNCTION("""COMPUTED_VALUE"""),50.0)</f>
        <v>50</v>
      </c>
      <c r="E3128" s="1"/>
    </row>
    <row r="3129">
      <c r="A3129" s="1"/>
      <c r="B3129" s="3" t="str">
        <f>IFERROR(__xludf.DUMMYFUNCTION("""COMPUTED_VALUE"""),"WARI WALINGGA")</f>
        <v>WARI WALINGGA</v>
      </c>
      <c r="C3129" s="3" t="str">
        <f>IFERROR(__xludf.DUMMYFUNCTION("""COMPUTED_VALUE"""),"W9625114960")</f>
        <v>W9625114960</v>
      </c>
      <c r="D3129" s="3">
        <f>IFERROR(__xludf.DUMMYFUNCTION("""COMPUTED_VALUE"""),30.0)</f>
        <v>30</v>
      </c>
      <c r="E3129" s="1"/>
    </row>
    <row r="3130">
      <c r="A3130" s="1"/>
      <c r="B3130" s="3" t="str">
        <f>IFERROR(__xludf.DUMMYFUNCTION("""COMPUTED_VALUE"""),"WIWIN WAHYUNINGSIH")</f>
        <v>WIWIN WAHYUNINGSIH</v>
      </c>
      <c r="C3130" s="3" t="str">
        <f>IFERROR(__xludf.DUMMYFUNCTION("""COMPUTED_VALUE"""),"W7625111739")</f>
        <v>W7625111739</v>
      </c>
      <c r="D3130" s="3">
        <f>IFERROR(__xludf.DUMMYFUNCTION("""COMPUTED_VALUE"""),50.0)</f>
        <v>50</v>
      </c>
      <c r="E3130" s="1"/>
    </row>
    <row r="3131">
      <c r="A3131" s="1"/>
      <c r="B3131" s="3" t="str">
        <f>IFERROR(__xludf.DUMMYFUNCTION("""COMPUTED_VALUE"""),"SING SING")</f>
        <v>SING SING</v>
      </c>
      <c r="C3131" s="3" t="str">
        <f>IFERROR(__xludf.DUMMYFUNCTION("""COMPUTED_VALUE"""),"S2525120816")</f>
        <v>S2525120816</v>
      </c>
      <c r="D3131" s="3">
        <f>IFERROR(__xludf.DUMMYFUNCTION("""COMPUTED_VALUE"""),0.0)</f>
        <v>0</v>
      </c>
      <c r="E3131" s="1"/>
    </row>
    <row r="3132">
      <c r="A3132" s="1"/>
      <c r="B3132" s="3" t="str">
        <f>IFERROR(__xludf.DUMMYFUNCTION("""COMPUTED_VALUE"""),"EVELINE PARAMITHA LORINDA")</f>
        <v>EVELINE PARAMITHA LORINDA</v>
      </c>
      <c r="C3132" s="3" t="str">
        <f>IFERROR(__xludf.DUMMYFUNCTION("""COMPUTED_VALUE"""),"E9225127347")</f>
        <v>E9225127347</v>
      </c>
      <c r="D3132" s="3">
        <f>IFERROR(__xludf.DUMMYFUNCTION("""COMPUTED_VALUE"""),34.0)</f>
        <v>34</v>
      </c>
      <c r="E3132" s="1"/>
    </row>
    <row r="3133">
      <c r="A3133" s="1"/>
      <c r="B3133" s="3" t="str">
        <f>IFERROR(__xludf.DUMMYFUNCTION("""COMPUTED_VALUE"""),"MILLAH AULIYA")</f>
        <v>MILLAH AULIYA</v>
      </c>
      <c r="C3133" s="3" t="str">
        <f>IFERROR(__xludf.DUMMYFUNCTION("""COMPUTED_VALUE"""),"M0525128789")</f>
        <v>M0525128789</v>
      </c>
      <c r="D3133" s="3">
        <f>IFERROR(__xludf.DUMMYFUNCTION("""COMPUTED_VALUE"""),21.0)</f>
        <v>21</v>
      </c>
      <c r="E3133" s="1"/>
    </row>
    <row r="3134">
      <c r="A3134" s="1"/>
      <c r="B3134" s="3" t="str">
        <f>IFERROR(__xludf.DUMMYFUNCTION("""COMPUTED_VALUE"""),"FIRMAN HIDAYAT")</f>
        <v>FIRMAN HIDAYAT</v>
      </c>
      <c r="C3134" s="3" t="str">
        <f>IFERROR(__xludf.DUMMYFUNCTION("""COMPUTED_VALUE"""),"F7725120001")</f>
        <v>F7725120001</v>
      </c>
      <c r="D3134" s="3">
        <f>IFERROR(__xludf.DUMMYFUNCTION("""COMPUTED_VALUE"""),48.0)</f>
        <v>48</v>
      </c>
      <c r="E3134" s="1"/>
    </row>
    <row r="3135">
      <c r="A3135" s="1"/>
      <c r="B3135" s="3" t="str">
        <f>IFERROR(__xludf.DUMMYFUNCTION("""COMPUTED_VALUE"""),"WISNU WARDANA")</f>
        <v>WISNU WARDANA</v>
      </c>
      <c r="C3135" s="3" t="str">
        <f>IFERROR(__xludf.DUMMYFUNCTION("""COMPUTED_VALUE"""),"W8825126959")</f>
        <v>W8825126959</v>
      </c>
      <c r="D3135" s="3">
        <f>IFERROR(__xludf.DUMMYFUNCTION("""COMPUTED_VALUE"""),37.0)</f>
        <v>37</v>
      </c>
      <c r="E3135" s="1"/>
    </row>
    <row r="3136">
      <c r="A3136" s="1"/>
      <c r="B3136" s="3" t="str">
        <f>IFERROR(__xludf.DUMMYFUNCTION("""COMPUTED_VALUE"""),"APRILLIA SUSANTI")</f>
        <v>APRILLIA SUSANTI</v>
      </c>
      <c r="C3136" s="3" t="str">
        <f>IFERROR(__xludf.DUMMYFUNCTION("""COMPUTED_VALUE"""),"A8525127477")</f>
        <v>A8525127477</v>
      </c>
      <c r="D3136" s="3">
        <f>IFERROR(__xludf.DUMMYFUNCTION("""COMPUTED_VALUE"""),41.0)</f>
        <v>41</v>
      </c>
      <c r="E3136" s="1"/>
    </row>
    <row r="3137">
      <c r="A3137" s="1"/>
      <c r="B3137" s="3" t="str">
        <f>IFERROR(__xludf.DUMMYFUNCTION("""COMPUTED_VALUE"""),"SUYADI, A.MA. PD")</f>
        <v>SUYADI, A.MA. PD</v>
      </c>
      <c r="C3137" s="3" t="str">
        <f>IFERROR(__xludf.DUMMYFUNCTION("""COMPUTED_VALUE"""),"S5625122439")</f>
        <v>S5625122439</v>
      </c>
      <c r="D3137" s="3">
        <f>IFERROR(__xludf.DUMMYFUNCTION("""COMPUTED_VALUE"""),69.0)</f>
        <v>69</v>
      </c>
      <c r="E3137" s="1"/>
    </row>
    <row r="3138">
      <c r="A3138" s="1"/>
      <c r="B3138" s="3" t="str">
        <f>IFERROR(__xludf.DUMMYFUNCTION("""COMPUTED_VALUE"""),"WACHYU WIDAYAT")</f>
        <v>WACHYU WIDAYAT</v>
      </c>
      <c r="C3138" s="3" t="str">
        <f>IFERROR(__xludf.DUMMYFUNCTION("""COMPUTED_VALUE"""),"W6425129394")</f>
        <v>W6425129394</v>
      </c>
      <c r="D3138" s="3">
        <f>IFERROR(__xludf.DUMMYFUNCTION("""COMPUTED_VALUE"""),61.0)</f>
        <v>61</v>
      </c>
      <c r="E3138" s="1"/>
    </row>
    <row r="3139">
      <c r="A3139" s="1"/>
      <c r="B3139" s="3" t="str">
        <f>IFERROR(__xludf.DUMMYFUNCTION("""COMPUTED_VALUE"""),"RICO OSCARIO")</f>
        <v>RICO OSCARIO</v>
      </c>
      <c r="C3139" s="3" t="str">
        <f>IFERROR(__xludf.DUMMYFUNCTION("""COMPUTED_VALUE"""),"R9025120312")</f>
        <v>R9025120312</v>
      </c>
      <c r="D3139" s="3">
        <f>IFERROR(__xludf.DUMMYFUNCTION("""COMPUTED_VALUE"""),36.0)</f>
        <v>36</v>
      </c>
      <c r="E3139" s="1"/>
    </row>
    <row r="3140">
      <c r="A3140" s="1"/>
      <c r="B3140" s="3" t="str">
        <f>IFERROR(__xludf.DUMMYFUNCTION("""COMPUTED_VALUE"""),"YATMI")</f>
        <v>YATMI</v>
      </c>
      <c r="C3140" s="3" t="str">
        <f>IFERROR(__xludf.DUMMYFUNCTION("""COMPUTED_VALUE"""),"Y6225125478")</f>
        <v>Y6225125478</v>
      </c>
      <c r="D3140" s="3">
        <f>IFERROR(__xludf.DUMMYFUNCTION("""COMPUTED_VALUE"""),64.0)</f>
        <v>64</v>
      </c>
      <c r="E3140" s="1"/>
    </row>
    <row r="3141">
      <c r="A3141" s="1"/>
      <c r="B3141" s="3" t="str">
        <f>IFERROR(__xludf.DUMMYFUNCTION("""COMPUTED_VALUE"""),"SARWATI")</f>
        <v>SARWATI</v>
      </c>
      <c r="C3141" s="3" t="str">
        <f>IFERROR(__xludf.DUMMYFUNCTION("""COMPUTED_VALUE"""),"S7325124774")</f>
        <v>S7325124774</v>
      </c>
      <c r="D3141" s="3">
        <f>IFERROR(__xludf.DUMMYFUNCTION("""COMPUTED_VALUE"""),52.0)</f>
        <v>52</v>
      </c>
      <c r="E3141" s="1"/>
    </row>
    <row r="3142">
      <c r="A3142" s="1"/>
      <c r="B3142" s="3" t="str">
        <f>IFERROR(__xludf.DUMMYFUNCTION("""COMPUTED_VALUE"""),"SITI ALHUSNA NURUL AGUSTIN")</f>
        <v>SITI ALHUSNA NURUL AGUSTIN</v>
      </c>
      <c r="C3142" s="3" t="str">
        <f>IFERROR(__xludf.DUMMYFUNCTION("""COMPUTED_VALUE"""),"S9525127945")</f>
        <v>S9525127945</v>
      </c>
      <c r="D3142" s="3">
        <f>IFERROR(__xludf.DUMMYFUNCTION("""COMPUTED_VALUE"""),30.0)</f>
        <v>30</v>
      </c>
      <c r="E3142" s="1"/>
    </row>
    <row r="3143">
      <c r="A3143" s="1"/>
      <c r="B3143" s="3" t="str">
        <f>IFERROR(__xludf.DUMMYFUNCTION("""COMPUTED_VALUE"""),"DARMADI")</f>
        <v>DARMADI</v>
      </c>
      <c r="C3143" s="3" t="str">
        <f>IFERROR(__xludf.DUMMYFUNCTION("""COMPUTED_VALUE"""),"D7925125149")</f>
        <v>D7925125149</v>
      </c>
      <c r="D3143" s="3">
        <f>IFERROR(__xludf.DUMMYFUNCTION("""COMPUTED_VALUE"""),46.0)</f>
        <v>46</v>
      </c>
      <c r="E3143" s="1"/>
    </row>
    <row r="3144">
      <c r="A3144" s="1"/>
      <c r="B3144" s="3" t="str">
        <f>IFERROR(__xludf.DUMMYFUNCTION("""COMPUTED_VALUE"""),"TRI SUTRISNO")</f>
        <v>TRI SUTRISNO</v>
      </c>
      <c r="C3144" s="3" t="str">
        <f>IFERROR(__xludf.DUMMYFUNCTION("""COMPUTED_VALUE"""),"T9225125183")</f>
        <v>T9225125183</v>
      </c>
      <c r="D3144" s="3">
        <f>IFERROR(__xludf.DUMMYFUNCTION("""COMPUTED_VALUE"""),33.0)</f>
        <v>33</v>
      </c>
      <c r="E3144" s="1"/>
    </row>
    <row r="3145">
      <c r="A3145" s="1"/>
      <c r="B3145" s="3" t="str">
        <f>IFERROR(__xludf.DUMMYFUNCTION("""COMPUTED_VALUE"""),"MISLANA")</f>
        <v>MISLANA</v>
      </c>
      <c r="C3145" s="3" t="str">
        <f>IFERROR(__xludf.DUMMYFUNCTION("""COMPUTED_VALUE"""),"M6325122994")</f>
        <v>M6325122994</v>
      </c>
      <c r="D3145" s="3">
        <f>IFERROR(__xludf.DUMMYFUNCTION("""COMPUTED_VALUE"""),63.0)</f>
        <v>63</v>
      </c>
      <c r="E3145" s="1"/>
    </row>
    <row r="3146">
      <c r="A3146" s="1"/>
      <c r="B3146" s="3" t="str">
        <f>IFERROR(__xludf.DUMMYFUNCTION("""COMPUTED_VALUE"""),"DESA AYU NATALIA")</f>
        <v>DESA AYU NATALIA</v>
      </c>
      <c r="C3146" s="3" t="str">
        <f>IFERROR(__xludf.DUMMYFUNCTION("""COMPUTED_VALUE"""),"D9125126509")</f>
        <v>D9125126509</v>
      </c>
      <c r="D3146" s="3">
        <f>IFERROR(__xludf.DUMMYFUNCTION("""COMPUTED_VALUE"""),34.0)</f>
        <v>34</v>
      </c>
      <c r="E3146" s="1"/>
    </row>
    <row r="3147">
      <c r="A3147" s="1"/>
      <c r="B3147" s="3" t="str">
        <f>IFERROR(__xludf.DUMMYFUNCTION("""COMPUTED_VALUE"""),"LILI MANGKULIONO")</f>
        <v>LILI MANGKULIONO</v>
      </c>
      <c r="C3147" s="3" t="str">
        <f>IFERROR(__xludf.DUMMYFUNCTION("""COMPUTED_VALUE"""),"L6625122686")</f>
        <v>L6625122686</v>
      </c>
      <c r="D3147" s="3">
        <f>IFERROR(__xludf.DUMMYFUNCTION("""COMPUTED_VALUE"""),60.0)</f>
        <v>60</v>
      </c>
      <c r="E3147" s="1"/>
    </row>
    <row r="3148">
      <c r="A3148" s="1"/>
      <c r="B3148" s="3" t="str">
        <f>IFERROR(__xludf.DUMMYFUNCTION("""COMPUTED_VALUE"""),"HANAPI 7610")</f>
        <v>HANAPI 7610</v>
      </c>
      <c r="C3148" s="3" t="str">
        <f>IFERROR(__xludf.DUMMYFUNCTION("""COMPUTED_VALUE"""),"H7625123698")</f>
        <v>H7625123698</v>
      </c>
      <c r="D3148" s="3">
        <f>IFERROR(__xludf.DUMMYFUNCTION("""COMPUTED_VALUE"""),49.0)</f>
        <v>49</v>
      </c>
      <c r="E3148" s="1"/>
    </row>
    <row r="3149">
      <c r="A3149" s="1"/>
      <c r="B3149" s="3" t="str">
        <f>IFERROR(__xludf.DUMMYFUNCTION("""COMPUTED_VALUE"""),"MUHAMMAD FARIDH DIYAPRATAMA")</f>
        <v>MUHAMMAD FARIDH DIYAPRATAMA</v>
      </c>
      <c r="C3149" s="3" t="str">
        <f>IFERROR(__xludf.DUMMYFUNCTION("""COMPUTED_VALUE"""),"M9425123698")</f>
        <v>M9425123698</v>
      </c>
      <c r="D3149" s="3">
        <f>IFERROR(__xludf.DUMMYFUNCTION("""COMPUTED_VALUE"""),31.0)</f>
        <v>31</v>
      </c>
      <c r="E3149" s="1"/>
    </row>
    <row r="3150">
      <c r="A3150" s="1"/>
      <c r="B3150" s="3" t="str">
        <f>IFERROR(__xludf.DUMMYFUNCTION("""COMPUTED_VALUE"""),"LILI URIANTO")</f>
        <v>LILI URIANTO</v>
      </c>
      <c r="C3150" s="3" t="str">
        <f>IFERROR(__xludf.DUMMYFUNCTION("""COMPUTED_VALUE"""),"L7425128709")</f>
        <v>L7425128709</v>
      </c>
      <c r="D3150" s="3">
        <f>IFERROR(__xludf.DUMMYFUNCTION("""COMPUTED_VALUE"""),51.0)</f>
        <v>51</v>
      </c>
      <c r="E3150" s="1"/>
    </row>
    <row r="3151">
      <c r="A3151" s="1"/>
      <c r="B3151" s="3" t="str">
        <f>IFERROR(__xludf.DUMMYFUNCTION("""COMPUTED_VALUE"""),"TEGUH ADI PEASETYO")</f>
        <v>TEGUH ADI PEASETYO</v>
      </c>
      <c r="C3151" s="3" t="str">
        <f>IFERROR(__xludf.DUMMYFUNCTION("""COMPUTED_VALUE"""),"T8525127478")</f>
        <v>T8525127478</v>
      </c>
      <c r="D3151" s="3">
        <f>IFERROR(__xludf.DUMMYFUNCTION("""COMPUTED_VALUE"""),40.0)</f>
        <v>40</v>
      </c>
      <c r="E3151" s="1"/>
    </row>
    <row r="3152">
      <c r="A3152" s="1"/>
      <c r="B3152" s="3" t="str">
        <f>IFERROR(__xludf.DUMMYFUNCTION("""COMPUTED_VALUE"""),"SUGENG")</f>
        <v>SUGENG</v>
      </c>
      <c r="C3152" s="3" t="str">
        <f>IFERROR(__xludf.DUMMYFUNCTION("""COMPUTED_VALUE"""),"S6825128786")</f>
        <v>S6825128786</v>
      </c>
      <c r="D3152" s="3">
        <f>IFERROR(__xludf.DUMMYFUNCTION("""COMPUTED_VALUE"""),58.0)</f>
        <v>58</v>
      </c>
      <c r="E3152" s="1"/>
    </row>
    <row r="3153">
      <c r="A3153" s="1"/>
      <c r="B3153" s="3" t="str">
        <f>IFERROR(__xludf.DUMMYFUNCTION("""COMPUTED_VALUE"""),"WURAN KRISNAWATI")</f>
        <v>WURAN KRISNAWATI</v>
      </c>
      <c r="C3153" s="3" t="str">
        <f>IFERROR(__xludf.DUMMYFUNCTION("""COMPUTED_VALUE"""),"W9225123275")</f>
        <v>W9225123275</v>
      </c>
      <c r="D3153" s="3">
        <f>IFERROR(__xludf.DUMMYFUNCTION("""COMPUTED_VALUE"""),33.0)</f>
        <v>33</v>
      </c>
      <c r="E3153" s="1"/>
    </row>
    <row r="3154">
      <c r="A3154" s="1"/>
      <c r="B3154" s="3" t="str">
        <f>IFERROR(__xludf.DUMMYFUNCTION("""COMPUTED_VALUE"""),"ROSNIAR")</f>
        <v>ROSNIAR</v>
      </c>
      <c r="C3154" s="3" t="str">
        <f>IFERROR(__xludf.DUMMYFUNCTION("""COMPUTED_VALUE"""),"R5825122217")</f>
        <v>R5825122217</v>
      </c>
      <c r="D3154" s="3">
        <f>IFERROR(__xludf.DUMMYFUNCTION("""COMPUTED_VALUE"""),67.0)</f>
        <v>67</v>
      </c>
      <c r="E3154" s="1"/>
    </row>
    <row r="3155">
      <c r="A3155" s="1"/>
      <c r="B3155" s="3" t="str">
        <f>IFERROR(__xludf.DUMMYFUNCTION("""COMPUTED_VALUE"""),"FARREL")</f>
        <v>FARREL</v>
      </c>
      <c r="C3155" s="3" t="str">
        <f>IFERROR(__xludf.DUMMYFUNCTION("""COMPUTED_VALUE"""),"F1325121234")</f>
        <v>F1325121234</v>
      </c>
      <c r="D3155" s="3">
        <f>IFERROR(__xludf.DUMMYFUNCTION("""COMPUTED_VALUE"""),12.0)</f>
        <v>12</v>
      </c>
      <c r="E3155" s="1"/>
    </row>
    <row r="3156">
      <c r="A3156" s="1"/>
      <c r="B3156" s="3" t="str">
        <f>IFERROR(__xludf.DUMMYFUNCTION("""COMPUTED_VALUE"""),"INDRA JAYA AK MSI")</f>
        <v>INDRA JAYA AK MSI</v>
      </c>
      <c r="C3156" s="3" t="str">
        <f>IFERROR(__xludf.DUMMYFUNCTION("""COMPUTED_VALUE"""),"I7225127895")</f>
        <v>I7225127895</v>
      </c>
      <c r="D3156" s="3">
        <f>IFERROR(__xludf.DUMMYFUNCTION("""COMPUTED_VALUE"""),54.0)</f>
        <v>54</v>
      </c>
      <c r="E3156" s="1"/>
    </row>
    <row r="3157">
      <c r="A3157" s="1"/>
      <c r="B3157" s="3" t="str">
        <f>IFERROR(__xludf.DUMMYFUNCTION("""COMPUTED_VALUE"""),"NIKEN PASKALIA")</f>
        <v>NIKEN PASKALIA</v>
      </c>
      <c r="C3157" s="3" t="str">
        <f>IFERROR(__xludf.DUMMYFUNCTION("""COMPUTED_VALUE"""),"N9125121100")</f>
        <v>N9125121100</v>
      </c>
      <c r="D3157" s="3">
        <f>IFERROR(__xludf.DUMMYFUNCTION("""COMPUTED_VALUE"""),35.0)</f>
        <v>35</v>
      </c>
      <c r="E3157" s="1"/>
    </row>
    <row r="3158">
      <c r="A3158" s="1"/>
      <c r="B3158" s="3" t="str">
        <f>IFERROR(__xludf.DUMMYFUNCTION("""COMPUTED_VALUE"""),"SUSANTI 7401")</f>
        <v>SUSANTI 7401</v>
      </c>
      <c r="C3158" s="3" t="str">
        <f>IFERROR(__xludf.DUMMYFUNCTION("""COMPUTED_VALUE"""),"S7425124817")</f>
        <v>S7425124817</v>
      </c>
      <c r="D3158" s="3">
        <f>IFERROR(__xludf.DUMMYFUNCTION("""COMPUTED_VALUE"""),51.0)</f>
        <v>51</v>
      </c>
      <c r="E3158" s="1"/>
    </row>
    <row r="3159">
      <c r="A3159" s="1"/>
      <c r="B3159" s="3" t="str">
        <f>IFERROR(__xludf.DUMMYFUNCTION("""COMPUTED_VALUE"""),"BANU AJI NUGROHO")</f>
        <v>BANU AJI NUGROHO</v>
      </c>
      <c r="C3159" s="3" t="str">
        <f>IFERROR(__xludf.DUMMYFUNCTION("""COMPUTED_VALUE"""),"B0025121417")</f>
        <v>B0025121417</v>
      </c>
      <c r="D3159" s="3">
        <f>IFERROR(__xludf.DUMMYFUNCTION("""COMPUTED_VALUE"""),25.0)</f>
        <v>25</v>
      </c>
      <c r="E3159" s="1"/>
    </row>
    <row r="3160">
      <c r="A3160" s="1"/>
      <c r="B3160" s="3" t="str">
        <f>IFERROR(__xludf.DUMMYFUNCTION("""COMPUTED_VALUE"""),"ADAM DAMIRI")</f>
        <v>ADAM DAMIRI</v>
      </c>
      <c r="C3160" s="3" t="str">
        <f>IFERROR(__xludf.DUMMYFUNCTION("""COMPUTED_VALUE"""),"A9825122289")</f>
        <v>A9825122289</v>
      </c>
      <c r="D3160" s="3">
        <f>IFERROR(__xludf.DUMMYFUNCTION("""COMPUTED_VALUE"""),28.0)</f>
        <v>28</v>
      </c>
      <c r="E3160" s="1"/>
    </row>
    <row r="3161">
      <c r="A3161" s="1"/>
      <c r="B3161" s="3" t="str">
        <f>IFERROR(__xludf.DUMMYFUNCTION("""COMPUTED_VALUE"""),"URAY SHIEDQIE")</f>
        <v>URAY SHIEDQIE</v>
      </c>
      <c r="C3161" s="3" t="str">
        <f>IFERROR(__xludf.DUMMYFUNCTION("""COMPUTED_VALUE"""),"U6125123244")</f>
        <v>U6125123244</v>
      </c>
      <c r="D3161" s="3">
        <f>IFERROR(__xludf.DUMMYFUNCTION("""COMPUTED_VALUE"""),65.0)</f>
        <v>65</v>
      </c>
      <c r="E3161" s="1"/>
    </row>
    <row r="3162">
      <c r="A3162" s="1"/>
      <c r="B3162" s="3" t="str">
        <f>IFERROR(__xludf.DUMMYFUNCTION("""COMPUTED_VALUE"""),"GRACIA SHERLYTTA VALENSIA")</f>
        <v>GRACIA SHERLYTTA VALENSIA</v>
      </c>
      <c r="C3162" s="3" t="str">
        <f>IFERROR(__xludf.DUMMYFUNCTION("""COMPUTED_VALUE"""),"G0225127027")</f>
        <v>G0225127027</v>
      </c>
      <c r="D3162" s="3">
        <f>IFERROR(__xludf.DUMMYFUNCTION("""COMPUTED_VALUE"""),23.0)</f>
        <v>23</v>
      </c>
      <c r="E3162" s="1"/>
    </row>
    <row r="3163">
      <c r="A3163" s="1"/>
      <c r="B3163" s="3" t="str">
        <f>IFERROR(__xludf.DUMMYFUNCTION("""COMPUTED_VALUE"""),"KRIS YOGI DWI PUTRA SIBARANI")</f>
        <v>KRIS YOGI DWI PUTRA SIBARANI</v>
      </c>
      <c r="C3163" s="3" t="str">
        <f>IFERROR(__xludf.DUMMYFUNCTION("""COMPUTED_VALUE"""),"K8825128215")</f>
        <v>K8825128215</v>
      </c>
      <c r="D3163" s="3">
        <f>IFERROR(__xludf.DUMMYFUNCTION("""COMPUTED_VALUE"""),37.0)</f>
        <v>37</v>
      </c>
      <c r="E3163" s="1"/>
    </row>
    <row r="3164">
      <c r="A3164" s="1"/>
      <c r="B3164" s="3" t="str">
        <f>IFERROR(__xludf.DUMMYFUNCTION("""COMPUTED_VALUE"""),"ANGELINE OLIVIA")</f>
        <v>ANGELINE OLIVIA</v>
      </c>
      <c r="C3164" s="3" t="str">
        <f>IFERROR(__xludf.DUMMYFUNCTION("""COMPUTED_VALUE"""),"A0325126212")</f>
        <v>A0325126212</v>
      </c>
      <c r="D3164" s="3">
        <f>IFERROR(__xludf.DUMMYFUNCTION("""COMPUTED_VALUE"""),22.0)</f>
        <v>22</v>
      </c>
      <c r="E3164" s="1"/>
    </row>
    <row r="3165">
      <c r="A3165" s="1"/>
      <c r="B3165" s="3" t="str">
        <f>IFERROR(__xludf.DUMMYFUNCTION("""COMPUTED_VALUE"""),"NUZUL NURWAHYUDDIN")</f>
        <v>NUZUL NURWAHYUDDIN</v>
      </c>
      <c r="C3165" s="3" t="str">
        <f>IFERROR(__xludf.DUMMYFUNCTION("""COMPUTED_VALUE"""),"N8325126783")</f>
        <v>N8325126783</v>
      </c>
      <c r="D3165" s="3">
        <f>IFERROR(__xludf.DUMMYFUNCTION("""COMPUTED_VALUE"""),42.0)</f>
        <v>42</v>
      </c>
      <c r="E3165" s="1"/>
    </row>
    <row r="3166">
      <c r="A3166" s="1"/>
      <c r="B3166" s="3" t="str">
        <f>IFERROR(__xludf.DUMMYFUNCTION("""COMPUTED_VALUE"""),"NIKI TRIYANDI")</f>
        <v>NIKI TRIYANDI</v>
      </c>
      <c r="C3166" s="3" t="str">
        <f>IFERROR(__xludf.DUMMYFUNCTION("""COMPUTED_VALUE"""),"N8425122485")</f>
        <v>N8425122485</v>
      </c>
      <c r="D3166" s="3">
        <f>IFERROR(__xludf.DUMMYFUNCTION("""COMPUTED_VALUE"""),42.0)</f>
        <v>42</v>
      </c>
      <c r="E3166" s="1"/>
    </row>
    <row r="3167">
      <c r="A3167" s="1"/>
      <c r="B3167" s="3" t="str">
        <f>IFERROR(__xludf.DUMMYFUNCTION("""COMPUTED_VALUE"""),"HARMI CAHYANI")</f>
        <v>HARMI CAHYANI</v>
      </c>
      <c r="C3167" s="3" t="str">
        <f>IFERROR(__xludf.DUMMYFUNCTION("""COMPUTED_VALUE"""),"H8525124000")</f>
        <v>H8525124000</v>
      </c>
      <c r="D3167" s="3">
        <f>IFERROR(__xludf.DUMMYFUNCTION("""COMPUTED_VALUE"""),41.0)</f>
        <v>41</v>
      </c>
      <c r="E3167" s="1"/>
    </row>
    <row r="3168">
      <c r="A3168" s="1"/>
      <c r="B3168" s="3" t="str">
        <f>IFERROR(__xludf.DUMMYFUNCTION("""COMPUTED_VALUE"""),"ANDIKA HERMAWAN")</f>
        <v>ANDIKA HERMAWAN</v>
      </c>
      <c r="C3168" s="3" t="str">
        <f>IFERROR(__xludf.DUMMYFUNCTION("""COMPUTED_VALUE"""),"A0125120628")</f>
        <v>A0125120628</v>
      </c>
      <c r="D3168" s="3">
        <f>IFERROR(__xludf.DUMMYFUNCTION("""COMPUTED_VALUE"""),24.0)</f>
        <v>24</v>
      </c>
      <c r="E3168" s="1"/>
    </row>
    <row r="3169">
      <c r="A3169" s="1"/>
      <c r="B3169" s="3" t="str">
        <f>IFERROR(__xludf.DUMMYFUNCTION("""COMPUTED_VALUE"""),"MUHAMMAD ZUHRI")</f>
        <v>MUHAMMAD ZUHRI</v>
      </c>
      <c r="C3169" s="3" t="str">
        <f>IFERROR(__xludf.DUMMYFUNCTION("""COMPUTED_VALUE"""),"M7925122235")</f>
        <v>M7925122235</v>
      </c>
      <c r="D3169" s="3">
        <f>IFERROR(__xludf.DUMMYFUNCTION("""COMPUTED_VALUE"""),46.0)</f>
        <v>46</v>
      </c>
      <c r="E3169" s="1"/>
    </row>
    <row r="3170">
      <c r="A3170" s="1"/>
      <c r="B3170" s="3" t="str">
        <f>IFERROR(__xludf.DUMMYFUNCTION("""COMPUTED_VALUE"""),"GIOVANNI NASTASIO PARURERA")</f>
        <v>GIOVANNI NASTASIO PARURERA</v>
      </c>
      <c r="C3170" s="3" t="str">
        <f>IFERROR(__xludf.DUMMYFUNCTION("""COMPUTED_VALUE"""),"G0225127367")</f>
        <v>G0225127367</v>
      </c>
      <c r="D3170" s="3">
        <f>IFERROR(__xludf.DUMMYFUNCTION("""COMPUTED_VALUE"""),24.0)</f>
        <v>24</v>
      </c>
      <c r="E3170" s="1"/>
    </row>
    <row r="3171">
      <c r="A3171" s="1"/>
      <c r="B3171" s="3" t="str">
        <f>IFERROR(__xludf.DUMMYFUNCTION("""COMPUTED_VALUE"""),"AGUS HARYONO")</f>
        <v>AGUS HARYONO</v>
      </c>
      <c r="C3171" s="3" t="str">
        <f>IFERROR(__xludf.DUMMYFUNCTION("""COMPUTED_VALUE"""),"A7825121998")</f>
        <v>A7825121998</v>
      </c>
      <c r="D3171" s="3">
        <f>IFERROR(__xludf.DUMMYFUNCTION("""COMPUTED_VALUE"""),47.0)</f>
        <v>47</v>
      </c>
      <c r="E3171" s="1"/>
    </row>
    <row r="3172">
      <c r="A3172" s="1"/>
      <c r="B3172" s="3" t="str">
        <f>IFERROR(__xludf.DUMMYFUNCTION("""COMPUTED_VALUE"""),"DARREN LOWIRA")</f>
        <v>DARREN LOWIRA</v>
      </c>
      <c r="C3172" s="3" t="str">
        <f>IFERROR(__xludf.DUMMYFUNCTION("""COMPUTED_VALUE"""),"D0625121108")</f>
        <v>D0625121108</v>
      </c>
      <c r="D3172" s="3">
        <f>IFERROR(__xludf.DUMMYFUNCTION("""COMPUTED_VALUE"""),19.0)</f>
        <v>19</v>
      </c>
      <c r="E3172" s="1"/>
    </row>
    <row r="3173">
      <c r="A3173" s="1"/>
      <c r="B3173" s="3" t="str">
        <f>IFERROR(__xludf.DUMMYFUNCTION("""COMPUTED_VALUE"""),"LIE KIM FA/KESUMAJADI")</f>
        <v>LIE KIM FA/KESUMAJADI</v>
      </c>
      <c r="C3173" s="3" t="str">
        <f>IFERROR(__xludf.DUMMYFUNCTION("""COMPUTED_VALUE"""),"L6025128579")</f>
        <v>L6025128579</v>
      </c>
      <c r="D3173" s="3">
        <f>IFERROR(__xludf.DUMMYFUNCTION("""COMPUTED_VALUE"""),66.0)</f>
        <v>66</v>
      </c>
      <c r="E3173" s="1"/>
    </row>
    <row r="3174">
      <c r="A3174" s="1"/>
      <c r="B3174" s="3" t="str">
        <f>IFERROR(__xludf.DUMMYFUNCTION("""COMPUTED_VALUE"""),"JAMALUDIN MAULANA")</f>
        <v>JAMALUDIN MAULANA</v>
      </c>
      <c r="C3174" s="3" t="str">
        <f>IFERROR(__xludf.DUMMYFUNCTION("""COMPUTED_VALUE"""),"J9725129346")</f>
        <v>J9725129346</v>
      </c>
      <c r="D3174" s="3">
        <f>IFERROR(__xludf.DUMMYFUNCTION("""COMPUTED_VALUE"""),29.0)</f>
        <v>29</v>
      </c>
      <c r="E3174" s="1"/>
    </row>
    <row r="3175">
      <c r="A3175" s="1"/>
      <c r="B3175" s="3" t="str">
        <f>IFERROR(__xludf.DUMMYFUNCTION("""COMPUTED_VALUE"""),"ANGELIA IVANA")</f>
        <v>ANGELIA IVANA</v>
      </c>
      <c r="C3175" s="3" t="str">
        <f>IFERROR(__xludf.DUMMYFUNCTION("""COMPUTED_VALUE"""),"A0025123200")</f>
        <v>A0025123200</v>
      </c>
      <c r="D3175" s="3">
        <f>IFERROR(__xludf.DUMMYFUNCTION("""COMPUTED_VALUE"""),25.0)</f>
        <v>25</v>
      </c>
      <c r="E3175" s="1"/>
    </row>
    <row r="3176">
      <c r="A3176" s="1"/>
      <c r="B3176" s="3" t="str">
        <f>IFERROR(__xludf.DUMMYFUNCTION("""COMPUTED_VALUE"""),"FERY")</f>
        <v>FERY</v>
      </c>
      <c r="C3176" s="3" t="str">
        <f>IFERROR(__xludf.DUMMYFUNCTION("""COMPUTED_VALUE"""),"F9325121778")</f>
        <v>F9325121778</v>
      </c>
      <c r="D3176" s="3">
        <f>IFERROR(__xludf.DUMMYFUNCTION("""COMPUTED_VALUE"""),33.0)</f>
        <v>33</v>
      </c>
      <c r="E3176" s="1"/>
    </row>
    <row r="3177">
      <c r="A3177" s="1"/>
      <c r="B3177" s="3" t="str">
        <f>IFERROR(__xludf.DUMMYFUNCTION("""COMPUTED_VALUE"""),"CINTHYA TANJAYA")</f>
        <v>CINTHYA TANJAYA</v>
      </c>
      <c r="C3177" s="3" t="str">
        <f>IFERROR(__xludf.DUMMYFUNCTION("""COMPUTED_VALUE"""),"C0325128008")</f>
        <v>C0325128008</v>
      </c>
      <c r="D3177" s="3">
        <f>IFERROR(__xludf.DUMMYFUNCTION("""COMPUTED_VALUE"""),23.0)</f>
        <v>23</v>
      </c>
      <c r="E3177" s="1"/>
    </row>
    <row r="3178">
      <c r="A3178" s="1"/>
      <c r="B3178" s="3" t="str">
        <f>IFERROR(__xludf.DUMMYFUNCTION("""COMPUTED_VALUE"""),"NIKO BARKAH DAME PUTRA SIREGAR")</f>
        <v>NIKO BARKAH DAME PUTRA SIREGAR</v>
      </c>
      <c r="C3178" s="3" t="str">
        <f>IFERROR(__xludf.DUMMYFUNCTION("""COMPUTED_VALUE"""),"N0025126327")</f>
        <v>N0025126327</v>
      </c>
      <c r="D3178" s="3">
        <f>IFERROR(__xludf.DUMMYFUNCTION("""COMPUTED_VALUE"""),26.0)</f>
        <v>26</v>
      </c>
      <c r="E3178" s="1"/>
    </row>
    <row r="3179">
      <c r="A3179" s="1"/>
      <c r="B3179" s="3" t="str">
        <f>IFERROR(__xludf.DUMMYFUNCTION("""COMPUTED_VALUE"""),"LIAU TJONG POEN ALS YULIANA")</f>
        <v>LIAU TJONG POEN ALS YULIANA</v>
      </c>
      <c r="C3179" s="3" t="str">
        <f>IFERROR(__xludf.DUMMYFUNCTION("""COMPUTED_VALUE"""),"L5725121301")</f>
        <v>L5725121301</v>
      </c>
      <c r="D3179" s="3">
        <f>IFERROR(__xludf.DUMMYFUNCTION("""COMPUTED_VALUE"""),68.0)</f>
        <v>68</v>
      </c>
      <c r="E3179" s="1"/>
    </row>
    <row r="3180">
      <c r="A3180" s="1"/>
      <c r="B3180" s="3" t="str">
        <f>IFERROR(__xludf.DUMMYFUNCTION("""COMPUTED_VALUE"""),"YAYA MAULIDIA")</f>
        <v>YAYA MAULIDIA</v>
      </c>
      <c r="C3180" s="3" t="str">
        <f>IFERROR(__xludf.DUMMYFUNCTION("""COMPUTED_VALUE"""),"Y6825129986")</f>
        <v>Y6825129986</v>
      </c>
      <c r="D3180" s="3">
        <f>IFERROR(__xludf.DUMMYFUNCTION("""COMPUTED_VALUE"""),58.0)</f>
        <v>58</v>
      </c>
      <c r="E3180" s="1"/>
    </row>
    <row r="3181">
      <c r="A3181" s="1"/>
      <c r="B3181" s="3" t="str">
        <f>IFERROR(__xludf.DUMMYFUNCTION("""COMPUTED_VALUE"""),"WIEKE VERASTUTI")</f>
        <v>WIEKE VERASTUTI</v>
      </c>
      <c r="C3181" s="3" t="str">
        <f>IFERROR(__xludf.DUMMYFUNCTION("""COMPUTED_VALUE"""),"W7525122424")</f>
        <v>W7525122424</v>
      </c>
      <c r="D3181" s="3">
        <f>IFERROR(__xludf.DUMMYFUNCTION("""COMPUTED_VALUE"""),51.0)</f>
        <v>51</v>
      </c>
      <c r="E3181" s="1"/>
    </row>
    <row r="3182">
      <c r="A3182" s="1"/>
      <c r="B3182" s="3" t="str">
        <f>IFERROR(__xludf.DUMMYFUNCTION("""COMPUTED_VALUE"""),"JUNINHO")</f>
        <v>JUNINHO</v>
      </c>
      <c r="C3182" s="3" t="str">
        <f>IFERROR(__xludf.DUMMYFUNCTION("""COMPUTED_VALUE"""),"J9725122238")</f>
        <v>J9725122238</v>
      </c>
      <c r="D3182" s="3">
        <f>IFERROR(__xludf.DUMMYFUNCTION("""COMPUTED_VALUE"""),29.0)</f>
        <v>29</v>
      </c>
      <c r="E3182" s="1"/>
    </row>
    <row r="3183">
      <c r="A3183" s="1"/>
      <c r="B3183" s="3" t="str">
        <f>IFERROR(__xludf.DUMMYFUNCTION("""COMPUTED_VALUE"""),"NURMIATY SALMAH")</f>
        <v>NURMIATY SALMAH</v>
      </c>
      <c r="C3183" s="3" t="str">
        <f>IFERROR(__xludf.DUMMYFUNCTION("""COMPUTED_VALUE"""),"N5725121100")</f>
        <v>N5725121100</v>
      </c>
      <c r="D3183" s="3">
        <f>IFERROR(__xludf.DUMMYFUNCTION("""COMPUTED_VALUE"""),69.0)</f>
        <v>69</v>
      </c>
      <c r="E3183" s="1"/>
    </row>
    <row r="3184">
      <c r="A3184" s="1"/>
      <c r="B3184" s="3" t="str">
        <f>IFERROR(__xludf.DUMMYFUNCTION("""COMPUTED_VALUE"""),"DWI FITRIANINGSIH")</f>
        <v>DWI FITRIANINGSIH</v>
      </c>
      <c r="C3184" s="3" t="str">
        <f>IFERROR(__xludf.DUMMYFUNCTION("""COMPUTED_VALUE"""),"D8525121185")</f>
        <v>D8525121185</v>
      </c>
      <c r="D3184" s="3">
        <f>IFERROR(__xludf.DUMMYFUNCTION("""COMPUTED_VALUE"""),40.0)</f>
        <v>40</v>
      </c>
      <c r="E3184" s="1"/>
    </row>
    <row r="3185">
      <c r="A3185" s="1"/>
      <c r="B3185" s="3" t="str">
        <f>IFERROR(__xludf.DUMMYFUNCTION("""COMPUTED_VALUE"""),"JERI SUPRTIADI")</f>
        <v>JERI SUPRTIADI</v>
      </c>
      <c r="C3185" s="3" t="str">
        <f>IFERROR(__xludf.DUMMYFUNCTION("""COMPUTED_VALUE"""),"J9725124944")</f>
        <v>J9725124944</v>
      </c>
      <c r="D3185" s="3">
        <f>IFERROR(__xludf.DUMMYFUNCTION("""COMPUTED_VALUE"""),28.0)</f>
        <v>28</v>
      </c>
      <c r="E3185" s="1"/>
    </row>
    <row r="3186">
      <c r="A3186" s="1"/>
      <c r="B3186" s="3" t="str">
        <f>IFERROR(__xludf.DUMMYFUNCTION("""COMPUTED_VALUE"""),"ANDRI DOS SANTOS")</f>
        <v>ANDRI DOS SANTOS</v>
      </c>
      <c r="C3186" s="3" t="str">
        <f>IFERROR(__xludf.DUMMYFUNCTION("""COMPUTED_VALUE"""),"A9625120301")</f>
        <v>A9625120301</v>
      </c>
      <c r="D3186" s="3">
        <f>IFERROR(__xludf.DUMMYFUNCTION("""COMPUTED_VALUE"""),29.0)</f>
        <v>29</v>
      </c>
      <c r="E3186" s="1"/>
    </row>
    <row r="3187">
      <c r="A3187" s="1"/>
      <c r="B3187" s="3" t="str">
        <f>IFERROR(__xludf.DUMMYFUNCTION("""COMPUTED_VALUE"""),"ANGEL OLIVIA")</f>
        <v>ANGEL OLIVIA</v>
      </c>
      <c r="C3187" s="3" t="str">
        <f>IFERROR(__xludf.DUMMYFUNCTION("""COMPUTED_VALUE"""),"A0325125109")</f>
        <v>A0325125109</v>
      </c>
      <c r="D3187" s="3">
        <f>IFERROR(__xludf.DUMMYFUNCTION("""COMPUTED_VALUE"""),22.0)</f>
        <v>22</v>
      </c>
      <c r="E3187" s="1"/>
    </row>
    <row r="3188">
      <c r="A3188" s="1"/>
      <c r="B3188" s="3" t="str">
        <f>IFERROR(__xludf.DUMMYFUNCTION("""COMPUTED_VALUE"""),"GALIH HANDAYANI")</f>
        <v>GALIH HANDAYANI</v>
      </c>
      <c r="C3188" s="3" t="str">
        <f>IFERROR(__xludf.DUMMYFUNCTION("""COMPUTED_VALUE"""),"G8425125725")</f>
        <v>G8425125725</v>
      </c>
      <c r="D3188" s="3">
        <f>IFERROR(__xludf.DUMMYFUNCTION("""COMPUTED_VALUE"""),41.0)</f>
        <v>41</v>
      </c>
      <c r="E3188" s="1"/>
    </row>
    <row r="3189">
      <c r="A3189" s="1"/>
      <c r="B3189" s="3" t="str">
        <f>IFERROR(__xludf.DUMMYFUNCTION("""COMPUTED_VALUE"""),"DRA. HJ. SRI MULYANI")</f>
        <v>DRA. HJ. SRI MULYANI</v>
      </c>
      <c r="C3189" s="3" t="str">
        <f>IFERROR(__xludf.DUMMYFUNCTION("""COMPUTED_VALUE"""),"D6625125696")</f>
        <v>D6625125696</v>
      </c>
      <c r="D3189" s="3">
        <f>IFERROR(__xludf.DUMMYFUNCTION("""COMPUTED_VALUE"""),59.0)</f>
        <v>59</v>
      </c>
      <c r="E3189" s="1"/>
    </row>
    <row r="3190">
      <c r="A3190" s="1"/>
      <c r="B3190" s="3" t="str">
        <f>IFERROR(__xludf.DUMMYFUNCTION("""COMPUTED_VALUE"""),"ELLEN ARINDA PRATIWI")</f>
        <v>ELLEN ARINDA PRATIWI</v>
      </c>
      <c r="C3190" s="3" t="str">
        <f>IFERROR(__xludf.DUMMYFUNCTION("""COMPUTED_VALUE"""),"E9725120876")</f>
        <v>E9725120876</v>
      </c>
      <c r="D3190" s="3">
        <f>IFERROR(__xludf.DUMMYFUNCTION("""COMPUTED_VALUE"""),28.0)</f>
        <v>28</v>
      </c>
      <c r="E3190" s="1"/>
    </row>
    <row r="3191">
      <c r="A3191" s="1"/>
      <c r="B3191" s="3" t="str">
        <f>IFERROR(__xludf.DUMMYFUNCTION("""COMPUTED_VALUE"""),"FARIDA HASTUTI")</f>
        <v>FARIDA HASTUTI</v>
      </c>
      <c r="C3191" s="3" t="str">
        <f>IFERROR(__xludf.DUMMYFUNCTION("""COMPUTED_VALUE"""),"F6125128057")</f>
        <v>F6125128057</v>
      </c>
      <c r="D3191" s="3">
        <f>IFERROR(__xludf.DUMMYFUNCTION("""COMPUTED_VALUE"""),64.0)</f>
        <v>64</v>
      </c>
      <c r="E3191" s="1"/>
    </row>
    <row r="3192">
      <c r="A3192" s="1"/>
      <c r="B3192" s="3" t="str">
        <f>IFERROR(__xludf.DUMMYFUNCTION("""COMPUTED_VALUE"""),"JULIANA DELVINA SARI")</f>
        <v>JULIANA DELVINA SARI</v>
      </c>
      <c r="C3192" s="3" t="str">
        <f>IFERROR(__xludf.DUMMYFUNCTION("""COMPUTED_VALUE"""),"J0625127652")</f>
        <v>J0625127652</v>
      </c>
      <c r="D3192" s="3">
        <f>IFERROR(__xludf.DUMMYFUNCTION("""COMPUTED_VALUE"""),19.0)</f>
        <v>19</v>
      </c>
      <c r="E3192" s="1"/>
    </row>
    <row r="3193">
      <c r="A3193" s="1"/>
      <c r="B3193" s="3" t="str">
        <f>IFERROR(__xludf.DUMMYFUNCTION("""COMPUTED_VALUE"""),"RIZA SETYAWAN")</f>
        <v>RIZA SETYAWAN</v>
      </c>
      <c r="C3193" s="3" t="str">
        <f>IFERROR(__xludf.DUMMYFUNCTION("""COMPUTED_VALUE"""),"R9125121442")</f>
        <v>R9125121442</v>
      </c>
      <c r="D3193" s="3">
        <f>IFERROR(__xludf.DUMMYFUNCTION("""COMPUTED_VALUE"""),34.0)</f>
        <v>34</v>
      </c>
      <c r="E3193" s="1"/>
    </row>
    <row r="3194">
      <c r="A3194" s="1"/>
      <c r="B3194" s="3" t="str">
        <f>IFERROR(__xludf.DUMMYFUNCTION("""COMPUTED_VALUE"""),"RAFI AHMADY")</f>
        <v>RAFI AHMADY</v>
      </c>
      <c r="C3194" s="3" t="str">
        <f>IFERROR(__xludf.DUMMYFUNCTION("""COMPUTED_VALUE"""),"R1325123120")</f>
        <v>R1325123120</v>
      </c>
      <c r="D3194" s="3">
        <f>IFERROR(__xludf.DUMMYFUNCTION("""COMPUTED_VALUE"""),12.0)</f>
        <v>12</v>
      </c>
      <c r="E3194" s="1"/>
    </row>
    <row r="3195">
      <c r="A3195" s="1"/>
      <c r="B3195" s="3" t="str">
        <f>IFERROR(__xludf.DUMMYFUNCTION("""COMPUTED_VALUE"""),"SITI MAYUNI")</f>
        <v>SITI MAYUNI</v>
      </c>
      <c r="C3195" s="3" t="str">
        <f>IFERROR(__xludf.DUMMYFUNCTION("""COMPUTED_VALUE"""),"S6825123226")</f>
        <v>S6825123226</v>
      </c>
      <c r="D3195" s="3">
        <f>IFERROR(__xludf.DUMMYFUNCTION("""COMPUTED_VALUE"""),58.0)</f>
        <v>58</v>
      </c>
      <c r="E3195" s="1"/>
    </row>
    <row r="3196">
      <c r="A3196" s="1"/>
      <c r="B3196" s="3" t="str">
        <f>IFERROR(__xludf.DUMMYFUNCTION("""COMPUTED_VALUE"""),"JAINAL")</f>
        <v>JAINAL</v>
      </c>
      <c r="C3196" s="3" t="str">
        <f>IFERROR(__xludf.DUMMYFUNCTION("""COMPUTED_VALUE"""),"J6625120248")</f>
        <v>J6625120248</v>
      </c>
      <c r="D3196" s="3">
        <f>IFERROR(__xludf.DUMMYFUNCTION("""COMPUTED_VALUE"""),59.0)</f>
        <v>59</v>
      </c>
      <c r="E3196" s="1"/>
    </row>
    <row r="3197">
      <c r="A3197" s="1"/>
      <c r="B3197" s="3" t="str">
        <f>IFERROR(__xludf.DUMMYFUNCTION("""COMPUTED_VALUE"""),"RENDI")</f>
        <v>RENDI</v>
      </c>
      <c r="C3197" s="3" t="str">
        <f>IFERROR(__xludf.DUMMYFUNCTION("""COMPUTED_VALUE"""),"R0225129200")</f>
        <v>R0225129200</v>
      </c>
      <c r="D3197" s="3">
        <f>IFERROR(__xludf.DUMMYFUNCTION("""COMPUTED_VALUE"""),24.0)</f>
        <v>24</v>
      </c>
      <c r="E3197" s="1"/>
    </row>
    <row r="3198">
      <c r="A3198" s="1"/>
      <c r="B3198" s="3" t="str">
        <f>IFERROR(__xludf.DUMMYFUNCTION("""COMPUTED_VALUE"""),"DEYA NATHASYA RAHMADANY")</f>
        <v>DEYA NATHASYA RAHMADANY</v>
      </c>
      <c r="C3198" s="3" t="str">
        <f>IFERROR(__xludf.DUMMYFUNCTION("""COMPUTED_VALUE"""),"D9825126821")</f>
        <v>D9825126821</v>
      </c>
      <c r="D3198" s="3">
        <f>IFERROR(__xludf.DUMMYFUNCTION("""COMPUTED_VALUE"""),27.0)</f>
        <v>27</v>
      </c>
      <c r="E3198" s="1"/>
    </row>
    <row r="3199">
      <c r="A3199" s="1"/>
      <c r="B3199" s="3" t="str">
        <f>IFERROR(__xludf.DUMMYFUNCTION("""COMPUTED_VALUE"""),"AKHDAN NAUFAL")</f>
        <v>AKHDAN NAUFAL</v>
      </c>
      <c r="C3199" s="3" t="str">
        <f>IFERROR(__xludf.DUMMYFUNCTION("""COMPUTED_VALUE"""),"A9525120897")</f>
        <v>A9525120897</v>
      </c>
      <c r="D3199" s="3">
        <f>IFERROR(__xludf.DUMMYFUNCTION("""COMPUTED_VALUE"""),31.0)</f>
        <v>31</v>
      </c>
      <c r="E3199" s="1"/>
    </row>
    <row r="3200">
      <c r="A3200" s="1"/>
      <c r="B3200" s="3" t="str">
        <f>IFERROR(__xludf.DUMMYFUNCTION("""COMPUTED_VALUE"""),"DECKY TRIONO")</f>
        <v>DECKY TRIONO</v>
      </c>
      <c r="C3200" s="3" t="str">
        <f>IFERROR(__xludf.DUMMYFUNCTION("""COMPUTED_VALUE"""),"D7725120078")</f>
        <v>D7725120078</v>
      </c>
      <c r="D3200" s="3">
        <f>IFERROR(__xludf.DUMMYFUNCTION("""COMPUTED_VALUE"""),48.0)</f>
        <v>48</v>
      </c>
      <c r="E3200" s="1"/>
    </row>
    <row r="3201">
      <c r="A3201" s="1"/>
      <c r="B3201" s="3" t="str">
        <f>IFERROR(__xludf.DUMMYFUNCTION("""COMPUTED_VALUE"""),"SYARIF SUHERMAN")</f>
        <v>SYARIF SUHERMAN</v>
      </c>
      <c r="C3201" s="3" t="str">
        <f>IFERROR(__xludf.DUMMYFUNCTION("""COMPUTED_VALUE"""),"S7125124801")</f>
        <v>S7125124801</v>
      </c>
      <c r="D3201" s="3">
        <f>IFERROR(__xludf.DUMMYFUNCTION("""COMPUTED_VALUE"""),55.0)</f>
        <v>55</v>
      </c>
      <c r="E3201" s="1"/>
    </row>
    <row r="3202">
      <c r="A3202" s="1"/>
      <c r="B3202" s="3" t="str">
        <f>IFERROR(__xludf.DUMMYFUNCTION("""COMPUTED_VALUE"""),"JUN FONG")</f>
        <v>JUN FONG</v>
      </c>
      <c r="C3202" s="3" t="str">
        <f>IFERROR(__xludf.DUMMYFUNCTION("""COMPUTED_VALUE"""),"J9824114915")</f>
        <v>J9824114915</v>
      </c>
      <c r="D3202" s="3">
        <f>IFERROR(__xludf.DUMMYFUNCTION("""COMPUTED_VALUE"""),27.0)</f>
        <v>27</v>
      </c>
      <c r="E3202" s="1"/>
    </row>
    <row r="3203">
      <c r="A3203" s="1"/>
      <c r="B3203" s="3" t="str">
        <f>IFERROR(__xludf.DUMMYFUNCTION("""COMPUTED_VALUE"""),"TJONG LIE TJHIUN ALS SUKIMAN")</f>
        <v>TJONG LIE TJHIUN ALS SUKIMAN</v>
      </c>
      <c r="C3203" s="3" t="str">
        <f>IFERROR(__xludf.DUMMYFUNCTION("""COMPUTED_VALUE"""),"T4825127000")</f>
        <v>T4825127000</v>
      </c>
      <c r="D3203" s="3">
        <f>IFERROR(__xludf.DUMMYFUNCTION("""COMPUTED_VALUE"""),78.0)</f>
        <v>78</v>
      </c>
      <c r="E3203" s="1"/>
    </row>
    <row r="3204">
      <c r="A3204" s="1"/>
      <c r="B3204" s="3" t="str">
        <f>IFERROR(__xludf.DUMMYFUNCTION("""COMPUTED_VALUE"""),"SITI NURHAINI")</f>
        <v>SITI NURHAINI</v>
      </c>
      <c r="C3204" s="3" t="str">
        <f>IFERROR(__xludf.DUMMYFUNCTION("""COMPUTED_VALUE"""),"S0125120326")</f>
        <v>S0125120326</v>
      </c>
      <c r="D3204" s="3">
        <f>IFERROR(__xludf.DUMMYFUNCTION("""COMPUTED_VALUE"""),25.0)</f>
        <v>25</v>
      </c>
      <c r="E3204" s="1"/>
    </row>
    <row r="3205">
      <c r="A3205" s="1"/>
      <c r="B3205" s="3" t="str">
        <f>IFERROR(__xludf.DUMMYFUNCTION("""COMPUTED_VALUE"""),"LIE SOI TJU")</f>
        <v>LIE SOI TJU</v>
      </c>
      <c r="C3205" s="3" t="str">
        <f>IFERROR(__xludf.DUMMYFUNCTION("""COMPUTED_VALUE"""),"L5825122264")</f>
        <v>L5825122264</v>
      </c>
      <c r="D3205" s="3">
        <f>IFERROR(__xludf.DUMMYFUNCTION("""COMPUTED_VALUE"""),67.0)</f>
        <v>67</v>
      </c>
      <c r="E3205" s="1"/>
    </row>
    <row r="3206">
      <c r="A3206" s="1"/>
      <c r="B3206" s="3" t="str">
        <f>IFERROR(__xludf.DUMMYFUNCTION("""COMPUTED_VALUE"""),"MUHARDI LIMAS")</f>
        <v>MUHARDI LIMAS</v>
      </c>
      <c r="C3206" s="3" t="str">
        <f>IFERROR(__xludf.DUMMYFUNCTION("""COMPUTED_VALUE"""),"M4125129007")</f>
        <v>M4125129007</v>
      </c>
      <c r="D3206" s="3">
        <f>IFERROR(__xludf.DUMMYFUNCTION("""COMPUTED_VALUE"""),84.0)</f>
        <v>84</v>
      </c>
      <c r="E3206" s="1"/>
    </row>
    <row r="3207">
      <c r="A3207" s="1"/>
      <c r="B3207" s="3" t="str">
        <f>IFERROR(__xludf.DUMMYFUNCTION("""COMPUTED_VALUE"""),"STEVEN HARYANTO")</f>
        <v>STEVEN HARYANTO</v>
      </c>
      <c r="C3207" s="3" t="str">
        <f>IFERROR(__xludf.DUMMYFUNCTION("""COMPUTED_VALUE"""),"S0025121122")</f>
        <v>S0025121122</v>
      </c>
      <c r="D3207" s="3">
        <f>IFERROR(__xludf.DUMMYFUNCTION("""COMPUTED_VALUE"""),25.0)</f>
        <v>25</v>
      </c>
      <c r="E3207" s="1"/>
    </row>
    <row r="3208">
      <c r="A3208" s="1"/>
      <c r="B3208" s="3" t="str">
        <f>IFERROR(__xludf.DUMMYFUNCTION("""COMPUTED_VALUE"""),"SOEPARTO")</f>
        <v>SOEPARTO</v>
      </c>
      <c r="C3208" s="3" t="str">
        <f>IFERROR(__xludf.DUMMYFUNCTION("""COMPUTED_VALUE"""),"S5125127001")</f>
        <v>S5125127001</v>
      </c>
      <c r="D3208" s="3">
        <f>IFERROR(__xludf.DUMMYFUNCTION("""COMPUTED_VALUE"""),75.0)</f>
        <v>75</v>
      </c>
      <c r="E3208" s="1"/>
    </row>
    <row r="3209">
      <c r="A3209" s="1"/>
      <c r="B3209" s="3" t="str">
        <f>IFERROR(__xludf.DUMMYFUNCTION("""COMPUTED_VALUE"""),"ARISYA AHZA NAURA")</f>
        <v>ARISYA AHZA NAURA</v>
      </c>
      <c r="C3209" s="3" t="str">
        <f>IFERROR(__xludf.DUMMYFUNCTION("""COMPUTED_VALUE"""),"A1325122428")</f>
        <v>A1325122428</v>
      </c>
      <c r="D3209" s="3">
        <f>IFERROR(__xludf.DUMMYFUNCTION("""COMPUTED_VALUE"""),12.0)</f>
        <v>12</v>
      </c>
      <c r="E3209" s="1"/>
    </row>
    <row r="3210">
      <c r="A3210" s="1"/>
      <c r="B3210" s="3" t="str">
        <f>IFERROR(__xludf.DUMMYFUNCTION("""COMPUTED_VALUE"""),"CITRA PURNAMA SARI")</f>
        <v>CITRA PURNAMA SARI</v>
      </c>
      <c r="C3210" s="3" t="str">
        <f>IFERROR(__xludf.DUMMYFUNCTION("""COMPUTED_VALUE"""),"C9225128367")</f>
        <v>C9225128367</v>
      </c>
      <c r="D3210" s="3">
        <f>IFERROR(__xludf.DUMMYFUNCTION("""COMPUTED_VALUE"""),34.0)</f>
        <v>34</v>
      </c>
      <c r="E3210" s="1"/>
    </row>
    <row r="3211">
      <c r="A3211" s="1"/>
      <c r="B3211" s="3" t="str">
        <f>IFERROR(__xludf.DUMMYFUNCTION("""COMPUTED_VALUE"""),"KASTI")</f>
        <v>KASTI</v>
      </c>
      <c r="C3211" s="3" t="str">
        <f>IFERROR(__xludf.DUMMYFUNCTION("""COMPUTED_VALUE"""),"K7425121740")</f>
        <v>K7425121740</v>
      </c>
      <c r="D3211" s="3">
        <f>IFERROR(__xludf.DUMMYFUNCTION("""COMPUTED_VALUE"""),52.0)</f>
        <v>52</v>
      </c>
      <c r="E3211" s="1"/>
    </row>
    <row r="3212">
      <c r="A3212" s="1"/>
      <c r="B3212" s="3" t="str">
        <f>IFERROR(__xludf.DUMMYFUNCTION("""COMPUTED_VALUE"""),"THJANG TAT LIM")</f>
        <v>THJANG TAT LIM</v>
      </c>
      <c r="C3212" s="3" t="str">
        <f>IFERROR(__xludf.DUMMYFUNCTION("""COMPUTED_VALUE"""),"T5125126845")</f>
        <v>T5125126845</v>
      </c>
      <c r="D3212" s="3">
        <f>IFERROR(__xludf.DUMMYFUNCTION("""COMPUTED_VALUE"""),74.0)</f>
        <v>74</v>
      </c>
      <c r="E3212" s="1"/>
    </row>
    <row r="3213">
      <c r="A3213" s="1"/>
      <c r="B3213" s="3" t="str">
        <f>IFERROR(__xludf.DUMMYFUNCTION("""COMPUTED_VALUE"""),"ANGELICA")</f>
        <v>ANGELICA</v>
      </c>
      <c r="C3213" s="3" t="str">
        <f>IFERROR(__xludf.DUMMYFUNCTION("""COMPUTED_VALUE"""),"A0825125687")</f>
        <v>A0825125687</v>
      </c>
      <c r="D3213" s="3">
        <f>IFERROR(__xludf.DUMMYFUNCTION("""COMPUTED_VALUE"""),17.0)</f>
        <v>17</v>
      </c>
      <c r="E3213" s="1"/>
    </row>
    <row r="3214">
      <c r="A3214" s="1"/>
      <c r="B3214" s="3" t="str">
        <f>IFERROR(__xludf.DUMMYFUNCTION("""COMPUTED_VALUE"""),"BEDJO RAHARDJO")</f>
        <v>BEDJO RAHARDJO</v>
      </c>
      <c r="C3214" s="3" t="str">
        <f>IFERROR(__xludf.DUMMYFUNCTION("""COMPUTED_VALUE"""),"B5325129871")</f>
        <v>B5325129871</v>
      </c>
      <c r="D3214" s="3">
        <f>IFERROR(__xludf.DUMMYFUNCTION("""COMPUTED_VALUE"""),73.0)</f>
        <v>73</v>
      </c>
      <c r="E3214" s="1"/>
    </row>
    <row r="3215">
      <c r="A3215" s="1"/>
      <c r="B3215" s="3" t="str">
        <f>IFERROR(__xludf.DUMMYFUNCTION("""COMPUTED_VALUE"""),"VERGI ARKADYA")</f>
        <v>VERGI ARKADYA</v>
      </c>
      <c r="C3215" s="3" t="str">
        <f>IFERROR(__xludf.DUMMYFUNCTION("""COMPUTED_VALUE"""),"V5325123931")</f>
        <v>V5325123931</v>
      </c>
      <c r="D3215" s="3">
        <f>IFERROR(__xludf.DUMMYFUNCTION("""COMPUTED_VALUE"""),72.0)</f>
        <v>72</v>
      </c>
      <c r="E3215" s="1"/>
    </row>
    <row r="3216">
      <c r="A3216" s="1"/>
      <c r="B3216" s="3" t="str">
        <f>IFERROR(__xludf.DUMMYFUNCTION("""COMPUTED_VALUE"""),"YOSTRYAN CHENATA")</f>
        <v>YOSTRYAN CHENATA</v>
      </c>
      <c r="C3216" s="3" t="str">
        <f>IFERROR(__xludf.DUMMYFUNCTION("""COMPUTED_VALUE"""),"Y9425125852")</f>
        <v>Y9425125852</v>
      </c>
      <c r="D3216" s="3">
        <f>IFERROR(__xludf.DUMMYFUNCTION("""COMPUTED_VALUE"""),31.0)</f>
        <v>31</v>
      </c>
      <c r="E3216" s="1"/>
    </row>
    <row r="3217">
      <c r="A3217" s="1"/>
      <c r="B3217" s="3" t="str">
        <f>IFERROR(__xludf.DUMMYFUNCTION("""COMPUTED_VALUE"""),"HENDRI WIJAYA")</f>
        <v>HENDRI WIJAYA</v>
      </c>
      <c r="C3217" s="3" t="str">
        <f>IFERROR(__xludf.DUMMYFUNCTION("""COMPUTED_VALUE"""),"H9425120685")</f>
        <v>H9425120685</v>
      </c>
      <c r="D3217" s="3">
        <f>IFERROR(__xludf.DUMMYFUNCTION("""COMPUTED_VALUE"""),32.0)</f>
        <v>32</v>
      </c>
      <c r="E3217" s="1"/>
    </row>
    <row r="3218">
      <c r="A3218" s="1"/>
      <c r="B3218" s="3" t="str">
        <f>IFERROR(__xludf.DUMMYFUNCTION("""COMPUTED_VALUE"""),"RAMOTI PUTRA MANALU")</f>
        <v>RAMOTI PUTRA MANALU</v>
      </c>
      <c r="C3218" s="3" t="str">
        <f>IFERROR(__xludf.DUMMYFUNCTION("""COMPUTED_VALUE"""),"R9525121510")</f>
        <v>R9525121510</v>
      </c>
      <c r="D3218" s="3">
        <f>IFERROR(__xludf.DUMMYFUNCTION("""COMPUTED_VALUE"""),30.0)</f>
        <v>30</v>
      </c>
      <c r="E3218" s="1"/>
    </row>
    <row r="3219">
      <c r="A3219" s="1"/>
      <c r="B3219" s="3" t="str">
        <f>IFERROR(__xludf.DUMMYFUNCTION("""COMPUTED_VALUE"""),"RANDA ARZA SAPUTRA")</f>
        <v>RANDA ARZA SAPUTRA</v>
      </c>
      <c r="C3219" s="3" t="str">
        <f>IFERROR(__xludf.DUMMYFUNCTION("""COMPUTED_VALUE"""),"R9125127920")</f>
        <v>R9125127920</v>
      </c>
      <c r="D3219" s="3">
        <f>IFERROR(__xludf.DUMMYFUNCTION("""COMPUTED_VALUE"""),34.0)</f>
        <v>34</v>
      </c>
      <c r="E3219" s="1"/>
    </row>
    <row r="3220">
      <c r="A3220" s="1"/>
      <c r="B3220" s="3" t="str">
        <f>IFERROR(__xludf.DUMMYFUNCTION("""COMPUTED_VALUE"""),"LIMINA DJUITA LIMAS")</f>
        <v>LIMINA DJUITA LIMAS</v>
      </c>
      <c r="C3220" s="3" t="str">
        <f>IFERROR(__xludf.DUMMYFUNCTION("""COMPUTED_VALUE"""),"L5725128222")</f>
        <v>L5725128222</v>
      </c>
      <c r="D3220" s="3">
        <f>IFERROR(__xludf.DUMMYFUNCTION("""COMPUTED_VALUE"""),69.0)</f>
        <v>69</v>
      </c>
      <c r="E3220" s="1"/>
    </row>
    <row r="3221">
      <c r="A3221" s="1"/>
      <c r="B3221" s="3" t="str">
        <f>IFERROR(__xludf.DUMMYFUNCTION("""COMPUTED_VALUE"""),"NITTA ROLLITA")</f>
        <v>NITTA ROLLITA</v>
      </c>
      <c r="C3221" s="3" t="str">
        <f>IFERROR(__xludf.DUMMYFUNCTION("""COMPUTED_VALUE"""),"N7025034060")</f>
        <v>N7025034060</v>
      </c>
      <c r="D3221" s="3">
        <f>IFERROR(__xludf.DUMMYFUNCTION("""COMPUTED_VALUE"""),56.0)</f>
        <v>56</v>
      </c>
      <c r="E3221" s="1"/>
    </row>
    <row r="3222">
      <c r="A3222" s="1"/>
      <c r="B3222" s="3" t="str">
        <f>IFERROR(__xludf.DUMMYFUNCTION("""COMPUTED_VALUE"""),"VARIEL RIZKI AHMAD NUGRAHA")</f>
        <v>VARIEL RIZKI AHMAD NUGRAHA</v>
      </c>
      <c r="C3222" s="3" t="str">
        <f>IFERROR(__xludf.DUMMYFUNCTION("""COMPUTED_VALUE"""),"V0725122979")</f>
        <v>V0725122979</v>
      </c>
      <c r="D3222" s="3">
        <f>IFERROR(__xludf.DUMMYFUNCTION("""COMPUTED_VALUE"""),19.0)</f>
        <v>19</v>
      </c>
      <c r="E3222" s="1"/>
    </row>
    <row r="3223">
      <c r="A3223" s="1"/>
      <c r="B3223" s="3" t="str">
        <f>IFERROR(__xludf.DUMMYFUNCTION("""COMPUTED_VALUE"""),"PHE BAK SONG")</f>
        <v>PHE BAK SONG</v>
      </c>
      <c r="C3223" s="3" t="str">
        <f>IFERROR(__xludf.DUMMYFUNCTION("""COMPUTED_VALUE"""),"P0825121639")</f>
        <v>P0825121639</v>
      </c>
      <c r="D3223" s="3">
        <f>IFERROR(__xludf.DUMMYFUNCTION("""COMPUTED_VALUE"""),18.0)</f>
        <v>18</v>
      </c>
      <c r="E3223" s="1"/>
    </row>
    <row r="3224">
      <c r="A3224" s="1"/>
      <c r="B3224" s="3" t="str">
        <f>IFERROR(__xludf.DUMMYFUNCTION("""COMPUTED_VALUE"""),"ROY ARFIAN")</f>
        <v>ROY ARFIAN</v>
      </c>
      <c r="C3224" s="3" t="str">
        <f>IFERROR(__xludf.DUMMYFUNCTION("""COMPUTED_VALUE"""),"R6825123526")</f>
        <v>R6825123526</v>
      </c>
      <c r="D3224" s="3">
        <f>IFERROR(__xludf.DUMMYFUNCTION("""COMPUTED_VALUE"""),58.0)</f>
        <v>58</v>
      </c>
      <c r="E3224" s="1"/>
    </row>
    <row r="3225">
      <c r="A3225" s="1"/>
      <c r="B3225" s="3" t="str">
        <f>IFERROR(__xludf.DUMMYFUNCTION("""COMPUTED_VALUE"""),"ENDAH SEPTIANINGSIH")</f>
        <v>ENDAH SEPTIANINGSIH</v>
      </c>
      <c r="C3225" s="3" t="str">
        <f>IFERROR(__xludf.DUMMYFUNCTION("""COMPUTED_VALUE"""),"E8925127564")</f>
        <v>E8925127564</v>
      </c>
      <c r="D3225" s="3">
        <f>IFERROR(__xludf.DUMMYFUNCTION("""COMPUTED_VALUE"""),36.0)</f>
        <v>36</v>
      </c>
      <c r="E3225" s="1"/>
    </row>
    <row r="3226">
      <c r="A3226" s="1"/>
      <c r="B3226" s="3" t="str">
        <f>IFERROR(__xludf.DUMMYFUNCTION("""COMPUTED_VALUE"""),"DONNY TRI PUJIANTO")</f>
        <v>DONNY TRI PUJIANTO</v>
      </c>
      <c r="C3226" s="3" t="str">
        <f>IFERROR(__xludf.DUMMYFUNCTION("""COMPUTED_VALUE"""),"D9425126561")</f>
        <v>D9425126561</v>
      </c>
      <c r="D3226" s="3">
        <f>IFERROR(__xludf.DUMMYFUNCTION("""COMPUTED_VALUE"""),32.0)</f>
        <v>32</v>
      </c>
      <c r="E3226" s="1"/>
    </row>
    <row r="3227">
      <c r="A3227" s="1"/>
      <c r="B3227" s="3" t="str">
        <f>IFERROR(__xludf.DUMMYFUNCTION("""COMPUTED_VALUE"""),"SUWANDI 5904")</f>
        <v>SUWANDI 5904</v>
      </c>
      <c r="C3227" s="3" t="str">
        <f>IFERROR(__xludf.DUMMYFUNCTION("""COMPUTED_VALUE"""),"S5925126946")</f>
        <v>S5925126946</v>
      </c>
      <c r="D3227" s="3">
        <f>IFERROR(__xludf.DUMMYFUNCTION("""COMPUTED_VALUE"""),67.0)</f>
        <v>67</v>
      </c>
      <c r="E3227" s="1"/>
    </row>
    <row r="3228">
      <c r="A3228" s="1"/>
      <c r="B3228" s="3" t="str">
        <f>IFERROR(__xludf.DUMMYFUNCTION("""COMPUTED_VALUE"""),"RIZKI RAMADHANI")</f>
        <v>RIZKI RAMADHANI</v>
      </c>
      <c r="C3228" s="3" t="str">
        <f>IFERROR(__xludf.DUMMYFUNCTION("""COMPUTED_VALUE"""),"R9125124991")</f>
        <v>R9125124991</v>
      </c>
      <c r="D3228" s="3">
        <f>IFERROR(__xludf.DUMMYFUNCTION("""COMPUTED_VALUE"""),35.0)</f>
        <v>35</v>
      </c>
      <c r="E3228" s="1"/>
    </row>
    <row r="3229">
      <c r="A3229" s="1"/>
      <c r="B3229" s="3" t="str">
        <f>IFERROR(__xludf.DUMMYFUNCTION("""COMPUTED_VALUE"""),"ASNAH")</f>
        <v>ASNAH</v>
      </c>
      <c r="C3229" s="3" t="str">
        <f>IFERROR(__xludf.DUMMYFUNCTION("""COMPUTED_VALUE"""),"A5425122766")</f>
        <v>A5425122766</v>
      </c>
      <c r="D3229" s="3">
        <f>IFERROR(__xludf.DUMMYFUNCTION("""COMPUTED_VALUE"""),71.0)</f>
        <v>71</v>
      </c>
      <c r="E3229" s="1"/>
    </row>
    <row r="3230">
      <c r="A3230" s="1"/>
      <c r="B3230" s="3" t="str">
        <f>IFERROR(__xludf.DUMMYFUNCTION("""COMPUTED_VALUE"""),"ISNINDAR")</f>
        <v>ISNINDAR</v>
      </c>
      <c r="C3230" s="3" t="str">
        <f>IFERROR(__xludf.DUMMYFUNCTION("""COMPUTED_VALUE"""),"I7825120767")</f>
        <v>I7825120767</v>
      </c>
      <c r="D3230" s="3">
        <f>IFERROR(__xludf.DUMMYFUNCTION("""COMPUTED_VALUE"""),47.0)</f>
        <v>47</v>
      </c>
      <c r="E3230" s="1"/>
    </row>
    <row r="3231">
      <c r="A3231" s="1"/>
      <c r="B3231" s="3" t="str">
        <f>IFERROR(__xludf.DUMMYFUNCTION("""COMPUTED_VALUE"""),"RIDHO TOBING")</f>
        <v>RIDHO TOBING</v>
      </c>
      <c r="C3231" s="3" t="str">
        <f>IFERROR(__xludf.DUMMYFUNCTION("""COMPUTED_VALUE"""),"R0325122390")</f>
        <v>R0325122390</v>
      </c>
      <c r="D3231" s="3">
        <f>IFERROR(__xludf.DUMMYFUNCTION("""COMPUTED_VALUE"""),22.0)</f>
        <v>22</v>
      </c>
      <c r="E3231" s="1"/>
    </row>
    <row r="3232">
      <c r="A3232" s="1"/>
      <c r="B3232" s="3" t="str">
        <f>IFERROR(__xludf.DUMMYFUNCTION("""COMPUTED_VALUE"""),"ROHAYATI")</f>
        <v>ROHAYATI</v>
      </c>
      <c r="C3232" s="3" t="str">
        <f>IFERROR(__xludf.DUMMYFUNCTION("""COMPUTED_VALUE"""),"R6325126355")</f>
        <v>R6325126355</v>
      </c>
      <c r="D3232" s="3">
        <f>IFERROR(__xludf.DUMMYFUNCTION("""COMPUTED_VALUE"""),63.0)</f>
        <v>63</v>
      </c>
      <c r="E3232" s="1"/>
    </row>
    <row r="3233">
      <c r="A3233" s="1"/>
      <c r="B3233" s="3" t="str">
        <f>IFERROR(__xludf.DUMMYFUNCTION("""COMPUTED_VALUE"""),"DRSHENDRA SALIM")</f>
        <v>DRSHENDRA SALIM</v>
      </c>
      <c r="C3233" s="3" t="str">
        <f>IFERROR(__xludf.DUMMYFUNCTION("""COMPUTED_VALUE"""),"D5325127738")</f>
        <v>D5325127738</v>
      </c>
      <c r="D3233" s="3">
        <f>IFERROR(__xludf.DUMMYFUNCTION("""COMPUTED_VALUE"""),72.0)</f>
        <v>72</v>
      </c>
      <c r="E3233" s="1"/>
    </row>
    <row r="3234">
      <c r="A3234" s="1"/>
      <c r="B3234" s="3" t="str">
        <f>IFERROR(__xludf.DUMMYFUNCTION("""COMPUTED_VALUE"""),"NORIZAN")</f>
        <v>NORIZAN</v>
      </c>
      <c r="C3234" s="3" t="str">
        <f>IFERROR(__xludf.DUMMYFUNCTION("""COMPUTED_VALUE"""),"N6225128383")</f>
        <v>N6225128383</v>
      </c>
      <c r="D3234" s="3">
        <f>IFERROR(__xludf.DUMMYFUNCTION("""COMPUTED_VALUE"""),64.0)</f>
        <v>64</v>
      </c>
      <c r="E3234" s="1"/>
    </row>
    <row r="3235">
      <c r="A3235" s="1"/>
      <c r="B3235" s="3" t="str">
        <f>IFERROR(__xludf.DUMMYFUNCTION("""COMPUTED_VALUE"""),"IVAN TANSARITO")</f>
        <v>IVAN TANSARITO</v>
      </c>
      <c r="C3235" s="3" t="str">
        <f>IFERROR(__xludf.DUMMYFUNCTION("""COMPUTED_VALUE"""),"I8325126278")</f>
        <v>I8325126278</v>
      </c>
      <c r="D3235" s="3">
        <f>IFERROR(__xludf.DUMMYFUNCTION("""COMPUTED_VALUE"""),43.0)</f>
        <v>43</v>
      </c>
      <c r="E3235" s="1"/>
    </row>
    <row r="3236">
      <c r="A3236" s="1"/>
      <c r="B3236" s="3" t="str">
        <f>IFERROR(__xludf.DUMMYFUNCTION("""COMPUTED_VALUE"""),"RIZKADEA BELIANTO")</f>
        <v>RIZKADEA BELIANTO</v>
      </c>
      <c r="C3236" s="3" t="str">
        <f>IFERROR(__xludf.DUMMYFUNCTION("""COMPUTED_VALUE"""),"R9325125636")</f>
        <v>R9325125636</v>
      </c>
      <c r="D3236" s="3">
        <f>IFERROR(__xludf.DUMMYFUNCTION("""COMPUTED_VALUE"""),33.0)</f>
        <v>33</v>
      </c>
      <c r="E3236" s="1"/>
    </row>
    <row r="3237">
      <c r="A3237" s="1"/>
      <c r="B3237" s="3" t="str">
        <f>IFERROR(__xludf.DUMMYFUNCTION("""COMPUTED_VALUE"""),"FERA HENDRY")</f>
        <v>FERA HENDRY</v>
      </c>
      <c r="C3237" s="3" t="str">
        <f>IFERROR(__xludf.DUMMYFUNCTION("""COMPUTED_VALUE"""),"F8325127729")</f>
        <v>F8325127729</v>
      </c>
      <c r="D3237" s="3">
        <f>IFERROR(__xludf.DUMMYFUNCTION("""COMPUTED_VALUE"""),43.0)</f>
        <v>43</v>
      </c>
      <c r="E3237" s="1"/>
    </row>
    <row r="3238">
      <c r="A3238" s="1"/>
      <c r="B3238" s="3" t="str">
        <f>IFERROR(__xludf.DUMMYFUNCTION("""COMPUTED_VALUE"""),"SYARIFAH FADILLAH")</f>
        <v>SYARIFAH FADILLAH</v>
      </c>
      <c r="C3238" s="3" t="str">
        <f>IFERROR(__xludf.DUMMYFUNCTION("""COMPUTED_VALUE"""),"S7425126230")</f>
        <v>S7425126230</v>
      </c>
      <c r="D3238" s="3">
        <f>IFERROR(__xludf.DUMMYFUNCTION("""COMPUTED_VALUE"""),52.0)</f>
        <v>52</v>
      </c>
      <c r="E3238" s="1"/>
    </row>
    <row r="3239">
      <c r="A3239" s="1"/>
      <c r="B3239" s="3" t="str">
        <f>IFERROR(__xludf.DUMMYFUNCTION("""COMPUTED_VALUE"""),"YANTI LIM")</f>
        <v>YANTI LIM</v>
      </c>
      <c r="C3239" s="3" t="str">
        <f>IFERROR(__xludf.DUMMYFUNCTION("""COMPUTED_VALUE"""),"Y7125120189")</f>
        <v>Y7125120189</v>
      </c>
      <c r="D3239" s="3">
        <f>IFERROR(__xludf.DUMMYFUNCTION("""COMPUTED_VALUE"""),55.0)</f>
        <v>55</v>
      </c>
      <c r="E3239" s="1"/>
    </row>
    <row r="3240">
      <c r="A3240" s="1"/>
      <c r="B3240" s="3" t="str">
        <f>IFERROR(__xludf.DUMMYFUNCTION("""COMPUTED_VALUE"""),"FIERLY ALYA KINANTI")</f>
        <v>FIERLY ALYA KINANTI</v>
      </c>
      <c r="C3240" s="3" t="str">
        <f>IFERROR(__xludf.DUMMYFUNCTION("""COMPUTED_VALUE"""),"F9825129501")</f>
        <v>F9825129501</v>
      </c>
      <c r="D3240" s="3">
        <f>IFERROR(__xludf.DUMMYFUNCTION("""COMPUTED_VALUE"""),27.0)</f>
        <v>27</v>
      </c>
      <c r="E3240" s="1"/>
    </row>
    <row r="3241">
      <c r="A3241" s="1"/>
      <c r="B3241" s="3" t="str">
        <f>IFERROR(__xludf.DUMMYFUNCTION("""COMPUTED_VALUE"""),"NAOMI APRILIA SIMANULLANG")</f>
        <v>NAOMI APRILIA SIMANULLANG</v>
      </c>
      <c r="C3241" s="3" t="str">
        <f>IFERROR(__xludf.DUMMYFUNCTION("""COMPUTED_VALUE"""),"N0825129205")</f>
        <v>N0825129205</v>
      </c>
      <c r="D3241" s="3">
        <f>IFERROR(__xludf.DUMMYFUNCTION("""COMPUTED_VALUE"""),18.0)</f>
        <v>18</v>
      </c>
      <c r="E3241" s="1"/>
    </row>
    <row r="3242">
      <c r="A3242" s="1"/>
      <c r="B3242" s="3" t="str">
        <f>IFERROR(__xludf.DUMMYFUNCTION("""COMPUTED_VALUE"""),"MUDIONO HARYANTO")</f>
        <v>MUDIONO HARYANTO</v>
      </c>
      <c r="C3242" s="3" t="str">
        <f>IFERROR(__xludf.DUMMYFUNCTION("""COMPUTED_VALUE"""),"M7925125522")</f>
        <v>M7925125522</v>
      </c>
      <c r="D3242" s="3">
        <f>IFERROR(__xludf.DUMMYFUNCTION("""COMPUTED_VALUE"""),47.0)</f>
        <v>47</v>
      </c>
      <c r="E3242" s="1"/>
    </row>
    <row r="3243">
      <c r="A3243" s="1"/>
      <c r="B3243" s="3" t="str">
        <f>IFERROR(__xludf.DUMMYFUNCTION("""COMPUTED_VALUE"""),"CHRISTINA")</f>
        <v>CHRISTINA</v>
      </c>
      <c r="C3243" s="3" t="str">
        <f>IFERROR(__xludf.DUMMYFUNCTION("""COMPUTED_VALUE"""),"C9125120366")</f>
        <v>C9125120366</v>
      </c>
      <c r="D3243" s="3">
        <f>IFERROR(__xludf.DUMMYFUNCTION("""COMPUTED_VALUE"""),35.0)</f>
        <v>35</v>
      </c>
      <c r="E3243" s="1"/>
    </row>
    <row r="3244">
      <c r="A3244" s="1"/>
      <c r="B3244" s="3" t="str">
        <f>IFERROR(__xludf.DUMMYFUNCTION("""COMPUTED_VALUE"""),"JOKEND ZAPOTA PUTRA")</f>
        <v>JOKEND ZAPOTA PUTRA</v>
      </c>
      <c r="C3244" s="3" t="str">
        <f>IFERROR(__xludf.DUMMYFUNCTION("""COMPUTED_VALUE"""),"J9425122013")</f>
        <v>J9425122013</v>
      </c>
      <c r="D3244" s="3">
        <f>IFERROR(__xludf.DUMMYFUNCTION("""COMPUTED_VALUE"""),32.0)</f>
        <v>32</v>
      </c>
      <c r="E3244" s="1"/>
    </row>
    <row r="3245">
      <c r="A3245" s="1"/>
      <c r="B3245" s="3" t="str">
        <f>IFERROR(__xludf.DUMMYFUNCTION("""COMPUTED_VALUE"""),"ANDIANA MARJAYANTI")</f>
        <v>ANDIANA MARJAYANTI</v>
      </c>
      <c r="C3245" s="3" t="str">
        <f>IFERROR(__xludf.DUMMYFUNCTION("""COMPUTED_VALUE"""),"A9725127646")</f>
        <v>A9725127646</v>
      </c>
      <c r="D3245" s="3">
        <f>IFERROR(__xludf.DUMMYFUNCTION("""COMPUTED_VALUE"""),29.0)</f>
        <v>29</v>
      </c>
      <c r="E3245" s="1"/>
    </row>
    <row r="3246">
      <c r="A3246" s="1"/>
      <c r="B3246" s="3" t="str">
        <f>IFERROR(__xludf.DUMMYFUNCTION("""COMPUTED_VALUE"""),"PUTERA ANUGRAH PRATAMA")</f>
        <v>PUTERA ANUGRAH PRATAMA</v>
      </c>
      <c r="C3246" s="3" t="str">
        <f>IFERROR(__xludf.DUMMYFUNCTION("""COMPUTED_VALUE"""),"P0126012885")</f>
        <v>P0126012885</v>
      </c>
      <c r="D3246" s="3">
        <f>IFERROR(__xludf.DUMMYFUNCTION("""COMPUTED_VALUE"""),25.0)</f>
        <v>25</v>
      </c>
      <c r="E3246" s="1"/>
    </row>
    <row r="3247">
      <c r="A3247" s="1"/>
      <c r="B3247" s="3" t="str">
        <f>IFERROR(__xludf.DUMMYFUNCTION("""COMPUTED_VALUE"""),"ATHA HANIF PRADIPTA")</f>
        <v>ATHA HANIF PRADIPTA</v>
      </c>
      <c r="C3247" s="3" t="str">
        <f>IFERROR(__xludf.DUMMYFUNCTION("""COMPUTED_VALUE"""),"A1926011979")</f>
        <v>A1926011979</v>
      </c>
      <c r="D3247" s="3">
        <f>IFERROR(__xludf.DUMMYFUNCTION("""COMPUTED_VALUE"""),6.0)</f>
        <v>6</v>
      </c>
      <c r="E3247" s="1"/>
    </row>
    <row r="3248">
      <c r="A3248" s="1"/>
      <c r="B3248" s="3" t="str">
        <f>IFERROR(__xludf.DUMMYFUNCTION("""COMPUTED_VALUE"""),"EMMA")</f>
        <v>EMMA</v>
      </c>
      <c r="C3248" s="3" t="str">
        <f>IFERROR(__xludf.DUMMYFUNCTION("""COMPUTED_VALUE"""),"E6526011717")</f>
        <v>E6526011717</v>
      </c>
      <c r="D3248" s="3">
        <f>IFERROR(__xludf.DUMMYFUNCTION("""COMPUTED_VALUE"""),60.0)</f>
        <v>60</v>
      </c>
      <c r="E3248" s="1"/>
    </row>
    <row r="3249">
      <c r="A3249" s="1"/>
      <c r="B3249" s="3" t="str">
        <f>IFERROR(__xludf.DUMMYFUNCTION("""COMPUTED_VALUE"""),"KOLENIUS KOLAI")</f>
        <v>KOLENIUS KOLAI</v>
      </c>
      <c r="C3249" s="3" t="str">
        <f>IFERROR(__xludf.DUMMYFUNCTION("""COMPUTED_VALUE"""),"K6226011717")</f>
        <v>K6226011717</v>
      </c>
      <c r="D3249" s="3">
        <f>IFERROR(__xludf.DUMMYFUNCTION("""COMPUTED_VALUE"""),64.0)</f>
        <v>64</v>
      </c>
      <c r="E3249" s="1"/>
    </row>
    <row r="3250">
      <c r="A3250" s="1"/>
      <c r="B3250" s="3" t="str">
        <f>IFERROR(__xludf.DUMMYFUNCTION("""COMPUTED_VALUE"""),"SUGIH WIRAMANTRI ")</f>
        <v>SUGIH WIRAMANTRI </v>
      </c>
      <c r="C3250" s="3" t="str">
        <f>IFERROR(__xludf.DUMMYFUNCTION("""COMPUTED_VALUE"""),"S8526016484")</f>
        <v>S8526016484</v>
      </c>
      <c r="D3250" s="3">
        <f>IFERROR(__xludf.DUMMYFUNCTION("""COMPUTED_VALUE"""),41.0)</f>
        <v>41</v>
      </c>
      <c r="E3250" s="1"/>
    </row>
    <row r="3251">
      <c r="A3251" s="1"/>
      <c r="B3251" s="3" t="str">
        <f>IFERROR(__xludf.DUMMYFUNCTION("""COMPUTED_VALUE"""),"TAUFIK")</f>
        <v>TAUFIK</v>
      </c>
      <c r="C3251" s="3" t="str">
        <f>IFERROR(__xludf.DUMMYFUNCTION("""COMPUTED_VALUE"""),"T9626011444")</f>
        <v>T9626011444</v>
      </c>
      <c r="D3251" s="3">
        <f>IFERROR(__xludf.DUMMYFUNCTION("""COMPUTED_VALUE"""),30.0)</f>
        <v>30</v>
      </c>
      <c r="E3251" s="1"/>
    </row>
    <row r="3252">
      <c r="A3252" s="1"/>
      <c r="B3252" s="3" t="str">
        <f>IFERROR(__xludf.DUMMYFUNCTION("""COMPUTED_VALUE"""),"SHELSY MELANY")</f>
        <v>SHELSY MELANY</v>
      </c>
      <c r="C3252" s="3" t="str">
        <f>IFERROR(__xludf.DUMMYFUNCTION("""COMPUTED_VALUE"""),"S0826017788")</f>
        <v>S0826017788</v>
      </c>
      <c r="D3252" s="3">
        <f>IFERROR(__xludf.DUMMYFUNCTION("""COMPUTED_VALUE"""),18.0)</f>
        <v>18</v>
      </c>
      <c r="E3252" s="1"/>
    </row>
    <row r="3253">
      <c r="A3253" s="1"/>
      <c r="B3253" s="3" t="str">
        <f>IFERROR(__xludf.DUMMYFUNCTION("""COMPUTED_VALUE"""),"YA MUHAMMAD IKHSANDI")</f>
        <v>YA MUHAMMAD IKHSANDI</v>
      </c>
      <c r="C3253" s="3" t="str">
        <f>IFERROR(__xludf.DUMMYFUNCTION("""COMPUTED_VALUE"""),"Y7926011202")</f>
        <v>Y7926011202</v>
      </c>
      <c r="D3253" s="3">
        <f>IFERROR(__xludf.DUMMYFUNCTION("""COMPUTED_VALUE"""),46.0)</f>
        <v>46</v>
      </c>
      <c r="E3253" s="1"/>
    </row>
    <row r="3254">
      <c r="A3254" s="1"/>
      <c r="B3254" s="3" t="str">
        <f>IFERROR(__xludf.DUMMYFUNCTION("""COMPUTED_VALUE"""),"ELISABETH SUTINI")</f>
        <v>ELISABETH SUTINI</v>
      </c>
      <c r="C3254" s="3" t="str">
        <f>IFERROR(__xludf.DUMMYFUNCTION("""COMPUTED_VALUE"""),"E7426018456")</f>
        <v>E7426018456</v>
      </c>
      <c r="D3254" s="3">
        <f>IFERROR(__xludf.DUMMYFUNCTION("""COMPUTED_VALUE"""),51.0)</f>
        <v>51</v>
      </c>
      <c r="E3254" s="1"/>
    </row>
    <row r="3255">
      <c r="A3255" s="1"/>
      <c r="B3255" s="3" t="str">
        <f>IFERROR(__xludf.DUMMYFUNCTION("""COMPUTED_VALUE"""),"PUTRI ATIKAH ")</f>
        <v>PUTRI ATIKAH </v>
      </c>
      <c r="C3255" s="3" t="str">
        <f>IFERROR(__xludf.DUMMYFUNCTION("""COMPUTED_VALUE"""),"P9226019981")</f>
        <v>P9226019981</v>
      </c>
      <c r="D3255" s="3">
        <f>IFERROR(__xludf.DUMMYFUNCTION("""COMPUTED_VALUE"""),33.0)</f>
        <v>33</v>
      </c>
      <c r="E3255" s="1"/>
    </row>
    <row r="3256">
      <c r="A3256" s="1"/>
      <c r="B3256" s="3" t="str">
        <f>IFERROR(__xludf.DUMMYFUNCTION("""COMPUTED_VALUE"""),"WIWIK HARTATI")</f>
        <v>WIWIK HARTATI</v>
      </c>
      <c r="C3256" s="3" t="str">
        <f>IFERROR(__xludf.DUMMYFUNCTION("""COMPUTED_VALUE"""),"W6426018746")</f>
        <v>W6426018746</v>
      </c>
      <c r="D3256" s="3">
        <f>IFERROR(__xludf.DUMMYFUNCTION("""COMPUTED_VALUE"""),61.0)</f>
        <v>61</v>
      </c>
      <c r="E3256" s="1"/>
    </row>
    <row r="3257">
      <c r="A3257" s="1"/>
      <c r="B3257" s="3" t="str">
        <f>IFERROR(__xludf.DUMMYFUNCTION("""COMPUTED_VALUE"""),"MUHAMMAD FADHIL RAMADHANI")</f>
        <v>MUHAMMAD FADHIL RAMADHANI</v>
      </c>
      <c r="C3257" s="3" t="str">
        <f>IFERROR(__xludf.DUMMYFUNCTION("""COMPUTED_VALUE"""),"M0026010397")</f>
        <v>M0026010397</v>
      </c>
      <c r="D3257" s="3">
        <f>IFERROR(__xludf.DUMMYFUNCTION("""COMPUTED_VALUE"""),25.0)</f>
        <v>25</v>
      </c>
      <c r="E3257" s="1"/>
    </row>
    <row r="3258">
      <c r="A3258" s="1"/>
      <c r="B3258" s="3" t="str">
        <f>IFERROR(__xludf.DUMMYFUNCTION("""COMPUTED_VALUE"""),"CHOTIBUL UMAMI")</f>
        <v>CHOTIBUL UMAMI</v>
      </c>
      <c r="C3258" s="3" t="str">
        <f>IFERROR(__xludf.DUMMYFUNCTION("""COMPUTED_VALUE"""),"C6226012197")</f>
        <v>C6226012197</v>
      </c>
      <c r="D3258" s="3">
        <f>IFERROR(__xludf.DUMMYFUNCTION("""COMPUTED_VALUE"""),64.0)</f>
        <v>64</v>
      </c>
      <c r="E3258" s="1"/>
    </row>
    <row r="3259">
      <c r="A3259" s="1"/>
      <c r="B3259" s="3" t="str">
        <f>IFERROR(__xludf.DUMMYFUNCTION("""COMPUTED_VALUE"""),"DARMANSYAH")</f>
        <v>DARMANSYAH</v>
      </c>
      <c r="C3259" s="3" t="str">
        <f>IFERROR(__xludf.DUMMYFUNCTION("""COMPUTED_VALUE"""),"D5626016953")</f>
        <v>D5626016953</v>
      </c>
      <c r="D3259" s="3">
        <f>IFERROR(__xludf.DUMMYFUNCTION("""COMPUTED_VALUE"""),70.0)</f>
        <v>70</v>
      </c>
      <c r="E3259" s="1"/>
    </row>
    <row r="3260">
      <c r="A3260" s="1"/>
      <c r="B3260" s="3" t="str">
        <f>IFERROR(__xludf.DUMMYFUNCTION("""COMPUTED_VALUE"""),"JUVENTYA")</f>
        <v>JUVENTYA</v>
      </c>
      <c r="C3260" s="3" t="str">
        <f>IFERROR(__xludf.DUMMYFUNCTION("""COMPUTED_VALUE"""),"J9526018885")</f>
        <v>J9526018885</v>
      </c>
      <c r="D3260" s="3">
        <f>IFERROR(__xludf.DUMMYFUNCTION("""COMPUTED_VALUE"""),31.0)</f>
        <v>31</v>
      </c>
      <c r="E3260" s="1"/>
    </row>
    <row r="3261">
      <c r="A3261" s="1"/>
      <c r="B3261" s="3" t="str">
        <f>IFERROR(__xludf.DUMMYFUNCTION("""COMPUTED_VALUE"""),"MUHAMMAD FEMAS GHIFARI")</f>
        <v>MUHAMMAD FEMAS GHIFARI</v>
      </c>
      <c r="C3261" s="3" t="str">
        <f>IFERROR(__xludf.DUMMYFUNCTION("""COMPUTED_VALUE"""),"M0626013048")</f>
        <v>M0626013048</v>
      </c>
      <c r="D3261" s="3">
        <f>IFERROR(__xludf.DUMMYFUNCTION("""COMPUTED_VALUE"""),20.0)</f>
        <v>20</v>
      </c>
      <c r="E3261" s="1"/>
    </row>
    <row r="3262">
      <c r="A3262" s="1"/>
      <c r="B3262" s="3" t="str">
        <f>IFERROR(__xludf.DUMMYFUNCTION("""COMPUTED_VALUE"""),"FEDRICK JONATAN ")</f>
        <v>FEDRICK JONATAN </v>
      </c>
      <c r="C3262" s="3" t="str">
        <f>IFERROR(__xludf.DUMMYFUNCTION("""COMPUTED_VALUE"""),"F0326014392")</f>
        <v>F0326014392</v>
      </c>
      <c r="D3262" s="3">
        <f>IFERROR(__xludf.DUMMYFUNCTION("""COMPUTED_VALUE"""),22.0)</f>
        <v>22</v>
      </c>
      <c r="E3262" s="1"/>
    </row>
    <row r="3263">
      <c r="A3263" s="1"/>
      <c r="B3263" s="3" t="str">
        <f>IFERROR(__xludf.DUMMYFUNCTION("""COMPUTED_VALUE"""),"HJ. RUGAYAH")</f>
        <v>HJ. RUGAYAH</v>
      </c>
      <c r="C3263" s="3" t="str">
        <f>IFERROR(__xludf.DUMMYFUNCTION("""COMPUTED_VALUE"""),"H5226011399")</f>
        <v>H5226011399</v>
      </c>
      <c r="D3263" s="3">
        <f>IFERROR(__xludf.DUMMYFUNCTION("""COMPUTED_VALUE"""),73.0)</f>
        <v>73</v>
      </c>
      <c r="E3263" s="1"/>
    </row>
    <row r="3264">
      <c r="A3264" s="1"/>
      <c r="B3264" s="3" t="str">
        <f>IFERROR(__xludf.DUMMYFUNCTION("""COMPUTED_VALUE"""),"SUSANTI 7803")</f>
        <v>SUSANTI 7803</v>
      </c>
      <c r="C3264" s="3" t="str">
        <f>IFERROR(__xludf.DUMMYFUNCTION("""COMPUTED_VALUE"""),"S7826017132")</f>
        <v>S7826017132</v>
      </c>
      <c r="D3264" s="3">
        <f>IFERROR(__xludf.DUMMYFUNCTION("""COMPUTED_VALUE"""),48.0)</f>
        <v>48</v>
      </c>
      <c r="E3264" s="1"/>
    </row>
    <row r="3265">
      <c r="A3265" s="1"/>
      <c r="B3265" s="3" t="str">
        <f>IFERROR(__xludf.DUMMYFUNCTION("""COMPUTED_VALUE"""),"EDI LAZUARDI")</f>
        <v>EDI LAZUARDI</v>
      </c>
      <c r="C3265" s="3" t="str">
        <f>IFERROR(__xludf.DUMMYFUNCTION("""COMPUTED_VALUE"""),"E6126012662")</f>
        <v>E6126012662</v>
      </c>
      <c r="D3265" s="3">
        <f>IFERROR(__xludf.DUMMYFUNCTION("""COMPUTED_VALUE"""),65.0)</f>
        <v>65</v>
      </c>
      <c r="E3265" s="1"/>
    </row>
    <row r="3266">
      <c r="A3266" s="1"/>
      <c r="B3266" s="3" t="str">
        <f>IFERROR(__xludf.DUMMYFUNCTION("""COMPUTED_VALUE"""),"MUSNAINI")</f>
        <v>MUSNAINI</v>
      </c>
      <c r="C3266" s="3" t="str">
        <f>IFERROR(__xludf.DUMMYFUNCTION("""COMPUTED_VALUE"""),"M6526016944")</f>
        <v>M6526016944</v>
      </c>
      <c r="D3266" s="3">
        <f>IFERROR(__xludf.DUMMYFUNCTION("""COMPUTED_VALUE"""),60.0)</f>
        <v>60</v>
      </c>
      <c r="E3266" s="1"/>
    </row>
    <row r="3267">
      <c r="A3267" s="1"/>
      <c r="B3267" s="3" t="str">
        <f>IFERROR(__xludf.DUMMYFUNCTION("""COMPUTED_VALUE"""),"TRIATIE CHALIDYAH")</f>
        <v>TRIATIE CHALIDYAH</v>
      </c>
      <c r="C3267" s="3" t="str">
        <f>IFERROR(__xludf.DUMMYFUNCTION("""COMPUTED_VALUE"""),"T9926017120")</f>
        <v>T9926017120</v>
      </c>
      <c r="D3267" s="3">
        <f>IFERROR(__xludf.DUMMYFUNCTION("""COMPUTED_VALUE"""),26.0)</f>
        <v>26</v>
      </c>
      <c r="E3267" s="1"/>
    </row>
    <row r="3268">
      <c r="A3268" s="1"/>
      <c r="B3268" s="3" t="str">
        <f>IFERROR(__xludf.DUMMYFUNCTION("""COMPUTED_VALUE"""),"KHANZA PUTRI HUMAIRAH")</f>
        <v>KHANZA PUTRI HUMAIRAH</v>
      </c>
      <c r="C3268" s="3" t="str">
        <f>IFERROR(__xludf.DUMMYFUNCTION("""COMPUTED_VALUE"""),"K1526011783")</f>
        <v>K1526011783</v>
      </c>
      <c r="D3268" s="3">
        <f>IFERROR(__xludf.DUMMYFUNCTION("""COMPUTED_VALUE"""),11.0)</f>
        <v>11</v>
      </c>
      <c r="E3268" s="1"/>
    </row>
    <row r="3269">
      <c r="A3269" s="1"/>
      <c r="B3269" s="3" t="str">
        <f>IFERROR(__xludf.DUMMYFUNCTION("""COMPUTED_VALUE"""),"NOPEARIANI, AMD.KEB")</f>
        <v>NOPEARIANI, AMD.KEB</v>
      </c>
      <c r="C3269" s="3" t="str">
        <f>IFERROR(__xludf.DUMMYFUNCTION("""COMPUTED_VALUE"""),"N8626019281")</f>
        <v>N8626019281</v>
      </c>
      <c r="D3269" s="3">
        <f>IFERROR(__xludf.DUMMYFUNCTION("""COMPUTED_VALUE"""),39.0)</f>
        <v>39</v>
      </c>
      <c r="E3269" s="1"/>
    </row>
    <row r="3270">
      <c r="A3270" s="1"/>
      <c r="B3270" s="3" t="str">
        <f>IFERROR(__xludf.DUMMYFUNCTION("""COMPUTED_VALUE"""),"MARTHIN SHARON NAPITUPULU ")</f>
        <v>MARTHIN SHARON NAPITUPULU </v>
      </c>
      <c r="C3270" s="3" t="str">
        <f>IFERROR(__xludf.DUMMYFUNCTION("""COMPUTED_VALUE"""),"M0126012178")</f>
        <v>M0126012178</v>
      </c>
      <c r="D3270" s="3">
        <f>IFERROR(__xludf.DUMMYFUNCTION("""COMPUTED_VALUE"""),25.0)</f>
        <v>25</v>
      </c>
      <c r="E3270" s="1"/>
    </row>
    <row r="3271">
      <c r="A3271" s="1"/>
      <c r="B3271" s="3" t="str">
        <f>IFERROR(__xludf.DUMMYFUNCTION("""COMPUTED_VALUE"""),"CHRIS MULIO JOHANES")</f>
        <v>CHRIS MULIO JOHANES</v>
      </c>
      <c r="C3271" s="3" t="str">
        <f>IFERROR(__xludf.DUMMYFUNCTION("""COMPUTED_VALUE"""),"C8626018854")</f>
        <v>C8626018854</v>
      </c>
      <c r="D3271" s="3">
        <f>IFERROR(__xludf.DUMMYFUNCTION("""COMPUTED_VALUE"""),39.0)</f>
        <v>39</v>
      </c>
      <c r="E3271" s="1"/>
    </row>
    <row r="3272">
      <c r="A3272" s="1"/>
      <c r="B3272" s="3" t="str">
        <f>IFERROR(__xludf.DUMMYFUNCTION("""COMPUTED_VALUE"""),"ICHSAN KAMIL")</f>
        <v>ICHSAN KAMIL</v>
      </c>
      <c r="C3272" s="3" t="str">
        <f>IFERROR(__xludf.DUMMYFUNCTION("""COMPUTED_VALUE"""),"I7126019977")</f>
        <v>I7126019977</v>
      </c>
      <c r="D3272" s="3">
        <f>IFERROR(__xludf.DUMMYFUNCTION("""COMPUTED_VALUE"""),54.0)</f>
        <v>54</v>
      </c>
      <c r="E3272" s="1"/>
    </row>
    <row r="3273">
      <c r="A3273" s="1"/>
      <c r="B3273" s="3" t="str">
        <f>IFERROR(__xludf.DUMMYFUNCTION("""COMPUTED_VALUE"""),"CINDY MONALISA ANDDIE")</f>
        <v>CINDY MONALISA ANDDIE</v>
      </c>
      <c r="C3273" s="3" t="str">
        <f>IFERROR(__xludf.DUMMYFUNCTION("""COMPUTED_VALUE"""),"C8726018004")</f>
        <v>C8726018004</v>
      </c>
      <c r="D3273" s="3">
        <f>IFERROR(__xludf.DUMMYFUNCTION("""COMPUTED_VALUE"""),39.0)</f>
        <v>39</v>
      </c>
      <c r="E3273" s="1"/>
    </row>
    <row r="3274">
      <c r="A3274" s="1"/>
      <c r="B3274" s="3" t="str">
        <f>IFERROR(__xludf.DUMMYFUNCTION("""COMPUTED_VALUE"""),"TJHOA KHA TJE")</f>
        <v>TJHOA KHA TJE</v>
      </c>
      <c r="C3274" s="3" t="str">
        <f>IFERROR(__xludf.DUMMYFUNCTION("""COMPUTED_VALUE"""),"T6326018004")</f>
        <v>T6326018004</v>
      </c>
      <c r="D3274" s="3">
        <f>IFERROR(__xludf.DUMMYFUNCTION("""COMPUTED_VALUE"""),62.0)</f>
        <v>62</v>
      </c>
      <c r="E3274" s="1"/>
    </row>
    <row r="3275">
      <c r="A3275" s="1"/>
      <c r="B3275" s="3" t="str">
        <f>IFERROR(__xludf.DUMMYFUNCTION("""COMPUTED_VALUE"""),"SAMIJO")</f>
        <v>SAMIJO</v>
      </c>
      <c r="C3275" s="3" t="str">
        <f>IFERROR(__xludf.DUMMYFUNCTION("""COMPUTED_VALUE"""),"S7026010528")</f>
        <v>S7026010528</v>
      </c>
      <c r="D3275" s="3">
        <f>IFERROR(__xludf.DUMMYFUNCTION("""COMPUTED_VALUE"""),56.0)</f>
        <v>56</v>
      </c>
      <c r="E3275" s="1"/>
    </row>
    <row r="3276">
      <c r="A3276" s="1"/>
      <c r="B3276" s="3" t="str">
        <f>IFERROR(__xludf.DUMMYFUNCTION("""COMPUTED_VALUE"""),"WIDO")</f>
        <v>WIDO</v>
      </c>
      <c r="C3276" s="3" t="str">
        <f>IFERROR(__xludf.DUMMYFUNCTION("""COMPUTED_VALUE"""),"W0426010855")</f>
        <v>W0426010855</v>
      </c>
      <c r="D3276" s="3">
        <f>IFERROR(__xludf.DUMMYFUNCTION("""COMPUTED_VALUE"""),21.0)</f>
        <v>21</v>
      </c>
      <c r="E3276" s="1"/>
    </row>
    <row r="3277">
      <c r="A3277" s="1"/>
      <c r="B3277" s="3" t="str">
        <f>IFERROR(__xludf.DUMMYFUNCTION("""COMPUTED_VALUE"""),"M FAIZ AL BARA")</f>
        <v>M FAIZ AL BARA</v>
      </c>
      <c r="C3277" s="3" t="str">
        <f>IFERROR(__xludf.DUMMYFUNCTION("""COMPUTED_VALUE"""),"M0926014305")</f>
        <v>M0926014305</v>
      </c>
      <c r="D3277" s="3">
        <f>IFERROR(__xludf.DUMMYFUNCTION("""COMPUTED_VALUE"""),16.0)</f>
        <v>16</v>
      </c>
      <c r="E3277" s="1"/>
    </row>
    <row r="3278">
      <c r="A3278" s="1"/>
      <c r="B3278" s="3" t="str">
        <f>IFERROR(__xludf.DUMMYFUNCTION("""COMPUTED_VALUE"""),"AULIA SUCI NURFADILA")</f>
        <v>AULIA SUCI NURFADILA</v>
      </c>
      <c r="C3278" s="3" t="str">
        <f>IFERROR(__xludf.DUMMYFUNCTION("""COMPUTED_VALUE"""),"A0426019215")</f>
        <v>A0426019215</v>
      </c>
      <c r="D3278" s="3">
        <f>IFERROR(__xludf.DUMMYFUNCTION("""COMPUTED_VALUE"""),22.0)</f>
        <v>22</v>
      </c>
      <c r="E3278" s="1"/>
    </row>
    <row r="3279">
      <c r="A3279" s="1"/>
      <c r="B3279" s="3" t="str">
        <f>IFERROR(__xludf.DUMMYFUNCTION("""COMPUTED_VALUE"""),"NG TJOEI FONG ALS SILVIA")</f>
        <v>NG TJOEI FONG ALS SILVIA</v>
      </c>
      <c r="C3279" s="3" t="str">
        <f>IFERROR(__xludf.DUMMYFUNCTION("""COMPUTED_VALUE"""),"N5426017090")</f>
        <v>N5426017090</v>
      </c>
      <c r="D3279" s="3">
        <f>IFERROR(__xludf.DUMMYFUNCTION("""COMPUTED_VALUE"""),71.0)</f>
        <v>71</v>
      </c>
      <c r="E3279" s="1"/>
    </row>
    <row r="3280">
      <c r="A3280" s="1"/>
      <c r="B3280" s="3" t="str">
        <f>IFERROR(__xludf.DUMMYFUNCTION("""COMPUTED_VALUE"""),"DRS JAROT SUTRISNO M.SI")</f>
        <v>DRS JAROT SUTRISNO M.SI</v>
      </c>
      <c r="C3280" s="3" t="str">
        <f>IFERROR(__xludf.DUMMYFUNCTION("""COMPUTED_VALUE"""),"D6726010157")</f>
        <v>D6726010157</v>
      </c>
      <c r="D3280" s="3">
        <f>IFERROR(__xludf.DUMMYFUNCTION("""COMPUTED_VALUE"""),58.0)</f>
        <v>58</v>
      </c>
      <c r="E3280" s="1"/>
    </row>
    <row r="3281">
      <c r="A3281" s="1"/>
      <c r="B3281" s="3" t="str">
        <f>IFERROR(__xludf.DUMMYFUNCTION("""COMPUTED_VALUE"""),"FAHRIZAL RAMADHAN")</f>
        <v>FAHRIZAL RAMADHAN</v>
      </c>
      <c r="C3281" s="3" t="str">
        <f>IFERROR(__xludf.DUMMYFUNCTION("""COMPUTED_VALUE"""),"F9226013156")</f>
        <v>F9226013156</v>
      </c>
      <c r="D3281" s="3">
        <f>IFERROR(__xludf.DUMMYFUNCTION("""COMPUTED_VALUE"""),34.0)</f>
        <v>34</v>
      </c>
      <c r="E3281" s="1"/>
    </row>
    <row r="3282">
      <c r="A3282" s="1"/>
      <c r="B3282" s="3" t="str">
        <f>IFERROR(__xludf.DUMMYFUNCTION("""COMPUTED_VALUE"""),"FITA")</f>
        <v>FITA</v>
      </c>
      <c r="C3282" s="3" t="str">
        <f>IFERROR(__xludf.DUMMYFUNCTION("""COMPUTED_VALUE"""),"F7626011910")</f>
        <v>F7626011910</v>
      </c>
      <c r="D3282" s="3">
        <f>IFERROR(__xludf.DUMMYFUNCTION("""COMPUTED_VALUE"""),49.0)</f>
        <v>49</v>
      </c>
      <c r="E3282" s="1"/>
    </row>
    <row r="3283">
      <c r="A3283" s="1"/>
      <c r="B3283" s="3" t="str">
        <f>IFERROR(__xludf.DUMMYFUNCTION("""COMPUTED_VALUE"""),"WIDODO 7512")</f>
        <v>WIDODO 7512</v>
      </c>
      <c r="C3283" s="3" t="str">
        <f>IFERROR(__xludf.DUMMYFUNCTION("""COMPUTED_VALUE"""),"W7526019423")</f>
        <v>W7526019423</v>
      </c>
      <c r="D3283" s="3">
        <f>IFERROR(__xludf.DUMMYFUNCTION("""COMPUTED_VALUE"""),50.0)</f>
        <v>50</v>
      </c>
      <c r="E3283" s="1"/>
    </row>
    <row r="3284">
      <c r="A3284" s="1"/>
      <c r="B3284" s="3" t="str">
        <f>IFERROR(__xludf.DUMMYFUNCTION("""COMPUTED_VALUE"""),"MIRNA APRIANTY")</f>
        <v>MIRNA APRIANTY</v>
      </c>
      <c r="C3284" s="3" t="str">
        <f>IFERROR(__xludf.DUMMYFUNCTION("""COMPUTED_VALUE"""),"M6526014388")</f>
        <v>M6526014388</v>
      </c>
      <c r="D3284" s="3">
        <f>IFERROR(__xludf.DUMMYFUNCTION("""COMPUTED_VALUE"""),61.0)</f>
        <v>61</v>
      </c>
      <c r="E3284" s="1"/>
    </row>
    <row r="3285">
      <c r="A3285" s="1"/>
      <c r="B3285" s="3" t="str">
        <f>IFERROR(__xludf.DUMMYFUNCTION("""COMPUTED_VALUE"""),"JONG SULI")</f>
        <v>JONG SULI</v>
      </c>
      <c r="C3285" s="3" t="str">
        <f>IFERROR(__xludf.DUMMYFUNCTION("""COMPUTED_VALUE"""),"J0326010544")</f>
        <v>J0326010544</v>
      </c>
      <c r="D3285" s="3">
        <f>IFERROR(__xludf.DUMMYFUNCTION("""COMPUTED_VALUE"""),22.0)</f>
        <v>22</v>
      </c>
      <c r="E3285" s="1"/>
    </row>
    <row r="3286">
      <c r="A3286" s="1"/>
      <c r="B3286" s="3" t="str">
        <f>IFERROR(__xludf.DUMMYFUNCTION("""COMPUTED_VALUE"""),"SARWINTO")</f>
        <v>SARWINTO</v>
      </c>
      <c r="C3286" s="3" t="str">
        <f>IFERROR(__xludf.DUMMYFUNCTION("""COMPUTED_VALUE"""),"S9226011793")</f>
        <v>S9226011793</v>
      </c>
      <c r="D3286" s="3">
        <f>IFERROR(__xludf.DUMMYFUNCTION("""COMPUTED_VALUE"""),33.0)</f>
        <v>33</v>
      </c>
      <c r="E3286" s="1"/>
    </row>
    <row r="3287">
      <c r="A3287" s="1"/>
      <c r="B3287" s="3" t="str">
        <f>IFERROR(__xludf.DUMMYFUNCTION("""COMPUTED_VALUE"""),"WARSINO")</f>
        <v>WARSINO</v>
      </c>
      <c r="C3287" s="3" t="str">
        <f>IFERROR(__xludf.DUMMYFUNCTION("""COMPUTED_VALUE"""),"W7326012828")</f>
        <v>W7326012828</v>
      </c>
      <c r="D3287" s="3">
        <f>IFERROR(__xludf.DUMMYFUNCTION("""COMPUTED_VALUE"""),53.0)</f>
        <v>53</v>
      </c>
      <c r="E3287" s="1"/>
    </row>
    <row r="3288">
      <c r="A3288" s="1"/>
      <c r="B3288" s="3" t="str">
        <f>IFERROR(__xludf.DUMMYFUNCTION("""COMPUTED_VALUE"""),"JEMMY")</f>
        <v>JEMMY</v>
      </c>
      <c r="C3288" s="3" t="str">
        <f>IFERROR(__xludf.DUMMYFUNCTION("""COMPUTED_VALUE"""),"J7626013818")</f>
        <v>J7626013818</v>
      </c>
      <c r="D3288" s="3">
        <f>IFERROR(__xludf.DUMMYFUNCTION("""COMPUTED_VALUE"""),49.0)</f>
        <v>49</v>
      </c>
      <c r="E3288" s="1"/>
    </row>
    <row r="3289">
      <c r="A3289" s="1"/>
      <c r="B3289" s="3" t="str">
        <f>IFERROR(__xludf.DUMMYFUNCTION("""COMPUTED_VALUE"""),"NIKEN ATIKA PUSPA NINGRUM")</f>
        <v>NIKEN ATIKA PUSPA NINGRUM</v>
      </c>
      <c r="C3289" s="3" t="str">
        <f>IFERROR(__xludf.DUMMYFUNCTION("""COMPUTED_VALUE"""),"N9426016399")</f>
        <v>N9426016399</v>
      </c>
      <c r="D3289" s="3">
        <f>IFERROR(__xludf.DUMMYFUNCTION("""COMPUTED_VALUE"""),32.0)</f>
        <v>32</v>
      </c>
      <c r="E3289" s="1"/>
    </row>
    <row r="3290">
      <c r="A3290" s="1"/>
      <c r="B3290" s="3" t="str">
        <f>IFERROR(__xludf.DUMMYFUNCTION("""COMPUTED_VALUE"""),"M FAHRIZA RAHMAN")</f>
        <v>M FAHRIZA RAHMAN</v>
      </c>
      <c r="C3290" s="3" t="str">
        <f>IFERROR(__xludf.DUMMYFUNCTION("""COMPUTED_VALUE"""),"M0626011489")</f>
        <v>M0626011489</v>
      </c>
      <c r="D3290" s="3">
        <f>IFERROR(__xludf.DUMMYFUNCTION("""COMPUTED_VALUE"""),20.0)</f>
        <v>20</v>
      </c>
      <c r="E3290" s="1"/>
    </row>
    <row r="3291">
      <c r="A3291" s="1"/>
      <c r="B3291" s="3" t="str">
        <f>IFERROR(__xludf.DUMMYFUNCTION("""COMPUTED_VALUE"""),"NADYA SAFIRA")</f>
        <v>NADYA SAFIRA</v>
      </c>
      <c r="C3291" s="3" t="str">
        <f>IFERROR(__xludf.DUMMYFUNCTION("""COMPUTED_VALUE"""),"N0726010245")</f>
        <v>N0726010245</v>
      </c>
      <c r="D3291" s="3">
        <f>IFERROR(__xludf.DUMMYFUNCTION("""COMPUTED_VALUE"""),19.0)</f>
        <v>19</v>
      </c>
      <c r="E3291" s="1"/>
    </row>
    <row r="3292">
      <c r="A3292" s="1"/>
      <c r="B3292" s="3" t="str">
        <f>IFERROR(__xludf.DUMMYFUNCTION("""COMPUTED_VALUE"""),"DESI MARGASIA")</f>
        <v>DESI MARGASIA</v>
      </c>
      <c r="C3292" s="3" t="str">
        <f>IFERROR(__xludf.DUMMYFUNCTION("""COMPUTED_VALUE"""),"D9226012979")</f>
        <v>D9226012979</v>
      </c>
      <c r="D3292" s="3">
        <f>IFERROR(__xludf.DUMMYFUNCTION("""COMPUTED_VALUE"""),33.0)</f>
        <v>33</v>
      </c>
      <c r="E3292" s="1"/>
    </row>
    <row r="3293">
      <c r="A3293" s="1"/>
      <c r="B3293" s="3" t="str">
        <f>IFERROR(__xludf.DUMMYFUNCTION("""COMPUTED_VALUE"""),"HENDRAWATI SAM")</f>
        <v>HENDRAWATI SAM</v>
      </c>
      <c r="C3293" s="3" t="str">
        <f>IFERROR(__xludf.DUMMYFUNCTION("""COMPUTED_VALUE"""),"H7126016215")</f>
        <v>H7126016215</v>
      </c>
      <c r="D3293" s="3">
        <f>IFERROR(__xludf.DUMMYFUNCTION("""COMPUTED_VALUE"""),54.0)</f>
        <v>54</v>
      </c>
      <c r="E3293" s="1"/>
    </row>
    <row r="3294">
      <c r="A3294" s="1"/>
      <c r="B3294" s="3" t="str">
        <f>IFERROR(__xludf.DUMMYFUNCTION("""COMPUTED_VALUE"""),"CHALID OBED")</f>
        <v>CHALID OBED</v>
      </c>
      <c r="C3294" s="3" t="str">
        <f>IFERROR(__xludf.DUMMYFUNCTION("""COMPUTED_VALUE"""),"C5126011443")</f>
        <v>C5126011443</v>
      </c>
      <c r="D3294" s="3">
        <f>IFERROR(__xludf.DUMMYFUNCTION("""COMPUTED_VALUE"""),75.0)</f>
        <v>75</v>
      </c>
      <c r="E3294" s="1"/>
    </row>
    <row r="3295">
      <c r="A3295" s="1"/>
      <c r="B3295" s="3" t="str">
        <f>IFERROR(__xludf.DUMMYFUNCTION("""COMPUTED_VALUE"""),"MUCHLIS")</f>
        <v>MUCHLIS</v>
      </c>
      <c r="C3295" s="3" t="str">
        <f>IFERROR(__xludf.DUMMYFUNCTION("""COMPUTED_VALUE"""),"M6626011156")</f>
        <v>M6626011156</v>
      </c>
      <c r="D3295" s="3">
        <f>IFERROR(__xludf.DUMMYFUNCTION("""COMPUTED_VALUE"""),59.0)</f>
        <v>59</v>
      </c>
      <c r="E3295" s="1"/>
    </row>
    <row r="3296">
      <c r="A3296" s="1"/>
      <c r="B3296" s="3" t="str">
        <f>IFERROR(__xludf.DUMMYFUNCTION("""COMPUTED_VALUE"""),"ANUSAPATI")</f>
        <v>ANUSAPATI</v>
      </c>
      <c r="C3296" s="3" t="str">
        <f>IFERROR(__xludf.DUMMYFUNCTION("""COMPUTED_VALUE"""),"A6626019996")</f>
        <v>A6626019996</v>
      </c>
      <c r="D3296" s="3">
        <f>IFERROR(__xludf.DUMMYFUNCTION("""COMPUTED_VALUE"""),60.0)</f>
        <v>60</v>
      </c>
      <c r="E3296" s="1"/>
    </row>
    <row r="3297">
      <c r="A3297" s="1"/>
      <c r="B3297" s="3" t="str">
        <f>IFERROR(__xludf.DUMMYFUNCTION("""COMPUTED_VALUE"""),"RIDHO YUDI PRABAWA")</f>
        <v>RIDHO YUDI PRABAWA</v>
      </c>
      <c r="C3297" s="3" t="str">
        <f>IFERROR(__xludf.DUMMYFUNCTION("""COMPUTED_VALUE"""),"R8126015750")</f>
        <v>R8126015750</v>
      </c>
      <c r="D3297" s="3">
        <f>IFERROR(__xludf.DUMMYFUNCTION("""COMPUTED_VALUE"""),44.0)</f>
        <v>44</v>
      </c>
      <c r="E3297" s="1"/>
    </row>
    <row r="3298">
      <c r="A3298" s="1"/>
      <c r="B3298" s="3" t="str">
        <f>IFERROR(__xludf.DUMMYFUNCTION("""COMPUTED_VALUE"""),"MAULIZA DESIANA")</f>
        <v>MAULIZA DESIANA</v>
      </c>
      <c r="C3298" s="3" t="str">
        <f>IFERROR(__xludf.DUMMYFUNCTION("""COMPUTED_VALUE"""),"M8726014596")</f>
        <v>M8726014596</v>
      </c>
      <c r="D3298" s="3">
        <f>IFERROR(__xludf.DUMMYFUNCTION("""COMPUTED_VALUE"""),38.0)</f>
        <v>38</v>
      </c>
      <c r="E3298" s="1"/>
    </row>
    <row r="3299">
      <c r="A3299" s="1"/>
      <c r="B3299" s="3" t="str">
        <f>IFERROR(__xludf.DUMMYFUNCTION("""COMPUTED_VALUE"""),"HENDRA GUNAWAN 8801")</f>
        <v>HENDRA GUNAWAN 8801</v>
      </c>
      <c r="C3299" s="3" t="str">
        <f>IFERROR(__xludf.DUMMYFUNCTION("""COMPUTED_VALUE"""),"H8826017170")</f>
        <v>H8826017170</v>
      </c>
      <c r="D3299" s="3">
        <f>IFERROR(__xludf.DUMMYFUNCTION("""COMPUTED_VALUE"""),38.0)</f>
        <v>38</v>
      </c>
      <c r="E3299" s="1"/>
    </row>
    <row r="3300">
      <c r="A3300" s="1"/>
      <c r="B3300" s="3" t="str">
        <f>IFERROR(__xludf.DUMMYFUNCTION("""COMPUTED_VALUE"""),"YAZID MISHBAH KHOIRI ")</f>
        <v>YAZID MISHBAH KHOIRI </v>
      </c>
      <c r="C3300" s="3" t="str">
        <f>IFERROR(__xludf.DUMMYFUNCTION("""COMPUTED_VALUE"""),"Y0526012616")</f>
        <v>Y0526012616</v>
      </c>
      <c r="D3300" s="3">
        <f>IFERROR(__xludf.DUMMYFUNCTION("""COMPUTED_VALUE"""),20.0)</f>
        <v>20</v>
      </c>
      <c r="E3300" s="1"/>
    </row>
    <row r="3301">
      <c r="A3301" s="1"/>
      <c r="B3301" s="3" t="str">
        <f>IFERROR(__xludf.DUMMYFUNCTION("""COMPUTED_VALUE"""),"DANI FAHRIZAL")</f>
        <v>DANI FAHRIZAL</v>
      </c>
      <c r="C3301" s="3" t="str">
        <f>IFERROR(__xludf.DUMMYFUNCTION("""COMPUTED_VALUE"""),"D9526010808")</f>
        <v>D9526010808</v>
      </c>
      <c r="D3301" s="3">
        <f>IFERROR(__xludf.DUMMYFUNCTION("""COMPUTED_VALUE"""),31.0)</f>
        <v>31</v>
      </c>
      <c r="E3301" s="1"/>
    </row>
    <row r="3302">
      <c r="A3302" s="1"/>
      <c r="B3302" s="3" t="str">
        <f>IFERROR(__xludf.DUMMYFUNCTION("""COMPUTED_VALUE"""),"HENDI")</f>
        <v>HENDI</v>
      </c>
      <c r="C3302" s="3" t="str">
        <f>IFERROR(__xludf.DUMMYFUNCTION("""COMPUTED_VALUE"""),"H9326013156")</f>
        <v>H9326013156</v>
      </c>
      <c r="D3302" s="3">
        <f>IFERROR(__xludf.DUMMYFUNCTION("""COMPUTED_VALUE"""),32.0)</f>
        <v>32</v>
      </c>
      <c r="E3302" s="1"/>
    </row>
    <row r="3303">
      <c r="A3303" s="1"/>
      <c r="B3303" s="3" t="str">
        <f>IFERROR(__xludf.DUMMYFUNCTION("""COMPUTED_VALUE"""),"WINCENT CHANDRA")</f>
        <v>WINCENT CHANDRA</v>
      </c>
      <c r="C3303" s="3" t="str">
        <f>IFERROR(__xludf.DUMMYFUNCTION("""COMPUTED_VALUE"""),"W1026011172")</f>
        <v>W1026011172</v>
      </c>
      <c r="D3303" s="3">
        <f>IFERROR(__xludf.DUMMYFUNCTION("""COMPUTED_VALUE"""),16.0)</f>
        <v>16</v>
      </c>
      <c r="E3303" s="1"/>
    </row>
    <row r="3304">
      <c r="A3304" s="1"/>
      <c r="B3304" s="3" t="str">
        <f>IFERROR(__xludf.DUMMYFUNCTION("""COMPUTED_VALUE"""),"MUHAMMAD REZKY NUGRAHA")</f>
        <v>MUHAMMAD REZKY NUGRAHA</v>
      </c>
      <c r="C3304" s="3" t="str">
        <f>IFERROR(__xludf.DUMMYFUNCTION("""COMPUTED_VALUE"""),"M9726019343")</f>
        <v>M9726019343</v>
      </c>
      <c r="D3304" s="3">
        <f>IFERROR(__xludf.DUMMYFUNCTION("""COMPUTED_VALUE"""),28.0)</f>
        <v>28</v>
      </c>
      <c r="E3304" s="1"/>
    </row>
    <row r="3305">
      <c r="A3305" s="1"/>
      <c r="B3305" s="3" t="str">
        <f>IFERROR(__xludf.DUMMYFUNCTION("""COMPUTED_VALUE"""),"YANTO")</f>
        <v>YANTO</v>
      </c>
      <c r="C3305" s="3" t="str">
        <f>IFERROR(__xludf.DUMMYFUNCTION("""COMPUTED_VALUE"""),"Y7026019756")</f>
        <v>Y7026019756</v>
      </c>
      <c r="D3305" s="3">
        <f>IFERROR(__xludf.DUMMYFUNCTION("""COMPUTED_VALUE"""),55.0)</f>
        <v>55</v>
      </c>
      <c r="E3305" s="1"/>
    </row>
    <row r="3306">
      <c r="A3306" s="1"/>
      <c r="B3306" s="3" t="str">
        <f>IFERROR(__xludf.DUMMYFUNCTION("""COMPUTED_VALUE"""),"EVI ")</f>
        <v>EVI </v>
      </c>
      <c r="C3306" s="3" t="str">
        <f>IFERROR(__xludf.DUMMYFUNCTION("""COMPUTED_VALUE"""),"E8626017555")</f>
        <v>E8626017555</v>
      </c>
      <c r="D3306" s="3">
        <f>IFERROR(__xludf.DUMMYFUNCTION("""COMPUTED_VALUE"""),40.0)</f>
        <v>40</v>
      </c>
      <c r="E3306" s="1"/>
    </row>
    <row r="3307">
      <c r="A3307" s="1"/>
      <c r="B3307" s="3" t="str">
        <f>IFERROR(__xludf.DUMMYFUNCTION("""COMPUTED_VALUE"""),"MAWAR AURELYSCA IRAWAN")</f>
        <v>MAWAR AURELYSCA IRAWAN</v>
      </c>
      <c r="C3307" s="3" t="str">
        <f>IFERROR(__xludf.DUMMYFUNCTION("""COMPUTED_VALUE"""),"M1026019647")</f>
        <v>M1026019647</v>
      </c>
      <c r="D3307" s="3">
        <f>IFERROR(__xludf.DUMMYFUNCTION("""COMPUTED_VALUE"""),15.0)</f>
        <v>15</v>
      </c>
      <c r="E3307" s="1"/>
    </row>
    <row r="3308">
      <c r="A3308" s="1"/>
      <c r="B3308" s="3" t="str">
        <f>IFERROR(__xludf.DUMMYFUNCTION("""COMPUTED_VALUE"""),"FATHUR RAHMAN")</f>
        <v>FATHUR RAHMAN</v>
      </c>
      <c r="C3308" s="3" t="str">
        <f>IFERROR(__xludf.DUMMYFUNCTION("""COMPUTED_VALUE"""),"F0526014057")</f>
        <v>F0526014057</v>
      </c>
      <c r="D3308" s="3">
        <f>IFERROR(__xludf.DUMMYFUNCTION("""COMPUTED_VALUE"""),21.0)</f>
        <v>21</v>
      </c>
      <c r="E3308" s="1"/>
    </row>
    <row r="3309">
      <c r="A3309" s="1"/>
      <c r="B3309" s="3" t="str">
        <f>IFERROR(__xludf.DUMMYFUNCTION("""COMPUTED_VALUE"""),"ACHMAD RADAMA RINARDI")</f>
        <v>ACHMAD RADAMA RINARDI</v>
      </c>
      <c r="C3309" s="3" t="str">
        <f>IFERROR(__xludf.DUMMYFUNCTION("""COMPUTED_VALUE"""),"A9226010303")</f>
        <v>A9226010303</v>
      </c>
      <c r="D3309" s="3">
        <f>IFERROR(__xludf.DUMMYFUNCTION("""COMPUTED_VALUE"""),33.0)</f>
        <v>33</v>
      </c>
      <c r="E3309" s="1"/>
    </row>
    <row r="3310">
      <c r="A3310" s="1"/>
      <c r="B3310" s="3" t="str">
        <f>IFERROR(__xludf.DUMMYFUNCTION("""COMPUTED_VALUE"""),"FITRA ALHANI")</f>
        <v>FITRA ALHANI</v>
      </c>
      <c r="C3310" s="3" t="str">
        <f>IFERROR(__xludf.DUMMYFUNCTION("""COMPUTED_VALUE"""),"F8826012055")</f>
        <v>F8826012055</v>
      </c>
      <c r="D3310" s="3">
        <f>IFERROR(__xludf.DUMMYFUNCTION("""COMPUTED_VALUE"""),38.0)</f>
        <v>38</v>
      </c>
      <c r="E3310" s="1"/>
    </row>
    <row r="3311">
      <c r="A3311" s="1"/>
      <c r="B3311" s="3" t="str">
        <f>IFERROR(__xludf.DUMMYFUNCTION("""COMPUTED_VALUE"""),"NAJLA NURHALIZA")</f>
        <v>NAJLA NURHALIZA</v>
      </c>
      <c r="C3311" s="3" t="str">
        <f>IFERROR(__xludf.DUMMYFUNCTION("""COMPUTED_VALUE"""),"N0326013117")</f>
        <v>N0326013117</v>
      </c>
      <c r="D3311" s="3">
        <f>IFERROR(__xludf.DUMMYFUNCTION("""COMPUTED_VALUE"""),22.0)</f>
        <v>22</v>
      </c>
      <c r="E3311" s="1"/>
    </row>
    <row r="3312">
      <c r="A3312" s="1"/>
      <c r="B3312" s="3" t="str">
        <f>IFERROR(__xludf.DUMMYFUNCTION("""COMPUTED_VALUE"""),"ASNIWATI")</f>
        <v>ASNIWATI</v>
      </c>
      <c r="C3312" s="3" t="str">
        <f>IFERROR(__xludf.DUMMYFUNCTION("""COMPUTED_VALUE"""),"A5926013010")</f>
        <v>A5926013010</v>
      </c>
      <c r="D3312" s="3">
        <f>IFERROR(__xludf.DUMMYFUNCTION("""COMPUTED_VALUE"""),67.0)</f>
        <v>67</v>
      </c>
      <c r="E3312" s="1"/>
    </row>
    <row r="3313">
      <c r="A3313" s="1"/>
      <c r="B3313" s="3" t="str">
        <f>IFERROR(__xludf.DUMMYFUNCTION("""COMPUTED_VALUE"""),"DRS. H. SARDI. S")</f>
        <v>DRS. H. SARDI. S</v>
      </c>
      <c r="C3313" s="3" t="str">
        <f>IFERROR(__xludf.DUMMYFUNCTION("""COMPUTED_VALUE"""),"D5326016588")</f>
        <v>D5326016588</v>
      </c>
      <c r="D3313" s="3">
        <f>IFERROR(__xludf.DUMMYFUNCTION("""COMPUTED_VALUE"""),72.0)</f>
        <v>72</v>
      </c>
      <c r="E3313" s="1"/>
    </row>
    <row r="3314">
      <c r="A3314" s="1"/>
      <c r="B3314" s="3" t="str">
        <f>IFERROR(__xludf.DUMMYFUNCTION("""COMPUTED_VALUE"""),"ZULIANA")</f>
        <v>ZULIANA</v>
      </c>
      <c r="C3314" s="3" t="str">
        <f>IFERROR(__xludf.DUMMYFUNCTION("""COMPUTED_VALUE"""),"Z8426019500")</f>
        <v>Z8426019500</v>
      </c>
      <c r="D3314" s="3">
        <f>IFERROR(__xludf.DUMMYFUNCTION("""COMPUTED_VALUE"""),42.0)</f>
        <v>42</v>
      </c>
      <c r="E3314" s="1"/>
    </row>
    <row r="3315">
      <c r="A3315" s="1"/>
      <c r="B3315" s="3" t="str">
        <f>IFERROR(__xludf.DUMMYFUNCTION("""COMPUTED_VALUE"""),"SHAFA NUR INTAN FAJRIAH")</f>
        <v>SHAFA NUR INTAN FAJRIAH</v>
      </c>
      <c r="C3315" s="3" t="str">
        <f>IFERROR(__xludf.DUMMYFUNCTION("""COMPUTED_VALUE"""),"S0426012937")</f>
        <v>S0426012937</v>
      </c>
      <c r="D3315" s="3">
        <f>IFERROR(__xludf.DUMMYFUNCTION("""COMPUTED_VALUE"""),21.0)</f>
        <v>21</v>
      </c>
      <c r="E3315" s="1"/>
    </row>
    <row r="3316">
      <c r="A3316" s="1"/>
      <c r="B3316" s="3" t="str">
        <f>IFERROR(__xludf.DUMMYFUNCTION("""COMPUTED_VALUE"""),"HENNY")</f>
        <v>HENNY</v>
      </c>
      <c r="C3316" s="3" t="str">
        <f>IFERROR(__xludf.DUMMYFUNCTION("""COMPUTED_VALUE"""),"H5726011698")</f>
        <v>H5726011698</v>
      </c>
      <c r="D3316" s="3">
        <f>IFERROR(__xludf.DUMMYFUNCTION("""COMPUTED_VALUE"""),68.0)</f>
        <v>68</v>
      </c>
      <c r="E3316" s="1"/>
    </row>
    <row r="3317">
      <c r="A3317" s="1"/>
      <c r="B3317" s="3" t="str">
        <f>IFERROR(__xludf.DUMMYFUNCTION("""COMPUTED_VALUE"""),"YAYUK KURNIAWATI")</f>
        <v>YAYUK KURNIAWATI</v>
      </c>
      <c r="C3317" s="3" t="str">
        <f>IFERROR(__xludf.DUMMYFUNCTION("""COMPUTED_VALUE"""),"Y9326017538")</f>
        <v>Y9326017538</v>
      </c>
      <c r="D3317" s="3">
        <f>IFERROR(__xludf.DUMMYFUNCTION("""COMPUTED_VALUE"""),33.0)</f>
        <v>33</v>
      </c>
      <c r="E3317" s="1"/>
    </row>
    <row r="3318">
      <c r="A3318" s="1"/>
      <c r="B3318" s="3" t="str">
        <f>IFERROR(__xludf.DUMMYFUNCTION("""COMPUTED_VALUE"""),"WIONA SILASHINTA WAHYUDI")</f>
        <v>WIONA SILASHINTA WAHYUDI</v>
      </c>
      <c r="C3318" s="3" t="str">
        <f>IFERROR(__xludf.DUMMYFUNCTION("""COMPUTED_VALUE"""),"W1126015578")</f>
        <v>W1126015578</v>
      </c>
      <c r="D3318" s="3">
        <f>IFERROR(__xludf.DUMMYFUNCTION("""COMPUTED_VALUE"""),15.0)</f>
        <v>15</v>
      </c>
      <c r="E3318" s="1"/>
    </row>
    <row r="3319">
      <c r="A3319" s="1"/>
      <c r="B3319" s="3" t="str">
        <f>IFERROR(__xludf.DUMMYFUNCTION("""COMPUTED_VALUE"""),"PERMATA DEWI ANDINI")</f>
        <v>PERMATA DEWI ANDINI</v>
      </c>
      <c r="C3319" s="3" t="str">
        <f>IFERROR(__xludf.DUMMYFUNCTION("""COMPUTED_VALUE"""),"P0126012936")</f>
        <v>P0126012936</v>
      </c>
      <c r="D3319" s="3">
        <f>IFERROR(__xludf.DUMMYFUNCTION("""COMPUTED_VALUE"""),24.0)</f>
        <v>24</v>
      </c>
      <c r="E3319" s="1"/>
    </row>
    <row r="3320">
      <c r="A3320" s="1"/>
      <c r="B3320" s="3" t="str">
        <f>IFERROR(__xludf.DUMMYFUNCTION("""COMPUTED_VALUE"""),"FRENKY FERIYANTO")</f>
        <v>FRENKY FERIYANTO</v>
      </c>
      <c r="C3320" s="3" t="str">
        <f>IFERROR(__xludf.DUMMYFUNCTION("""COMPUTED_VALUE"""),"F9326011778")</f>
        <v>F9326011778</v>
      </c>
      <c r="D3320" s="3">
        <f>IFERROR(__xludf.DUMMYFUNCTION("""COMPUTED_VALUE"""),33.0)</f>
        <v>33</v>
      </c>
      <c r="E3320" s="1"/>
    </row>
    <row r="3321">
      <c r="A3321" s="1"/>
      <c r="B3321" s="3" t="str">
        <f>IFERROR(__xludf.DUMMYFUNCTION("""COMPUTED_VALUE"""),"HAMBALI")</f>
        <v>HAMBALI</v>
      </c>
      <c r="C3321" s="3" t="str">
        <f>IFERROR(__xludf.DUMMYFUNCTION("""COMPUTED_VALUE"""),"H0026012107")</f>
        <v>H0026012107</v>
      </c>
      <c r="D3321" s="3">
        <f>IFERROR(__xludf.DUMMYFUNCTION("""COMPUTED_VALUE"""),25.0)</f>
        <v>25</v>
      </c>
      <c r="E3321" s="1"/>
    </row>
    <row r="3322">
      <c r="A3322" s="1"/>
      <c r="B3322" s="3" t="str">
        <f>IFERROR(__xludf.DUMMYFUNCTION("""COMPUTED_VALUE"""),"ARIF KURNIAWAN")</f>
        <v>ARIF KURNIAWAN</v>
      </c>
      <c r="C3322" s="3" t="str">
        <f>IFERROR(__xludf.DUMMYFUNCTION("""COMPUTED_VALUE"""),"A7426019878")</f>
        <v>A7426019878</v>
      </c>
      <c r="D3322" s="3">
        <f>IFERROR(__xludf.DUMMYFUNCTION("""COMPUTED_VALUE"""),52.0)</f>
        <v>52</v>
      </c>
      <c r="E3322" s="1"/>
    </row>
    <row r="3323">
      <c r="A3323" s="1"/>
      <c r="B3323" s="3" t="str">
        <f>IFERROR(__xludf.DUMMYFUNCTION("""COMPUTED_VALUE"""),"RIZQY FACHRIA")</f>
        <v>RIZQY FACHRIA</v>
      </c>
      <c r="C3323" s="3" t="str">
        <f>IFERROR(__xludf.DUMMYFUNCTION("""COMPUTED_VALUE"""),"R9526014864")</f>
        <v>R9526014864</v>
      </c>
      <c r="D3323" s="3">
        <f>IFERROR(__xludf.DUMMYFUNCTION("""COMPUTED_VALUE"""),30.0)</f>
        <v>30</v>
      </c>
      <c r="E3323" s="1"/>
    </row>
    <row r="3324">
      <c r="A3324" s="1"/>
      <c r="B3324" s="3" t="str">
        <f>IFERROR(__xludf.DUMMYFUNCTION("""COMPUTED_VALUE"""),"MUHAMMAD AFZANI NUR ")</f>
        <v>MUHAMMAD AFZANI NUR </v>
      </c>
      <c r="C3324" s="3" t="str">
        <f>IFERROR(__xludf.DUMMYFUNCTION("""COMPUTED_VALUE"""),"M0726018299")</f>
        <v>M0726018299</v>
      </c>
      <c r="D3324" s="3">
        <f>IFERROR(__xludf.DUMMYFUNCTION("""COMPUTED_VALUE"""),19.0)</f>
        <v>19</v>
      </c>
      <c r="E3324" s="1"/>
    </row>
    <row r="3325">
      <c r="A3325" s="1"/>
      <c r="B3325" s="3" t="str">
        <f>IFERROR(__xludf.DUMMYFUNCTION("""COMPUTED_VALUE"""),"AZKA RAFIF ARYA")</f>
        <v>AZKA RAFIF ARYA</v>
      </c>
      <c r="C3325" s="3" t="str">
        <f>IFERROR(__xludf.DUMMYFUNCTION("""COMPUTED_VALUE"""),"A1326019995")</f>
        <v>A1326019995</v>
      </c>
      <c r="D3325" s="3">
        <f>IFERROR(__xludf.DUMMYFUNCTION("""COMPUTED_VALUE"""),13.0)</f>
        <v>13</v>
      </c>
      <c r="E3325" s="1"/>
    </row>
    <row r="3326">
      <c r="A3326" s="1"/>
      <c r="B3326" s="3" t="str">
        <f>IFERROR(__xludf.DUMMYFUNCTION("""COMPUTED_VALUE"""),"SUCI TRIHANTINI")</f>
        <v>SUCI TRIHANTINI</v>
      </c>
      <c r="C3326" s="3" t="str">
        <f>IFERROR(__xludf.DUMMYFUNCTION("""COMPUTED_VALUE"""),"S8526012599")</f>
        <v>S8526012599</v>
      </c>
      <c r="D3326" s="3">
        <f>IFERROR(__xludf.DUMMYFUNCTION("""COMPUTED_VALUE"""),41.0)</f>
        <v>41</v>
      </c>
      <c r="E3326" s="1"/>
    </row>
    <row r="3327">
      <c r="A3327" s="1"/>
      <c r="B3327" s="3" t="str">
        <f>IFERROR(__xludf.DUMMYFUNCTION("""COMPUTED_VALUE"""),"JOKO WINARDI")</f>
        <v>JOKO WINARDI</v>
      </c>
      <c r="C3327" s="3" t="str">
        <f>IFERROR(__xludf.DUMMYFUNCTION("""COMPUTED_VALUE"""),"J6326018883")</f>
        <v>J6326018883</v>
      </c>
      <c r="D3327" s="3">
        <f>IFERROR(__xludf.DUMMYFUNCTION("""COMPUTED_VALUE"""),63.0)</f>
        <v>63</v>
      </c>
      <c r="E3327" s="1"/>
    </row>
    <row r="3328">
      <c r="A3328" s="1"/>
      <c r="B3328" s="3" t="str">
        <f>IFERROR(__xludf.DUMMYFUNCTION("""COMPUTED_VALUE"""),"SUMAYAH")</f>
        <v>SUMAYAH</v>
      </c>
      <c r="C3328" s="3" t="str">
        <f>IFERROR(__xludf.DUMMYFUNCTION("""COMPUTED_VALUE"""),"S7726012955")</f>
        <v>S7726012955</v>
      </c>
      <c r="D3328" s="3">
        <f>IFERROR(__xludf.DUMMYFUNCTION("""COMPUTED_VALUE"""),48.0)</f>
        <v>48</v>
      </c>
      <c r="E3328" s="1"/>
    </row>
    <row r="3329">
      <c r="A3329" s="1"/>
      <c r="B3329" s="3" t="str">
        <f>IFERROR(__xludf.DUMMYFUNCTION("""COMPUTED_VALUE"""),"SUMIATI 6908")</f>
        <v>SUMIATI 6908</v>
      </c>
      <c r="C3329" s="3" t="str">
        <f>IFERROR(__xludf.DUMMYFUNCTION("""COMPUTED_VALUE"""),"S6926019033")</f>
        <v>S6926019033</v>
      </c>
      <c r="D3329" s="3">
        <f>IFERROR(__xludf.DUMMYFUNCTION("""COMPUTED_VALUE"""),56.0)</f>
        <v>56</v>
      </c>
      <c r="E3329" s="1"/>
    </row>
    <row r="3330">
      <c r="A3330" s="1"/>
      <c r="B3330" s="3" t="str">
        <f>IFERROR(__xludf.DUMMYFUNCTION("""COMPUTED_VALUE"""),"MARIA AGNES SIREGAR")</f>
        <v>MARIA AGNES SIREGAR</v>
      </c>
      <c r="C3330" s="3" t="str">
        <f>IFERROR(__xludf.DUMMYFUNCTION("""COMPUTED_VALUE"""),"M9626015300")</f>
        <v>M9626015300</v>
      </c>
      <c r="D3330" s="3">
        <f>IFERROR(__xludf.DUMMYFUNCTION("""COMPUTED_VALUE"""),29.0)</f>
        <v>29</v>
      </c>
      <c r="E3330" s="1"/>
    </row>
    <row r="3331">
      <c r="A3331" s="1"/>
      <c r="B3331" s="3" t="str">
        <f>IFERROR(__xludf.DUMMYFUNCTION("""COMPUTED_VALUE"""),"ARIS BUDIMAN")</f>
        <v>ARIS BUDIMAN</v>
      </c>
      <c r="C3331" s="3" t="str">
        <f>IFERROR(__xludf.DUMMYFUNCTION("""COMPUTED_VALUE"""),"A7726014820")</f>
        <v>A7726014820</v>
      </c>
      <c r="D3331" s="3">
        <f>IFERROR(__xludf.DUMMYFUNCTION("""COMPUTED_VALUE"""),48.0)</f>
        <v>48</v>
      </c>
      <c r="E3331" s="1"/>
    </row>
    <row r="3332">
      <c r="A3332" s="1"/>
      <c r="B3332" s="3" t="str">
        <f>IFERROR(__xludf.DUMMYFUNCTION("""COMPUTED_VALUE"""),"MUHAMMAD ICHSAN AZEVI")</f>
        <v>MUHAMMAD ICHSAN AZEVI</v>
      </c>
      <c r="C3332" s="3" t="str">
        <f>IFERROR(__xludf.DUMMYFUNCTION("""COMPUTED_VALUE"""),"M9526019971")</f>
        <v>M9526019971</v>
      </c>
      <c r="D3332" s="3">
        <f>IFERROR(__xludf.DUMMYFUNCTION("""COMPUTED_VALUE"""),31.0)</f>
        <v>31</v>
      </c>
      <c r="E3332" s="1"/>
    </row>
    <row r="3333">
      <c r="A3333" s="1"/>
      <c r="B3333" s="3" t="str">
        <f>IFERROR(__xludf.DUMMYFUNCTION("""COMPUTED_VALUE"""),"IRAWATI")</f>
        <v>IRAWATI</v>
      </c>
      <c r="C3333" s="3" t="str">
        <f>IFERROR(__xludf.DUMMYFUNCTION("""COMPUTED_VALUE"""),"I8226013998")</f>
        <v>I8226013998</v>
      </c>
      <c r="D3333" s="3">
        <f>IFERROR(__xludf.DUMMYFUNCTION("""COMPUTED_VALUE"""),44.0)</f>
        <v>44</v>
      </c>
      <c r="E3333" s="1"/>
    </row>
    <row r="3334">
      <c r="A3334" s="1"/>
      <c r="B3334" s="3" t="str">
        <f>IFERROR(__xludf.DUMMYFUNCTION("""COMPUTED_VALUE"""),"EKA KURNIAWATI")</f>
        <v>EKA KURNIAWATI</v>
      </c>
      <c r="C3334" s="3" t="str">
        <f>IFERROR(__xludf.DUMMYFUNCTION("""COMPUTED_VALUE"""),"E8726019292")</f>
        <v>E8726019292</v>
      </c>
      <c r="D3334" s="3">
        <f>IFERROR(__xludf.DUMMYFUNCTION("""COMPUTED_VALUE"""),38.0)</f>
        <v>38</v>
      </c>
      <c r="E3334" s="1"/>
    </row>
    <row r="3335">
      <c r="A3335" s="1"/>
      <c r="B3335" s="3" t="str">
        <f>IFERROR(__xludf.DUMMYFUNCTION("""COMPUTED_VALUE"""),"ASHRAF")</f>
        <v>ASHRAF</v>
      </c>
      <c r="C3335" s="3" t="str">
        <f>IFERROR(__xludf.DUMMYFUNCTION("""COMPUTED_VALUE"""),"A9726010315")</f>
        <v>A9726010315</v>
      </c>
      <c r="D3335" s="3">
        <f>IFERROR(__xludf.DUMMYFUNCTION("""COMPUTED_VALUE"""),29.0)</f>
        <v>29</v>
      </c>
      <c r="E3335" s="1"/>
    </row>
    <row r="3336">
      <c r="A3336" s="1"/>
      <c r="B3336" s="3" t="str">
        <f>IFERROR(__xludf.DUMMYFUNCTION("""COMPUTED_VALUE"""),"HALIJAH 7305")</f>
        <v>HALIJAH 7305</v>
      </c>
      <c r="C3336" s="3" t="str">
        <f>IFERROR(__xludf.DUMMYFUNCTION("""COMPUTED_VALUE"""),"H7326013892")</f>
        <v>H7326013892</v>
      </c>
      <c r="D3336" s="3">
        <f>IFERROR(__xludf.DUMMYFUNCTION("""COMPUTED_VALUE"""),53.0)</f>
        <v>53</v>
      </c>
      <c r="E3336" s="1"/>
    </row>
    <row r="3337">
      <c r="A3337" s="1"/>
      <c r="B3337" s="3" t="str">
        <f>IFERROR(__xludf.DUMMYFUNCTION("""COMPUTED_VALUE"""),"TYARA HARDYANTI SUHARNO")</f>
        <v>TYARA HARDYANTI SUHARNO</v>
      </c>
      <c r="C3337" s="3" t="str">
        <f>IFERROR(__xludf.DUMMYFUNCTION("""COMPUTED_VALUE"""),"T9626015631")</f>
        <v>T9626015631</v>
      </c>
      <c r="D3337" s="3">
        <f>IFERROR(__xludf.DUMMYFUNCTION("""COMPUTED_VALUE"""),30.0)</f>
        <v>30</v>
      </c>
      <c r="E3337" s="1"/>
    </row>
    <row r="3338">
      <c r="A3338" s="1"/>
      <c r="B3338" s="3" t="str">
        <f>IFERROR(__xludf.DUMMYFUNCTION("""COMPUTED_VALUE"""),"LEYLI NURLITA")</f>
        <v>LEYLI NURLITA</v>
      </c>
      <c r="C3338" s="3" t="str">
        <f>IFERROR(__xludf.DUMMYFUNCTION("""COMPUTED_VALUE"""),"L0526015768")</f>
        <v>L0526015768</v>
      </c>
      <c r="D3338" s="3">
        <f>IFERROR(__xludf.DUMMYFUNCTION("""COMPUTED_VALUE"""),20.0)</f>
        <v>20</v>
      </c>
      <c r="E3338" s="1"/>
    </row>
    <row r="3339">
      <c r="A3339" s="1"/>
      <c r="B3339" s="3" t="str">
        <f>IFERROR(__xludf.DUMMYFUNCTION("""COMPUTED_VALUE"""),"SUKAMTO")</f>
        <v>SUKAMTO</v>
      </c>
      <c r="C3339" s="3" t="str">
        <f>IFERROR(__xludf.DUMMYFUNCTION("""COMPUTED_VALUE"""),"S9026010088")</f>
        <v>S9026010088</v>
      </c>
      <c r="D3339" s="3">
        <f>IFERROR(__xludf.DUMMYFUNCTION("""COMPUTED_VALUE"""),36.0)</f>
        <v>36</v>
      </c>
      <c r="E3339" s="1"/>
    </row>
    <row r="3340">
      <c r="A3340" s="1"/>
      <c r="B3340" s="3" t="str">
        <f>IFERROR(__xludf.DUMMYFUNCTION("""COMPUTED_VALUE"""),"JOESDI NGATIDJAN ")</f>
        <v>JOESDI NGATIDJAN </v>
      </c>
      <c r="C3340" s="3" t="str">
        <f>IFERROR(__xludf.DUMMYFUNCTION("""COMPUTED_VALUE"""),"J6326013988")</f>
        <v>J6326013988</v>
      </c>
      <c r="D3340" s="3">
        <f>IFERROR(__xludf.DUMMYFUNCTION("""COMPUTED_VALUE"""),62.0)</f>
        <v>62</v>
      </c>
      <c r="E3340" s="1"/>
    </row>
    <row r="3341">
      <c r="A3341" s="1"/>
      <c r="B3341" s="3" t="str">
        <f>IFERROR(__xludf.DUMMYFUNCTION("""COMPUTED_VALUE"""),"FLORENSIUS LAYLIM")</f>
        <v>FLORENSIUS LAYLIM</v>
      </c>
      <c r="C3341" s="3" t="str">
        <f>IFERROR(__xludf.DUMMYFUNCTION("""COMPUTED_VALUE"""),"F9626015186")</f>
        <v>F9626015186</v>
      </c>
      <c r="D3341" s="3">
        <f>IFERROR(__xludf.DUMMYFUNCTION("""COMPUTED_VALUE"""),30.0)</f>
        <v>30</v>
      </c>
      <c r="E3341" s="1"/>
    </row>
    <row r="3342">
      <c r="A3342" s="1"/>
      <c r="B3342" s="3" t="str">
        <f>IFERROR(__xludf.DUMMYFUNCTION("""COMPUTED_VALUE"""),"YULITA RIANA")</f>
        <v>YULITA RIANA</v>
      </c>
      <c r="C3342" s="3" t="str">
        <f>IFERROR(__xludf.DUMMYFUNCTION("""COMPUTED_VALUE"""),"Y7426018397")</f>
        <v>Y7426018397</v>
      </c>
      <c r="D3342" s="3">
        <f>IFERROR(__xludf.DUMMYFUNCTION("""COMPUTED_VALUE"""),51.0)</f>
        <v>51</v>
      </c>
      <c r="E3342" s="1"/>
    </row>
    <row r="3343">
      <c r="A3343" s="1"/>
      <c r="B3343" s="3" t="str">
        <f>IFERROR(__xludf.DUMMYFUNCTION("""COMPUTED_VALUE"""),"IQBAL MAULANA")</f>
        <v>IQBAL MAULANA</v>
      </c>
      <c r="C3343" s="3" t="str">
        <f>IFERROR(__xludf.DUMMYFUNCTION("""COMPUTED_VALUE"""),"I9026017774")</f>
        <v>I9026017774</v>
      </c>
      <c r="D3343" s="3">
        <f>IFERROR(__xludf.DUMMYFUNCTION("""COMPUTED_VALUE"""),36.0)</f>
        <v>36</v>
      </c>
      <c r="E3343" s="1"/>
    </row>
    <row r="3344">
      <c r="A3344" s="1"/>
      <c r="B3344" s="3" t="str">
        <f>IFERROR(__xludf.DUMMYFUNCTION("""COMPUTED_VALUE"""),"ALBERT ALRILLIAN TALINO")</f>
        <v>ALBERT ALRILLIAN TALINO</v>
      </c>
      <c r="C3344" s="3" t="str">
        <f>IFERROR(__xludf.DUMMYFUNCTION("""COMPUTED_VALUE"""),"A0826017010")</f>
        <v>A0826017010</v>
      </c>
      <c r="D3344" s="3">
        <f>IFERROR(__xludf.DUMMYFUNCTION("""COMPUTED_VALUE"""),18.0)</f>
        <v>18</v>
      </c>
      <c r="E3344" s="1"/>
    </row>
    <row r="3345">
      <c r="A3345" s="1"/>
      <c r="B3345" s="3" t="str">
        <f>IFERROR(__xludf.DUMMYFUNCTION("""COMPUTED_VALUE"""),"SANDY KURNIA")</f>
        <v>SANDY KURNIA</v>
      </c>
      <c r="C3345" s="3" t="str">
        <f>IFERROR(__xludf.DUMMYFUNCTION("""COMPUTED_VALUE"""),"S9626013526")</f>
        <v>S9626013526</v>
      </c>
      <c r="D3345" s="3">
        <f>IFERROR(__xludf.DUMMYFUNCTION("""COMPUTED_VALUE"""),30.0)</f>
        <v>30</v>
      </c>
      <c r="E3345" s="1"/>
    </row>
    <row r="3346">
      <c r="A3346" s="1"/>
      <c r="B3346" s="3" t="str">
        <f>IFERROR(__xludf.DUMMYFUNCTION("""COMPUTED_VALUE"""),"RUKIAH AGUSTIAWATI")</f>
        <v>RUKIAH AGUSTIAWATI</v>
      </c>
      <c r="C3346" s="3" t="str">
        <f>IFERROR(__xludf.DUMMYFUNCTION("""COMPUTED_VALUE"""),"R7226016379")</f>
        <v>R7226016379</v>
      </c>
      <c r="D3346" s="3">
        <f>IFERROR(__xludf.DUMMYFUNCTION("""COMPUTED_VALUE"""),53.0)</f>
        <v>53</v>
      </c>
      <c r="E3346" s="1"/>
    </row>
    <row r="3347">
      <c r="A3347" s="1"/>
      <c r="B3347" s="3" t="str">
        <f>IFERROR(__xludf.DUMMYFUNCTION("""COMPUTED_VALUE"""),"NELLY FITRIANA")</f>
        <v>NELLY FITRIANA</v>
      </c>
      <c r="C3347" s="3" t="str">
        <f>IFERROR(__xludf.DUMMYFUNCTION("""COMPUTED_VALUE"""),"N8126015757")</f>
        <v>N8126015757</v>
      </c>
      <c r="D3347" s="3">
        <f>IFERROR(__xludf.DUMMYFUNCTION("""COMPUTED_VALUE"""),44.0)</f>
        <v>44</v>
      </c>
      <c r="E3347" s="1"/>
    </row>
    <row r="3348">
      <c r="A3348" s="1"/>
      <c r="B3348" s="3" t="str">
        <f>IFERROR(__xludf.DUMMYFUNCTION("""COMPUTED_VALUE"""),"MICKEL JERRI KURNIAWAN RAY ")</f>
        <v>MICKEL JERRI KURNIAWAN RAY </v>
      </c>
      <c r="C3348" s="3" t="str">
        <f>IFERROR(__xludf.DUMMYFUNCTION("""COMPUTED_VALUE"""),"M9826019887")</f>
        <v>M9826019887</v>
      </c>
      <c r="D3348" s="3">
        <f>IFERROR(__xludf.DUMMYFUNCTION("""COMPUTED_VALUE"""),28.0)</f>
        <v>28</v>
      </c>
      <c r="E3348" s="1"/>
    </row>
    <row r="3349">
      <c r="A3349" s="1"/>
      <c r="B3349" s="3" t="str">
        <f>IFERROR(__xludf.DUMMYFUNCTION("""COMPUTED_VALUE"""),"ISTIKA INDAH NINGSIH")</f>
        <v>ISTIKA INDAH NINGSIH</v>
      </c>
      <c r="C3349" s="3" t="str">
        <f>IFERROR(__xludf.DUMMYFUNCTION("""COMPUTED_VALUE"""),"I9526015922")</f>
        <v>I9526015922</v>
      </c>
      <c r="D3349" s="3">
        <f>IFERROR(__xludf.DUMMYFUNCTION("""COMPUTED_VALUE"""),31.0)</f>
        <v>31</v>
      </c>
      <c r="E3349" s="1"/>
    </row>
    <row r="3350">
      <c r="A3350" s="1"/>
      <c r="B3350" s="3" t="str">
        <f>IFERROR(__xludf.DUMMYFUNCTION("""COMPUTED_VALUE"""),"SURIATI HALIM")</f>
        <v>SURIATI HALIM</v>
      </c>
      <c r="C3350" s="3" t="str">
        <f>IFERROR(__xludf.DUMMYFUNCTION("""COMPUTED_VALUE"""),"S6426015772")</f>
        <v>S6426015772</v>
      </c>
      <c r="D3350" s="3">
        <f>IFERROR(__xludf.DUMMYFUNCTION("""COMPUTED_VALUE"""),62.0)</f>
        <v>62</v>
      </c>
      <c r="E3350" s="1"/>
    </row>
    <row r="3351">
      <c r="A3351" s="1"/>
      <c r="B3351" s="3" t="str">
        <f>IFERROR(__xludf.DUMMYFUNCTION("""COMPUTED_VALUE"""),"EVA DESI S PARDEDE")</f>
        <v>EVA DESI S PARDEDE</v>
      </c>
      <c r="C3351" s="3" t="str">
        <f>IFERROR(__xludf.DUMMYFUNCTION("""COMPUTED_VALUE"""),"E7426015052")</f>
        <v>E7426015052</v>
      </c>
      <c r="D3351" s="3">
        <f>IFERROR(__xludf.DUMMYFUNCTION("""COMPUTED_VALUE"""),51.0)</f>
        <v>51</v>
      </c>
      <c r="E3351" s="1"/>
    </row>
    <row r="3352">
      <c r="A3352" s="1"/>
      <c r="B3352" s="3" t="str">
        <f>IFERROR(__xludf.DUMMYFUNCTION("""COMPUTED_VALUE"""),"RIZKY PUSPASARI")</f>
        <v>RIZKY PUSPASARI</v>
      </c>
      <c r="C3352" s="3" t="str">
        <f>IFERROR(__xludf.DUMMYFUNCTION("""COMPUTED_VALUE"""),"R9426011660")</f>
        <v>R9426011660</v>
      </c>
      <c r="D3352" s="3">
        <f>IFERROR(__xludf.DUMMYFUNCTION("""COMPUTED_VALUE"""),32.0)</f>
        <v>32</v>
      </c>
      <c r="E3352" s="1"/>
    </row>
    <row r="3353">
      <c r="A3353" s="1"/>
      <c r="B3353" s="3" t="str">
        <f>IFERROR(__xludf.DUMMYFUNCTION("""COMPUTED_VALUE"""),"VERONIMUS VALENT FRANSISKUS")</f>
        <v>VERONIMUS VALENT FRANSISKUS</v>
      </c>
      <c r="C3353" s="3" t="str">
        <f>IFERROR(__xludf.DUMMYFUNCTION("""COMPUTED_VALUE"""),"V9626011953")</f>
        <v>V9626011953</v>
      </c>
      <c r="D3353" s="3">
        <f>IFERROR(__xludf.DUMMYFUNCTION("""COMPUTED_VALUE"""),30.0)</f>
        <v>30</v>
      </c>
      <c r="E3353" s="1"/>
    </row>
    <row r="3354">
      <c r="A3354" s="1"/>
      <c r="B3354" s="3" t="str">
        <f>IFERROR(__xludf.DUMMYFUNCTION("""COMPUTED_VALUE"""),"DIRGA WIJAYA JUMAIL")</f>
        <v>DIRGA WIJAYA JUMAIL</v>
      </c>
      <c r="C3354" s="3" t="str">
        <f>IFERROR(__xludf.DUMMYFUNCTION("""COMPUTED_VALUE"""),"D9926011424")</f>
        <v>D9926011424</v>
      </c>
      <c r="D3354" s="3">
        <f>IFERROR(__xludf.DUMMYFUNCTION("""COMPUTED_VALUE"""),26.0)</f>
        <v>26</v>
      </c>
      <c r="E3354" s="1"/>
    </row>
    <row r="3355">
      <c r="A3355" s="1"/>
      <c r="B3355" s="3" t="str">
        <f>IFERROR(__xludf.DUMMYFUNCTION("""COMPUTED_VALUE"""),"MUHAMMAD ABDULLAH AL KAYIS")</f>
        <v>MUHAMMAD ABDULLAH AL KAYIS</v>
      </c>
      <c r="C3355" s="3" t="str">
        <f>IFERROR(__xludf.DUMMYFUNCTION("""COMPUTED_VALUE"""),"M1326010393")</f>
        <v>M1326010393</v>
      </c>
      <c r="D3355" s="3">
        <f>IFERROR(__xludf.DUMMYFUNCTION("""COMPUTED_VALUE"""),12.0)</f>
        <v>12</v>
      </c>
      <c r="E3355" s="1"/>
    </row>
    <row r="3356">
      <c r="A3356" s="1"/>
      <c r="B3356" s="3" t="str">
        <f>IFERROR(__xludf.DUMMYFUNCTION("""COMPUTED_VALUE"""),"NOPIANTO SAPTA BONG")</f>
        <v>NOPIANTO SAPTA BONG</v>
      </c>
      <c r="C3356" s="3" t="str">
        <f>IFERROR(__xludf.DUMMYFUNCTION("""COMPUTED_VALUE"""),"N9926017700")</f>
        <v>N9926017700</v>
      </c>
      <c r="D3356" s="3">
        <f>IFERROR(__xludf.DUMMYFUNCTION("""COMPUTED_VALUE"""),26.0)</f>
        <v>26</v>
      </c>
      <c r="E3356" s="1"/>
    </row>
    <row r="3357">
      <c r="A3357" s="1"/>
      <c r="B3357" s="3" t="str">
        <f>IFERROR(__xludf.DUMMYFUNCTION("""COMPUTED_VALUE"""),"WEHRY")</f>
        <v>WEHRY</v>
      </c>
      <c r="C3357" s="3" t="str">
        <f>IFERROR(__xludf.DUMMYFUNCTION("""COMPUTED_VALUE"""),"W9826018073")</f>
        <v>W9826018073</v>
      </c>
      <c r="D3357" s="3">
        <f>IFERROR(__xludf.DUMMYFUNCTION("""COMPUTED_VALUE"""),28.0)</f>
        <v>28</v>
      </c>
      <c r="E3357" s="1"/>
    </row>
    <row r="3358">
      <c r="A3358" s="1"/>
      <c r="B3358" s="3" t="str">
        <f>IFERROR(__xludf.DUMMYFUNCTION("""COMPUTED_VALUE"""),"ARY HIDAYATUL FAJRI")</f>
        <v>ARY HIDAYATUL FAJRI</v>
      </c>
      <c r="C3358" s="3" t="str">
        <f>IFERROR(__xludf.DUMMYFUNCTION("""COMPUTED_VALUE"""),"A9526015105")</f>
        <v>A9526015105</v>
      </c>
      <c r="D3358" s="3">
        <f>IFERROR(__xludf.DUMMYFUNCTION("""COMPUTED_VALUE"""),30.0)</f>
        <v>30</v>
      </c>
      <c r="E3358" s="1"/>
    </row>
    <row r="3359">
      <c r="A3359" s="1"/>
      <c r="B3359" s="3" t="str">
        <f>IFERROR(__xludf.DUMMYFUNCTION("""COMPUTED_VALUE"""),"NAFLA RAIHANA QONITA HARDYAN")</f>
        <v>NAFLA RAIHANA QONITA HARDYAN</v>
      </c>
      <c r="C3359" s="3" t="str">
        <f>IFERROR(__xludf.DUMMYFUNCTION("""COMPUTED_VALUE"""),"N1026013123")</f>
        <v>N1026013123</v>
      </c>
      <c r="D3359" s="3">
        <f>IFERROR(__xludf.DUMMYFUNCTION("""COMPUTED_VALUE"""),15.0)</f>
        <v>15</v>
      </c>
      <c r="E3359" s="1"/>
    </row>
    <row r="3360">
      <c r="A3360" s="1"/>
      <c r="B3360" s="3" t="str">
        <f>IFERROR(__xludf.DUMMYFUNCTION("""COMPUTED_VALUE"""),"LUSIANA MAENAH")</f>
        <v>LUSIANA MAENAH</v>
      </c>
      <c r="C3360" s="3" t="str">
        <f>IFERROR(__xludf.DUMMYFUNCTION("""COMPUTED_VALUE"""),"L6926011011")</f>
        <v>L6926011011</v>
      </c>
      <c r="D3360" s="3">
        <f>IFERROR(__xludf.DUMMYFUNCTION("""COMPUTED_VALUE"""),57.0)</f>
        <v>57</v>
      </c>
      <c r="E3360" s="1"/>
    </row>
    <row r="3361">
      <c r="A3361" s="1"/>
      <c r="B3361" s="3" t="str">
        <f>IFERROR(__xludf.DUMMYFUNCTION("""COMPUTED_VALUE"""),"HEYLIE ARIELLE ANG")</f>
        <v>HEYLIE ARIELLE ANG</v>
      </c>
      <c r="C3361" s="3" t="str">
        <f>IFERROR(__xludf.DUMMYFUNCTION("""COMPUTED_VALUE"""),"H1026015759")</f>
        <v>H1026015759</v>
      </c>
      <c r="D3361" s="3">
        <f>IFERROR(__xludf.DUMMYFUNCTION("""COMPUTED_VALUE"""),16.0)</f>
        <v>16</v>
      </c>
      <c r="E3361" s="1"/>
    </row>
    <row r="3362">
      <c r="A3362" s="1"/>
      <c r="B3362" s="3" t="str">
        <f>IFERROR(__xludf.DUMMYFUNCTION("""COMPUTED_VALUE"""),"LILY 7201")</f>
        <v>LILY 7201</v>
      </c>
      <c r="C3362" s="3" t="str">
        <f>IFERROR(__xludf.DUMMYFUNCTION("""COMPUTED_VALUE"""),"L7226011952")</f>
        <v>L7226011952</v>
      </c>
      <c r="D3362" s="3">
        <f>IFERROR(__xludf.DUMMYFUNCTION("""COMPUTED_VALUE"""),54.0)</f>
        <v>54</v>
      </c>
      <c r="E3362" s="1"/>
    </row>
    <row r="3363">
      <c r="A3363" s="1"/>
      <c r="B3363" s="3" t="str">
        <f>IFERROR(__xludf.DUMMYFUNCTION("""COMPUTED_VALUE"""),"LIA MARISA")</f>
        <v>LIA MARISA</v>
      </c>
      <c r="C3363" s="3" t="str">
        <f>IFERROR(__xludf.DUMMYFUNCTION("""COMPUTED_VALUE"""),"L9426019899")</f>
        <v>L9426019899</v>
      </c>
      <c r="D3363" s="3">
        <f>IFERROR(__xludf.DUMMYFUNCTION("""COMPUTED_VALUE"""),32.0)</f>
        <v>32</v>
      </c>
      <c r="E3363" s="1"/>
    </row>
    <row r="3364">
      <c r="A3364" s="1"/>
      <c r="B3364" s="3" t="str">
        <f>IFERROR(__xludf.DUMMYFUNCTION("""COMPUTED_VALUE"""),"VERONIKA")</f>
        <v>VERONIKA</v>
      </c>
      <c r="C3364" s="3" t="str">
        <f>IFERROR(__xludf.DUMMYFUNCTION("""COMPUTED_VALUE"""),"V8426013733")</f>
        <v>V8426013733</v>
      </c>
      <c r="D3364" s="3">
        <f>IFERROR(__xludf.DUMMYFUNCTION("""COMPUTED_VALUE"""),41.0)</f>
        <v>41</v>
      </c>
      <c r="E3364" s="1"/>
    </row>
    <row r="3365">
      <c r="A3365" s="1"/>
      <c r="B3365" s="3" t="str">
        <f>IFERROR(__xludf.DUMMYFUNCTION("""COMPUTED_VALUE"""),"SYARIFAH AINI")</f>
        <v>SYARIFAH AINI</v>
      </c>
      <c r="C3365" s="3" t="str">
        <f>IFERROR(__xludf.DUMMYFUNCTION("""COMPUTED_VALUE"""),"S8426015100")</f>
        <v>S8426015100</v>
      </c>
      <c r="D3365" s="3">
        <f>IFERROR(__xludf.DUMMYFUNCTION("""COMPUTED_VALUE"""),42.0)</f>
        <v>42</v>
      </c>
      <c r="E3365" s="1"/>
    </row>
    <row r="3366">
      <c r="A3366" s="1"/>
      <c r="B3366" s="3" t="str">
        <f>IFERROR(__xludf.DUMMYFUNCTION("""COMPUTED_VALUE"""),"ENRICO IVAN CHUA")</f>
        <v>ENRICO IVAN CHUA</v>
      </c>
      <c r="C3366" s="3" t="str">
        <f>IFERROR(__xludf.DUMMYFUNCTION("""COMPUTED_VALUE"""),"E0026018490")</f>
        <v>E0026018490</v>
      </c>
      <c r="D3366" s="3">
        <f>IFERROR(__xludf.DUMMYFUNCTION("""COMPUTED_VALUE"""),25.0)</f>
        <v>25</v>
      </c>
      <c r="E3366" s="1"/>
    </row>
    <row r="3367">
      <c r="A3367" s="1"/>
      <c r="B3367" s="3" t="str">
        <f>IFERROR(__xludf.DUMMYFUNCTION("""COMPUTED_VALUE"""),"TUKIJAN")</f>
        <v>TUKIJAN</v>
      </c>
      <c r="C3367" s="3" t="str">
        <f>IFERROR(__xludf.DUMMYFUNCTION("""COMPUTED_VALUE"""),"T5726013959")</f>
        <v>T5726013959</v>
      </c>
      <c r="D3367" s="3">
        <f>IFERROR(__xludf.DUMMYFUNCTION("""COMPUTED_VALUE"""),68.0)</f>
        <v>68</v>
      </c>
      <c r="E3367" s="1"/>
    </row>
    <row r="3368">
      <c r="A3368" s="1"/>
      <c r="B3368" s="3" t="str">
        <f>IFERROR(__xludf.DUMMYFUNCTION("""COMPUTED_VALUE"""),"MILINA")</f>
        <v>MILINA</v>
      </c>
      <c r="C3368" s="3" t="str">
        <f>IFERROR(__xludf.DUMMYFUNCTION("""COMPUTED_VALUE"""),"M9026018565")</f>
        <v>M9026018565</v>
      </c>
      <c r="D3368" s="3">
        <f>IFERROR(__xludf.DUMMYFUNCTION("""COMPUTED_VALUE"""),35.0)</f>
        <v>35</v>
      </c>
      <c r="E3368" s="1"/>
    </row>
    <row r="3369">
      <c r="A3369" s="1"/>
      <c r="B3369" s="3" t="str">
        <f>IFERROR(__xludf.DUMMYFUNCTION("""COMPUTED_VALUE"""),"DHIASPUTRA BRILIANDRI")</f>
        <v>DHIASPUTRA BRILIANDRI</v>
      </c>
      <c r="C3369" s="3" t="str">
        <f>IFERROR(__xludf.DUMMYFUNCTION("""COMPUTED_VALUE"""),"D8426012002")</f>
        <v>D8426012002</v>
      </c>
      <c r="D3369" s="3">
        <f>IFERROR(__xludf.DUMMYFUNCTION("""COMPUTED_VALUE"""),42.0)</f>
        <v>42</v>
      </c>
      <c r="E3369" s="1"/>
    </row>
    <row r="3370">
      <c r="A3370" s="1"/>
      <c r="B3370" s="3" t="str">
        <f>IFERROR(__xludf.DUMMYFUNCTION("""COMPUTED_VALUE"""),"GIGIH PURBO P")</f>
        <v>GIGIH PURBO P</v>
      </c>
      <c r="C3370" s="3" t="str">
        <f>IFERROR(__xludf.DUMMYFUNCTION("""COMPUTED_VALUE"""),"G9426012038")</f>
        <v>G9426012038</v>
      </c>
      <c r="D3370" s="3">
        <f>IFERROR(__xludf.DUMMYFUNCTION("""COMPUTED_VALUE"""),32.0)</f>
        <v>32</v>
      </c>
      <c r="E3370" s="1"/>
    </row>
    <row r="3371">
      <c r="A3371" s="1"/>
      <c r="B3371" s="3" t="str">
        <f>IFERROR(__xludf.DUMMYFUNCTION("""COMPUTED_VALUE"""),"MERRY 7710")</f>
        <v>MERRY 7710</v>
      </c>
      <c r="C3371" s="3" t="str">
        <f>IFERROR(__xludf.DUMMYFUNCTION("""COMPUTED_VALUE"""),"M7726019333")</f>
        <v>M7726019333</v>
      </c>
      <c r="D3371" s="3">
        <f>IFERROR(__xludf.DUMMYFUNCTION("""COMPUTED_VALUE"""),48.0)</f>
        <v>48</v>
      </c>
      <c r="E3371" s="1"/>
    </row>
    <row r="3372">
      <c r="A3372" s="1"/>
      <c r="B3372" s="3" t="str">
        <f>IFERROR(__xludf.DUMMYFUNCTION("""COMPUTED_VALUE"""),"RAY DEDDY AZMI")</f>
        <v>RAY DEDDY AZMI</v>
      </c>
      <c r="C3372" s="3" t="str">
        <f>IFERROR(__xludf.DUMMYFUNCTION("""COMPUTED_VALUE"""),"R8826018833")</f>
        <v>R8826018833</v>
      </c>
      <c r="D3372" s="3">
        <f>IFERROR(__xludf.DUMMYFUNCTION("""COMPUTED_VALUE"""),38.0)</f>
        <v>38</v>
      </c>
      <c r="E3372" s="1"/>
    </row>
    <row r="3373">
      <c r="A3373" s="1"/>
      <c r="B3373" s="3" t="str">
        <f>IFERROR(__xludf.DUMMYFUNCTION("""COMPUTED_VALUE"""),"TITIN SUBAKTI S.SOS")</f>
        <v>TITIN SUBAKTI S.SOS</v>
      </c>
      <c r="C3373" s="3" t="str">
        <f>IFERROR(__xludf.DUMMYFUNCTION("""COMPUTED_VALUE"""),"T6926011206")</f>
        <v>T6926011206</v>
      </c>
      <c r="D3373" s="3">
        <f>IFERROR(__xludf.DUMMYFUNCTION("""COMPUTED_VALUE"""),56.0)</f>
        <v>56</v>
      </c>
      <c r="E3373" s="1"/>
    </row>
    <row r="3374">
      <c r="A3374" s="1"/>
      <c r="B3374" s="3" t="str">
        <f>IFERROR(__xludf.DUMMYFUNCTION("""COMPUTED_VALUE"""),"DRS BAGOES SOENHARLAN")</f>
        <v>DRS BAGOES SOENHARLAN</v>
      </c>
      <c r="C3374" s="3" t="str">
        <f>IFERROR(__xludf.DUMMYFUNCTION("""COMPUTED_VALUE"""),"D5626011207")</f>
        <v>D5626011207</v>
      </c>
      <c r="D3374" s="3">
        <f>IFERROR(__xludf.DUMMYFUNCTION("""COMPUTED_VALUE"""),69.0)</f>
        <v>69</v>
      </c>
      <c r="E3374" s="1"/>
    </row>
    <row r="3375">
      <c r="A3375" s="1"/>
      <c r="B3375" s="3" t="str">
        <f>IFERROR(__xludf.DUMMYFUNCTION("""COMPUTED_VALUE"""),"HERY PURYANTO")</f>
        <v>HERY PURYANTO</v>
      </c>
      <c r="C3375" s="3" t="str">
        <f>IFERROR(__xludf.DUMMYFUNCTION("""COMPUTED_VALUE"""),"H7226016491")</f>
        <v>H7226016491</v>
      </c>
      <c r="D3375" s="3">
        <f>IFERROR(__xludf.DUMMYFUNCTION("""COMPUTED_VALUE"""),54.0)</f>
        <v>54</v>
      </c>
      <c r="E3375" s="1"/>
    </row>
    <row r="3376">
      <c r="A3376" s="1"/>
      <c r="B3376" s="3" t="str">
        <f>IFERROR(__xludf.DUMMYFUNCTION("""COMPUTED_VALUE"""),"ELSA ELFIRA")</f>
        <v>ELSA ELFIRA</v>
      </c>
      <c r="C3376" s="3" t="str">
        <f>IFERROR(__xludf.DUMMYFUNCTION("""COMPUTED_VALUE"""),"E9426015632")</f>
        <v>E9426015632</v>
      </c>
      <c r="D3376" s="3">
        <f>IFERROR(__xludf.DUMMYFUNCTION("""COMPUTED_VALUE"""),32.0)</f>
        <v>32</v>
      </c>
      <c r="E3376" s="1"/>
    </row>
    <row r="3377">
      <c r="A3377" s="1"/>
      <c r="B3377" s="3" t="str">
        <f>IFERROR(__xludf.DUMMYFUNCTION("""COMPUTED_VALUE"""),"WANTI SETIANINGSIH")</f>
        <v>WANTI SETIANINGSIH</v>
      </c>
      <c r="C3377" s="3" t="str">
        <f>IFERROR(__xludf.DUMMYFUNCTION("""COMPUTED_VALUE"""),"W7126012991")</f>
        <v>W7126012991</v>
      </c>
      <c r="D3377" s="3">
        <f>IFERROR(__xludf.DUMMYFUNCTION("""COMPUTED_VALUE"""),54.0)</f>
        <v>54</v>
      </c>
      <c r="E3377" s="1"/>
    </row>
    <row r="3378">
      <c r="A3378" s="1"/>
      <c r="B3378" s="3" t="str">
        <f>IFERROR(__xludf.DUMMYFUNCTION("""COMPUTED_VALUE"""),"ANIS MUTIA")</f>
        <v>ANIS MUTIA</v>
      </c>
      <c r="C3378" s="3" t="str">
        <f>IFERROR(__xludf.DUMMYFUNCTION("""COMPUTED_VALUE"""),"A9526015016")</f>
        <v>A9526015016</v>
      </c>
      <c r="D3378" s="3">
        <f>IFERROR(__xludf.DUMMYFUNCTION("""COMPUTED_VALUE"""),30.0)</f>
        <v>30</v>
      </c>
      <c r="E3378" s="1"/>
    </row>
    <row r="3379">
      <c r="A3379" s="1"/>
      <c r="B3379" s="3" t="str">
        <f>IFERROR(__xludf.DUMMYFUNCTION("""COMPUTED_VALUE"""),"INZALIA")</f>
        <v>INZALIA</v>
      </c>
      <c r="C3379" s="3" t="str">
        <f>IFERROR(__xludf.DUMMYFUNCTION("""COMPUTED_VALUE"""),"I7126010597")</f>
        <v>I7126010597</v>
      </c>
      <c r="D3379" s="3">
        <f>IFERROR(__xludf.DUMMYFUNCTION("""COMPUTED_VALUE"""),55.0)</f>
        <v>55</v>
      </c>
      <c r="E3379" s="1"/>
    </row>
    <row r="3380">
      <c r="A3380" s="1"/>
      <c r="B3380" s="3" t="str">
        <f>IFERROR(__xludf.DUMMYFUNCTION("""COMPUTED_VALUE"""),"AZZURA DWIPA ITZA K")</f>
        <v>AZZURA DWIPA ITZA K</v>
      </c>
      <c r="C3380" s="3" t="str">
        <f>IFERROR(__xludf.DUMMYFUNCTION("""COMPUTED_VALUE"""),"A1326011589")</f>
        <v>A1326011589</v>
      </c>
      <c r="D3380" s="3">
        <f>IFERROR(__xludf.DUMMYFUNCTION("""COMPUTED_VALUE"""),12.0)</f>
        <v>12</v>
      </c>
      <c r="E3380" s="1"/>
    </row>
    <row r="3381">
      <c r="A3381" s="1"/>
      <c r="B3381" s="3" t="str">
        <f>IFERROR(__xludf.DUMMYFUNCTION("""COMPUTED_VALUE"""),"BERMAN PAULUS")</f>
        <v>BERMAN PAULUS</v>
      </c>
      <c r="C3381" s="3" t="str">
        <f>IFERROR(__xludf.DUMMYFUNCTION("""COMPUTED_VALUE"""),"B7526011820")</f>
        <v>B7526011820</v>
      </c>
      <c r="D3381" s="3">
        <f>IFERROR(__xludf.DUMMYFUNCTION("""COMPUTED_VALUE"""),50.0)</f>
        <v>50</v>
      </c>
      <c r="E3381" s="1"/>
    </row>
    <row r="3382">
      <c r="A3382" s="1"/>
      <c r="B3382" s="3" t="str">
        <f>IFERROR(__xludf.DUMMYFUNCTION("""COMPUTED_VALUE"""),"VERONICA")</f>
        <v>VERONICA</v>
      </c>
      <c r="C3382" s="3" t="str">
        <f>IFERROR(__xludf.DUMMYFUNCTION("""COMPUTED_VALUE"""),"V9226019932")</f>
        <v>V9226019932</v>
      </c>
      <c r="D3382" s="3">
        <f>IFERROR(__xludf.DUMMYFUNCTION("""COMPUTED_VALUE"""),34.0)</f>
        <v>34</v>
      </c>
      <c r="E3382" s="1"/>
    </row>
    <row r="3383">
      <c r="A3383" s="1"/>
      <c r="B3383" s="3" t="str">
        <f>IFERROR(__xludf.DUMMYFUNCTION("""COMPUTED_VALUE"""),"TONNY MARZUKI")</f>
        <v>TONNY MARZUKI</v>
      </c>
      <c r="C3383" s="3" t="str">
        <f>IFERROR(__xludf.DUMMYFUNCTION("""COMPUTED_VALUE"""),"T7326013200")</f>
        <v>T7326013200</v>
      </c>
      <c r="D3383" s="3">
        <f>IFERROR(__xludf.DUMMYFUNCTION("""COMPUTED_VALUE"""),52.0)</f>
        <v>52</v>
      </c>
      <c r="E3383" s="1"/>
    </row>
    <row r="3384">
      <c r="A3384" s="1"/>
      <c r="B3384" s="3" t="str">
        <f>IFERROR(__xludf.DUMMYFUNCTION("""COMPUTED_VALUE"""),"RIZKY RESTU ANUGRAH PALURENG")</f>
        <v>RIZKY RESTU ANUGRAH PALURENG</v>
      </c>
      <c r="C3384" s="3" t="str">
        <f>IFERROR(__xludf.DUMMYFUNCTION("""COMPUTED_VALUE"""),"R1026015496")</f>
        <v>R1026015496</v>
      </c>
      <c r="D3384" s="3">
        <f>IFERROR(__xludf.DUMMYFUNCTION("""COMPUTED_VALUE"""),15.0)</f>
        <v>15</v>
      </c>
      <c r="E3384" s="1"/>
    </row>
    <row r="3385">
      <c r="A3385" s="1"/>
      <c r="B3385" s="3" t="str">
        <f>IFERROR(__xludf.DUMMYFUNCTION("""COMPUTED_VALUE"""),"IBNU SETYA HARYANA ")</f>
        <v>IBNU SETYA HARYANA </v>
      </c>
      <c r="C3385" s="3" t="str">
        <f>IFERROR(__xludf.DUMMYFUNCTION("""COMPUTED_VALUE"""),"I6726014660")</f>
        <v>I6726014660</v>
      </c>
      <c r="D3385" s="3">
        <f>IFERROR(__xludf.DUMMYFUNCTION("""COMPUTED_VALUE"""),59.0)</f>
        <v>59</v>
      </c>
      <c r="E3385" s="1"/>
    </row>
    <row r="3386">
      <c r="A3386" s="1"/>
      <c r="B3386" s="3" t="str">
        <f>IFERROR(__xludf.DUMMYFUNCTION("""COMPUTED_VALUE"""),"M FATIH RIZKI")</f>
        <v>M FATIH RIZKI</v>
      </c>
      <c r="C3386" s="3" t="str">
        <f>IFERROR(__xludf.DUMMYFUNCTION("""COMPUTED_VALUE"""),"M1426014555")</f>
        <v>M1426014555</v>
      </c>
      <c r="D3386" s="3">
        <f>IFERROR(__xludf.DUMMYFUNCTION("""COMPUTED_VALUE"""),11.0)</f>
        <v>11</v>
      </c>
      <c r="E3386" s="1"/>
    </row>
    <row r="3387">
      <c r="A3387" s="1"/>
      <c r="B3387" s="3" t="str">
        <f>IFERROR(__xludf.DUMMYFUNCTION("""COMPUTED_VALUE"""),"ROSDIANA")</f>
        <v>ROSDIANA</v>
      </c>
      <c r="C3387" s="3" t="str">
        <f>IFERROR(__xludf.DUMMYFUNCTION("""COMPUTED_VALUE"""),"R6926017083")</f>
        <v>R6926017083</v>
      </c>
      <c r="D3387" s="3">
        <f>IFERROR(__xludf.DUMMYFUNCTION("""COMPUTED_VALUE"""),56.0)</f>
        <v>56</v>
      </c>
      <c r="E3387" s="1"/>
    </row>
    <row r="3388">
      <c r="A3388" s="1"/>
      <c r="B3388" s="3" t="str">
        <f>IFERROR(__xludf.DUMMYFUNCTION("""COMPUTED_VALUE"""),"ARDY CAHYA FITRIYANTO")</f>
        <v>ARDY CAHYA FITRIYANTO</v>
      </c>
      <c r="C3388" s="3" t="str">
        <f>IFERROR(__xludf.DUMMYFUNCTION("""COMPUTED_VALUE"""),"A9026018207")</f>
        <v>A9026018207</v>
      </c>
      <c r="D3388" s="3">
        <f>IFERROR(__xludf.DUMMYFUNCTION("""COMPUTED_VALUE"""),36.0)</f>
        <v>36</v>
      </c>
      <c r="E3388" s="1"/>
    </row>
    <row r="3389">
      <c r="A3389" s="1"/>
      <c r="B3389" s="3" t="str">
        <f>IFERROR(__xludf.DUMMYFUNCTION("""COMPUTED_VALUE"""),"DIARMI")</f>
        <v>DIARMI</v>
      </c>
      <c r="C3389" s="3" t="str">
        <f>IFERROR(__xludf.DUMMYFUNCTION("""COMPUTED_VALUE"""),"D5926011554")</f>
        <v>D5926011554</v>
      </c>
      <c r="D3389" s="3">
        <f>IFERROR(__xludf.DUMMYFUNCTION("""COMPUTED_VALUE"""),67.0)</f>
        <v>67</v>
      </c>
      <c r="E3389" s="1"/>
    </row>
    <row r="3390">
      <c r="A3390" s="1"/>
      <c r="B3390" s="3" t="str">
        <f>IFERROR(__xludf.DUMMYFUNCTION("""COMPUTED_VALUE"""),"REVAEL ENGGANG ALHAQ")</f>
        <v>REVAEL ENGGANG ALHAQ</v>
      </c>
      <c r="C3390" s="3" t="str">
        <f>IFERROR(__xludf.DUMMYFUNCTION("""COMPUTED_VALUE"""),"R0926014868")</f>
        <v>R0926014868</v>
      </c>
      <c r="D3390" s="3">
        <f>IFERROR(__xludf.DUMMYFUNCTION("""COMPUTED_VALUE"""),17.0)</f>
        <v>17</v>
      </c>
      <c r="E3390" s="1"/>
    </row>
    <row r="3391">
      <c r="A3391" s="1"/>
      <c r="B3391" s="3" t="str">
        <f>IFERROR(__xludf.DUMMYFUNCTION("""COMPUTED_VALUE"""),"MUHAMMAD NUR")</f>
        <v>MUHAMMAD NUR</v>
      </c>
      <c r="C3391" s="3" t="str">
        <f>IFERROR(__xludf.DUMMYFUNCTION("""COMPUTED_VALUE"""),"M7326014347")</f>
        <v>M7326014347</v>
      </c>
      <c r="D3391" s="3">
        <f>IFERROR(__xludf.DUMMYFUNCTION("""COMPUTED_VALUE"""),53.0)</f>
        <v>53</v>
      </c>
      <c r="E3391" s="1"/>
    </row>
    <row r="3392">
      <c r="A3392" s="1"/>
      <c r="B3392" s="3" t="str">
        <f>IFERROR(__xludf.DUMMYFUNCTION("""COMPUTED_VALUE"""),"REVAN FELIX GOUW")</f>
        <v>REVAN FELIX GOUW</v>
      </c>
      <c r="C3392" s="3" t="str">
        <f>IFERROR(__xludf.DUMMYFUNCTION("""COMPUTED_VALUE"""),"R1226012111")</f>
        <v>R1226012111</v>
      </c>
      <c r="D3392" s="3">
        <f>IFERROR(__xludf.DUMMYFUNCTION("""COMPUTED_VALUE"""),14.0)</f>
        <v>14</v>
      </c>
      <c r="E3392" s="1"/>
    </row>
    <row r="3393">
      <c r="A3393" s="1"/>
      <c r="B3393" s="3" t="str">
        <f>IFERROR(__xludf.DUMMYFUNCTION("""COMPUTED_VALUE"""),"SINDY MELANI")</f>
        <v>SINDY MELANI</v>
      </c>
      <c r="C3393" s="3" t="str">
        <f>IFERROR(__xludf.DUMMYFUNCTION("""COMPUTED_VALUE"""),"S0026012309")</f>
        <v>S0026012309</v>
      </c>
      <c r="D3393" s="3">
        <f>IFERROR(__xludf.DUMMYFUNCTION("""COMPUTED_VALUE"""),25.0)</f>
        <v>25</v>
      </c>
      <c r="E3393" s="1"/>
    </row>
    <row r="3394">
      <c r="A3394" s="1"/>
      <c r="B3394" s="3" t="str">
        <f>IFERROR(__xludf.DUMMYFUNCTION("""COMPUTED_VALUE"""),"RACHMAT HIDAYAT")</f>
        <v>RACHMAT HIDAYAT</v>
      </c>
      <c r="C3394" s="3" t="str">
        <f>IFERROR(__xludf.DUMMYFUNCTION("""COMPUTED_VALUE"""),"R9326014910")</f>
        <v>R9326014910</v>
      </c>
      <c r="D3394" s="3">
        <f>IFERROR(__xludf.DUMMYFUNCTION("""COMPUTED_VALUE"""),33.0)</f>
        <v>33</v>
      </c>
      <c r="E3394" s="1"/>
    </row>
    <row r="3395">
      <c r="A3395" s="1"/>
      <c r="B3395" s="3" t="str">
        <f>IFERROR(__xludf.DUMMYFUNCTION("""COMPUTED_VALUE"""),"MAYONG ANDREAS ACIN")</f>
        <v>MAYONG ANDREAS ACIN</v>
      </c>
      <c r="C3395" s="3" t="str">
        <f>IFERROR(__xludf.DUMMYFUNCTION("""COMPUTED_VALUE"""),"M7226018910")</f>
        <v>M7226018910</v>
      </c>
      <c r="D3395" s="3">
        <f>IFERROR(__xludf.DUMMYFUNCTION("""COMPUTED_VALUE"""),54.0)</f>
        <v>54</v>
      </c>
      <c r="E3395" s="1"/>
    </row>
    <row r="3396">
      <c r="A3396" s="1"/>
      <c r="B3396" s="3" t="str">
        <f>IFERROR(__xludf.DUMMYFUNCTION("""COMPUTED_VALUE"""),"M ADY SOEPIANSYAH")</f>
        <v>M ADY SOEPIANSYAH</v>
      </c>
      <c r="C3396" s="3" t="str">
        <f>IFERROR(__xludf.DUMMYFUNCTION("""COMPUTED_VALUE"""),"M9326010051")</f>
        <v>M9326010051</v>
      </c>
      <c r="D3396" s="3">
        <f>IFERROR(__xludf.DUMMYFUNCTION("""COMPUTED_VALUE"""),33.0)</f>
        <v>33</v>
      </c>
      <c r="E3396" s="1"/>
    </row>
    <row r="3397">
      <c r="A3397" s="1"/>
      <c r="B3397" s="3" t="str">
        <f>IFERROR(__xludf.DUMMYFUNCTION("""COMPUTED_VALUE"""),"LENNY MARBUN")</f>
        <v>LENNY MARBUN</v>
      </c>
      <c r="C3397" s="3" t="str">
        <f>IFERROR(__xludf.DUMMYFUNCTION("""COMPUTED_VALUE"""),"L7926015599")</f>
        <v>L7926015599</v>
      </c>
      <c r="D3397" s="3">
        <f>IFERROR(__xludf.DUMMYFUNCTION("""COMPUTED_VALUE"""),46.0)</f>
        <v>46</v>
      </c>
      <c r="E3397" s="1"/>
    </row>
    <row r="3398">
      <c r="A3398" s="1"/>
      <c r="B3398" s="3" t="str">
        <f>IFERROR(__xludf.DUMMYFUNCTION("""COMPUTED_VALUE"""),"SHELIN XAVIERA SALAM")</f>
        <v>SHELIN XAVIERA SALAM</v>
      </c>
      <c r="C3398" s="3" t="str">
        <f>IFERROR(__xludf.DUMMYFUNCTION("""COMPUTED_VALUE"""),"S1926017999")</f>
        <v>S1926017999</v>
      </c>
      <c r="D3398" s="3">
        <f>IFERROR(__xludf.DUMMYFUNCTION("""COMPUTED_VALUE"""),6.0)</f>
        <v>6</v>
      </c>
      <c r="E3398" s="1"/>
    </row>
    <row r="3399">
      <c r="A3399" s="1"/>
      <c r="B3399" s="3" t="str">
        <f>IFERROR(__xludf.DUMMYFUNCTION("""COMPUTED_VALUE"""),"HANDRI")</f>
        <v>HANDRI</v>
      </c>
      <c r="C3399" s="3" t="str">
        <f>IFERROR(__xludf.DUMMYFUNCTION("""COMPUTED_VALUE"""),"H8826015369")</f>
        <v>H8826015369</v>
      </c>
      <c r="D3399" s="3">
        <f>IFERROR(__xludf.DUMMYFUNCTION("""COMPUTED_VALUE"""),37.0)</f>
        <v>37</v>
      </c>
      <c r="E3399" s="1"/>
    </row>
    <row r="3400">
      <c r="A3400" s="1"/>
      <c r="B3400" s="3" t="str">
        <f>IFERROR(__xludf.DUMMYFUNCTION("""COMPUTED_VALUE"""),"AGNES ROSELINA")</f>
        <v>AGNES ROSELINA</v>
      </c>
      <c r="C3400" s="3" t="str">
        <f>IFERROR(__xludf.DUMMYFUNCTION("""COMPUTED_VALUE"""),"A4526019334")</f>
        <v>A4526019334</v>
      </c>
      <c r="D3400" s="3">
        <f>IFERROR(__xludf.DUMMYFUNCTION("""COMPUTED_VALUE"""),80.0)</f>
        <v>80</v>
      </c>
      <c r="E3400" s="1"/>
    </row>
    <row r="3401">
      <c r="A3401" s="1"/>
      <c r="B3401" s="3" t="str">
        <f>IFERROR(__xludf.DUMMYFUNCTION("""COMPUTED_VALUE"""),"MARSIANUS DWI W. DONATUS")</f>
        <v>MARSIANUS DWI W. DONATUS</v>
      </c>
      <c r="C3401" s="3" t="str">
        <f>IFERROR(__xludf.DUMMYFUNCTION("""COMPUTED_VALUE"""),"M8926011825")</f>
        <v>M8926011825</v>
      </c>
      <c r="D3401" s="3">
        <f>IFERROR(__xludf.DUMMYFUNCTION("""COMPUTED_VALUE"""),37.0)</f>
        <v>37</v>
      </c>
      <c r="E3401" s="1"/>
    </row>
    <row r="3402">
      <c r="A3402" s="1"/>
      <c r="B3402" s="3" t="str">
        <f>IFERROR(__xludf.DUMMYFUNCTION("""COMPUTED_VALUE"""),"LAETITIA LAURA")</f>
        <v>LAETITIA LAURA</v>
      </c>
      <c r="C3402" s="3" t="str">
        <f>IFERROR(__xludf.DUMMYFUNCTION("""COMPUTED_VALUE"""),"L9226015300")</f>
        <v>L9226015300</v>
      </c>
      <c r="D3402" s="3">
        <f>IFERROR(__xludf.DUMMYFUNCTION("""COMPUTED_VALUE"""),33.0)</f>
        <v>33</v>
      </c>
      <c r="E3402" s="1"/>
    </row>
    <row r="3403">
      <c r="A3403" s="1"/>
      <c r="B3403" s="3" t="str">
        <f>IFERROR(__xludf.DUMMYFUNCTION("""COMPUTED_VALUE"""),"SUHARDI")</f>
        <v>SUHARDI</v>
      </c>
      <c r="C3403" s="3" t="str">
        <f>IFERROR(__xludf.DUMMYFUNCTION("""COMPUTED_VALUE"""),"S8126023178")</f>
        <v>S8126023178</v>
      </c>
      <c r="D3403" s="3">
        <f>IFERROR(__xludf.DUMMYFUNCTION("""COMPUTED_VALUE"""),45.0)</f>
        <v>45</v>
      </c>
      <c r="E3403" s="1"/>
    </row>
    <row r="3404">
      <c r="A3404" s="1"/>
      <c r="B3404" s="3" t="str">
        <f>IFERROR(__xludf.DUMMYFUNCTION("""COMPUTED_VALUE"""),"BHAKTI HARIMURTI")</f>
        <v>BHAKTI HARIMURTI</v>
      </c>
      <c r="C3404" s="3" t="str">
        <f>IFERROR(__xludf.DUMMYFUNCTION("""COMPUTED_VALUE"""),"B0826026211")</f>
        <v>B0826026211</v>
      </c>
      <c r="D3404" s="3">
        <f>IFERROR(__xludf.DUMMYFUNCTION("""COMPUTED_VALUE"""),18.0)</f>
        <v>18</v>
      </c>
      <c r="E3404" s="1"/>
    </row>
    <row r="3405">
      <c r="A3405" s="1"/>
      <c r="B3405" s="3" t="str">
        <f>IFERROR(__xludf.DUMMYFUNCTION("""COMPUTED_VALUE"""),"FENRIADI")</f>
        <v>FENRIADI</v>
      </c>
      <c r="C3405" s="3" t="str">
        <f>IFERROR(__xludf.DUMMYFUNCTION("""COMPUTED_VALUE"""),"F0126020468")</f>
        <v>F0126020468</v>
      </c>
      <c r="D3405" s="3">
        <f>IFERROR(__xludf.DUMMYFUNCTION("""COMPUTED_VALUE"""),25.0)</f>
        <v>25</v>
      </c>
      <c r="E3405" s="1"/>
    </row>
    <row r="3406">
      <c r="A3406" s="1"/>
      <c r="B3406" s="3" t="str">
        <f>IFERROR(__xludf.DUMMYFUNCTION("""COMPUTED_VALUE"""),"RIZQIROIHANMUSTOFA")</f>
        <v>RIZQIROIHANMUSTOFA</v>
      </c>
      <c r="C3406" s="3" t="str">
        <f>IFERROR(__xludf.DUMMYFUNCTION("""COMPUTED_VALUE"""),"R0526022599")</f>
        <v>R0526022599</v>
      </c>
      <c r="D3406" s="3">
        <f>IFERROR(__xludf.DUMMYFUNCTION("""COMPUTED_VALUE"""),20.0)</f>
        <v>20</v>
      </c>
      <c r="E3406" s="1"/>
    </row>
    <row r="3407">
      <c r="A3407" s="1"/>
      <c r="B3407" s="3" t="str">
        <f>IFERROR(__xludf.DUMMYFUNCTION("""COMPUTED_VALUE"""),"ADI RAHMANTO ")</f>
        <v>ADI RAHMANTO </v>
      </c>
      <c r="C3407" s="3" t="str">
        <f>IFERROR(__xludf.DUMMYFUNCTION("""COMPUTED_VALUE"""),"A8426023201")</f>
        <v>A8426023201</v>
      </c>
      <c r="D3407" s="3">
        <f>IFERROR(__xludf.DUMMYFUNCTION("""COMPUTED_VALUE"""),42.0)</f>
        <v>42</v>
      </c>
      <c r="E3407" s="1"/>
    </row>
    <row r="3408">
      <c r="A3408" s="1"/>
      <c r="B3408" s="3" t="str">
        <f>IFERROR(__xludf.DUMMYFUNCTION("""COMPUTED_VALUE"""),"EKA DEWI PRATIWI")</f>
        <v>EKA DEWI PRATIWI</v>
      </c>
      <c r="C3408" s="3" t="str">
        <f>IFERROR(__xludf.DUMMYFUNCTION("""COMPUTED_VALUE"""),"E8326023201")</f>
        <v>E8326023201</v>
      </c>
      <c r="D3408" s="3">
        <f>IFERROR(__xludf.DUMMYFUNCTION("""COMPUTED_VALUE"""),42.0)</f>
        <v>42</v>
      </c>
      <c r="E3408" s="1"/>
    </row>
    <row r="3409">
      <c r="A3409" s="1"/>
      <c r="B3409" s="3" t="str">
        <f>IFERROR(__xludf.DUMMYFUNCTION("""COMPUTED_VALUE"""),"AIRLANGGA RADITYA SYAFIQ")</f>
        <v>AIRLANGGA RADITYA SYAFIQ</v>
      </c>
      <c r="C3409" s="3" t="str">
        <f>IFERROR(__xludf.DUMMYFUNCTION("""COMPUTED_VALUE"""),"A1526023201")</f>
        <v>A1526023201</v>
      </c>
      <c r="D3409" s="3">
        <f>IFERROR(__xludf.DUMMYFUNCTION("""COMPUTED_VALUE"""),11.0)</f>
        <v>11</v>
      </c>
      <c r="E3409" s="1"/>
    </row>
    <row r="3410">
      <c r="A3410" s="1"/>
      <c r="B3410" s="3" t="str">
        <f>IFERROR(__xludf.DUMMYFUNCTION("""COMPUTED_VALUE"""),"RIKA ANGGRAINI")</f>
        <v>RIKA ANGGRAINI</v>
      </c>
      <c r="C3410" s="3" t="str">
        <f>IFERROR(__xludf.DUMMYFUNCTION("""COMPUTED_VALUE"""),"R8626021144")</f>
        <v>R8626021144</v>
      </c>
      <c r="D3410" s="3">
        <f>IFERROR(__xludf.DUMMYFUNCTION("""COMPUTED_VALUE"""),39.0)</f>
        <v>39</v>
      </c>
      <c r="E3410" s="1"/>
    </row>
    <row r="3411">
      <c r="A3411" s="1"/>
      <c r="B3411" s="3" t="str">
        <f>IFERROR(__xludf.DUMMYFUNCTION("""COMPUTED_VALUE"""),"ALBERT RENSEN LIUNARDY")</f>
        <v>ALBERT RENSEN LIUNARDY</v>
      </c>
      <c r="C3411" s="3" t="str">
        <f>IFERROR(__xludf.DUMMYFUNCTION("""COMPUTED_VALUE"""),"A0726020889")</f>
        <v>A0726020889</v>
      </c>
      <c r="D3411" s="3">
        <f>IFERROR(__xludf.DUMMYFUNCTION("""COMPUTED_VALUE"""),19.0)</f>
        <v>19</v>
      </c>
      <c r="E3411" s="1"/>
    </row>
    <row r="3412">
      <c r="A3412" s="1"/>
      <c r="B3412" s="3" t="str">
        <f>IFERROR(__xludf.DUMMYFUNCTION("""COMPUTED_VALUE"""),"NURILHAM IRSYAD")</f>
        <v>NURILHAM IRSYAD</v>
      </c>
      <c r="C3412" s="3" t="str">
        <f>IFERROR(__xludf.DUMMYFUNCTION("""COMPUTED_VALUE"""),"N0426026505")</f>
        <v>N0426026505</v>
      </c>
      <c r="D3412" s="3">
        <f>IFERROR(__xludf.DUMMYFUNCTION("""COMPUTED_VALUE"""),21.0)</f>
        <v>21</v>
      </c>
      <c r="E3412" s="1"/>
    </row>
    <row r="3413">
      <c r="A3413" s="1"/>
      <c r="B3413" s="3" t="str">
        <f>IFERROR(__xludf.DUMMYFUNCTION("""COMPUTED_VALUE"""),"YOHANES PELE KURNIAWAN")</f>
        <v>YOHANES PELE KURNIAWAN</v>
      </c>
      <c r="C3413" s="3" t="str">
        <f>IFERROR(__xludf.DUMMYFUNCTION("""COMPUTED_VALUE"""),"Y9426026691")</f>
        <v>Y9426026691</v>
      </c>
      <c r="D3413" s="3">
        <f>IFERROR(__xludf.DUMMYFUNCTION("""COMPUTED_VALUE"""),32.0)</f>
        <v>32</v>
      </c>
      <c r="E3413" s="1"/>
    </row>
    <row r="3414">
      <c r="A3414" s="1"/>
      <c r="B3414" s="3" t="str">
        <f>IFERROR(__xludf.DUMMYFUNCTION("""COMPUTED_VALUE"""),"SARIJEM")</f>
        <v>SARIJEM</v>
      </c>
      <c r="C3414" s="3" t="str">
        <f>IFERROR(__xludf.DUMMYFUNCTION("""COMPUTED_VALUE"""),"S5026020981")</f>
        <v>S5026020981</v>
      </c>
      <c r="D3414" s="3">
        <f>IFERROR(__xludf.DUMMYFUNCTION("""COMPUTED_VALUE"""),76.0)</f>
        <v>76</v>
      </c>
      <c r="E3414" s="1"/>
    </row>
    <row r="3415">
      <c r="A3415" s="1"/>
      <c r="B3415" s="3" t="str">
        <f>IFERROR(__xludf.DUMMYFUNCTION("""COMPUTED_VALUE"""),"BAYU YOGA ")</f>
        <v>BAYU YOGA </v>
      </c>
      <c r="C3415" s="3" t="str">
        <f>IFERROR(__xludf.DUMMYFUNCTION("""COMPUTED_VALUE"""),"B0026027579")</f>
        <v>B0026027579</v>
      </c>
      <c r="D3415" s="3">
        <f>IFERROR(__xludf.DUMMYFUNCTION("""COMPUTED_VALUE"""),25.0)</f>
        <v>25</v>
      </c>
      <c r="E3415" s="1"/>
    </row>
    <row r="3416">
      <c r="A3416" s="1"/>
      <c r="B3416" s="3" t="str">
        <f>IFERROR(__xludf.DUMMYFUNCTION("""COMPUTED_VALUE"""),"EDDY SANTOSO")</f>
        <v>EDDY SANTOSO</v>
      </c>
      <c r="C3416" s="3" t="str">
        <f>IFERROR(__xludf.DUMMYFUNCTION("""COMPUTED_VALUE"""),"E7026024999")</f>
        <v>E7026024999</v>
      </c>
      <c r="D3416" s="3">
        <f>IFERROR(__xludf.DUMMYFUNCTION("""COMPUTED_VALUE"""),56.0)</f>
        <v>56</v>
      </c>
      <c r="E3416" s="1"/>
    </row>
    <row r="3417">
      <c r="A3417" s="1"/>
      <c r="B3417" s="3" t="str">
        <f>IFERROR(__xludf.DUMMYFUNCTION("""COMPUTED_VALUE"""),"TARMANTO")</f>
        <v>TARMANTO</v>
      </c>
      <c r="C3417" s="3" t="str">
        <f>IFERROR(__xludf.DUMMYFUNCTION("""COMPUTED_VALUE"""),"T8526022425")</f>
        <v>T8526022425</v>
      </c>
      <c r="D3417" s="3">
        <f>IFERROR(__xludf.DUMMYFUNCTION("""COMPUTED_VALUE"""),40.0)</f>
        <v>40</v>
      </c>
      <c r="E3417" s="1"/>
    </row>
    <row r="3418">
      <c r="A3418" s="1"/>
      <c r="B3418" s="3" t="str">
        <f>IFERROR(__xludf.DUMMYFUNCTION("""COMPUTED_VALUE"""),"BAMBANG DWIPOJONO")</f>
        <v>BAMBANG DWIPOJONO</v>
      </c>
      <c r="C3418" s="3" t="str">
        <f>IFERROR(__xludf.DUMMYFUNCTION("""COMPUTED_VALUE"""),"B7026021215")</f>
        <v>B7026021215</v>
      </c>
      <c r="D3418" s="3">
        <f>IFERROR(__xludf.DUMMYFUNCTION("""COMPUTED_VALUE"""),55.0)</f>
        <v>55</v>
      </c>
      <c r="E3418" s="1"/>
    </row>
    <row r="3419">
      <c r="A3419" s="1"/>
      <c r="B3419" s="3" t="str">
        <f>IFERROR(__xludf.DUMMYFUNCTION("""COMPUTED_VALUE"""),"MAIZA AFRIANI")</f>
        <v>MAIZA AFRIANI</v>
      </c>
      <c r="C3419" s="3" t="str">
        <f>IFERROR(__xludf.DUMMYFUNCTION("""COMPUTED_VALUE"""),"M0226020373")</f>
        <v>M0226020373</v>
      </c>
      <c r="D3419" s="3">
        <f>IFERROR(__xludf.DUMMYFUNCTION("""COMPUTED_VALUE"""),23.0)</f>
        <v>23</v>
      </c>
      <c r="E3419" s="1"/>
    </row>
    <row r="3420">
      <c r="A3420" s="1"/>
      <c r="B3420" s="3" t="str">
        <f>IFERROR(__xludf.DUMMYFUNCTION("""COMPUTED_VALUE"""),"ALEXANDER PUTRA DARMADI")</f>
        <v>ALEXANDER PUTRA DARMADI</v>
      </c>
      <c r="C3420" s="3" t="str">
        <f>IFERROR(__xludf.DUMMYFUNCTION("""COMPUTED_VALUE"""),"A0926020100")</f>
        <v>A0926020100</v>
      </c>
      <c r="D3420" s="3">
        <f>IFERROR(__xludf.DUMMYFUNCTION("""COMPUTED_VALUE"""),17.0)</f>
        <v>17</v>
      </c>
      <c r="E3420" s="1"/>
    </row>
    <row r="3421">
      <c r="A3421" s="1"/>
      <c r="B3421" s="3" t="str">
        <f>IFERROR(__xludf.DUMMYFUNCTION("""COMPUTED_VALUE"""),"NABILA SEPTRIA NINGRUM")</f>
        <v>NABILA SEPTRIA NINGRUM</v>
      </c>
      <c r="C3421" s="3" t="str">
        <f>IFERROR(__xludf.DUMMYFUNCTION("""COMPUTED_VALUE"""),"N0326023310")</f>
        <v>N0326023310</v>
      </c>
      <c r="D3421" s="3">
        <f>IFERROR(__xludf.DUMMYFUNCTION("""COMPUTED_VALUE"""),22.0)</f>
        <v>22</v>
      </c>
      <c r="E3421" s="1"/>
    </row>
    <row r="3422">
      <c r="A3422" s="1"/>
      <c r="B3422" s="3" t="str">
        <f>IFERROR(__xludf.DUMMYFUNCTION("""COMPUTED_VALUE"""),"WIDI TRIYANTO")</f>
        <v>WIDI TRIYANTO</v>
      </c>
      <c r="C3422" s="3" t="str">
        <f>IFERROR(__xludf.DUMMYFUNCTION("""COMPUTED_VALUE"""),"W0826026441")</f>
        <v>W0826026441</v>
      </c>
      <c r="D3422" s="3">
        <f>IFERROR(__xludf.DUMMYFUNCTION("""COMPUTED_VALUE"""),18.0)</f>
        <v>18</v>
      </c>
      <c r="E3422" s="1"/>
    </row>
    <row r="3423">
      <c r="A3423" s="1"/>
      <c r="B3423" s="3" t="str">
        <f>IFERROR(__xludf.DUMMYFUNCTION("""COMPUTED_VALUE"""),"NG LIP TJIU")</f>
        <v>NG LIP TJIU</v>
      </c>
      <c r="C3423" s="3" t="str">
        <f>IFERROR(__xludf.DUMMYFUNCTION("""COMPUTED_VALUE"""),"N5726026689")</f>
        <v>N5726026689</v>
      </c>
      <c r="D3423" s="3">
        <f>IFERROR(__xludf.DUMMYFUNCTION("""COMPUTED_VALUE"""),68.0)</f>
        <v>68</v>
      </c>
      <c r="E3423" s="1"/>
    </row>
    <row r="3424">
      <c r="A3424" s="1"/>
      <c r="B3424" s="3" t="str">
        <f>IFERROR(__xludf.DUMMYFUNCTION("""COMPUTED_VALUE"""),"HARISYAH BANDIANTO ")</f>
        <v>HARISYAH BANDIANTO </v>
      </c>
      <c r="C3424" s="3" t="str">
        <f>IFERROR(__xludf.DUMMYFUNCTION("""COMPUTED_VALUE"""),"H0126027941")</f>
        <v>H0126027941</v>
      </c>
      <c r="D3424" s="3">
        <f>IFERROR(__xludf.DUMMYFUNCTION("""COMPUTED_VALUE"""),24.0)</f>
        <v>24</v>
      </c>
      <c r="E3424" s="1"/>
    </row>
    <row r="3425">
      <c r="A3425" s="1"/>
      <c r="B3425" s="3" t="str">
        <f>IFERROR(__xludf.DUMMYFUNCTION("""COMPUTED_VALUE"""),"HENGKY TANUWIJAYA")</f>
        <v>HENGKY TANUWIJAYA</v>
      </c>
      <c r="C3425" s="3" t="str">
        <f>IFERROR(__xludf.DUMMYFUNCTION("""COMPUTED_VALUE"""),"H7626021976")</f>
        <v>H7626021976</v>
      </c>
      <c r="D3425" s="3">
        <f>IFERROR(__xludf.DUMMYFUNCTION("""COMPUTED_VALUE"""),50.0)</f>
        <v>50</v>
      </c>
      <c r="E3425" s="1"/>
    </row>
    <row r="3426">
      <c r="A3426" s="1"/>
      <c r="B3426" s="3" t="str">
        <f>IFERROR(__xludf.DUMMYFUNCTION("""COMPUTED_VALUE"""),"FEBRIANTO LIM")</f>
        <v>FEBRIANTO LIM</v>
      </c>
      <c r="C3426" s="3" t="str">
        <f>IFERROR(__xludf.DUMMYFUNCTION("""COMPUTED_VALUE"""),"F9626022801")</f>
        <v>F9626022801</v>
      </c>
      <c r="D3426" s="3">
        <f>IFERROR(__xludf.DUMMYFUNCTION("""COMPUTED_VALUE"""),30.0)</f>
        <v>30</v>
      </c>
      <c r="E3426" s="1"/>
    </row>
    <row r="3427">
      <c r="A3427" s="1"/>
      <c r="B3427" s="3" t="str">
        <f>IFERROR(__xludf.DUMMYFUNCTION("""COMPUTED_VALUE"""),"LIM GEK KHIANG")</f>
        <v>LIM GEK KHIANG</v>
      </c>
      <c r="C3427" s="3" t="str">
        <f>IFERROR(__xludf.DUMMYFUNCTION("""COMPUTED_VALUE"""),"L5926020168")</f>
        <v>L5926020168</v>
      </c>
      <c r="D3427" s="3">
        <f>IFERROR(__xludf.DUMMYFUNCTION("""COMPUTED_VALUE"""),66.0)</f>
        <v>66</v>
      </c>
      <c r="E3427" s="1"/>
    </row>
    <row r="3428">
      <c r="A3428" s="1"/>
      <c r="B3428" s="3" t="str">
        <f>IFERROR(__xludf.DUMMYFUNCTION("""COMPUTED_VALUE"""),"OKTAVIANA ")</f>
        <v>OKTAVIANA </v>
      </c>
      <c r="C3428" s="3" t="str">
        <f>IFERROR(__xludf.DUMMYFUNCTION("""COMPUTED_VALUE"""),"O0426023127")</f>
        <v>O0426023127</v>
      </c>
      <c r="D3428" s="3">
        <f>IFERROR(__xludf.DUMMYFUNCTION("""COMPUTED_VALUE"""),21.0)</f>
        <v>21</v>
      </c>
      <c r="E3428" s="1"/>
    </row>
    <row r="3429">
      <c r="A3429" s="1"/>
      <c r="B3429" s="3" t="str">
        <f>IFERROR(__xludf.DUMMYFUNCTION("""COMPUTED_VALUE"""),"ERMINA")</f>
        <v>ERMINA</v>
      </c>
      <c r="C3429" s="3" t="str">
        <f>IFERROR(__xludf.DUMMYFUNCTION("""COMPUTED_VALUE"""),"E6726020415")</f>
        <v>E6726020415</v>
      </c>
      <c r="D3429" s="3">
        <f>IFERROR(__xludf.DUMMYFUNCTION("""COMPUTED_VALUE"""),59.0)</f>
        <v>59</v>
      </c>
      <c r="E3429" s="1"/>
    </row>
    <row r="3430">
      <c r="A3430" s="1"/>
      <c r="B3430" s="3" t="str">
        <f>IFERROR(__xludf.DUMMYFUNCTION("""COMPUTED_VALUE"""),"RIA DWI ANJANI")</f>
        <v>RIA DWI ANJANI</v>
      </c>
      <c r="C3430" s="3" t="str">
        <f>IFERROR(__xludf.DUMMYFUNCTION("""COMPUTED_VALUE"""),"R0326025528")</f>
        <v>R0326025528</v>
      </c>
      <c r="D3430" s="3">
        <f>IFERROR(__xludf.DUMMYFUNCTION("""COMPUTED_VALUE"""),23.0)</f>
        <v>23</v>
      </c>
      <c r="E3430" s="1"/>
    </row>
    <row r="3431">
      <c r="A3431" s="1"/>
      <c r="B3431" s="3" t="str">
        <f>IFERROR(__xludf.DUMMYFUNCTION("""COMPUTED_VALUE"""),"ADZAN AMMAR WANDI")</f>
        <v>ADZAN AMMAR WANDI</v>
      </c>
      <c r="C3431" s="3" t="str">
        <f>IFERROR(__xludf.DUMMYFUNCTION("""COMPUTED_VALUE"""),"A9626027764")</f>
        <v>A9626027764</v>
      </c>
      <c r="D3431" s="3">
        <f>IFERROR(__xludf.DUMMYFUNCTION("""COMPUTED_VALUE"""),29.0)</f>
        <v>29</v>
      </c>
      <c r="E3431" s="1"/>
    </row>
    <row r="3432">
      <c r="A3432" s="1"/>
      <c r="B3432" s="3" t="str">
        <f>IFERROR(__xludf.DUMMYFUNCTION("""COMPUTED_VALUE"""),"ASRIANI")</f>
        <v>ASRIANI</v>
      </c>
      <c r="C3432" s="3" t="str">
        <f>IFERROR(__xludf.DUMMYFUNCTION("""COMPUTED_VALUE"""),"A7126027657")</f>
        <v>A7126027657</v>
      </c>
      <c r="D3432" s="3">
        <f>IFERROR(__xludf.DUMMYFUNCTION("""COMPUTED_VALUE"""),55.0)</f>
        <v>55</v>
      </c>
      <c r="E3432" s="1"/>
    </row>
    <row r="3433">
      <c r="A3433" s="1"/>
      <c r="B3433" s="3" t="str">
        <f>IFERROR(__xludf.DUMMYFUNCTION("""COMPUTED_VALUE"""),"SIWA PRANATA")</f>
        <v>SIWA PRANATA</v>
      </c>
      <c r="C3433" s="3" t="str">
        <f>IFERROR(__xludf.DUMMYFUNCTION("""COMPUTED_VALUE"""),"S0126025301")</f>
        <v>S0126025301</v>
      </c>
      <c r="D3433" s="3">
        <f>IFERROR(__xludf.DUMMYFUNCTION("""COMPUTED_VALUE"""),24.0)</f>
        <v>24</v>
      </c>
      <c r="E3433" s="1"/>
    </row>
    <row r="3434">
      <c r="A3434" s="1"/>
      <c r="B3434" s="3" t="str">
        <f>IFERROR(__xludf.DUMMYFUNCTION("""COMPUTED_VALUE"""),"YANUARTI ")</f>
        <v>YANUARTI </v>
      </c>
      <c r="C3434" s="3" t="str">
        <f>IFERROR(__xludf.DUMMYFUNCTION("""COMPUTED_VALUE"""),"Y6226026451")</f>
        <v>Y6226026451</v>
      </c>
      <c r="D3434" s="3">
        <f>IFERROR(__xludf.DUMMYFUNCTION("""COMPUTED_VALUE"""),64.0)</f>
        <v>64</v>
      </c>
      <c r="E3434" s="1"/>
    </row>
    <row r="3435">
      <c r="A3435" s="1"/>
      <c r="B3435" s="3" t="str">
        <f>IFERROR(__xludf.DUMMYFUNCTION("""COMPUTED_VALUE"""),"IRA NORMA PERTIWI")</f>
        <v>IRA NORMA PERTIWI</v>
      </c>
      <c r="C3435" s="3" t="str">
        <f>IFERROR(__xludf.DUMMYFUNCTION("""COMPUTED_VALUE"""),"I9926028096")</f>
        <v>I9926028096</v>
      </c>
      <c r="D3435" s="3">
        <f>IFERROR(__xludf.DUMMYFUNCTION("""COMPUTED_VALUE"""),26.0)</f>
        <v>26</v>
      </c>
      <c r="E3435" s="1"/>
    </row>
    <row r="3436">
      <c r="A3436" s="1"/>
      <c r="B3436" s="3" t="str">
        <f>IFERROR(__xludf.DUMMYFUNCTION("""COMPUTED_VALUE"""),"AHMAD NAUFAL WIRDIYAN")</f>
        <v>AHMAD NAUFAL WIRDIYAN</v>
      </c>
      <c r="C3436" s="3" t="str">
        <f>IFERROR(__xludf.DUMMYFUNCTION("""COMPUTED_VALUE"""),"A0226022275")</f>
        <v>A0226022275</v>
      </c>
      <c r="D3436" s="3">
        <f>IFERROR(__xludf.DUMMYFUNCTION("""COMPUTED_VALUE"""),23.0)</f>
        <v>23</v>
      </c>
      <c r="E3436" s="1"/>
    </row>
    <row r="3437">
      <c r="A3437" s="1"/>
      <c r="B3437" s="3" t="str">
        <f>IFERROR(__xludf.DUMMYFUNCTION("""COMPUTED_VALUE"""),"JONO")</f>
        <v>JONO</v>
      </c>
      <c r="C3437" s="3" t="str">
        <f>IFERROR(__xludf.DUMMYFUNCTION("""COMPUTED_VALUE"""),"J8426026422")</f>
        <v>J8426026422</v>
      </c>
      <c r="D3437" s="3">
        <f>IFERROR(__xludf.DUMMYFUNCTION("""COMPUTED_VALUE"""),41.0)</f>
        <v>41</v>
      </c>
      <c r="E3437" s="1"/>
    </row>
    <row r="3438">
      <c r="A3438" s="1"/>
      <c r="B3438" s="3" t="str">
        <f>IFERROR(__xludf.DUMMYFUNCTION("""COMPUTED_VALUE"""),"YOLA PRAVIKA")</f>
        <v>YOLA PRAVIKA</v>
      </c>
      <c r="C3438" s="3" t="str">
        <f>IFERROR(__xludf.DUMMYFUNCTION("""COMPUTED_VALUE"""),"Y8726022236")</f>
        <v>Y8726022236</v>
      </c>
      <c r="D3438" s="3">
        <f>IFERROR(__xludf.DUMMYFUNCTION("""COMPUTED_VALUE"""),39.0)</f>
        <v>39</v>
      </c>
      <c r="E3438" s="1"/>
    </row>
    <row r="3439">
      <c r="A3439" s="1"/>
      <c r="B3439" s="3" t="str">
        <f>IFERROR(__xludf.DUMMYFUNCTION("""COMPUTED_VALUE"""),"VIVIANI")</f>
        <v>VIVIANI</v>
      </c>
      <c r="C3439" s="3" t="str">
        <f>IFERROR(__xludf.DUMMYFUNCTION("""COMPUTED_VALUE"""),"V9626028800")</f>
        <v>V9626028800</v>
      </c>
      <c r="D3439" s="3">
        <f>IFERROR(__xludf.DUMMYFUNCTION("""COMPUTED_VALUE"""),29.0)</f>
        <v>29</v>
      </c>
      <c r="E3439" s="1"/>
    </row>
    <row r="3440">
      <c r="A3440" s="1"/>
      <c r="B3440" s="3" t="str">
        <f>IFERROR(__xludf.DUMMYFUNCTION("""COMPUTED_VALUE"""),"ACHMAD MAULANA")</f>
        <v>ACHMAD MAULANA</v>
      </c>
      <c r="C3440" s="3" t="str">
        <f>IFERROR(__xludf.DUMMYFUNCTION("""COMPUTED_VALUE"""),"A8526029500")</f>
        <v>A8526029500</v>
      </c>
      <c r="D3440" s="3">
        <f>IFERROR(__xludf.DUMMYFUNCTION("""COMPUTED_VALUE"""),41.0)</f>
        <v>41</v>
      </c>
      <c r="E3440" s="1"/>
    </row>
    <row r="3441">
      <c r="A3441" s="1"/>
      <c r="B3441" s="3" t="str">
        <f>IFERROR(__xludf.DUMMYFUNCTION("""COMPUTED_VALUE"""),"VINA")</f>
        <v>VINA</v>
      </c>
      <c r="C3441" s="3" t="str">
        <f>IFERROR(__xludf.DUMMYFUNCTION("""COMPUTED_VALUE"""),"V8726021762")</f>
        <v>V8726021762</v>
      </c>
      <c r="D3441" s="3">
        <f>IFERROR(__xludf.DUMMYFUNCTION("""COMPUTED_VALUE"""),39.0)</f>
        <v>39</v>
      </c>
      <c r="E3441" s="1"/>
    </row>
    <row r="3442">
      <c r="A3442" s="1"/>
      <c r="B3442" s="3" t="str">
        <f>IFERROR(__xludf.DUMMYFUNCTION("""COMPUTED_VALUE"""),"IR DARLIYUS")</f>
        <v>IR DARLIYUS</v>
      </c>
      <c r="C3442" s="3" t="str">
        <f>IFERROR(__xludf.DUMMYFUNCTION("""COMPUTED_VALUE"""),"I5826026210")</f>
        <v>I5826026210</v>
      </c>
      <c r="D3442" s="3">
        <f>IFERROR(__xludf.DUMMYFUNCTION("""COMPUTED_VALUE"""),68.0)</f>
        <v>68</v>
      </c>
      <c r="E3442" s="1"/>
    </row>
    <row r="3443">
      <c r="A3443" s="1"/>
      <c r="B3443" s="3" t="str">
        <f>IFERROR(__xludf.DUMMYFUNCTION("""COMPUTED_VALUE"""),"DHIPA RADITYA ")</f>
        <v>DHIPA RADITYA </v>
      </c>
      <c r="C3443" s="3" t="str">
        <f>IFERROR(__xludf.DUMMYFUNCTION("""COMPUTED_VALUE"""),"D8926021352")</f>
        <v>D8926021352</v>
      </c>
      <c r="D3443" s="3">
        <f>IFERROR(__xludf.DUMMYFUNCTION("""COMPUTED_VALUE"""),37.0)</f>
        <v>37</v>
      </c>
      <c r="E3443" s="1"/>
    </row>
    <row r="3444">
      <c r="A3444" s="1"/>
      <c r="B3444" s="3" t="str">
        <f>IFERROR(__xludf.DUMMYFUNCTION("""COMPUTED_VALUE"""),"OBED ROBBANI")</f>
        <v>OBED ROBBANI</v>
      </c>
      <c r="C3444" s="3" t="str">
        <f>IFERROR(__xludf.DUMMYFUNCTION("""COMPUTED_VALUE"""),"O9926020173")</f>
        <v>O9926020173</v>
      </c>
      <c r="D3444" s="3">
        <f>IFERROR(__xludf.DUMMYFUNCTION("""COMPUTED_VALUE"""),27.0)</f>
        <v>27</v>
      </c>
      <c r="E3444" s="1"/>
    </row>
    <row r="3445">
      <c r="A3445" s="1"/>
      <c r="B3445" s="3" t="str">
        <f>IFERROR(__xludf.DUMMYFUNCTION("""COMPUTED_VALUE"""),"DIAN PRAMANA RAHAYU")</f>
        <v>DIAN PRAMANA RAHAYU</v>
      </c>
      <c r="C3445" s="3" t="str">
        <f>IFERROR(__xludf.DUMMYFUNCTION("""COMPUTED_VALUE"""),"D8926026427")</f>
        <v>D8926026427</v>
      </c>
      <c r="D3445" s="3">
        <f>IFERROR(__xludf.DUMMYFUNCTION("""COMPUTED_VALUE"""),37.0)</f>
        <v>37</v>
      </c>
      <c r="E3445" s="1"/>
    </row>
    <row r="3446">
      <c r="A3446" s="1"/>
      <c r="B3446" s="3" t="str">
        <f>IFERROR(__xludf.DUMMYFUNCTION("""COMPUTED_VALUE"""),"TRI SETIAWAN LUSLIM")</f>
        <v>TRI SETIAWAN LUSLIM</v>
      </c>
      <c r="C3446" s="3" t="str">
        <f>IFERROR(__xludf.DUMMYFUNCTION("""COMPUTED_VALUE"""),"T9426027037")</f>
        <v>T9426027037</v>
      </c>
      <c r="D3446" s="3">
        <f>IFERROR(__xludf.DUMMYFUNCTION("""COMPUTED_VALUE"""),32.0)</f>
        <v>32</v>
      </c>
      <c r="E3446" s="1"/>
    </row>
    <row r="3447">
      <c r="A3447" s="1"/>
      <c r="B3447" s="3" t="str">
        <f>IFERROR(__xludf.DUMMYFUNCTION("""COMPUTED_VALUE"""),"SUMIATI 7409")</f>
        <v>SUMIATI 7409</v>
      </c>
      <c r="C3447" s="3" t="str">
        <f>IFERROR(__xludf.DUMMYFUNCTION("""COMPUTED_VALUE"""),"S7426027751")</f>
        <v>S7426027751</v>
      </c>
      <c r="D3447" s="3">
        <f>IFERROR(__xludf.DUMMYFUNCTION("""COMPUTED_VALUE"""),51.0)</f>
        <v>51</v>
      </c>
      <c r="E3447" s="1"/>
    </row>
    <row r="3448">
      <c r="A3448" s="1"/>
      <c r="B3448" s="3" t="str">
        <f>IFERROR(__xludf.DUMMYFUNCTION("""COMPUTED_VALUE"""),"OSCAR ASTRAYANANDA")</f>
        <v>OSCAR ASTRAYANANDA</v>
      </c>
      <c r="C3448" s="3" t="str">
        <f>IFERROR(__xludf.DUMMYFUNCTION("""COMPUTED_VALUE"""),"O0126022252")</f>
        <v>O0126022252</v>
      </c>
      <c r="D3448" s="3">
        <f>IFERROR(__xludf.DUMMYFUNCTION("""COMPUTED_VALUE"""),24.0)</f>
        <v>24</v>
      </c>
      <c r="E3448" s="1"/>
    </row>
    <row r="3449">
      <c r="A3449" s="1"/>
      <c r="B3449" s="3" t="str">
        <f>IFERROR(__xludf.DUMMYFUNCTION("""COMPUTED_VALUE"""),"SUHADA")</f>
        <v>SUHADA</v>
      </c>
      <c r="C3449" s="3" t="str">
        <f>IFERROR(__xludf.DUMMYFUNCTION("""COMPUTED_VALUE"""),"S6126024287")</f>
        <v>S6126024287</v>
      </c>
      <c r="D3449" s="3">
        <f>IFERROR(__xludf.DUMMYFUNCTION("""COMPUTED_VALUE"""),64.0)</f>
        <v>64</v>
      </c>
      <c r="E3449" s="1"/>
    </row>
    <row r="3450">
      <c r="A3450" s="1"/>
      <c r="B3450" s="3" t="str">
        <f>IFERROR(__xludf.DUMMYFUNCTION("""COMPUTED_VALUE"""),"RAMNAH")</f>
        <v>RAMNAH</v>
      </c>
      <c r="C3450" s="3" t="str">
        <f>IFERROR(__xludf.DUMMYFUNCTION("""COMPUTED_VALUE"""),"R6426023001")</f>
        <v>R6426023001</v>
      </c>
      <c r="D3450" s="3">
        <f>IFERROR(__xludf.DUMMYFUNCTION("""COMPUTED_VALUE"""),61.0)</f>
        <v>61</v>
      </c>
      <c r="E3450" s="1"/>
    </row>
    <row r="3451">
      <c r="A3451" s="1"/>
      <c r="B3451" s="3" t="str">
        <f>IFERROR(__xludf.DUMMYFUNCTION("""COMPUTED_VALUE"""),"TAN BE LEI")</f>
        <v>TAN BE LEI</v>
      </c>
      <c r="C3451" s="3" t="str">
        <f>IFERROR(__xludf.DUMMYFUNCTION("""COMPUTED_VALUE"""),"T7226027737")</f>
        <v>T7226027737</v>
      </c>
      <c r="D3451" s="3">
        <f>IFERROR(__xludf.DUMMYFUNCTION("""COMPUTED_VALUE"""),53.0)</f>
        <v>53</v>
      </c>
      <c r="E3451" s="1"/>
    </row>
    <row r="3452">
      <c r="A3452" s="1"/>
      <c r="B3452" s="3" t="str">
        <f>IFERROR(__xludf.DUMMYFUNCTION("""COMPUTED_VALUE"""),"M.ZAINAL")</f>
        <v>M.ZAINAL</v>
      </c>
      <c r="C3452" s="3" t="str">
        <f>IFERROR(__xludf.DUMMYFUNCTION("""COMPUTED_VALUE"""),"M9526020666")</f>
        <v>M9526020666</v>
      </c>
      <c r="D3452" s="3">
        <f>IFERROR(__xludf.DUMMYFUNCTION("""COMPUTED_VALUE"""),30.0)</f>
        <v>30</v>
      </c>
      <c r="E3452" s="1"/>
    </row>
    <row r="3453">
      <c r="A3453" s="1"/>
      <c r="B3453" s="3" t="str">
        <f>IFERROR(__xludf.DUMMYFUNCTION("""COMPUTED_VALUE"""),"TITA ROSITA")</f>
        <v>TITA ROSITA</v>
      </c>
      <c r="C3453" s="3" t="str">
        <f>IFERROR(__xludf.DUMMYFUNCTION("""COMPUTED_VALUE"""),"T9426029868")</f>
        <v>T9426029868</v>
      </c>
      <c r="D3453" s="3">
        <f>IFERROR(__xludf.DUMMYFUNCTION("""COMPUTED_VALUE"""),32.0)</f>
        <v>32</v>
      </c>
      <c r="E3453" s="1"/>
    </row>
    <row r="3454">
      <c r="A3454" s="1"/>
      <c r="B3454" s="3" t="str">
        <f>IFERROR(__xludf.DUMMYFUNCTION("""COMPUTED_VALUE"""),"DAHLIA 7206")</f>
        <v>DAHLIA 7206</v>
      </c>
      <c r="C3454" s="3" t="str">
        <f>IFERROR(__xludf.DUMMYFUNCTION("""COMPUTED_VALUE"""),"D7226025707")</f>
        <v>D7226025707</v>
      </c>
      <c r="D3454" s="3">
        <f>IFERROR(__xludf.DUMMYFUNCTION("""COMPUTED_VALUE"""),54.0)</f>
        <v>54</v>
      </c>
      <c r="E3454" s="1"/>
    </row>
    <row r="3455">
      <c r="A3455" s="1"/>
      <c r="B3455" s="3" t="str">
        <f>IFERROR(__xludf.DUMMYFUNCTION("""COMPUTED_VALUE"""),"NURSILA")</f>
        <v>NURSILA</v>
      </c>
      <c r="C3455" s="3" t="str">
        <f>IFERROR(__xludf.DUMMYFUNCTION("""COMPUTED_VALUE"""),"N7426020178")</f>
        <v>N7426020178</v>
      </c>
      <c r="D3455" s="3">
        <f>IFERROR(__xludf.DUMMYFUNCTION("""COMPUTED_VALUE"""),51.0)</f>
        <v>51</v>
      </c>
      <c r="E3455" s="1"/>
    </row>
    <row r="3456">
      <c r="A3456" s="1"/>
      <c r="B3456" s="3" t="str">
        <f>IFERROR(__xludf.DUMMYFUNCTION("""COMPUTED_VALUE"""),"JUNIARDI ")</f>
        <v>JUNIARDI </v>
      </c>
      <c r="C3456" s="3" t="str">
        <f>IFERROR(__xludf.DUMMYFUNCTION("""COMPUTED_VALUE"""),"J8126027501")</f>
        <v>J8126027501</v>
      </c>
      <c r="D3456" s="3">
        <f>IFERROR(__xludf.DUMMYFUNCTION("""COMPUTED_VALUE"""),44.0)</f>
        <v>44</v>
      </c>
      <c r="E3456" s="1"/>
    </row>
    <row r="3457">
      <c r="A3457" s="1"/>
      <c r="B3457" s="3" t="str">
        <f>IFERROR(__xludf.DUMMYFUNCTION("""COMPUTED_VALUE"""),"RIO RAMANDA ")</f>
        <v>RIO RAMANDA </v>
      </c>
      <c r="C3457" s="3" t="str">
        <f>IFERROR(__xludf.DUMMYFUNCTION("""COMPUTED_VALUE"""),"R9226027667")</f>
        <v>R9226027667</v>
      </c>
      <c r="D3457" s="3">
        <f>IFERROR(__xludf.DUMMYFUNCTION("""COMPUTED_VALUE"""),34.0)</f>
        <v>34</v>
      </c>
      <c r="E3457" s="1"/>
    </row>
    <row r="3458">
      <c r="A3458" s="1"/>
      <c r="B3458" s="3" t="str">
        <f>IFERROR(__xludf.DUMMYFUNCTION("""COMPUTED_VALUE"""),"ANDY PANJAYA")</f>
        <v>ANDY PANJAYA</v>
      </c>
      <c r="C3458" s="3" t="str">
        <f>IFERROR(__xludf.DUMMYFUNCTION("""COMPUTED_VALUE"""),"A0026025710")</f>
        <v>A0026025710</v>
      </c>
      <c r="D3458" s="3">
        <f>IFERROR(__xludf.DUMMYFUNCTION("""COMPUTED_VALUE"""),26.0)</f>
        <v>26</v>
      </c>
      <c r="E3458" s="1"/>
    </row>
    <row r="3459">
      <c r="A3459" s="1"/>
      <c r="B3459" s="3" t="str">
        <f>IFERROR(__xludf.DUMMYFUNCTION("""COMPUTED_VALUE"""),"MELISA")</f>
        <v>MELISA</v>
      </c>
      <c r="C3459" s="3" t="str">
        <f>IFERROR(__xludf.DUMMYFUNCTION("""COMPUTED_VALUE"""),"M9126021128")</f>
        <v>M9126021128</v>
      </c>
      <c r="D3459" s="3">
        <f>IFERROR(__xludf.DUMMYFUNCTION("""COMPUTED_VALUE"""),35.0)</f>
        <v>35</v>
      </c>
      <c r="E3459" s="1"/>
    </row>
    <row r="3460">
      <c r="A3460" s="1"/>
      <c r="B3460" s="3" t="str">
        <f>IFERROR(__xludf.DUMMYFUNCTION("""COMPUTED_VALUE"""),"ANIK LAILATUL NUTTAFIA")</f>
        <v>ANIK LAILATUL NUTTAFIA</v>
      </c>
      <c r="C3460" s="3" t="str">
        <f>IFERROR(__xludf.DUMMYFUNCTION("""COMPUTED_VALUE"""),"A8326026146")</f>
        <v>A8326026146</v>
      </c>
      <c r="D3460" s="3">
        <f>IFERROR(__xludf.DUMMYFUNCTION("""COMPUTED_VALUE"""),42.0)</f>
        <v>42</v>
      </c>
      <c r="E3460" s="1"/>
    </row>
    <row r="3461">
      <c r="A3461" s="1"/>
      <c r="B3461" s="3" t="str">
        <f>IFERROR(__xludf.DUMMYFUNCTION("""COMPUTED_VALUE"""),"BRILLIAN NINDY SEPTIA")</f>
        <v>BRILLIAN NINDY SEPTIA</v>
      </c>
      <c r="C3461" s="3" t="str">
        <f>IFERROR(__xludf.DUMMYFUNCTION("""COMPUTED_VALUE"""),"B0026020046")</f>
        <v>B0026020046</v>
      </c>
      <c r="D3461" s="3">
        <f>IFERROR(__xludf.DUMMYFUNCTION("""COMPUTED_VALUE"""),25.0)</f>
        <v>25</v>
      </c>
      <c r="E3461" s="1"/>
    </row>
    <row r="3462">
      <c r="A3462" s="1"/>
      <c r="B3462" s="3" t="str">
        <f>IFERROR(__xludf.DUMMYFUNCTION("""COMPUTED_VALUE"""),"EMI SETIAWATI ")</f>
        <v>EMI SETIAWATI </v>
      </c>
      <c r="C3462" s="3" t="str">
        <f>IFERROR(__xludf.DUMMYFUNCTION("""COMPUTED_VALUE"""),"E8026027511")</f>
        <v>E8026027511</v>
      </c>
      <c r="D3462" s="3">
        <f>IFERROR(__xludf.DUMMYFUNCTION("""COMPUTED_VALUE"""),46.0)</f>
        <v>46</v>
      </c>
      <c r="E3462" s="1"/>
    </row>
    <row r="3463">
      <c r="A3463" s="1"/>
      <c r="B3463" s="3" t="str">
        <f>IFERROR(__xludf.DUMMYFUNCTION("""COMPUTED_VALUE"""),"EDO FERNANDO")</f>
        <v>EDO FERNANDO</v>
      </c>
      <c r="C3463" s="3" t="str">
        <f>IFERROR(__xludf.DUMMYFUNCTION("""COMPUTED_VALUE"""),"E9226021965")</f>
        <v>E9226021965</v>
      </c>
      <c r="D3463" s="3">
        <f>IFERROR(__xludf.DUMMYFUNCTION("""COMPUTED_VALUE"""),34.0)</f>
        <v>34</v>
      </c>
      <c r="E3463" s="1"/>
    </row>
    <row r="3464">
      <c r="A3464" s="1"/>
      <c r="B3464" s="3" t="str">
        <f>IFERROR(__xludf.DUMMYFUNCTION("""COMPUTED_VALUE"""),"SILVIA 9003")</f>
        <v>SILVIA 9003</v>
      </c>
      <c r="C3464" s="3" t="str">
        <f>IFERROR(__xludf.DUMMYFUNCTION("""COMPUTED_VALUE"""),"S9026026333")</f>
        <v>S9026026333</v>
      </c>
      <c r="D3464" s="3">
        <f>IFERROR(__xludf.DUMMYFUNCTION("""COMPUTED_VALUE"""),36.0)</f>
        <v>36</v>
      </c>
      <c r="E3464" s="1"/>
    </row>
    <row r="3465">
      <c r="A3465" s="1"/>
      <c r="B3465" s="3" t="str">
        <f>IFERROR(__xludf.DUMMYFUNCTION("""COMPUTED_VALUE"""),"ANDRIE HANDOKO")</f>
        <v>ANDRIE HANDOKO</v>
      </c>
      <c r="C3465" s="3" t="str">
        <f>IFERROR(__xludf.DUMMYFUNCTION("""COMPUTED_VALUE"""),"A8226026007")</f>
        <v>A8226026007</v>
      </c>
      <c r="D3465" s="3">
        <f>IFERROR(__xludf.DUMMYFUNCTION("""COMPUTED_VALUE"""),44.0)</f>
        <v>44</v>
      </c>
      <c r="E3465" s="1"/>
    </row>
    <row r="3466">
      <c r="A3466" s="1"/>
      <c r="B3466" s="3" t="str">
        <f>IFERROR(__xludf.DUMMYFUNCTION("""COMPUTED_VALUE"""),"UMAR")</f>
        <v>UMAR</v>
      </c>
      <c r="C3466" s="3" t="str">
        <f>IFERROR(__xludf.DUMMYFUNCTION("""COMPUTED_VALUE"""),"U1826020689")</f>
        <v>U1826020689</v>
      </c>
      <c r="D3466" s="3">
        <f>IFERROR(__xludf.DUMMYFUNCTION("""COMPUTED_VALUE"""),8.0)</f>
        <v>8</v>
      </c>
      <c r="E3466" s="1"/>
    </row>
    <row r="3467">
      <c r="A3467" s="1"/>
      <c r="B3467" s="3" t="str">
        <f>IFERROR(__xludf.DUMMYFUNCTION("""COMPUTED_VALUE"""),"M. PATRA MARMARA")</f>
        <v>M. PATRA MARMARA</v>
      </c>
      <c r="C3467" s="3" t="str">
        <f>IFERROR(__xludf.DUMMYFUNCTION("""COMPUTED_VALUE"""),"M1526028978")</f>
        <v>M1526028978</v>
      </c>
      <c r="D3467" s="3">
        <f>IFERROR(__xludf.DUMMYFUNCTION("""COMPUTED_VALUE"""),11.0)</f>
        <v>11</v>
      </c>
      <c r="E3467" s="1"/>
    </row>
    <row r="3468">
      <c r="A3468" s="1"/>
      <c r="B3468" s="3" t="str">
        <f>IFERROR(__xludf.DUMMYFUNCTION("""COMPUTED_VALUE"""),"RUSMA APRIANSYAH")</f>
        <v>RUSMA APRIANSYAH</v>
      </c>
      <c r="C3468" s="3" t="str">
        <f>IFERROR(__xludf.DUMMYFUNCTION("""COMPUTED_VALUE"""),"R2626021560")</f>
        <v>R2626021560</v>
      </c>
      <c r="D3468" s="3">
        <f>IFERROR(__xludf.DUMMYFUNCTION("""COMPUTED_VALUE"""),0.0)</f>
        <v>0</v>
      </c>
      <c r="E3468" s="1"/>
    </row>
    <row r="3469">
      <c r="A3469" s="1"/>
      <c r="B3469" s="3" t="str">
        <f>IFERROR(__xludf.DUMMYFUNCTION("""COMPUTED_VALUE"""),"NICHOLAS NELSON NATHANIEL")</f>
        <v>NICHOLAS NELSON NATHANIEL</v>
      </c>
      <c r="C3469" s="3" t="str">
        <f>IFERROR(__xludf.DUMMYFUNCTION("""COMPUTED_VALUE"""),"N9926023699")</f>
        <v>N9926023699</v>
      </c>
      <c r="D3469" s="3">
        <f>IFERROR(__xludf.DUMMYFUNCTION("""COMPUTED_VALUE"""),27.0)</f>
        <v>27</v>
      </c>
      <c r="E3469" s="1"/>
    </row>
    <row r="3470">
      <c r="A3470" s="1"/>
      <c r="B3470" s="3" t="str">
        <f>IFERROR(__xludf.DUMMYFUNCTION("""COMPUTED_VALUE"""),"PATMAWATI 7309")</f>
        <v>PATMAWATI 7309</v>
      </c>
      <c r="C3470" s="3" t="str">
        <f>IFERROR(__xludf.DUMMYFUNCTION("""COMPUTED_VALUE"""),"P7326026755")</f>
        <v>P7326026755</v>
      </c>
      <c r="D3470" s="3">
        <f>IFERROR(__xludf.DUMMYFUNCTION("""COMPUTED_VALUE"""),52.0)</f>
        <v>52</v>
      </c>
      <c r="E3470" s="1"/>
    </row>
    <row r="3471">
      <c r="A3471" s="1"/>
      <c r="B3471" s="3" t="str">
        <f>IFERROR(__xludf.DUMMYFUNCTION("""COMPUTED_VALUE"""),"MUHAMMAD RIDHO ANSYORI")</f>
        <v>MUHAMMAD RIDHO ANSYORI</v>
      </c>
      <c r="C3471" s="3" t="str">
        <f>IFERROR(__xludf.DUMMYFUNCTION("""COMPUTED_VALUE"""),"M9726022994")</f>
        <v>M9726022994</v>
      </c>
      <c r="D3471" s="3">
        <f>IFERROR(__xludf.DUMMYFUNCTION("""COMPUTED_VALUE"""),28.0)</f>
        <v>28</v>
      </c>
      <c r="E3471" s="1"/>
    </row>
    <row r="3472">
      <c r="A3472" s="1"/>
      <c r="B3472" s="3" t="str">
        <f>IFERROR(__xludf.DUMMYFUNCTION("""COMPUTED_VALUE"""),"GEOSEPPE DE ANDREA MALDEO")</f>
        <v>GEOSEPPE DE ANDREA MALDEO</v>
      </c>
      <c r="C3472" s="3" t="str">
        <f>IFERROR(__xludf.DUMMYFUNCTION("""COMPUTED_VALUE"""),"G0026025006")</f>
        <v>G0026025006</v>
      </c>
      <c r="D3472" s="3">
        <f>IFERROR(__xludf.DUMMYFUNCTION("""COMPUTED_VALUE"""),25.0)</f>
        <v>25</v>
      </c>
      <c r="E3472" s="1"/>
    </row>
    <row r="3473">
      <c r="A3473" s="1"/>
      <c r="B3473" s="3" t="str">
        <f>IFERROR(__xludf.DUMMYFUNCTION("""COMPUTED_VALUE"""),"AZIZ HIDAYAT")</f>
        <v>AZIZ HIDAYAT</v>
      </c>
      <c r="C3473" s="3" t="str">
        <f>IFERROR(__xludf.DUMMYFUNCTION("""COMPUTED_VALUE"""),"A9626026767")</f>
        <v>A9626026767</v>
      </c>
      <c r="D3473" s="3">
        <f>IFERROR(__xludf.DUMMYFUNCTION("""COMPUTED_VALUE"""),29.0)</f>
        <v>29</v>
      </c>
      <c r="E3473" s="1"/>
    </row>
    <row r="3474">
      <c r="A3474" s="1"/>
      <c r="B3474" s="3" t="str">
        <f>IFERROR(__xludf.DUMMYFUNCTION("""COMPUTED_VALUE"""),"ICHSAN CHANDRA")</f>
        <v>ICHSAN CHANDRA</v>
      </c>
      <c r="C3474" s="3" t="str">
        <f>IFERROR(__xludf.DUMMYFUNCTION("""COMPUTED_VALUE"""),"I8926024111")</f>
        <v>I8926024111</v>
      </c>
      <c r="D3474" s="3">
        <f>IFERROR(__xludf.DUMMYFUNCTION("""COMPUTED_VALUE"""),37.0)</f>
        <v>37</v>
      </c>
      <c r="E3474" s="1"/>
    </row>
    <row r="3475">
      <c r="A3475" s="1"/>
      <c r="B3475" s="3" t="str">
        <f>IFERROR(__xludf.DUMMYFUNCTION("""COMPUTED_VALUE"""),"TJHOEA THENG KAK")</f>
        <v>TJHOEA THENG KAK</v>
      </c>
      <c r="C3475" s="3" t="str">
        <f>IFERROR(__xludf.DUMMYFUNCTION("""COMPUTED_VALUE"""),"T6526022598")</f>
        <v>T6526022598</v>
      </c>
      <c r="D3475" s="3">
        <f>IFERROR(__xludf.DUMMYFUNCTION("""COMPUTED_VALUE"""),61.0)</f>
        <v>61</v>
      </c>
      <c r="E3475" s="1"/>
    </row>
    <row r="3476">
      <c r="A3476" s="1"/>
      <c r="B3476" s="3" t="str">
        <f>IFERROR(__xludf.DUMMYFUNCTION("""COMPUTED_VALUE"""),"LIM LIE SIAM")</f>
        <v>LIM LIE SIAM</v>
      </c>
      <c r="C3476" s="3" t="str">
        <f>IFERROR(__xludf.DUMMYFUNCTION("""COMPUTED_VALUE"""),"L5626021159")</f>
        <v>L5626021159</v>
      </c>
      <c r="D3476" s="3">
        <f>IFERROR(__xludf.DUMMYFUNCTION("""COMPUTED_VALUE"""),69.0)</f>
        <v>69</v>
      </c>
      <c r="E3476" s="1"/>
    </row>
    <row r="3477">
      <c r="A3477" s="1"/>
      <c r="B3477" s="3" t="str">
        <f>IFERROR(__xludf.DUMMYFUNCTION("""COMPUTED_VALUE"""),"ELFIN ANUGERAH")</f>
        <v>ELFIN ANUGERAH</v>
      </c>
      <c r="C3477" s="3" t="str">
        <f>IFERROR(__xludf.DUMMYFUNCTION("""COMPUTED_VALUE"""),"E9926027335")</f>
        <v>E9926027335</v>
      </c>
      <c r="D3477" s="3">
        <f>IFERROR(__xludf.DUMMYFUNCTION("""COMPUTED_VALUE"""),26.0)</f>
        <v>26</v>
      </c>
      <c r="E3477" s="1"/>
    </row>
    <row r="3478">
      <c r="A3478" s="1"/>
      <c r="B3478" s="3" t="str">
        <f>IFERROR(__xludf.DUMMYFUNCTION("""COMPUTED_VALUE"""),"WILIANA")</f>
        <v>WILIANA</v>
      </c>
      <c r="C3478" s="3" t="str">
        <f>IFERROR(__xludf.DUMMYFUNCTION("""COMPUTED_VALUE"""),"W3926027576")</f>
        <v>W3926027576</v>
      </c>
      <c r="D3478" s="3">
        <f>IFERROR(__xludf.DUMMYFUNCTION("""COMPUTED_VALUE"""),87.0)</f>
        <v>87</v>
      </c>
      <c r="E3478" s="1"/>
    </row>
    <row r="3479">
      <c r="A3479" s="1"/>
      <c r="B3479" s="3" t="str">
        <f>IFERROR(__xludf.DUMMYFUNCTION("""COMPUTED_VALUE"""),"DWI RACHMAWAN")</f>
        <v>DWI RACHMAWAN</v>
      </c>
      <c r="C3479" s="3" t="str">
        <f>IFERROR(__xludf.DUMMYFUNCTION("""COMPUTED_VALUE"""),"D8826021979")</f>
        <v>D8826021979</v>
      </c>
      <c r="D3479" s="3">
        <f>IFERROR(__xludf.DUMMYFUNCTION("""COMPUTED_VALUE"""),38.0)</f>
        <v>38</v>
      </c>
      <c r="E3479" s="1"/>
    </row>
    <row r="3480">
      <c r="A3480" s="1"/>
      <c r="B3480" s="3" t="str">
        <f>IFERROR(__xludf.DUMMYFUNCTION("""COMPUTED_VALUE"""),"HANNY WULANDARI")</f>
        <v>HANNY WULANDARI</v>
      </c>
      <c r="C3480" s="3" t="str">
        <f>IFERROR(__xludf.DUMMYFUNCTION("""COMPUTED_VALUE"""),"H9726027223")</f>
        <v>H9726027223</v>
      </c>
      <c r="D3480" s="3">
        <f>IFERROR(__xludf.DUMMYFUNCTION("""COMPUTED_VALUE"""),29.0)</f>
        <v>29</v>
      </c>
      <c r="E3480" s="1"/>
    </row>
    <row r="3481">
      <c r="A3481" s="1"/>
      <c r="B3481" s="3" t="str">
        <f>IFERROR(__xludf.DUMMYFUNCTION("""COMPUTED_VALUE"""),"ZAENAL HASANUDDIN ")</f>
        <v>ZAENAL HASANUDDIN </v>
      </c>
      <c r="C3481" s="3" t="str">
        <f>IFERROR(__xludf.DUMMYFUNCTION("""COMPUTED_VALUE"""),"Z5726029834")</f>
        <v>Z5726029834</v>
      </c>
      <c r="D3481" s="3">
        <f>IFERROR(__xludf.DUMMYFUNCTION("""COMPUTED_VALUE"""),68.0)</f>
        <v>68</v>
      </c>
      <c r="E3481" s="1"/>
    </row>
    <row r="3482">
      <c r="A3482" s="1"/>
      <c r="B3482" s="3" t="str">
        <f>IFERROR(__xludf.DUMMYFUNCTION("""COMPUTED_VALUE"""),"TRI WIBOWO 9112")</f>
        <v>TRI WIBOWO 9112</v>
      </c>
      <c r="C3482" s="3" t="str">
        <f>IFERROR(__xludf.DUMMYFUNCTION("""COMPUTED_VALUE"""),"T9126022814")</f>
        <v>T9126022814</v>
      </c>
      <c r="D3482" s="3">
        <f>IFERROR(__xludf.DUMMYFUNCTION("""COMPUTED_VALUE"""),34.0)</f>
        <v>34</v>
      </c>
      <c r="E3482" s="1"/>
    </row>
    <row r="3483">
      <c r="A3483" s="1"/>
      <c r="B3483" s="3" t="str">
        <f>IFERROR(__xludf.DUMMYFUNCTION("""COMPUTED_VALUE"""),"ANA 1978")</f>
        <v>ANA 1978</v>
      </c>
      <c r="C3483" s="3" t="str">
        <f>IFERROR(__xludf.DUMMYFUNCTION("""COMPUTED_VALUE"""),"A7826023784")</f>
        <v>A7826023784</v>
      </c>
      <c r="D3483" s="3">
        <f>IFERROR(__xludf.DUMMYFUNCTION("""COMPUTED_VALUE"""),47.0)</f>
        <v>47</v>
      </c>
      <c r="E3483" s="1"/>
    </row>
    <row r="3484">
      <c r="A3484" s="1"/>
      <c r="B3484" s="3" t="str">
        <f>IFERROR(__xludf.DUMMYFUNCTION("""COMPUTED_VALUE"""),"SANTY RIA TJHIE")</f>
        <v>SANTY RIA TJHIE</v>
      </c>
      <c r="C3484" s="3" t="str">
        <f>IFERROR(__xludf.DUMMYFUNCTION("""COMPUTED_VALUE"""),"S5526020100")</f>
        <v>S5526020100</v>
      </c>
      <c r="D3484" s="3">
        <f>IFERROR(__xludf.DUMMYFUNCTION("""COMPUTED_VALUE"""),71.0)</f>
        <v>71</v>
      </c>
      <c r="E3484" s="1"/>
    </row>
    <row r="3485">
      <c r="A3485" s="1"/>
      <c r="B3485" s="3" t="str">
        <f>IFERROR(__xludf.DUMMYFUNCTION("""COMPUTED_VALUE"""),"ANDREAN CAHYONO")</f>
        <v>ANDREAN CAHYONO</v>
      </c>
      <c r="C3485" s="3" t="str">
        <f>IFERROR(__xludf.DUMMYFUNCTION("""COMPUTED_VALUE"""),"A9226023219")</f>
        <v>A9226023219</v>
      </c>
      <c r="D3485" s="3">
        <f>IFERROR(__xludf.DUMMYFUNCTION("""COMPUTED_VALUE"""),33.0)</f>
        <v>33</v>
      </c>
      <c r="E3485" s="1"/>
    </row>
    <row r="3486">
      <c r="A3486" s="1"/>
      <c r="B3486" s="3" t="str">
        <f>IFERROR(__xludf.DUMMYFUNCTION("""COMPUTED_VALUE"""),"SELVIA")</f>
        <v>SELVIA</v>
      </c>
      <c r="C3486" s="3" t="str">
        <f>IFERROR(__xludf.DUMMYFUNCTION("""COMPUTED_VALUE"""),"S9626026188")</f>
        <v>S9626026188</v>
      </c>
      <c r="D3486" s="3">
        <f>IFERROR(__xludf.DUMMYFUNCTION("""COMPUTED_VALUE"""),29.0)</f>
        <v>29</v>
      </c>
      <c r="E3486" s="1"/>
    </row>
    <row r="3487">
      <c r="A3487" s="1"/>
      <c r="B3487" s="3" t="str">
        <f>IFERROR(__xludf.DUMMYFUNCTION("""COMPUTED_VALUE"""),"TUTUT RAHMAWATI")</f>
        <v>TUTUT RAHMAWATI</v>
      </c>
      <c r="C3487" s="3" t="str">
        <f>IFERROR(__xludf.DUMMYFUNCTION("""COMPUTED_VALUE"""),"T9426023944")</f>
        <v>T9426023944</v>
      </c>
      <c r="D3487" s="3">
        <f>IFERROR(__xludf.DUMMYFUNCTION("""COMPUTED_VALUE"""),32.0)</f>
        <v>32</v>
      </c>
      <c r="E3487" s="1"/>
    </row>
    <row r="3488">
      <c r="A3488" s="1"/>
      <c r="B3488" s="3" t="str">
        <f>IFERROR(__xludf.DUMMYFUNCTION("""COMPUTED_VALUE"""),"HAMZAH")</f>
        <v>HAMZAH</v>
      </c>
      <c r="C3488" s="3" t="str">
        <f>IFERROR(__xludf.DUMMYFUNCTION("""COMPUTED_VALUE"""),"H7026028383")</f>
        <v>H7026028383</v>
      </c>
      <c r="D3488" s="3">
        <f>IFERROR(__xludf.DUMMYFUNCTION("""COMPUTED_VALUE"""),56.0)</f>
        <v>56</v>
      </c>
      <c r="E3488" s="1"/>
    </row>
    <row r="3489">
      <c r="A3489" s="1"/>
      <c r="B3489" s="3" t="str">
        <f>IFERROR(__xludf.DUMMYFUNCTION("""COMPUTED_VALUE"""),"ANDREAS RIAN PANAMUAN ")</f>
        <v>ANDREAS RIAN PANAMUAN </v>
      </c>
      <c r="C3489" s="3" t="str">
        <f>IFERROR(__xludf.DUMMYFUNCTION("""COMPUTED_VALUE"""),"A9926026114")</f>
        <v>A9926026114</v>
      </c>
      <c r="D3489" s="3">
        <f>IFERROR(__xludf.DUMMYFUNCTION("""COMPUTED_VALUE"""),27.0)</f>
        <v>27</v>
      </c>
      <c r="E3489" s="1"/>
    </row>
    <row r="3490">
      <c r="A3490" s="1"/>
      <c r="B3490" s="3" t="str">
        <f>IFERROR(__xludf.DUMMYFUNCTION("""COMPUTED_VALUE"""),"TJHOEA DJAP KAUW")</f>
        <v>TJHOEA DJAP KAUW</v>
      </c>
      <c r="C3490" s="3" t="str">
        <f>IFERROR(__xludf.DUMMYFUNCTION("""COMPUTED_VALUE"""),"T5826028817")</f>
        <v>T5826028817</v>
      </c>
      <c r="D3490" s="3">
        <f>IFERROR(__xludf.DUMMYFUNCTION("""COMPUTED_VALUE"""),67.0)</f>
        <v>67</v>
      </c>
      <c r="E3490" s="1"/>
    </row>
    <row r="3491">
      <c r="A3491" s="1"/>
      <c r="B3491" s="3" t="str">
        <f>IFERROR(__xludf.DUMMYFUNCTION("""COMPUTED_VALUE"""),"SELA AMANDA ")</f>
        <v>SELA AMANDA </v>
      </c>
      <c r="C3491" s="3" t="str">
        <f>IFERROR(__xludf.DUMMYFUNCTION("""COMPUTED_VALUE"""),"S9026020911")</f>
        <v>S9026020911</v>
      </c>
      <c r="D3491" s="3">
        <f>IFERROR(__xludf.DUMMYFUNCTION("""COMPUTED_VALUE"""),35.0)</f>
        <v>35</v>
      </c>
      <c r="E3491" s="1"/>
    </row>
    <row r="3492">
      <c r="A3492" s="1"/>
      <c r="B3492" s="3" t="str">
        <f>IFERROR(__xludf.DUMMYFUNCTION("""COMPUTED_VALUE"""),"RIA ARYUNI ")</f>
        <v>RIA ARYUNI </v>
      </c>
      <c r="C3492" s="3" t="str">
        <f>IFERROR(__xludf.DUMMYFUNCTION("""COMPUTED_VALUE"""),"R9726028140")</f>
        <v>R9726028140</v>
      </c>
      <c r="D3492" s="3">
        <f>IFERROR(__xludf.DUMMYFUNCTION("""COMPUTED_VALUE"""),29.0)</f>
        <v>29</v>
      </c>
      <c r="E3492" s="1"/>
    </row>
    <row r="3493">
      <c r="A3493" s="1"/>
      <c r="B3493" s="3" t="str">
        <f>IFERROR(__xludf.DUMMYFUNCTION("""COMPUTED_VALUE"""),"H MAHDI")</f>
        <v>H MAHDI</v>
      </c>
      <c r="C3493" s="3" t="str">
        <f>IFERROR(__xludf.DUMMYFUNCTION("""COMPUTED_VALUE"""),"H5426024864")</f>
        <v>H5426024864</v>
      </c>
      <c r="D3493" s="3">
        <f>IFERROR(__xludf.DUMMYFUNCTION("""COMPUTED_VALUE"""),72.0)</f>
        <v>72</v>
      </c>
      <c r="E3493" s="1"/>
    </row>
    <row r="3494">
      <c r="A3494" s="1"/>
      <c r="B3494" s="3" t="str">
        <f>IFERROR(__xludf.DUMMYFUNCTION("""COMPUTED_VALUE"""),"CENDY VIBRIAN")</f>
        <v>CENDY VIBRIAN</v>
      </c>
      <c r="C3494" s="3" t="str">
        <f>IFERROR(__xludf.DUMMYFUNCTION("""COMPUTED_VALUE"""),"C9826024383")</f>
        <v>C9826024383</v>
      </c>
      <c r="D3494" s="3">
        <f>IFERROR(__xludf.DUMMYFUNCTION("""COMPUTED_VALUE"""),27.0)</f>
        <v>27</v>
      </c>
      <c r="E3494" s="1"/>
    </row>
    <row r="3495">
      <c r="A3495" s="1"/>
      <c r="B3495" s="3" t="str">
        <f>IFERROR(__xludf.DUMMYFUNCTION("""COMPUTED_VALUE"""),"ALIONG")</f>
        <v>ALIONG</v>
      </c>
      <c r="C3495" s="3" t="str">
        <f>IFERROR(__xludf.DUMMYFUNCTION("""COMPUTED_VALUE"""),"A9326025869")</f>
        <v>A9326025869</v>
      </c>
      <c r="D3495" s="3">
        <f>IFERROR(__xludf.DUMMYFUNCTION("""COMPUTED_VALUE"""),32.0)</f>
        <v>32</v>
      </c>
      <c r="E3495" s="1"/>
    </row>
    <row r="3496">
      <c r="A3496" s="1"/>
      <c r="B3496" s="3" t="str">
        <f>IFERROR(__xludf.DUMMYFUNCTION("""COMPUTED_VALUE"""),"TJONG SAU CON")</f>
        <v>TJONG SAU CON</v>
      </c>
      <c r="C3496" s="3" t="str">
        <f>IFERROR(__xludf.DUMMYFUNCTION("""COMPUTED_VALUE"""),"T6926021885")</f>
        <v>T6926021885</v>
      </c>
      <c r="D3496" s="3">
        <f>IFERROR(__xludf.DUMMYFUNCTION("""COMPUTED_VALUE"""),56.0)</f>
        <v>56</v>
      </c>
      <c r="E3496" s="1"/>
    </row>
    <row r="3497">
      <c r="A3497" s="1"/>
      <c r="B3497" s="3" t="str">
        <f>IFERROR(__xludf.DUMMYFUNCTION("""COMPUTED_VALUE"""),"TITIN AGUSTINA")</f>
        <v>TITIN AGUSTINA</v>
      </c>
      <c r="C3497" s="3" t="str">
        <f>IFERROR(__xludf.DUMMYFUNCTION("""COMPUTED_VALUE"""),"T7726026292")</f>
        <v>T7726026292</v>
      </c>
      <c r="D3497" s="3">
        <f>IFERROR(__xludf.DUMMYFUNCTION("""COMPUTED_VALUE"""),48.0)</f>
        <v>48</v>
      </c>
      <c r="E3497" s="1"/>
    </row>
    <row r="3498">
      <c r="A3498" s="1"/>
      <c r="B3498" s="3" t="str">
        <f>IFERROR(__xludf.DUMMYFUNCTION("""COMPUTED_VALUE"""),"ERWIN, ST ")</f>
        <v>ERWIN, ST </v>
      </c>
      <c r="C3498" s="3" t="str">
        <f>IFERROR(__xludf.DUMMYFUNCTION("""COMPUTED_VALUE"""),"E6126028000")</f>
        <v>E6126028000</v>
      </c>
      <c r="D3498" s="3">
        <f>IFERROR(__xludf.DUMMYFUNCTION("""COMPUTED_VALUE"""),65.0)</f>
        <v>65</v>
      </c>
      <c r="E3498" s="1"/>
    </row>
    <row r="3499">
      <c r="A3499" s="1"/>
      <c r="B3499" s="3" t="str">
        <f>IFERROR(__xludf.DUMMYFUNCTION("""COMPUTED_VALUE"""),"MUHAMAD TABSYIR")</f>
        <v>MUHAMAD TABSYIR</v>
      </c>
      <c r="C3499" s="3" t="str">
        <f>IFERROR(__xludf.DUMMYFUNCTION("""COMPUTED_VALUE"""),"M0426020509")</f>
        <v>M0426020509</v>
      </c>
      <c r="D3499" s="3">
        <f>IFERROR(__xludf.DUMMYFUNCTION("""COMPUTED_VALUE"""),21.0)</f>
        <v>21</v>
      </c>
      <c r="E3499" s="1"/>
    </row>
    <row r="3500">
      <c r="A3500" s="1"/>
      <c r="B3500" s="3" t="str">
        <f>IFERROR(__xludf.DUMMYFUNCTION("""COMPUTED_VALUE"""),"DWI MARUTO")</f>
        <v>DWI MARUTO</v>
      </c>
      <c r="C3500" s="3" t="str">
        <f>IFERROR(__xludf.DUMMYFUNCTION("""COMPUTED_VALUE"""),"D8226028883")</f>
        <v>D8226028883</v>
      </c>
      <c r="D3500" s="3">
        <f>IFERROR(__xludf.DUMMYFUNCTION("""COMPUTED_VALUE"""),44.0)</f>
        <v>44</v>
      </c>
      <c r="E3500" s="1"/>
    </row>
    <row r="3501">
      <c r="A3501" s="1"/>
      <c r="B3501" s="3" t="str">
        <f>IFERROR(__xludf.DUMMYFUNCTION("""COMPUTED_VALUE"""),"ISRI ULFAINI")</f>
        <v>ISRI ULFAINI</v>
      </c>
      <c r="C3501" s="3" t="str">
        <f>IFERROR(__xludf.DUMMYFUNCTION("""COMPUTED_VALUE"""),"I9426029070")</f>
        <v>I9426029070</v>
      </c>
      <c r="D3501" s="3">
        <f>IFERROR(__xludf.DUMMYFUNCTION("""COMPUTED_VALUE"""),31.0)</f>
        <v>31</v>
      </c>
      <c r="E3501" s="1"/>
    </row>
    <row r="3502">
      <c r="A3502" s="1"/>
      <c r="B3502" s="3" t="str">
        <f>IFERROR(__xludf.DUMMYFUNCTION("""COMPUTED_VALUE"""),"WARDOYO 8804")</f>
        <v>WARDOYO 8804</v>
      </c>
      <c r="C3502" s="3" t="str">
        <f>IFERROR(__xludf.DUMMYFUNCTION("""COMPUTED_VALUE"""),"W8826023637")</f>
        <v>W8826023637</v>
      </c>
      <c r="D3502" s="3">
        <f>IFERROR(__xludf.DUMMYFUNCTION("""COMPUTED_VALUE"""),38.0)</f>
        <v>38</v>
      </c>
      <c r="E3502" s="1"/>
    </row>
    <row r="3503">
      <c r="A3503" s="1"/>
      <c r="B3503" s="3" t="str">
        <f>IFERROR(__xludf.DUMMYFUNCTION("""COMPUTED_VALUE"""),"ISFANDIAR, ST . MT")</f>
        <v>ISFANDIAR, ST . MT</v>
      </c>
      <c r="C3503" s="3" t="str">
        <f>IFERROR(__xludf.DUMMYFUNCTION("""COMPUTED_VALUE"""),"I7926020464")</f>
        <v>I7926020464</v>
      </c>
      <c r="D3503" s="3">
        <f>IFERROR(__xludf.DUMMYFUNCTION("""COMPUTED_VALUE"""),47.0)</f>
        <v>47</v>
      </c>
      <c r="E3503" s="1"/>
    </row>
    <row r="3504">
      <c r="A3504" s="1"/>
      <c r="B3504" s="3" t="str">
        <f>IFERROR(__xludf.DUMMYFUNCTION("""COMPUTED_VALUE"""),"FERNANDO NG")</f>
        <v>FERNANDO NG</v>
      </c>
      <c r="C3504" s="3" t="str">
        <f>IFERROR(__xludf.DUMMYFUNCTION("""COMPUTED_VALUE"""),"F9926021200")</f>
        <v>F9926021200</v>
      </c>
      <c r="D3504" s="3">
        <f>IFERROR(__xludf.DUMMYFUNCTION("""COMPUTED_VALUE"""),26.0)</f>
        <v>26</v>
      </c>
      <c r="E3504" s="1"/>
    </row>
    <row r="3505">
      <c r="A3505" s="1"/>
      <c r="B3505" s="3" t="str">
        <f>IFERROR(__xludf.DUMMYFUNCTION("""COMPUTED_VALUE"""),"EDI SUDIANDI")</f>
        <v>EDI SUDIANDI</v>
      </c>
      <c r="C3505" s="3" t="str">
        <f>IFERROR(__xludf.DUMMYFUNCTION("""COMPUTED_VALUE"""),"E0126026250")</f>
        <v>E0126026250</v>
      </c>
      <c r="D3505" s="3">
        <f>IFERROR(__xludf.DUMMYFUNCTION("""COMPUTED_VALUE"""),24.0)</f>
        <v>24</v>
      </c>
      <c r="E3505" s="1"/>
    </row>
    <row r="3506">
      <c r="A3506" s="1"/>
      <c r="B3506" s="3" t="str">
        <f>IFERROR(__xludf.DUMMYFUNCTION("""COMPUTED_VALUE"""),"ABDULLAH SYAKUR ")</f>
        <v>ABDULLAH SYAKUR </v>
      </c>
      <c r="C3506" s="3" t="str">
        <f>IFERROR(__xludf.DUMMYFUNCTION("""COMPUTED_VALUE"""),"A0426021519")</f>
        <v>A0426021519</v>
      </c>
      <c r="D3506" s="3">
        <f>IFERROR(__xludf.DUMMYFUNCTION("""COMPUTED_VALUE"""),21.0)</f>
        <v>21</v>
      </c>
      <c r="E3506" s="1"/>
    </row>
    <row r="3507">
      <c r="A3507" s="1"/>
      <c r="B3507" s="3" t="str">
        <f>IFERROR(__xludf.DUMMYFUNCTION("""COMPUTED_VALUE"""),"LIVI")</f>
        <v>LIVI</v>
      </c>
      <c r="C3507" s="3" t="str">
        <f>IFERROR(__xludf.DUMMYFUNCTION("""COMPUTED_VALUE"""),"L0726026162")</f>
        <v>L0726026162</v>
      </c>
      <c r="D3507" s="3">
        <f>IFERROR(__xludf.DUMMYFUNCTION("""COMPUTED_VALUE"""),18.0)</f>
        <v>18</v>
      </c>
      <c r="E3507" s="1"/>
    </row>
    <row r="3508">
      <c r="A3508" s="1"/>
      <c r="B3508" s="3" t="str">
        <f>IFERROR(__xludf.DUMMYFUNCTION("""COMPUTED_VALUE"""),"RYAN PRAMIKA")</f>
        <v>RYAN PRAMIKA</v>
      </c>
      <c r="C3508" s="3" t="str">
        <f>IFERROR(__xludf.DUMMYFUNCTION("""COMPUTED_VALUE"""),"R9126025888")</f>
        <v>R9126025888</v>
      </c>
      <c r="D3508" s="3">
        <f>IFERROR(__xludf.DUMMYFUNCTION("""COMPUTED_VALUE"""),35.0)</f>
        <v>35</v>
      </c>
      <c r="E3508" s="1"/>
    </row>
    <row r="3509">
      <c r="A3509" s="1"/>
      <c r="B3509" s="3" t="str">
        <f>IFERROR(__xludf.DUMMYFUNCTION("""COMPUTED_VALUE"""),"YUSI NALURITA")</f>
        <v>YUSI NALURITA</v>
      </c>
      <c r="C3509" s="3" t="str">
        <f>IFERROR(__xludf.DUMMYFUNCTION("""COMPUTED_VALUE"""),"Y9126026519")</f>
        <v>Y9126026519</v>
      </c>
      <c r="D3509" s="3">
        <f>IFERROR(__xludf.DUMMYFUNCTION("""COMPUTED_VALUE"""),34.0)</f>
        <v>34</v>
      </c>
      <c r="E3509" s="1"/>
    </row>
    <row r="3510">
      <c r="A3510" s="1"/>
      <c r="B3510" s="3" t="str">
        <f>IFERROR(__xludf.DUMMYFUNCTION("""COMPUTED_VALUE"""),"RITA RUMIATI")</f>
        <v>RITA RUMIATI</v>
      </c>
      <c r="C3510" s="3" t="str">
        <f>IFERROR(__xludf.DUMMYFUNCTION("""COMPUTED_VALUE"""),"R7426028888")</f>
        <v>R7426028888</v>
      </c>
      <c r="D3510" s="3">
        <f>IFERROR(__xludf.DUMMYFUNCTION("""COMPUTED_VALUE"""),51.0)</f>
        <v>51</v>
      </c>
      <c r="E3510" s="1"/>
    </row>
    <row r="3511">
      <c r="A3511" s="1"/>
      <c r="B3511" s="3" t="str">
        <f>IFERROR(__xludf.DUMMYFUNCTION("""COMPUTED_VALUE"""),"RESTI DEWANTARI")</f>
        <v>RESTI DEWANTARI</v>
      </c>
      <c r="C3511" s="3" t="str">
        <f>IFERROR(__xludf.DUMMYFUNCTION("""COMPUTED_VALUE"""),"R9726020661")</f>
        <v>R9726020661</v>
      </c>
      <c r="D3511" s="3">
        <f>IFERROR(__xludf.DUMMYFUNCTION("""COMPUTED_VALUE"""),29.0)</f>
        <v>29</v>
      </c>
      <c r="E3511" s="1"/>
    </row>
    <row r="3512">
      <c r="A3512" s="1"/>
      <c r="B3512" s="3" t="str">
        <f>IFERROR(__xludf.DUMMYFUNCTION("""COMPUTED_VALUE"""),"SRI ROEHANI")</f>
        <v>SRI ROEHANI</v>
      </c>
      <c r="C3512" s="3" t="str">
        <f>IFERROR(__xludf.DUMMYFUNCTION("""COMPUTED_VALUE"""),"S8726025435")</f>
        <v>S8726025435</v>
      </c>
      <c r="D3512" s="3">
        <f>IFERROR(__xludf.DUMMYFUNCTION("""COMPUTED_VALUE"""),38.0)</f>
        <v>38</v>
      </c>
      <c r="E3512" s="1"/>
    </row>
    <row r="3513">
      <c r="A3513" s="1"/>
      <c r="B3513" s="3" t="str">
        <f>IFERROR(__xludf.DUMMYFUNCTION("""COMPUTED_VALUE"""),"H.W. MANSOR ANDI MULIA")</f>
        <v>H.W. MANSOR ANDI MULIA</v>
      </c>
      <c r="C3513" s="3" t="str">
        <f>IFERROR(__xludf.DUMMYFUNCTION("""COMPUTED_VALUE"""),"H6326029065")</f>
        <v>H6326029065</v>
      </c>
      <c r="D3513" s="3">
        <f>IFERROR(__xludf.DUMMYFUNCTION("""COMPUTED_VALUE"""),63.0)</f>
        <v>63</v>
      </c>
      <c r="E3513" s="1"/>
    </row>
    <row r="3514">
      <c r="A3514" s="1"/>
      <c r="B3514" s="3" t="str">
        <f>IFERROR(__xludf.DUMMYFUNCTION("""COMPUTED_VALUE"""),"SATIMAN BSC")</f>
        <v>SATIMAN BSC</v>
      </c>
      <c r="C3514" s="3" t="str">
        <f>IFERROR(__xludf.DUMMYFUNCTION("""COMPUTED_VALUE"""),"S4826021464")</f>
        <v>S4826021464</v>
      </c>
      <c r="D3514" s="3">
        <f>IFERROR(__xludf.DUMMYFUNCTION("""COMPUTED_VALUE"""),78.0)</f>
        <v>78</v>
      </c>
      <c r="E3514" s="1"/>
    </row>
    <row r="3515">
      <c r="A3515" s="1"/>
      <c r="B3515" s="3" t="str">
        <f>IFERROR(__xludf.DUMMYFUNCTION("""COMPUTED_VALUE"""),"MURTINI")</f>
        <v>MURTINI</v>
      </c>
      <c r="C3515" s="3" t="str">
        <f>IFERROR(__xludf.DUMMYFUNCTION("""COMPUTED_VALUE"""),"M8026023796")</f>
        <v>M8026023796</v>
      </c>
      <c r="D3515" s="3">
        <f>IFERROR(__xludf.DUMMYFUNCTION("""COMPUTED_VALUE"""),45.0)</f>
        <v>45</v>
      </c>
      <c r="E3515" s="1"/>
    </row>
    <row r="3516">
      <c r="A3516" s="1"/>
      <c r="B3516" s="3" t="str">
        <f>IFERROR(__xludf.DUMMYFUNCTION("""COMPUTED_VALUE"""),"LIAU NYUK HIONG")</f>
        <v>LIAU NYUK HIONG</v>
      </c>
      <c r="C3516" s="3" t="str">
        <f>IFERROR(__xludf.DUMMYFUNCTION("""COMPUTED_VALUE"""),"L3326020109")</f>
        <v>L3326020109</v>
      </c>
      <c r="D3516" s="3">
        <f>IFERROR(__xludf.DUMMYFUNCTION("""COMPUTED_VALUE"""),93.0)</f>
        <v>93</v>
      </c>
      <c r="E3516" s="1"/>
    </row>
    <row r="3517">
      <c r="A3517" s="1"/>
      <c r="B3517" s="3" t="str">
        <f>IFERROR(__xludf.DUMMYFUNCTION("""COMPUTED_VALUE"""),"SITI HADIJAH 5806")</f>
        <v>SITI HADIJAH 5806</v>
      </c>
      <c r="C3517" s="3" t="str">
        <f>IFERROR(__xludf.DUMMYFUNCTION("""COMPUTED_VALUE"""),"S5826022215")</f>
        <v>S5826022215</v>
      </c>
      <c r="D3517" s="3">
        <f>IFERROR(__xludf.DUMMYFUNCTION("""COMPUTED_VALUE"""),68.0)</f>
        <v>68</v>
      </c>
      <c r="E3517" s="1"/>
    </row>
    <row r="3518">
      <c r="A3518" s="1"/>
      <c r="B3518" s="3" t="str">
        <f>IFERROR(__xludf.DUMMYFUNCTION("""COMPUTED_VALUE"""),"NAIMAH")</f>
        <v>NAIMAH</v>
      </c>
      <c r="C3518" s="3" t="str">
        <f>IFERROR(__xludf.DUMMYFUNCTION("""COMPUTED_VALUE"""),"N6526023126")</f>
        <v>N6526023126</v>
      </c>
      <c r="D3518" s="3">
        <f>IFERROR(__xludf.DUMMYFUNCTION("""COMPUTED_VALUE"""),60.0)</f>
        <v>60</v>
      </c>
      <c r="E3518" s="1"/>
    </row>
    <row r="3519">
      <c r="A3519" s="1"/>
      <c r="B3519" s="3" t="str">
        <f>IFERROR(__xludf.DUMMYFUNCTION("""COMPUTED_VALUE"""),"PUTRI RAHMA SARI ")</f>
        <v>PUTRI RAHMA SARI </v>
      </c>
      <c r="C3519" s="3" t="str">
        <f>IFERROR(__xludf.DUMMYFUNCTION("""COMPUTED_VALUE"""),"P0726022638")</f>
        <v>P0726022638</v>
      </c>
      <c r="D3519" s="3">
        <f>IFERROR(__xludf.DUMMYFUNCTION("""COMPUTED_VALUE"""),19.0)</f>
        <v>19</v>
      </c>
      <c r="E3519" s="1"/>
    </row>
    <row r="3520">
      <c r="A3520" s="1"/>
      <c r="B3520" s="3" t="str">
        <f>IFERROR(__xludf.DUMMYFUNCTION("""COMPUTED_VALUE"""),"FEBRIAN GALIH CAHYO P")</f>
        <v>FEBRIAN GALIH CAHYO P</v>
      </c>
      <c r="C3520" s="3" t="str">
        <f>IFERROR(__xludf.DUMMYFUNCTION("""COMPUTED_VALUE"""),"F8926023541")</f>
        <v>F8926023541</v>
      </c>
      <c r="D3520" s="3">
        <f>IFERROR(__xludf.DUMMYFUNCTION("""COMPUTED_VALUE"""),37.0)</f>
        <v>37</v>
      </c>
      <c r="E3520" s="1"/>
    </row>
    <row r="3521">
      <c r="A3521" s="1"/>
      <c r="B3521" s="3" t="str">
        <f>IFERROR(__xludf.DUMMYFUNCTION("""COMPUTED_VALUE"""),"ALI 7608")</f>
        <v>ALI 7608</v>
      </c>
      <c r="C3521" s="3" t="str">
        <f>IFERROR(__xludf.DUMMYFUNCTION("""COMPUTED_VALUE"""),"A7626024012")</f>
        <v>A7626024012</v>
      </c>
      <c r="D3521" s="3">
        <f>IFERROR(__xludf.DUMMYFUNCTION("""COMPUTED_VALUE"""),49.0)</f>
        <v>49</v>
      </c>
      <c r="E3521" s="1"/>
    </row>
    <row r="3522">
      <c r="A3522" s="1"/>
      <c r="B3522" s="3" t="str">
        <f>IFERROR(__xludf.DUMMYFUNCTION("""COMPUTED_VALUE"""),"ALICIA")</f>
        <v>ALICIA</v>
      </c>
      <c r="C3522" s="3" t="str">
        <f>IFERROR(__xludf.DUMMYFUNCTION("""COMPUTED_VALUE"""),"A0026026799")</f>
        <v>A0026026799</v>
      </c>
      <c r="D3522" s="3">
        <f>IFERROR(__xludf.DUMMYFUNCTION("""COMPUTED_VALUE"""),26.0)</f>
        <v>26</v>
      </c>
      <c r="E3522" s="1"/>
    </row>
    <row r="3523">
      <c r="A3523" s="1"/>
      <c r="B3523" s="3" t="str">
        <f>IFERROR(__xludf.DUMMYFUNCTION("""COMPUTED_VALUE"""),"YUNINDA WIDIASTUTI")</f>
        <v>YUNINDA WIDIASTUTI</v>
      </c>
      <c r="C3523" s="3" t="str">
        <f>IFERROR(__xludf.DUMMYFUNCTION("""COMPUTED_VALUE"""),"Y7026028019")</f>
        <v>Y7026028019</v>
      </c>
      <c r="D3523" s="3">
        <f>IFERROR(__xludf.DUMMYFUNCTION("""COMPUTED_VALUE"""),56.0)</f>
        <v>56</v>
      </c>
      <c r="E3523" s="1"/>
    </row>
    <row r="3524">
      <c r="A3524" s="1"/>
      <c r="B3524" s="3" t="str">
        <f>IFERROR(__xludf.DUMMYFUNCTION("""COMPUTED_VALUE"""),"ARISTO WAHYU KANTONA")</f>
        <v>ARISTO WAHYU KANTONA</v>
      </c>
      <c r="C3524" s="3" t="str">
        <f>IFERROR(__xludf.DUMMYFUNCTION("""COMPUTED_VALUE"""),"A9726035752")</f>
        <v>A9726035752</v>
      </c>
      <c r="D3524" s="3">
        <f>IFERROR(__xludf.DUMMYFUNCTION("""COMPUTED_VALUE"""),28.0)</f>
        <v>28</v>
      </c>
      <c r="E3524" s="1"/>
    </row>
    <row r="3525">
      <c r="A3525" s="1"/>
      <c r="B3525" s="3" t="str">
        <f>IFERROR(__xludf.DUMMYFUNCTION("""COMPUTED_VALUE"""),"NASRULLAH")</f>
        <v>NASRULLAH</v>
      </c>
      <c r="C3525" s="3" t="str">
        <f>IFERROR(__xludf.DUMMYFUNCTION("""COMPUTED_VALUE"""),"N9226030388")</f>
        <v>N9226030388</v>
      </c>
      <c r="D3525" s="3">
        <f>IFERROR(__xludf.DUMMYFUNCTION("""COMPUTED_VALUE"""),34.0)</f>
        <v>34</v>
      </c>
      <c r="E3525" s="1"/>
    </row>
    <row r="3526">
      <c r="A3526" s="1"/>
      <c r="B3526" s="3" t="str">
        <f>IFERROR(__xludf.DUMMYFUNCTION("""COMPUTED_VALUE"""),"LYNDA KURNIA AGUSTINA")</f>
        <v>LYNDA KURNIA AGUSTINA</v>
      </c>
      <c r="C3526" s="3" t="str">
        <f>IFERROR(__xludf.DUMMYFUNCTION("""COMPUTED_VALUE"""),"L7126034424")</f>
        <v>L7126034424</v>
      </c>
      <c r="D3526" s="3">
        <f>IFERROR(__xludf.DUMMYFUNCTION("""COMPUTED_VALUE"""),54.0)</f>
        <v>54</v>
      </c>
      <c r="E3526" s="1"/>
    </row>
    <row r="3527">
      <c r="A3527" s="1"/>
      <c r="B3527" s="3" t="str">
        <f>IFERROR(__xludf.DUMMYFUNCTION("""COMPUTED_VALUE"""),"TRI ENI WULANDARI ")</f>
        <v>TRI ENI WULANDARI </v>
      </c>
      <c r="C3527" s="3" t="str">
        <f>IFERROR(__xludf.DUMMYFUNCTION("""COMPUTED_VALUE"""),"T9826038426")</f>
        <v>T9826038426</v>
      </c>
      <c r="D3527" s="3">
        <f>IFERROR(__xludf.DUMMYFUNCTION("""COMPUTED_VALUE"""),27.0)</f>
        <v>27</v>
      </c>
      <c r="E3527" s="1"/>
    </row>
    <row r="3528">
      <c r="A3528" s="1"/>
      <c r="B3528" s="3" t="str">
        <f>IFERROR(__xludf.DUMMYFUNCTION("""COMPUTED_VALUE"""),"AISYAH AYUDIA INARA")</f>
        <v>AISYAH AYUDIA INARA</v>
      </c>
      <c r="C3528" s="3" t="str">
        <f>IFERROR(__xludf.DUMMYFUNCTION("""COMPUTED_VALUE"""),"A1626035883")</f>
        <v>A1626035883</v>
      </c>
      <c r="D3528" s="3">
        <f>IFERROR(__xludf.DUMMYFUNCTION("""COMPUTED_VALUE"""),10.0)</f>
        <v>10</v>
      </c>
      <c r="E3528" s="1"/>
    </row>
    <row r="3529">
      <c r="A3529" s="1"/>
      <c r="B3529" s="3" t="str">
        <f>IFERROR(__xludf.DUMMYFUNCTION("""COMPUTED_VALUE"""),"SITI BARIATUL KHOTIJAH")</f>
        <v>SITI BARIATUL KHOTIJAH</v>
      </c>
      <c r="C3529" s="3" t="str">
        <f>IFERROR(__xludf.DUMMYFUNCTION("""COMPUTED_VALUE"""),"S8126033647")</f>
        <v>S8126033647</v>
      </c>
      <c r="D3529" s="3">
        <f>IFERROR(__xludf.DUMMYFUNCTION("""COMPUTED_VALUE"""),44.0)</f>
        <v>44</v>
      </c>
      <c r="E3529" s="1"/>
    </row>
    <row r="3530">
      <c r="A3530" s="1"/>
      <c r="B3530" s="3" t="str">
        <f>IFERROR(__xludf.DUMMYFUNCTION("""COMPUTED_VALUE"""),"NANDA PUSPITA SARI")</f>
        <v>NANDA PUSPITA SARI</v>
      </c>
      <c r="C3530" s="3" t="str">
        <f>IFERROR(__xludf.DUMMYFUNCTION("""COMPUTED_VALUE"""),"N9426032999")</f>
        <v>N9426032999</v>
      </c>
      <c r="D3530" s="3">
        <f>IFERROR(__xludf.DUMMYFUNCTION("""COMPUTED_VALUE"""),31.0)</f>
        <v>31</v>
      </c>
      <c r="E3530" s="1"/>
    </row>
    <row r="3531">
      <c r="A3531" s="1"/>
      <c r="B3531" s="3" t="str">
        <f>IFERROR(__xludf.DUMMYFUNCTION("""COMPUTED_VALUE"""),"EMILIANA ")</f>
        <v>EMILIANA </v>
      </c>
      <c r="C3531" s="3" t="str">
        <f>IFERROR(__xludf.DUMMYFUNCTION("""COMPUTED_VALUE"""),"E8226030888")</f>
        <v>E8226030888</v>
      </c>
      <c r="D3531" s="3">
        <f>IFERROR(__xludf.DUMMYFUNCTION("""COMPUTED_VALUE"""),44.0)</f>
        <v>44</v>
      </c>
      <c r="E3531" s="1"/>
    </row>
    <row r="3532">
      <c r="A3532" s="1"/>
      <c r="B3532" s="3" t="str">
        <f>IFERROR(__xludf.DUMMYFUNCTION("""COMPUTED_VALUE"""),"CARLSON KITCHIROU SETIA")</f>
        <v>CARLSON KITCHIROU SETIA</v>
      </c>
      <c r="C3532" s="3" t="str">
        <f>IFERROR(__xludf.DUMMYFUNCTION("""COMPUTED_VALUE"""),"C1526034389")</f>
        <v>C1526034389</v>
      </c>
      <c r="D3532" s="3">
        <f>IFERROR(__xludf.DUMMYFUNCTION("""COMPUTED_VALUE"""),11.0)</f>
        <v>11</v>
      </c>
      <c r="E3532" s="1"/>
    </row>
    <row r="3533">
      <c r="A3533" s="1"/>
      <c r="B3533" s="3" t="str">
        <f>IFERROR(__xludf.DUMMYFUNCTION("""COMPUTED_VALUE"""),"IQBAL EKA PUTRA")</f>
        <v>IQBAL EKA PUTRA</v>
      </c>
      <c r="C3533" s="3" t="str">
        <f>IFERROR(__xludf.DUMMYFUNCTION("""COMPUTED_VALUE"""),"I9726037451")</f>
        <v>I9726037451</v>
      </c>
      <c r="D3533" s="3">
        <f>IFERROR(__xludf.DUMMYFUNCTION("""COMPUTED_VALUE"""),29.0)</f>
        <v>29</v>
      </c>
      <c r="E3533" s="1"/>
    </row>
    <row r="3534">
      <c r="A3534" s="1"/>
      <c r="B3534" s="3" t="str">
        <f>IFERROR(__xludf.DUMMYFUNCTION("""COMPUTED_VALUE"""),"AZRIEL REIVAN AKBAR")</f>
        <v>AZRIEL REIVAN AKBAR</v>
      </c>
      <c r="C3534" s="3" t="str">
        <f>IFERROR(__xludf.DUMMYFUNCTION("""COMPUTED_VALUE"""),"A0626031560")</f>
        <v>A0626031560</v>
      </c>
      <c r="D3534" s="3">
        <f>IFERROR(__xludf.DUMMYFUNCTION("""COMPUTED_VALUE"""),20.0)</f>
        <v>20</v>
      </c>
      <c r="E3534" s="1"/>
    </row>
    <row r="3535">
      <c r="A3535" s="1"/>
      <c r="B3535" s="3" t="str">
        <f>IFERROR(__xludf.DUMMYFUNCTION("""COMPUTED_VALUE"""),"AGNES FELIM")</f>
        <v>AGNES FELIM</v>
      </c>
      <c r="C3535" s="3" t="str">
        <f>IFERROR(__xludf.DUMMYFUNCTION("""COMPUTED_VALUE"""),"A9726036079")</f>
        <v>A9726036079</v>
      </c>
      <c r="D3535" s="3">
        <f>IFERROR(__xludf.DUMMYFUNCTION("""COMPUTED_VALUE"""),29.0)</f>
        <v>29</v>
      </c>
      <c r="E3535" s="1"/>
    </row>
    <row r="3536">
      <c r="A3536" s="1"/>
      <c r="B3536" s="3" t="str">
        <f>IFERROR(__xludf.DUMMYFUNCTION("""COMPUTED_VALUE"""),"FREDERICA")</f>
        <v>FREDERICA</v>
      </c>
      <c r="C3536" s="3" t="str">
        <f>IFERROR(__xludf.DUMMYFUNCTION("""COMPUTED_VALUE"""),"F0026039583")</f>
        <v>F0026039583</v>
      </c>
      <c r="D3536" s="3">
        <f>IFERROR(__xludf.DUMMYFUNCTION("""COMPUTED_VALUE"""),26.0)</f>
        <v>26</v>
      </c>
      <c r="E3536" s="1"/>
    </row>
    <row r="3537">
      <c r="A3537" s="1"/>
      <c r="B3537" s="3" t="str">
        <f>IFERROR(__xludf.DUMMYFUNCTION("""COMPUTED_VALUE"""),"SULASTRI")</f>
        <v>SULASTRI</v>
      </c>
      <c r="C3537" s="3" t="str">
        <f>IFERROR(__xludf.DUMMYFUNCTION("""COMPUTED_VALUE"""),"S7026038689")</f>
        <v>S7026038689</v>
      </c>
      <c r="D3537" s="3">
        <f>IFERROR(__xludf.DUMMYFUNCTION("""COMPUTED_VALUE"""),55.0)</f>
        <v>55</v>
      </c>
      <c r="E3537" s="1"/>
    </row>
    <row r="3538">
      <c r="A3538" s="1"/>
      <c r="B3538" s="3" t="str">
        <f>IFERROR(__xludf.DUMMYFUNCTION("""COMPUTED_VALUE"""),"SLAMET WIDODO")</f>
        <v>SLAMET WIDODO</v>
      </c>
      <c r="C3538" s="3" t="str">
        <f>IFERROR(__xludf.DUMMYFUNCTION("""COMPUTED_VALUE"""),"S8626037896")</f>
        <v>S8626037896</v>
      </c>
      <c r="D3538" s="3">
        <f>IFERROR(__xludf.DUMMYFUNCTION("""COMPUTED_VALUE"""),39.0)</f>
        <v>39</v>
      </c>
      <c r="E3538" s="1"/>
    </row>
    <row r="3539">
      <c r="A3539" s="1"/>
      <c r="B3539" s="3" t="str">
        <f>IFERROR(__xludf.DUMMYFUNCTION("""COMPUTED_VALUE"""),"MOK SOI PHIN")</f>
        <v>MOK SOI PHIN</v>
      </c>
      <c r="C3539" s="3" t="str">
        <f>IFERROR(__xludf.DUMMYFUNCTION("""COMPUTED_VALUE"""),"M6026030150")</f>
        <v>M6026030150</v>
      </c>
      <c r="D3539" s="3">
        <f>IFERROR(__xludf.DUMMYFUNCTION("""COMPUTED_VALUE"""),66.0)</f>
        <v>66</v>
      </c>
      <c r="E3539" s="1"/>
    </row>
    <row r="3540">
      <c r="A3540" s="1"/>
      <c r="B3540" s="3" t="str">
        <f>IFERROR(__xludf.DUMMYFUNCTION("""COMPUTED_VALUE"""),"SRI SURYANINGSIH")</f>
        <v>SRI SURYANINGSIH</v>
      </c>
      <c r="C3540" s="3" t="str">
        <f>IFERROR(__xludf.DUMMYFUNCTION("""COMPUTED_VALUE"""),"S7626034226")</f>
        <v>S7626034226</v>
      </c>
      <c r="D3540" s="3">
        <f>IFERROR(__xludf.DUMMYFUNCTION("""COMPUTED_VALUE"""),50.0)</f>
        <v>50</v>
      </c>
      <c r="E3540" s="1"/>
    </row>
    <row r="3541">
      <c r="A3541" s="1"/>
      <c r="B3541" s="3" t="str">
        <f>IFERROR(__xludf.DUMMYFUNCTION("""COMPUTED_VALUE"""),"LIM HUI TJU")</f>
        <v>LIM HUI TJU</v>
      </c>
      <c r="C3541" s="3" t="str">
        <f>IFERROR(__xludf.DUMMYFUNCTION("""COMPUTED_VALUE"""),"L6026031382")</f>
        <v>L6026031382</v>
      </c>
      <c r="D3541" s="3">
        <f>IFERROR(__xludf.DUMMYFUNCTION("""COMPUTED_VALUE"""),66.0)</f>
        <v>66</v>
      </c>
      <c r="E3541" s="1"/>
    </row>
    <row r="3542">
      <c r="A3542" s="1"/>
      <c r="B3542" s="3" t="str">
        <f>IFERROR(__xludf.DUMMYFUNCTION("""COMPUTED_VALUE"""),"ERLANGGA R A")</f>
        <v>ERLANGGA R A</v>
      </c>
      <c r="C3542" s="3" t="str">
        <f>IFERROR(__xludf.DUMMYFUNCTION("""COMPUTED_VALUE"""),"E9126032559")</f>
        <v>E9126032559</v>
      </c>
      <c r="D3542" s="3">
        <f>IFERROR(__xludf.DUMMYFUNCTION("""COMPUTED_VALUE"""),34.0)</f>
        <v>34</v>
      </c>
      <c r="E3542" s="1"/>
    </row>
    <row r="3543">
      <c r="A3543" s="1"/>
      <c r="B3543" s="3" t="str">
        <f>IFERROR(__xludf.DUMMYFUNCTION("""COMPUTED_VALUE"""),"EKA HERMAWAN")</f>
        <v>EKA HERMAWAN</v>
      </c>
      <c r="C3543" s="3" t="str">
        <f>IFERROR(__xludf.DUMMYFUNCTION("""COMPUTED_VALUE"""),"E7926039349")</f>
        <v>E7926039349</v>
      </c>
      <c r="D3543" s="3">
        <f>IFERROR(__xludf.DUMMYFUNCTION("""COMPUTED_VALUE"""),46.0)</f>
        <v>46</v>
      </c>
      <c r="E3543" s="1"/>
    </row>
    <row r="3544">
      <c r="A3544" s="1"/>
      <c r="B3544" s="3" t="str">
        <f>IFERROR(__xludf.DUMMYFUNCTION("""COMPUTED_VALUE"""),"MAD NAWIR ")</f>
        <v>MAD NAWIR </v>
      </c>
      <c r="C3544" s="3" t="str">
        <f>IFERROR(__xludf.DUMMYFUNCTION("""COMPUTED_VALUE"""),"M6826038160")</f>
        <v>M6826038160</v>
      </c>
      <c r="D3544" s="3">
        <f>IFERROR(__xludf.DUMMYFUNCTION("""COMPUTED_VALUE"""),58.0)</f>
        <v>58</v>
      </c>
      <c r="E3544" s="1"/>
    </row>
    <row r="3545">
      <c r="A3545" s="1"/>
      <c r="B3545" s="3" t="str">
        <f>IFERROR(__xludf.DUMMYFUNCTION("""COMPUTED_VALUE"""),"ANNISA SEPTA PAKSI")</f>
        <v>ANNISA SEPTA PAKSI</v>
      </c>
      <c r="C3545" s="3" t="str">
        <f>IFERROR(__xludf.DUMMYFUNCTION("""COMPUTED_VALUE"""),"A9626037815")</f>
        <v>A9626037815</v>
      </c>
      <c r="D3545" s="3">
        <f>IFERROR(__xludf.DUMMYFUNCTION("""COMPUTED_VALUE"""),29.0)</f>
        <v>29</v>
      </c>
      <c r="E3545" s="1"/>
    </row>
    <row r="3546">
      <c r="A3546" s="1"/>
      <c r="B3546" s="3" t="str">
        <f>IFERROR(__xludf.DUMMYFUNCTION("""COMPUTED_VALUE"""),"BAGAS NUR ISLAMI")</f>
        <v>BAGAS NUR ISLAMI</v>
      </c>
      <c r="C3546" s="3" t="str">
        <f>IFERROR(__xludf.DUMMYFUNCTION("""COMPUTED_VALUE"""),"B1026034769")</f>
        <v>B1026034769</v>
      </c>
      <c r="D3546" s="3">
        <f>IFERROR(__xludf.DUMMYFUNCTION("""COMPUTED_VALUE"""),15.0)</f>
        <v>15</v>
      </c>
      <c r="E3546" s="1"/>
    </row>
    <row r="3547">
      <c r="A3547" s="1"/>
      <c r="B3547" s="3" t="str">
        <f>IFERROR(__xludf.DUMMYFUNCTION("""COMPUTED_VALUE"""),"RUFI LISTIAWATI, SE ")</f>
        <v>RUFI LISTIAWATI, SE </v>
      </c>
      <c r="C3547" s="3" t="str">
        <f>IFERROR(__xludf.DUMMYFUNCTION("""COMPUTED_VALUE"""),"R8226039346")</f>
        <v>R8226039346</v>
      </c>
      <c r="D3547" s="3">
        <f>IFERROR(__xludf.DUMMYFUNCTION("""COMPUTED_VALUE"""),43.0)</f>
        <v>43</v>
      </c>
      <c r="E3547" s="1"/>
    </row>
    <row r="3548">
      <c r="A3548" s="1"/>
      <c r="B3548" s="3" t="str">
        <f>IFERROR(__xludf.DUMMYFUNCTION("""COMPUTED_VALUE"""),"SUKMAWATI")</f>
        <v>SUKMAWATI</v>
      </c>
      <c r="C3548" s="3" t="str">
        <f>IFERROR(__xludf.DUMMYFUNCTION("""COMPUTED_VALUE"""),"S9626037860")</f>
        <v>S9626037860</v>
      </c>
      <c r="D3548" s="3">
        <f>IFERROR(__xludf.DUMMYFUNCTION("""COMPUTED_VALUE"""),29.0)</f>
        <v>29</v>
      </c>
      <c r="E3548" s="1"/>
    </row>
    <row r="3549">
      <c r="A3549" s="1"/>
      <c r="B3549" s="3" t="str">
        <f>IFERROR(__xludf.DUMMYFUNCTION("""COMPUTED_VALUE"""),"ANDY")</f>
        <v>ANDY</v>
      </c>
      <c r="C3549" s="3" t="str">
        <f>IFERROR(__xludf.DUMMYFUNCTION("""COMPUTED_VALUE"""),"A8826033797")</f>
        <v>A8826033797</v>
      </c>
      <c r="D3549" s="3">
        <f>IFERROR(__xludf.DUMMYFUNCTION("""COMPUTED_VALUE"""),38.0)</f>
        <v>38</v>
      </c>
      <c r="E3549" s="1"/>
    </row>
    <row r="3550">
      <c r="A3550" s="1"/>
      <c r="B3550" s="3" t="str">
        <f>IFERROR(__xludf.DUMMYFUNCTION("""COMPUTED_VALUE"""),"ROMEO HISKIA LIMBENG")</f>
        <v>ROMEO HISKIA LIMBENG</v>
      </c>
      <c r="C3550" s="3" t="str">
        <f>IFERROR(__xludf.DUMMYFUNCTION("""COMPUTED_VALUE"""),"R8426039515")</f>
        <v>R8426039515</v>
      </c>
      <c r="D3550" s="3">
        <f>IFERROR(__xludf.DUMMYFUNCTION("""COMPUTED_VALUE"""),41.0)</f>
        <v>41</v>
      </c>
      <c r="E3550" s="1"/>
    </row>
    <row r="3551">
      <c r="A3551" s="1"/>
      <c r="B3551" s="3" t="str">
        <f>IFERROR(__xludf.DUMMYFUNCTION("""COMPUTED_VALUE"""),"MUH. SHOIM MASKURI")</f>
        <v>MUH. SHOIM MASKURI</v>
      </c>
      <c r="C3551" s="3" t="str">
        <f>IFERROR(__xludf.DUMMYFUNCTION("""COMPUTED_VALUE"""),"M8526038856")</f>
        <v>M8526038856</v>
      </c>
      <c r="D3551" s="3">
        <f>IFERROR(__xludf.DUMMYFUNCTION("""COMPUTED_VALUE"""),41.0)</f>
        <v>41</v>
      </c>
      <c r="E3551" s="1"/>
    </row>
    <row r="3552">
      <c r="A3552" s="1"/>
      <c r="B3552" s="3" t="str">
        <f>IFERROR(__xludf.DUMMYFUNCTION("""COMPUTED_VALUE"""),"YUSAK HADI NUGROHO")</f>
        <v>YUSAK HADI NUGROHO</v>
      </c>
      <c r="C3552" s="3" t="str">
        <f>IFERROR(__xludf.DUMMYFUNCTION("""COMPUTED_VALUE"""),"Y9426034223")</f>
        <v>Y9426034223</v>
      </c>
      <c r="D3552" s="3">
        <f>IFERROR(__xludf.DUMMYFUNCTION("""COMPUTED_VALUE"""),31.0)</f>
        <v>31</v>
      </c>
      <c r="E3552" s="1"/>
    </row>
    <row r="3553">
      <c r="A3553" s="1"/>
      <c r="B3553" s="3" t="str">
        <f>IFERROR(__xludf.DUMMYFUNCTION("""COMPUTED_VALUE"""),"ARMAYADI")</f>
        <v>ARMAYADI</v>
      </c>
      <c r="C3553" s="3" t="str">
        <f>IFERROR(__xludf.DUMMYFUNCTION("""COMPUTED_VALUE"""),"A6126035344")</f>
        <v>A6126035344</v>
      </c>
      <c r="D3553" s="3">
        <f>IFERROR(__xludf.DUMMYFUNCTION("""COMPUTED_VALUE"""),64.0)</f>
        <v>64</v>
      </c>
      <c r="E3553" s="1"/>
    </row>
    <row r="3554">
      <c r="A3554" s="1"/>
      <c r="B3554" s="3" t="str">
        <f>IFERROR(__xludf.DUMMYFUNCTION("""COMPUTED_VALUE"""),"RUDY 279")</f>
        <v>RUDY 279</v>
      </c>
      <c r="C3554" s="3" t="str">
        <f>IFERROR(__xludf.DUMMYFUNCTION("""COMPUTED_VALUE"""),"R7726032279")</f>
        <v>R7726032279</v>
      </c>
      <c r="D3554" s="3">
        <f>IFERROR(__xludf.DUMMYFUNCTION("""COMPUTED_VALUE"""),48.0)</f>
        <v>48</v>
      </c>
      <c r="E3554" s="1"/>
    </row>
    <row r="3555">
      <c r="A3555" s="1"/>
      <c r="B3555" s="3" t="str">
        <f>IFERROR(__xludf.DUMMYFUNCTION("""COMPUTED_VALUE"""),"IRVAN HARAHAP")</f>
        <v>IRVAN HARAHAP</v>
      </c>
      <c r="C3555" s="3" t="str">
        <f>IFERROR(__xludf.DUMMYFUNCTION("""COMPUTED_VALUE"""),"I9926032631")</f>
        <v>I9926032631</v>
      </c>
      <c r="D3555" s="3">
        <f>IFERROR(__xludf.DUMMYFUNCTION("""COMPUTED_VALUE"""),26.0)</f>
        <v>26</v>
      </c>
      <c r="E3555" s="1"/>
    </row>
    <row r="3556">
      <c r="A3556" s="1"/>
      <c r="B3556" s="3" t="str">
        <f>IFERROR(__xludf.DUMMYFUNCTION("""COMPUTED_VALUE"""),"HENI SURYA NINGSIH")</f>
        <v>HENI SURYA NINGSIH</v>
      </c>
      <c r="C3556" s="3" t="str">
        <f>IFERROR(__xludf.DUMMYFUNCTION("""COMPUTED_VALUE"""),"H0126030765")</f>
        <v>H0126030765</v>
      </c>
      <c r="D3556" s="3">
        <f>IFERROR(__xludf.DUMMYFUNCTION("""COMPUTED_VALUE"""),25.0)</f>
        <v>25</v>
      </c>
      <c r="E3556" s="1"/>
    </row>
    <row r="3557">
      <c r="A3557" s="1"/>
      <c r="B3557" s="3" t="str">
        <f>IFERROR(__xludf.DUMMYFUNCTION("""COMPUTED_VALUE"""),"YANTI")</f>
        <v>YANTI</v>
      </c>
      <c r="C3557" s="3" t="str">
        <f>IFERROR(__xludf.DUMMYFUNCTION("""COMPUTED_VALUE"""),"Y7226030986")</f>
        <v>Y7226030986</v>
      </c>
      <c r="D3557" s="3">
        <f>IFERROR(__xludf.DUMMYFUNCTION("""COMPUTED_VALUE"""),53.0)</f>
        <v>53</v>
      </c>
      <c r="E3557" s="1"/>
    </row>
    <row r="3558">
      <c r="A3558" s="1"/>
      <c r="B3558" s="3" t="str">
        <f>IFERROR(__xludf.DUMMYFUNCTION("""COMPUTED_VALUE"""),"DELIA ANGELA")</f>
        <v>DELIA ANGELA</v>
      </c>
      <c r="C3558" s="3" t="str">
        <f>IFERROR(__xludf.DUMMYFUNCTION("""COMPUTED_VALUE"""),"D8826039333")</f>
        <v>D8826039333</v>
      </c>
      <c r="D3558" s="3">
        <f>IFERROR(__xludf.DUMMYFUNCTION("""COMPUTED_VALUE"""),37.0)</f>
        <v>37</v>
      </c>
      <c r="E3558" s="1"/>
    </row>
    <row r="3559">
      <c r="A3559" s="1"/>
      <c r="B3559" s="3" t="str">
        <f>IFERROR(__xludf.DUMMYFUNCTION("""COMPUTED_VALUE"""),"MUHAMMAD RIVQY IBRA")</f>
        <v>MUHAMMAD RIVQY IBRA</v>
      </c>
      <c r="C3559" s="3" t="str">
        <f>IFERROR(__xludf.DUMMYFUNCTION("""COMPUTED_VALUE"""),"M0326038060")</f>
        <v>M0326038060</v>
      </c>
      <c r="D3559" s="3">
        <f>IFERROR(__xludf.DUMMYFUNCTION("""COMPUTED_VALUE"""),22.0)</f>
        <v>22</v>
      </c>
      <c r="E3559" s="1"/>
    </row>
    <row r="3560">
      <c r="A3560" s="1"/>
      <c r="B3560" s="3" t="str">
        <f>IFERROR(__xludf.DUMMYFUNCTION("""COMPUTED_VALUE"""),"CAHAYA LANGIT DZIKRILLAH MATTAROPURA")</f>
        <v>CAHAYA LANGIT DZIKRILLAH MATTAROPURA</v>
      </c>
      <c r="C3560" s="3" t="str">
        <f>IFERROR(__xludf.DUMMYFUNCTION("""COMPUTED_VALUE"""),"C0826033323")</f>
        <v>C0826033323</v>
      </c>
      <c r="D3560" s="3">
        <f>IFERROR(__xludf.DUMMYFUNCTION("""COMPUTED_VALUE"""),17.0)</f>
        <v>17</v>
      </c>
      <c r="E3560" s="1"/>
    </row>
    <row r="3561">
      <c r="A3561" s="1"/>
      <c r="B3561" s="3" t="str">
        <f>IFERROR(__xludf.DUMMYFUNCTION("""COMPUTED_VALUE"""),"RIKA RAHMAWATI")</f>
        <v>RIKA RAHMAWATI</v>
      </c>
      <c r="C3561" s="3" t="str">
        <f>IFERROR(__xludf.DUMMYFUNCTION("""COMPUTED_VALUE"""),"R9226033048")</f>
        <v>R9226033048</v>
      </c>
      <c r="D3561" s="3">
        <f>IFERROR(__xludf.DUMMYFUNCTION("""COMPUTED_VALUE"""),34.0)</f>
        <v>34</v>
      </c>
      <c r="E3561" s="1"/>
    </row>
    <row r="3562">
      <c r="A3562" s="1"/>
      <c r="B3562" s="3" t="str">
        <f>IFERROR(__xludf.DUMMYFUNCTION("""COMPUTED_VALUE"""),"ANNE YURIKA MAULUDDIN")</f>
        <v>ANNE YURIKA MAULUDDIN</v>
      </c>
      <c r="C3562" s="3" t="str">
        <f>IFERROR(__xludf.DUMMYFUNCTION("""COMPUTED_VALUE"""),"A9326037674")</f>
        <v>A9326037674</v>
      </c>
      <c r="D3562" s="3">
        <f>IFERROR(__xludf.DUMMYFUNCTION("""COMPUTED_VALUE"""),32.0)</f>
        <v>32</v>
      </c>
      <c r="E3562" s="1"/>
    </row>
    <row r="3563">
      <c r="A3563" s="1"/>
      <c r="B3563" s="3" t="str">
        <f>IFERROR(__xludf.DUMMYFUNCTION("""COMPUTED_VALUE"""),"NICKY")</f>
        <v>NICKY</v>
      </c>
      <c r="C3563" s="3" t="str">
        <f>IFERROR(__xludf.DUMMYFUNCTION("""COMPUTED_VALUE"""),"N9026035828")</f>
        <v>N9026035828</v>
      </c>
      <c r="D3563" s="3">
        <f>IFERROR(__xludf.DUMMYFUNCTION("""COMPUTED_VALUE"""),35.0)</f>
        <v>35</v>
      </c>
      <c r="E3563" s="1"/>
    </row>
    <row r="3564">
      <c r="A3564" s="1"/>
      <c r="B3564" s="3" t="str">
        <f>IFERROR(__xludf.DUMMYFUNCTION("""COMPUTED_VALUE"""),"FARADILLA")</f>
        <v>FARADILLA</v>
      </c>
      <c r="C3564" s="3" t="str">
        <f>IFERROR(__xludf.DUMMYFUNCTION("""COMPUTED_VALUE"""),"F9026031920")</f>
        <v>F9026031920</v>
      </c>
      <c r="D3564" s="3">
        <f>IFERROR(__xludf.DUMMYFUNCTION("""COMPUTED_VALUE"""),35.0)</f>
        <v>35</v>
      </c>
      <c r="E3564" s="1"/>
    </row>
    <row r="3565">
      <c r="A3565" s="1"/>
      <c r="B3565" s="3" t="str">
        <f>IFERROR(__xludf.DUMMYFUNCTION("""COMPUTED_VALUE"""),"HAMDIKO CIKAL JULIADI")</f>
        <v>HAMDIKO CIKAL JULIADI</v>
      </c>
      <c r="C3565" s="3" t="str">
        <f>IFERROR(__xludf.DUMMYFUNCTION("""COMPUTED_VALUE"""),"H0126035925")</f>
        <v>H0126035925</v>
      </c>
      <c r="D3565" s="3">
        <f>IFERROR(__xludf.DUMMYFUNCTION("""COMPUTED_VALUE"""),25.0)</f>
        <v>25</v>
      </c>
      <c r="E3565" s="1"/>
    </row>
    <row r="3566">
      <c r="A3566" s="1"/>
      <c r="B3566" s="3" t="str">
        <f>IFERROR(__xludf.DUMMYFUNCTION("""COMPUTED_VALUE"""),"EFFIE SYEKH USMAN")</f>
        <v>EFFIE SYEKH USMAN</v>
      </c>
      <c r="C3566" s="3" t="str">
        <f>IFERROR(__xludf.DUMMYFUNCTION("""COMPUTED_VALUE"""),"E7226037151")</f>
        <v>E7226037151</v>
      </c>
      <c r="D3566" s="3">
        <f>IFERROR(__xludf.DUMMYFUNCTION("""COMPUTED_VALUE"""),53.0)</f>
        <v>53</v>
      </c>
      <c r="E3566" s="1"/>
    </row>
    <row r="3567">
      <c r="A3567" s="1"/>
      <c r="B3567" s="3" t="str">
        <f>IFERROR(__xludf.DUMMYFUNCTION("""COMPUTED_VALUE"""),"ANDRIA RAMA YANA")</f>
        <v>ANDRIA RAMA YANA</v>
      </c>
      <c r="C3567" s="3" t="str">
        <f>IFERROR(__xludf.DUMMYFUNCTION("""COMPUTED_VALUE"""),"A9926038293")</f>
        <v>A9926038293</v>
      </c>
      <c r="D3567" s="3">
        <f>IFERROR(__xludf.DUMMYFUNCTION("""COMPUTED_VALUE"""),26.0)</f>
        <v>26</v>
      </c>
      <c r="E3567" s="1"/>
    </row>
    <row r="3568">
      <c r="A3568" s="1"/>
      <c r="B3568" s="3" t="str">
        <f>IFERROR(__xludf.DUMMYFUNCTION("""COMPUTED_VALUE"""),"STEVANI DHARMA YANTI")</f>
        <v>STEVANI DHARMA YANTI</v>
      </c>
      <c r="C3568" s="3" t="str">
        <f>IFERROR(__xludf.DUMMYFUNCTION("""COMPUTED_VALUE"""),"S9626030247")</f>
        <v>S9626030247</v>
      </c>
      <c r="D3568" s="3">
        <f>IFERROR(__xludf.DUMMYFUNCTION("""COMPUTED_VALUE"""),29.0)</f>
        <v>29</v>
      </c>
      <c r="E3568" s="1"/>
    </row>
    <row r="3569">
      <c r="A3569" s="1"/>
      <c r="B3569" s="3" t="str">
        <f>IFERROR(__xludf.DUMMYFUNCTION("""COMPUTED_VALUE"""),"HJ SUGIARTI")</f>
        <v>HJ SUGIARTI</v>
      </c>
      <c r="C3569" s="3" t="str">
        <f>IFERROR(__xludf.DUMMYFUNCTION("""COMPUTED_VALUE"""),"H7026037366")</f>
        <v>H7026037366</v>
      </c>
      <c r="D3569" s="3">
        <f>IFERROR(__xludf.DUMMYFUNCTION("""COMPUTED_VALUE"""),56.0)</f>
        <v>56</v>
      </c>
      <c r="E3569" s="1"/>
    </row>
    <row r="3570">
      <c r="A3570" s="1"/>
      <c r="B3570" s="3" t="str">
        <f>IFERROR(__xludf.DUMMYFUNCTION("""COMPUTED_VALUE"""),"MARIANA")</f>
        <v>MARIANA</v>
      </c>
      <c r="C3570" s="3" t="str">
        <f>IFERROR(__xludf.DUMMYFUNCTION("""COMPUTED_VALUE"""),"M8526032638")</f>
        <v>M8526032638</v>
      </c>
      <c r="D3570" s="3">
        <f>IFERROR(__xludf.DUMMYFUNCTION("""COMPUTED_VALUE"""),41.0)</f>
        <v>41</v>
      </c>
      <c r="E3570" s="1"/>
    </row>
    <row r="3571">
      <c r="A3571" s="1"/>
      <c r="B3571" s="3" t="str">
        <f>IFERROR(__xludf.DUMMYFUNCTION("""COMPUTED_VALUE"""),"MUZAHIM SUFYAN ATS TSAURI ")</f>
        <v>MUZAHIM SUFYAN ATS TSAURI </v>
      </c>
      <c r="C3571" s="3" t="str">
        <f>IFERROR(__xludf.DUMMYFUNCTION("""COMPUTED_VALUE"""),"M1926031714")</f>
        <v>M1926031714</v>
      </c>
      <c r="D3571" s="3">
        <f>IFERROR(__xludf.DUMMYFUNCTION("""COMPUTED_VALUE"""),6.0)</f>
        <v>6</v>
      </c>
      <c r="E3571" s="1"/>
    </row>
    <row r="3572">
      <c r="A3572" s="1"/>
      <c r="B3572" s="3" t="str">
        <f>IFERROR(__xludf.DUMMYFUNCTION("""COMPUTED_VALUE"""),"RIDHO ")</f>
        <v>RIDHO </v>
      </c>
      <c r="C3572" s="3" t="str">
        <f>IFERROR(__xludf.DUMMYFUNCTION("""COMPUTED_VALUE"""),"R0026032342")</f>
        <v>R0026032342</v>
      </c>
      <c r="D3572" s="3">
        <f>IFERROR(__xludf.DUMMYFUNCTION("""COMPUTED_VALUE"""),25.0)</f>
        <v>25</v>
      </c>
      <c r="E3572" s="1"/>
    </row>
    <row r="3573">
      <c r="A3573" s="1"/>
      <c r="B3573" s="3" t="str">
        <f>IFERROR(__xludf.DUMMYFUNCTION("""COMPUTED_VALUE"""),"RUDY TAN SIAU KHIE")</f>
        <v>RUDY TAN SIAU KHIE</v>
      </c>
      <c r="C3573" s="3" t="str">
        <f>IFERROR(__xludf.DUMMYFUNCTION("""COMPUTED_VALUE"""),"R8126039180")</f>
        <v>R8126039180</v>
      </c>
      <c r="D3573" s="3">
        <f>IFERROR(__xludf.DUMMYFUNCTION("""COMPUTED_VALUE"""),45.0)</f>
        <v>45</v>
      </c>
      <c r="E3573" s="1"/>
    </row>
    <row r="3574">
      <c r="A3574" s="1"/>
      <c r="B3574" s="3" t="str">
        <f>IFERROR(__xludf.DUMMYFUNCTION("""COMPUTED_VALUE"""),"IRENE PRETTY PARDEDE")</f>
        <v>IRENE PRETTY PARDEDE</v>
      </c>
      <c r="C3574" s="3" t="str">
        <f>IFERROR(__xludf.DUMMYFUNCTION("""COMPUTED_VALUE"""),"I0126033204")</f>
        <v>I0126033204</v>
      </c>
      <c r="D3574" s="3">
        <f>IFERROR(__xludf.DUMMYFUNCTION("""COMPUTED_VALUE"""),25.0)</f>
        <v>25</v>
      </c>
      <c r="E3574" s="1"/>
    </row>
    <row r="3575">
      <c r="A3575" s="1"/>
      <c r="B3575" s="3" t="str">
        <f>IFERROR(__xludf.DUMMYFUNCTION("""COMPUTED_VALUE"""),"ERSAPTA ARISTO")</f>
        <v>ERSAPTA ARISTO</v>
      </c>
      <c r="C3575" s="3" t="str">
        <f>IFERROR(__xludf.DUMMYFUNCTION("""COMPUTED_VALUE"""),"E9726033405")</f>
        <v>E9726033405</v>
      </c>
      <c r="D3575" s="3">
        <f>IFERROR(__xludf.DUMMYFUNCTION("""COMPUTED_VALUE"""),29.0)</f>
        <v>29</v>
      </c>
      <c r="E3575" s="1"/>
    </row>
    <row r="3576">
      <c r="A3576" s="1"/>
      <c r="B3576" s="3" t="str">
        <f>IFERROR(__xludf.DUMMYFUNCTION("""COMPUTED_VALUE"""),"ZURAIDAH")</f>
        <v>ZURAIDAH</v>
      </c>
      <c r="C3576" s="3" t="str">
        <f>IFERROR(__xludf.DUMMYFUNCTION("""COMPUTED_VALUE"""),"Z6626039747")</f>
        <v>Z6626039747</v>
      </c>
      <c r="D3576" s="3">
        <f>IFERROR(__xludf.DUMMYFUNCTION("""COMPUTED_VALUE"""),59.0)</f>
        <v>59</v>
      </c>
      <c r="E3576" s="1"/>
    </row>
    <row r="3577">
      <c r="A3577" s="1"/>
      <c r="B3577" s="3" t="str">
        <f>IFERROR(__xludf.DUMMYFUNCTION("""COMPUTED_VALUE"""),"DARWIN SUDARMA")</f>
        <v>DARWIN SUDARMA</v>
      </c>
      <c r="C3577" s="3" t="str">
        <f>IFERROR(__xludf.DUMMYFUNCTION("""COMPUTED_VALUE"""),"D8526036369")</f>
        <v>D8526036369</v>
      </c>
      <c r="D3577" s="3">
        <f>IFERROR(__xludf.DUMMYFUNCTION("""COMPUTED_VALUE"""),41.0)</f>
        <v>41</v>
      </c>
      <c r="E3577" s="1"/>
    </row>
    <row r="3578">
      <c r="A3578" s="1"/>
      <c r="B3578" s="3" t="str">
        <f>IFERROR(__xludf.DUMMYFUNCTION("""COMPUTED_VALUE"""),"RAFIF DHAYYAFA AZATHY")</f>
        <v>RAFIF DHAYYAFA AZATHY</v>
      </c>
      <c r="C3578" s="3" t="str">
        <f>IFERROR(__xludf.DUMMYFUNCTION("""COMPUTED_VALUE"""),"R1026035440")</f>
        <v>R1026035440</v>
      </c>
      <c r="D3578" s="3">
        <f>IFERROR(__xludf.DUMMYFUNCTION("""COMPUTED_VALUE"""),16.0)</f>
        <v>16</v>
      </c>
      <c r="E3578" s="1"/>
    </row>
    <row r="3579">
      <c r="A3579" s="1"/>
      <c r="B3579" s="3" t="str">
        <f>IFERROR(__xludf.DUMMYFUNCTION("""COMPUTED_VALUE"""),"NOVITA SARI")</f>
        <v>NOVITA SARI</v>
      </c>
      <c r="C3579" s="3" t="str">
        <f>IFERROR(__xludf.DUMMYFUNCTION("""COMPUTED_VALUE"""),"N8126039096")</f>
        <v>N8126039096</v>
      </c>
      <c r="D3579" s="3">
        <f>IFERROR(__xludf.DUMMYFUNCTION("""COMPUTED_VALUE"""),44.0)</f>
        <v>44</v>
      </c>
      <c r="E3579" s="1"/>
    </row>
    <row r="3580">
      <c r="A3580" s="1"/>
      <c r="B3580" s="3" t="str">
        <f>IFERROR(__xludf.DUMMYFUNCTION("""COMPUTED_VALUE"""),"ADIB MIFTAHUL AHYAR")</f>
        <v>ADIB MIFTAHUL AHYAR</v>
      </c>
      <c r="C3580" s="3" t="str">
        <f>IFERROR(__xludf.DUMMYFUNCTION("""COMPUTED_VALUE"""),"A0026034794")</f>
        <v>A0026034794</v>
      </c>
      <c r="D3580" s="3">
        <f>IFERROR(__xludf.DUMMYFUNCTION("""COMPUTED_VALUE"""),26.0)</f>
        <v>26</v>
      </c>
      <c r="E3580" s="1"/>
    </row>
    <row r="3581">
      <c r="A3581" s="1"/>
      <c r="B3581" s="3" t="str">
        <f>IFERROR(__xludf.DUMMYFUNCTION("""COMPUTED_VALUE"""),"LIM TJIE KIANG")</f>
        <v>LIM TJIE KIANG</v>
      </c>
      <c r="C3581" s="3" t="str">
        <f>IFERROR(__xludf.DUMMYFUNCTION("""COMPUTED_VALUE"""),"L6126030016")</f>
        <v>L6126030016</v>
      </c>
      <c r="D3581" s="3">
        <f>IFERROR(__xludf.DUMMYFUNCTION("""COMPUTED_VALUE"""),64.0)</f>
        <v>64</v>
      </c>
      <c r="E3581" s="1"/>
    </row>
    <row r="3582">
      <c r="A3582" s="1"/>
      <c r="B3582" s="3" t="str">
        <f>IFERROR(__xludf.DUMMYFUNCTION("""COMPUTED_VALUE"""),"SRIYANTI ")</f>
        <v>SRIYANTI </v>
      </c>
      <c r="C3582" s="3" t="str">
        <f>IFERROR(__xludf.DUMMYFUNCTION("""COMPUTED_VALUE"""),"S8026038889")</f>
        <v>S8026038889</v>
      </c>
      <c r="D3582" s="3">
        <f>IFERROR(__xludf.DUMMYFUNCTION("""COMPUTED_VALUE"""),45.0)</f>
        <v>45</v>
      </c>
      <c r="E3582" s="1"/>
    </row>
    <row r="3583">
      <c r="A3583" s="1"/>
      <c r="B3583" s="3" t="str">
        <f>IFERROR(__xludf.DUMMYFUNCTION("""COMPUTED_VALUE"""),"YUDIT NOVANDI")</f>
        <v>YUDIT NOVANDI</v>
      </c>
      <c r="C3583" s="3" t="str">
        <f>IFERROR(__xludf.DUMMYFUNCTION("""COMPUTED_VALUE"""),"Y0026037235")</f>
        <v>Y0026037235</v>
      </c>
      <c r="D3583" s="3">
        <f>IFERROR(__xludf.DUMMYFUNCTION("""COMPUTED_VALUE"""),25.0)</f>
        <v>25</v>
      </c>
      <c r="E3583" s="1"/>
    </row>
    <row r="3584">
      <c r="A3584" s="1"/>
      <c r="B3584" s="3" t="str">
        <f>IFERROR(__xludf.DUMMYFUNCTION("""COMPUTED_VALUE"""),"RINDRI FEBY UMTAI")</f>
        <v>RINDRI FEBY UMTAI</v>
      </c>
      <c r="C3584" s="3" t="str">
        <f>IFERROR(__xludf.DUMMYFUNCTION("""COMPUTED_VALUE"""),"R9726033177")</f>
        <v>R9726033177</v>
      </c>
      <c r="D3584" s="3">
        <f>IFERROR(__xludf.DUMMYFUNCTION("""COMPUTED_VALUE"""),29.0)</f>
        <v>29</v>
      </c>
      <c r="E3584" s="1"/>
    </row>
    <row r="3585">
      <c r="A3585" s="1"/>
      <c r="B3585" s="3" t="str">
        <f>IFERROR(__xludf.DUMMYFUNCTION("""COMPUTED_VALUE"""),"MUSYARADA JUNIA CANDRA ")</f>
        <v>MUSYARADA JUNIA CANDRA </v>
      </c>
      <c r="C3585" s="3" t="str">
        <f>IFERROR(__xludf.DUMMYFUNCTION("""COMPUTED_VALUE"""),"M9526036778")</f>
        <v>M9526036778</v>
      </c>
      <c r="D3585" s="3">
        <f>IFERROR(__xludf.DUMMYFUNCTION("""COMPUTED_VALUE"""),31.0)</f>
        <v>31</v>
      </c>
      <c r="E3585" s="1"/>
    </row>
    <row r="3586">
      <c r="A3586" s="1"/>
      <c r="B3586" s="3" t="str">
        <f>IFERROR(__xludf.DUMMYFUNCTION("""COMPUTED_VALUE"""),"SUPARTI")</f>
        <v>SUPARTI</v>
      </c>
      <c r="C3586" s="3" t="str">
        <f>IFERROR(__xludf.DUMMYFUNCTION("""COMPUTED_VALUE"""),"S5426033895")</f>
        <v>S5426033895</v>
      </c>
      <c r="D3586" s="3">
        <f>IFERROR(__xludf.DUMMYFUNCTION("""COMPUTED_VALUE"""),71.0)</f>
        <v>71</v>
      </c>
      <c r="E3586" s="1"/>
    </row>
    <row r="3587">
      <c r="A3587" s="1"/>
      <c r="B3587" s="3" t="str">
        <f>IFERROR(__xludf.DUMMYFUNCTION("""COMPUTED_VALUE"""),"PUJI LESTARI DWI HANDAYANI")</f>
        <v>PUJI LESTARI DWI HANDAYANI</v>
      </c>
      <c r="C3587" s="3" t="str">
        <f>IFERROR(__xludf.DUMMYFUNCTION("""COMPUTED_VALUE"""),"P9226035207")</f>
        <v>P9226035207</v>
      </c>
      <c r="D3587" s="3">
        <f>IFERROR(__xludf.DUMMYFUNCTION("""COMPUTED_VALUE"""),33.0)</f>
        <v>33</v>
      </c>
      <c r="E3587" s="1"/>
    </row>
    <row r="3588">
      <c r="A3588" s="1"/>
      <c r="B3588" s="3" t="str">
        <f>IFERROR(__xludf.DUMMYFUNCTION("""COMPUTED_VALUE"""),"AULIA NAZWA AZZIKRA ")</f>
        <v>AULIA NAZWA AZZIKRA </v>
      </c>
      <c r="C3588" s="3" t="str">
        <f>IFERROR(__xludf.DUMMYFUNCTION("""COMPUTED_VALUE"""),"A1626032188")</f>
        <v>A1626032188</v>
      </c>
      <c r="D3588" s="3">
        <f>IFERROR(__xludf.DUMMYFUNCTION("""COMPUTED_VALUE"""),9.0)</f>
        <v>9</v>
      </c>
      <c r="E3588" s="1"/>
    </row>
    <row r="3589">
      <c r="A3589" s="1"/>
      <c r="B3589" s="3" t="str">
        <f>IFERROR(__xludf.DUMMYFUNCTION("""COMPUTED_VALUE"""),"AUZAIE MUHTADI")</f>
        <v>AUZAIE MUHTADI</v>
      </c>
      <c r="C3589" s="3" t="str">
        <f>IFERROR(__xludf.DUMMYFUNCTION("""COMPUTED_VALUE"""),"A5126037073")</f>
        <v>A5126037073</v>
      </c>
      <c r="D3589" s="3">
        <f>IFERROR(__xludf.DUMMYFUNCTION("""COMPUTED_VALUE"""),75.0)</f>
        <v>75</v>
      </c>
      <c r="E3589" s="1"/>
    </row>
    <row r="3590">
      <c r="A3590" s="1"/>
      <c r="B3590" s="3" t="str">
        <f>IFERROR(__xludf.DUMMYFUNCTION("""COMPUTED_VALUE"""),"NINA YUNIARTI")</f>
        <v>NINA YUNIARTI</v>
      </c>
      <c r="C3590" s="3" t="str">
        <f>IFERROR(__xludf.DUMMYFUNCTION("""COMPUTED_VALUE"""),"N8126039788")</f>
        <v>N8126039788</v>
      </c>
      <c r="D3590" s="3">
        <f>IFERROR(__xludf.DUMMYFUNCTION("""COMPUTED_VALUE"""),44.0)</f>
        <v>44</v>
      </c>
      <c r="E3590" s="1"/>
    </row>
    <row r="3591">
      <c r="A3591" s="1"/>
      <c r="B3591" s="3" t="str">
        <f>IFERROR(__xludf.DUMMYFUNCTION("""COMPUTED_VALUE"""),"BONG TJUI HA")</f>
        <v>BONG TJUI HA</v>
      </c>
      <c r="C3591" s="3" t="str">
        <f>IFERROR(__xludf.DUMMYFUNCTION("""COMPUTED_VALUE"""),"B4426034685")</f>
        <v>B4426034685</v>
      </c>
      <c r="D3591" s="3">
        <f>IFERROR(__xludf.DUMMYFUNCTION("""COMPUTED_VALUE"""),81.0)</f>
        <v>81</v>
      </c>
      <c r="E3591" s="1"/>
    </row>
    <row r="3592">
      <c r="A3592" s="1"/>
      <c r="B3592" s="3" t="str">
        <f>IFERROR(__xludf.DUMMYFUNCTION("""COMPUTED_VALUE"""),"VICO")</f>
        <v>VICO</v>
      </c>
      <c r="C3592" s="3" t="str">
        <f>IFERROR(__xludf.DUMMYFUNCTION("""COMPUTED_VALUE"""),"V0226032578")</f>
        <v>V0226032578</v>
      </c>
      <c r="D3592" s="3">
        <f>IFERROR(__xludf.DUMMYFUNCTION("""COMPUTED_VALUE"""),24.0)</f>
        <v>24</v>
      </c>
      <c r="E3592" s="1"/>
    </row>
    <row r="3593">
      <c r="A3593" s="1"/>
      <c r="B3593" s="3" t="str">
        <f>IFERROR(__xludf.DUMMYFUNCTION("""COMPUTED_VALUE"""),"SATRIA AMARTA")</f>
        <v>SATRIA AMARTA</v>
      </c>
      <c r="C3593" s="3" t="str">
        <f>IFERROR(__xludf.DUMMYFUNCTION("""COMPUTED_VALUE"""),"S0326034144")</f>
        <v>S0326034144</v>
      </c>
      <c r="D3593" s="3">
        <f>IFERROR(__xludf.DUMMYFUNCTION("""COMPUTED_VALUE"""),23.0)</f>
        <v>23</v>
      </c>
      <c r="E3593" s="1"/>
    </row>
    <row r="3594">
      <c r="A3594" s="1"/>
      <c r="B3594" s="3" t="str">
        <f>IFERROR(__xludf.DUMMYFUNCTION("""COMPUTED_VALUE"""),"THE KWANG LENG")</f>
        <v>THE KWANG LENG</v>
      </c>
      <c r="C3594" s="3" t="str">
        <f>IFERROR(__xludf.DUMMYFUNCTION("""COMPUTED_VALUE"""),"T7326037879")</f>
        <v>T7326037879</v>
      </c>
      <c r="D3594" s="3">
        <f>IFERROR(__xludf.DUMMYFUNCTION("""COMPUTED_VALUE"""),53.0)</f>
        <v>53</v>
      </c>
      <c r="E3594" s="1"/>
    </row>
    <row r="3595">
      <c r="A3595" s="1"/>
      <c r="B3595" s="3" t="str">
        <f>IFERROR(__xludf.DUMMYFUNCTION("""COMPUTED_VALUE"""),"ABYAN ODHY DZAKWAN")</f>
        <v>ABYAN ODHY DZAKWAN</v>
      </c>
      <c r="C3595" s="3" t="str">
        <f>IFERROR(__xludf.DUMMYFUNCTION("""COMPUTED_VALUE"""),"A9826032419")</f>
        <v>A9826032419</v>
      </c>
      <c r="D3595" s="3">
        <f>IFERROR(__xludf.DUMMYFUNCTION("""COMPUTED_VALUE"""),27.0)</f>
        <v>27</v>
      </c>
      <c r="E3595" s="1"/>
    </row>
    <row r="3596">
      <c r="A3596" s="1"/>
      <c r="B3596" s="3" t="str">
        <f>IFERROR(__xludf.DUMMYFUNCTION("""COMPUTED_VALUE"""),"SHANDY")</f>
        <v>SHANDY</v>
      </c>
      <c r="C3596" s="3" t="str">
        <f>IFERROR(__xludf.DUMMYFUNCTION("""COMPUTED_VALUE"""),"S9026033902")</f>
        <v>S9026033902</v>
      </c>
      <c r="D3596" s="3">
        <f>IFERROR(__xludf.DUMMYFUNCTION("""COMPUTED_VALUE"""),35.0)</f>
        <v>35</v>
      </c>
      <c r="E3596" s="1"/>
    </row>
    <row r="3597">
      <c r="A3597" s="1"/>
      <c r="B3597" s="3" t="str">
        <f>IFERROR(__xludf.DUMMYFUNCTION("""COMPUTED_VALUE"""),"FENNA")</f>
        <v>FENNA</v>
      </c>
      <c r="C3597" s="3" t="str">
        <f>IFERROR(__xludf.DUMMYFUNCTION("""COMPUTED_VALUE"""),"F9526037672")</f>
        <v>F9526037672</v>
      </c>
      <c r="D3597" s="3">
        <f>IFERROR(__xludf.DUMMYFUNCTION("""COMPUTED_VALUE"""),30.0)</f>
        <v>30</v>
      </c>
      <c r="E3597" s="1"/>
    </row>
    <row r="3598">
      <c r="A3598" s="1"/>
      <c r="B3598" s="3" t="str">
        <f>IFERROR(__xludf.DUMMYFUNCTION("""COMPUTED_VALUE"""),"MONICA CHRISTY")</f>
        <v>MONICA CHRISTY</v>
      </c>
      <c r="C3598" s="3" t="str">
        <f>IFERROR(__xludf.DUMMYFUNCTION("""COMPUTED_VALUE"""),"M0126038535")</f>
        <v>M0126038535</v>
      </c>
      <c r="D3598" s="3">
        <f>IFERROR(__xludf.DUMMYFUNCTION("""COMPUTED_VALUE"""),24.0)</f>
        <v>24</v>
      </c>
      <c r="E3598" s="1"/>
    </row>
    <row r="3599">
      <c r="A3599" s="1"/>
      <c r="B3599" s="3" t="str">
        <f>IFERROR(__xludf.DUMMYFUNCTION("""COMPUTED_VALUE"""),"FATHIMATHUZ ZAHRAH ")</f>
        <v>FATHIMATHUZ ZAHRAH </v>
      </c>
      <c r="C3599" s="3" t="str">
        <f>IFERROR(__xludf.DUMMYFUNCTION("""COMPUTED_VALUE"""),"F9226031770")</f>
        <v>F9226031770</v>
      </c>
      <c r="D3599" s="3">
        <f>IFERROR(__xludf.DUMMYFUNCTION("""COMPUTED_VALUE"""),33.0)</f>
        <v>33</v>
      </c>
      <c r="E3599" s="1"/>
    </row>
    <row r="3600">
      <c r="A3600" s="1"/>
      <c r="B3600" s="3" t="str">
        <f>IFERROR(__xludf.DUMMYFUNCTION("""COMPUTED_VALUE"""),"PAULA AMINAH")</f>
        <v>PAULA AMINAH</v>
      </c>
      <c r="C3600" s="3" t="str">
        <f>IFERROR(__xludf.DUMMYFUNCTION("""COMPUTED_VALUE"""),"P7926031864")</f>
        <v>P7926031864</v>
      </c>
      <c r="D3600" s="3">
        <f>IFERROR(__xludf.DUMMYFUNCTION("""COMPUTED_VALUE"""),46.0)</f>
        <v>46</v>
      </c>
      <c r="E3600" s="1"/>
    </row>
    <row r="3601">
      <c r="A3601" s="1"/>
      <c r="B3601" s="3" t="str">
        <f>IFERROR(__xludf.DUMMYFUNCTION("""COMPUTED_VALUE"""),"DZULFIKRI RIZQULLAH")</f>
        <v>DZULFIKRI RIZQULLAH</v>
      </c>
      <c r="C3601" s="3" t="str">
        <f>IFERROR(__xludf.DUMMYFUNCTION("""COMPUTED_VALUE"""),"D0226036775")</f>
        <v>D0226036775</v>
      </c>
      <c r="D3601" s="3">
        <f>IFERROR(__xludf.DUMMYFUNCTION("""COMPUTED_VALUE"""),23.0)</f>
        <v>23</v>
      </c>
      <c r="E3601" s="1"/>
    </row>
    <row r="3602">
      <c r="A3602" s="1"/>
      <c r="B3602" s="3" t="str">
        <f>IFERROR(__xludf.DUMMYFUNCTION("""COMPUTED_VALUE"""),"TYAN MIRANI")</f>
        <v>TYAN MIRANI</v>
      </c>
      <c r="C3602" s="3" t="str">
        <f>IFERROR(__xludf.DUMMYFUNCTION("""COMPUTED_VALUE"""),"T9226031551")</f>
        <v>T9226031551</v>
      </c>
      <c r="D3602" s="3">
        <f>IFERROR(__xludf.DUMMYFUNCTION("""COMPUTED_VALUE"""),33.0)</f>
        <v>33</v>
      </c>
      <c r="E3602" s="1"/>
    </row>
    <row r="3603">
      <c r="A3603" s="1"/>
      <c r="B3603" s="3" t="str">
        <f>IFERROR(__xludf.DUMMYFUNCTION("""COMPUTED_VALUE"""),"JONATHAN NG")</f>
        <v>JONATHAN NG</v>
      </c>
      <c r="C3603" s="3" t="str">
        <f>IFERROR(__xludf.DUMMYFUNCTION("""COMPUTED_VALUE"""),"J0026035553")</f>
        <v>J0026035553</v>
      </c>
      <c r="D3603" s="3">
        <f>IFERROR(__xludf.DUMMYFUNCTION("""COMPUTED_VALUE"""),26.0)</f>
        <v>26</v>
      </c>
      <c r="E3603" s="1"/>
    </row>
    <row r="3604">
      <c r="A3604" s="1"/>
      <c r="B3604" s="3" t="str">
        <f>IFERROR(__xludf.DUMMYFUNCTION("""COMPUTED_VALUE"""),"INTAN PRATIWI KHAIRUNNISA")</f>
        <v>INTAN PRATIWI KHAIRUNNISA</v>
      </c>
      <c r="C3604" s="3" t="str">
        <f>IFERROR(__xludf.DUMMYFUNCTION("""COMPUTED_VALUE"""),"I9926038333")</f>
        <v>I9926038333</v>
      </c>
      <c r="D3604" s="3">
        <f>IFERROR(__xludf.DUMMYFUNCTION("""COMPUTED_VALUE"""),26.0)</f>
        <v>26</v>
      </c>
      <c r="E3604" s="1"/>
    </row>
    <row r="3605">
      <c r="A3605" s="1"/>
      <c r="B3605" s="3" t="str">
        <f>IFERROR(__xludf.DUMMYFUNCTION("""COMPUTED_VALUE"""),"AYU KOMALASARI ")</f>
        <v>AYU KOMALASARI </v>
      </c>
      <c r="C3605" s="3" t="str">
        <f>IFERROR(__xludf.DUMMYFUNCTION("""COMPUTED_VALUE"""),"A9926034269")</f>
        <v>A9926034269</v>
      </c>
      <c r="D3605" s="3">
        <f>IFERROR(__xludf.DUMMYFUNCTION("""COMPUTED_VALUE"""),26.0)</f>
        <v>26</v>
      </c>
      <c r="E3605" s="1"/>
    </row>
    <row r="3606">
      <c r="A3606" s="1"/>
      <c r="B3606" s="3" t="str">
        <f>IFERROR(__xludf.DUMMYFUNCTION("""COMPUTED_VALUE"""),"EVANDIKA DANADYAKSA")</f>
        <v>EVANDIKA DANADYAKSA</v>
      </c>
      <c r="C3606" s="3" t="str">
        <f>IFERROR(__xludf.DUMMYFUNCTION("""COMPUTED_VALUE"""),"E0926032211")</f>
        <v>E0926032211</v>
      </c>
      <c r="D3606" s="3">
        <f>IFERROR(__xludf.DUMMYFUNCTION("""COMPUTED_VALUE"""),17.0)</f>
        <v>17</v>
      </c>
      <c r="E3606" s="1"/>
    </row>
    <row r="3607">
      <c r="A3607" s="1"/>
      <c r="B3607" s="3" t="str">
        <f>IFERROR(__xludf.DUMMYFUNCTION("""COMPUTED_VALUE"""),"HALIM")</f>
        <v>HALIM</v>
      </c>
      <c r="C3607" s="3" t="str">
        <f>IFERROR(__xludf.DUMMYFUNCTION("""COMPUTED_VALUE"""),"H4926030505")</f>
        <v>H4926030505</v>
      </c>
      <c r="D3607" s="3">
        <f>IFERROR(__xludf.DUMMYFUNCTION("""COMPUTED_VALUE"""),77.0)</f>
        <v>77</v>
      </c>
      <c r="E3607" s="1"/>
    </row>
    <row r="3608">
      <c r="A3608" s="1"/>
      <c r="B3608" s="3" t="str">
        <f>IFERROR(__xludf.DUMMYFUNCTION("""COMPUTED_VALUE"""),"NUFI ALABSHAR")</f>
        <v>NUFI ALABSHAR</v>
      </c>
      <c r="C3608" s="3" t="str">
        <f>IFERROR(__xludf.DUMMYFUNCTION("""COMPUTED_VALUE"""),"N8426038484")</f>
        <v>N8426038484</v>
      </c>
      <c r="D3608" s="3">
        <f>IFERROR(__xludf.DUMMYFUNCTION("""COMPUTED_VALUE"""),42.0)</f>
        <v>42</v>
      </c>
      <c r="E3608" s="1"/>
    </row>
    <row r="3609">
      <c r="A3609" s="1"/>
      <c r="B3609" s="3" t="str">
        <f>IFERROR(__xludf.DUMMYFUNCTION("""COMPUTED_VALUE"""),"RADIHT FIRJAH TULLOH")</f>
        <v>RADIHT FIRJAH TULLOH</v>
      </c>
      <c r="C3609" s="3" t="str">
        <f>IFERROR(__xludf.DUMMYFUNCTION("""COMPUTED_VALUE"""),"R1026030074")</f>
        <v>R1026030074</v>
      </c>
      <c r="D3609" s="3">
        <f>IFERROR(__xludf.DUMMYFUNCTION("""COMPUTED_VALUE"""),15.0)</f>
        <v>15</v>
      </c>
      <c r="E3609" s="1"/>
    </row>
    <row r="3610">
      <c r="A3610" s="1"/>
      <c r="B3610" s="3" t="str">
        <f>IFERROR(__xludf.DUMMYFUNCTION("""COMPUTED_VALUE"""),"MOHAMMAD GAUTAMA WAHYUDI")</f>
        <v>MOHAMMAD GAUTAMA WAHYUDI</v>
      </c>
      <c r="C3610" s="3" t="str">
        <f>IFERROR(__xludf.DUMMYFUNCTION("""COMPUTED_VALUE"""),"M9126033666")</f>
        <v>M9126033666</v>
      </c>
      <c r="D3610" s="3">
        <f>IFERROR(__xludf.DUMMYFUNCTION("""COMPUTED_VALUE"""),34.0)</f>
        <v>34</v>
      </c>
      <c r="E3610" s="1"/>
    </row>
    <row r="3611">
      <c r="A3611" s="1"/>
      <c r="B3611" s="3" t="str">
        <f>IFERROR(__xludf.DUMMYFUNCTION("""COMPUTED_VALUE"""),"NURAINI")</f>
        <v>NURAINI</v>
      </c>
      <c r="C3611" s="3" t="str">
        <f>IFERROR(__xludf.DUMMYFUNCTION("""COMPUTED_VALUE"""),"N6326036753")</f>
        <v>N6326036753</v>
      </c>
      <c r="D3611" s="3">
        <f>IFERROR(__xludf.DUMMYFUNCTION("""COMPUTED_VALUE"""),62.0)</f>
        <v>62</v>
      </c>
      <c r="E3611" s="1"/>
    </row>
    <row r="3612">
      <c r="A3612" s="1"/>
      <c r="B3612" s="3" t="str">
        <f>IFERROR(__xludf.DUMMYFUNCTION("""COMPUTED_VALUE"""),"JIMMY CRYSTIAN")</f>
        <v>JIMMY CRYSTIAN</v>
      </c>
      <c r="C3612" s="3" t="str">
        <f>IFERROR(__xludf.DUMMYFUNCTION("""COMPUTED_VALUE"""),"J7326038855")</f>
        <v>J7326038855</v>
      </c>
      <c r="D3612" s="3">
        <f>IFERROR(__xludf.DUMMYFUNCTION("""COMPUTED_VALUE"""),52.0)</f>
        <v>52</v>
      </c>
      <c r="E3612" s="1"/>
    </row>
    <row r="3613">
      <c r="A3613" s="1"/>
      <c r="B3613" s="3" t="str">
        <f>IFERROR(__xludf.DUMMYFUNCTION("""COMPUTED_VALUE"""),"SANTI")</f>
        <v>SANTI</v>
      </c>
      <c r="C3613" s="3" t="str">
        <f>IFERROR(__xludf.DUMMYFUNCTION("""COMPUTED_VALUE"""),"S9426039408")</f>
        <v>S9426039408</v>
      </c>
      <c r="D3613" s="3">
        <f>IFERROR(__xludf.DUMMYFUNCTION("""COMPUTED_VALUE"""),32.0)</f>
        <v>32</v>
      </c>
      <c r="E3613" s="1"/>
    </row>
    <row r="3614">
      <c r="A3614" s="1"/>
      <c r="B3614" s="3" t="str">
        <f>IFERROR(__xludf.DUMMYFUNCTION("""COMPUTED_VALUE"""),"DESY CHRISTIAN")</f>
        <v>DESY CHRISTIAN</v>
      </c>
      <c r="C3614" s="3" t="str">
        <f>IFERROR(__xludf.DUMMYFUNCTION("""COMPUTED_VALUE"""),"D8826034822")</f>
        <v>D8826034822</v>
      </c>
      <c r="D3614" s="3">
        <f>IFERROR(__xludf.DUMMYFUNCTION("""COMPUTED_VALUE"""),37.0)</f>
        <v>37</v>
      </c>
      <c r="E3614" s="1"/>
    </row>
    <row r="3615">
      <c r="A3615" s="1"/>
      <c r="B3615" s="3" t="str">
        <f>IFERROR(__xludf.DUMMYFUNCTION("""COMPUTED_VALUE"""),"HENDRI SUGIANTO")</f>
        <v>HENDRI SUGIANTO</v>
      </c>
      <c r="C3615" s="3" t="str">
        <f>IFERROR(__xludf.DUMMYFUNCTION("""COMPUTED_VALUE"""),"H9526032927")</f>
        <v>H9526032927</v>
      </c>
      <c r="D3615" s="3">
        <f>IFERROR(__xludf.DUMMYFUNCTION("""COMPUTED_VALUE"""),30.0)</f>
        <v>30</v>
      </c>
      <c r="E3615" s="1"/>
    </row>
    <row r="3616">
      <c r="A3616" s="1"/>
      <c r="B3616" s="3" t="str">
        <f>IFERROR(__xludf.DUMMYFUNCTION("""COMPUTED_VALUE"""),"MULYATI")</f>
        <v>MULYATI</v>
      </c>
      <c r="C3616" s="3" t="str">
        <f>IFERROR(__xludf.DUMMYFUNCTION("""COMPUTED_VALUE"""),"M7726037831")</f>
        <v>M7726037831</v>
      </c>
      <c r="D3616" s="3">
        <f>IFERROR(__xludf.DUMMYFUNCTION("""COMPUTED_VALUE"""),48.0)</f>
        <v>48</v>
      </c>
      <c r="E3616" s="1"/>
    </row>
    <row r="3617">
      <c r="A3617" s="1"/>
      <c r="B3617" s="3" t="str">
        <f>IFERROR(__xludf.DUMMYFUNCTION("""COMPUTED_VALUE"""),"TJAI DJU")</f>
        <v>TJAI DJU</v>
      </c>
      <c r="C3617" s="3" t="str">
        <f>IFERROR(__xludf.DUMMYFUNCTION("""COMPUTED_VALUE"""),"T6126033888")</f>
        <v>T6126033888</v>
      </c>
      <c r="D3617" s="3">
        <f>IFERROR(__xludf.DUMMYFUNCTION("""COMPUTED_VALUE"""),65.0)</f>
        <v>65</v>
      </c>
      <c r="E3617" s="1"/>
    </row>
    <row r="3618">
      <c r="A3618" s="1"/>
      <c r="B3618" s="3" t="str">
        <f>IFERROR(__xludf.DUMMYFUNCTION("""COMPUTED_VALUE"""),"KLEVIN")</f>
        <v>KLEVIN</v>
      </c>
      <c r="C3618" s="3" t="str">
        <f>IFERROR(__xludf.DUMMYFUNCTION("""COMPUTED_VALUE"""),"K0426031206")</f>
        <v>K0426031206</v>
      </c>
      <c r="D3618" s="3">
        <f>IFERROR(__xludf.DUMMYFUNCTION("""COMPUTED_VALUE"""),22.0)</f>
        <v>22</v>
      </c>
      <c r="E3618" s="1"/>
    </row>
    <row r="3619">
      <c r="A3619" s="1"/>
      <c r="B3619" s="3" t="str">
        <f>IFERROR(__xludf.DUMMYFUNCTION("""COMPUTED_VALUE"""),"MERIANTO")</f>
        <v>MERIANTO</v>
      </c>
      <c r="C3619" s="3" t="str">
        <f>IFERROR(__xludf.DUMMYFUNCTION("""COMPUTED_VALUE"""),"M9626037177")</f>
        <v>M9626037177</v>
      </c>
      <c r="D3619" s="3">
        <f>IFERROR(__xludf.DUMMYFUNCTION("""COMPUTED_VALUE"""),29.0)</f>
        <v>29</v>
      </c>
      <c r="E3619" s="1"/>
    </row>
    <row r="3620">
      <c r="A3620" s="1"/>
      <c r="B3620" s="3" t="str">
        <f>IFERROR(__xludf.DUMMYFUNCTION("""COMPUTED_VALUE"""),"AGUS SILVIANDY ")</f>
        <v>AGUS SILVIANDY </v>
      </c>
      <c r="C3620" s="3" t="str">
        <f>IFERROR(__xludf.DUMMYFUNCTION("""COMPUTED_VALUE"""),"A7426037755")</f>
        <v>A7426037755</v>
      </c>
      <c r="D3620" s="3">
        <f>IFERROR(__xludf.DUMMYFUNCTION("""COMPUTED_VALUE"""),51.0)</f>
        <v>51</v>
      </c>
      <c r="E3620" s="1"/>
    </row>
    <row r="3621">
      <c r="A3621" s="1"/>
      <c r="B3621" s="3" t="str">
        <f>IFERROR(__xludf.DUMMYFUNCTION("""COMPUTED_VALUE"""),"SUJARWO")</f>
        <v>SUJARWO</v>
      </c>
      <c r="C3621" s="3" t="str">
        <f>IFERROR(__xludf.DUMMYFUNCTION("""COMPUTED_VALUE"""),"S7326031301")</f>
        <v>S7326031301</v>
      </c>
      <c r="D3621" s="3">
        <f>IFERROR(__xludf.DUMMYFUNCTION("""COMPUTED_VALUE"""),53.0)</f>
        <v>53</v>
      </c>
      <c r="E3621" s="1"/>
    </row>
    <row r="3622">
      <c r="A3622" s="1"/>
      <c r="B3622" s="3" t="str">
        <f>IFERROR(__xludf.DUMMYFUNCTION("""COMPUTED_VALUE"""),"RIZKI KURNIASIH")</f>
        <v>RIZKI KURNIASIH</v>
      </c>
      <c r="C3622" s="3" t="str">
        <f>IFERROR(__xludf.DUMMYFUNCTION("""COMPUTED_VALUE"""),"R9026031545")</f>
        <v>R9026031545</v>
      </c>
      <c r="D3622" s="3">
        <f>IFERROR(__xludf.DUMMYFUNCTION("""COMPUTED_VALUE"""),35.0)</f>
        <v>35</v>
      </c>
      <c r="E3622" s="1"/>
    </row>
    <row r="3623">
      <c r="A3623" s="1"/>
      <c r="B3623" s="3" t="str">
        <f>IFERROR(__xludf.DUMMYFUNCTION("""COMPUTED_VALUE"""),"SUPIRIANI EKA LESTARI")</f>
        <v>SUPIRIANI EKA LESTARI</v>
      </c>
      <c r="C3623" s="3" t="str">
        <f>IFERROR(__xludf.DUMMYFUNCTION("""COMPUTED_VALUE"""),"S9526037161")</f>
        <v>S9526037161</v>
      </c>
      <c r="D3623" s="3">
        <f>IFERROR(__xludf.DUMMYFUNCTION("""COMPUTED_VALUE"""),30.0)</f>
        <v>30</v>
      </c>
      <c r="E3623" s="1"/>
    </row>
    <row r="3624">
      <c r="A3624" s="1"/>
      <c r="B3624" s="3" t="str">
        <f>IFERROR(__xludf.DUMMYFUNCTION("""COMPUTED_VALUE"""),"WANDA RAHMAWAN, ST")</f>
        <v>WANDA RAHMAWAN, ST</v>
      </c>
      <c r="C3624" s="3" t="str">
        <f>IFERROR(__xludf.DUMMYFUNCTION("""COMPUTED_VALUE"""),"W8426037510")</f>
        <v>W8426037510</v>
      </c>
      <c r="D3624" s="3">
        <f>IFERROR(__xludf.DUMMYFUNCTION("""COMPUTED_VALUE"""),42.0)</f>
        <v>42</v>
      </c>
      <c r="E3624" s="1"/>
    </row>
    <row r="3625">
      <c r="A3625" s="1"/>
      <c r="B3625" s="3" t="str">
        <f>IFERROR(__xludf.DUMMYFUNCTION("""COMPUTED_VALUE"""),"REZHA ANDHIKA PUTRA")</f>
        <v>REZHA ANDHIKA PUTRA</v>
      </c>
      <c r="C3625" s="3" t="str">
        <f>IFERROR(__xludf.DUMMYFUNCTION("""COMPUTED_VALUE"""),"R9426034060")</f>
        <v>R9426034060</v>
      </c>
      <c r="D3625" s="3">
        <f>IFERROR(__xludf.DUMMYFUNCTION("""COMPUTED_VALUE"""),31.0)</f>
        <v>31</v>
      </c>
      <c r="E3625" s="1"/>
    </row>
    <row r="3626">
      <c r="A3626" s="1"/>
      <c r="B3626" s="3" t="str">
        <f>IFERROR(__xludf.DUMMYFUNCTION("""COMPUTED_VALUE"""),"IGNES JESSICA")</f>
        <v>IGNES JESSICA</v>
      </c>
      <c r="C3626" s="3" t="str">
        <f>IFERROR(__xludf.DUMMYFUNCTION("""COMPUTED_VALUE"""),"I0226040748")</f>
        <v>I0226040748</v>
      </c>
      <c r="D3626" s="3">
        <f>IFERROR(__xludf.DUMMYFUNCTION("""COMPUTED_VALUE"""),23.0)</f>
        <v>23</v>
      </c>
      <c r="E3626" s="1"/>
    </row>
    <row r="3627">
      <c r="A3627" s="1"/>
      <c r="B3627" s="3" t="str">
        <f>IFERROR(__xludf.DUMMYFUNCTION("""COMPUTED_VALUE"""),"SUHADI")</f>
        <v>SUHADI</v>
      </c>
      <c r="C3627" s="3" t="str">
        <f>IFERROR(__xludf.DUMMYFUNCTION("""COMPUTED_VALUE"""),"S6226046575")</f>
        <v>S6226046575</v>
      </c>
      <c r="D3627" s="3">
        <f>IFERROR(__xludf.DUMMYFUNCTION("""COMPUTED_VALUE"""),64.0)</f>
        <v>64</v>
      </c>
      <c r="E3627" s="1"/>
    </row>
    <row r="3628">
      <c r="A3628" s="1"/>
      <c r="B3628" s="3" t="str">
        <f>IFERROR(__xludf.DUMMYFUNCTION("""COMPUTED_VALUE"""),"MUHAMMAD VICTOR")</f>
        <v>MUHAMMAD VICTOR</v>
      </c>
      <c r="C3628" s="3" t="str">
        <f>IFERROR(__xludf.DUMMYFUNCTION("""COMPUTED_VALUE"""),"M9226040008")</f>
        <v>M9226040008</v>
      </c>
      <c r="D3628" s="3">
        <f>IFERROR(__xludf.DUMMYFUNCTION("""COMPUTED_VALUE"""),33.0)</f>
        <v>33</v>
      </c>
      <c r="E3628" s="1"/>
    </row>
    <row r="3629">
      <c r="A3629" s="1"/>
      <c r="B3629" s="3" t="str">
        <f>IFERROR(__xludf.DUMMYFUNCTION("""COMPUTED_VALUE"""),"SYARIF RIZKI ALKADRI")</f>
        <v>SYARIF RIZKI ALKADRI</v>
      </c>
      <c r="C3629" s="3" t="str">
        <f>IFERROR(__xludf.DUMMYFUNCTION("""COMPUTED_VALUE"""),"S9826046507")</f>
        <v>S9826046507</v>
      </c>
      <c r="D3629" s="3">
        <f>IFERROR(__xludf.DUMMYFUNCTION("""COMPUTED_VALUE"""),28.0)</f>
        <v>28</v>
      </c>
      <c r="E3629" s="1"/>
    </row>
    <row r="3630">
      <c r="A3630" s="1"/>
      <c r="B3630" s="3" t="str">
        <f>IFERROR(__xludf.DUMMYFUNCTION("""COMPUTED_VALUE"""),"ACHMAD DHARMIANTO")</f>
        <v>ACHMAD DHARMIANTO</v>
      </c>
      <c r="C3630" s="3" t="str">
        <f>IFERROR(__xludf.DUMMYFUNCTION("""COMPUTED_VALUE"""),"A7926043769")</f>
        <v>A7926043769</v>
      </c>
      <c r="D3630" s="3">
        <f>IFERROR(__xludf.DUMMYFUNCTION("""COMPUTED_VALUE"""),46.0)</f>
        <v>46</v>
      </c>
      <c r="E3630" s="1"/>
    </row>
    <row r="3631">
      <c r="A3631" s="1"/>
      <c r="B3631" s="3" t="str">
        <f>IFERROR(__xludf.DUMMYFUNCTION("""COMPUTED_VALUE"""),"WINARSIH")</f>
        <v>WINARSIH</v>
      </c>
      <c r="C3631" s="3" t="str">
        <f>IFERROR(__xludf.DUMMYFUNCTION("""COMPUTED_VALUE"""),"W7626048376")</f>
        <v>W7626048376</v>
      </c>
      <c r="D3631" s="3">
        <f>IFERROR(__xludf.DUMMYFUNCTION("""COMPUTED_VALUE"""),50.0)</f>
        <v>50</v>
      </c>
      <c r="E3631" s="1"/>
    </row>
    <row r="3632">
      <c r="A3632" s="1"/>
      <c r="B3632" s="3" t="str">
        <f>IFERROR(__xludf.DUMMYFUNCTION("""COMPUTED_VALUE"""),"AMRI PRATAMA")</f>
        <v>AMRI PRATAMA</v>
      </c>
      <c r="C3632" s="3" t="str">
        <f>IFERROR(__xludf.DUMMYFUNCTION("""COMPUTED_VALUE"""),"A9226048424")</f>
        <v>A9226048424</v>
      </c>
      <c r="D3632" s="3">
        <f>IFERROR(__xludf.DUMMYFUNCTION("""COMPUTED_VALUE"""),33.0)</f>
        <v>33</v>
      </c>
      <c r="E3632" s="1"/>
    </row>
    <row r="3633">
      <c r="A3633" s="1"/>
      <c r="B3633" s="3" t="str">
        <f>IFERROR(__xludf.DUMMYFUNCTION("""COMPUTED_VALUE"""),"MASITA LESTARI")</f>
        <v>MASITA LESTARI</v>
      </c>
      <c r="C3633" s="3" t="str">
        <f>IFERROR(__xludf.DUMMYFUNCTION("""COMPUTED_VALUE"""),"M8526041100")</f>
        <v>M8526041100</v>
      </c>
      <c r="D3633" s="3">
        <f>IFERROR(__xludf.DUMMYFUNCTION("""COMPUTED_VALUE"""),40.0)</f>
        <v>40</v>
      </c>
      <c r="E3633" s="1"/>
    </row>
    <row r="3634">
      <c r="A3634" s="1"/>
      <c r="B3634" s="3" t="str">
        <f>IFERROR(__xludf.DUMMYFUNCTION("""COMPUTED_VALUE"""),"RADEN SRI BINTANG PAMUNGKAS")</f>
        <v>RADEN SRI BINTANG PAMUNGKAS</v>
      </c>
      <c r="C3634" s="3" t="str">
        <f>IFERROR(__xludf.DUMMYFUNCTION("""COMPUTED_VALUE"""),"R8726044959")</f>
        <v>R8726044959</v>
      </c>
      <c r="D3634" s="3">
        <f>IFERROR(__xludf.DUMMYFUNCTION("""COMPUTED_VALUE"""),38.0)</f>
        <v>38</v>
      </c>
      <c r="E3634" s="1"/>
    </row>
    <row r="3635">
      <c r="A3635" s="1"/>
      <c r="B3635" s="3" t="str">
        <f>IFERROR(__xludf.DUMMYFUNCTION("""COMPUTED_VALUE"""),"MUHAMMAD ASWIN")</f>
        <v>MUHAMMAD ASWIN</v>
      </c>
      <c r="C3635" s="3" t="str">
        <f>IFERROR(__xludf.DUMMYFUNCTION("""COMPUTED_VALUE"""),"M9326042115")</f>
        <v>M9326042115</v>
      </c>
      <c r="D3635" s="3">
        <f>IFERROR(__xludf.DUMMYFUNCTION("""COMPUTED_VALUE"""),32.0)</f>
        <v>32</v>
      </c>
      <c r="E3635" s="1"/>
    </row>
    <row r="3636">
      <c r="A3636" s="1"/>
      <c r="B3636" s="3" t="str">
        <f>IFERROR(__xludf.DUMMYFUNCTION("""COMPUTED_VALUE"""),"DAVI ANUGRAH")</f>
        <v>DAVI ANUGRAH</v>
      </c>
      <c r="C3636" s="3" t="str">
        <f>IFERROR(__xludf.DUMMYFUNCTION("""COMPUTED_VALUE"""),"D0826049412")</f>
        <v>D0826049412</v>
      </c>
      <c r="D3636" s="3">
        <f>IFERROR(__xludf.DUMMYFUNCTION("""COMPUTED_VALUE"""),17.0)</f>
        <v>17</v>
      </c>
      <c r="E3636" s="1"/>
    </row>
    <row r="3637">
      <c r="A3637" s="1"/>
      <c r="B3637" s="3" t="str">
        <f>IFERROR(__xludf.DUMMYFUNCTION("""COMPUTED_VALUE"""),"CAHYANI ANUGRAH SUBEKTI")</f>
        <v>CAHYANI ANUGRAH SUBEKTI</v>
      </c>
      <c r="C3637" s="3" t="str">
        <f>IFERROR(__xludf.DUMMYFUNCTION("""COMPUTED_VALUE"""),"C9226044998")</f>
        <v>C9226044998</v>
      </c>
      <c r="D3637" s="3">
        <f>IFERROR(__xludf.DUMMYFUNCTION("""COMPUTED_VALUE"""),34.0)</f>
        <v>34</v>
      </c>
      <c r="E3637" s="1"/>
    </row>
    <row r="3638">
      <c r="A3638" s="1"/>
      <c r="B3638" s="3" t="str">
        <f>IFERROR(__xludf.DUMMYFUNCTION("""COMPUTED_VALUE"""),"BONG DJAN TJHAN ALIAN JANTONO WONGSO")</f>
        <v>BONG DJAN TJHAN ALIAN JANTONO WONGSO</v>
      </c>
      <c r="C3638" s="3" t="str">
        <f>IFERROR(__xludf.DUMMYFUNCTION("""COMPUTED_VALUE"""),"B6026043246")</f>
        <v>B6026043246</v>
      </c>
      <c r="D3638" s="3">
        <f>IFERROR(__xludf.DUMMYFUNCTION("""COMPUTED_VALUE"""),66.0)</f>
        <v>66</v>
      </c>
      <c r="E3638" s="1"/>
    </row>
    <row r="3639">
      <c r="A3639" s="1"/>
      <c r="B3639" s="3" t="str">
        <f>IFERROR(__xludf.DUMMYFUNCTION("""COMPUTED_VALUE"""),"CAROLINE MISHELLE STELLA TAMBUNAN")</f>
        <v>CAROLINE MISHELLE STELLA TAMBUNAN</v>
      </c>
      <c r="C3639" s="3" t="str">
        <f>IFERROR(__xludf.DUMMYFUNCTION("""COMPUTED_VALUE"""),"C1026043676")</f>
        <v>C1026043676</v>
      </c>
      <c r="D3639" s="3">
        <f>IFERROR(__xludf.DUMMYFUNCTION("""COMPUTED_VALUE"""),16.0)</f>
        <v>16</v>
      </c>
      <c r="E3639" s="1"/>
    </row>
    <row r="3640">
      <c r="A3640" s="1"/>
      <c r="B3640" s="3" t="str">
        <f>IFERROR(__xludf.DUMMYFUNCTION("""COMPUTED_VALUE"""),"AVRIYANI NOVIYANTI")</f>
        <v>AVRIYANI NOVIYANTI</v>
      </c>
      <c r="C3640" s="3" t="str">
        <f>IFERROR(__xludf.DUMMYFUNCTION("""COMPUTED_VALUE"""),"A9026046671")</f>
        <v>A9026046671</v>
      </c>
      <c r="D3640" s="3">
        <f>IFERROR(__xludf.DUMMYFUNCTION("""COMPUTED_VALUE"""),35.0)</f>
        <v>35</v>
      </c>
      <c r="E3640" s="1"/>
    </row>
    <row r="3641">
      <c r="A3641" s="1"/>
      <c r="B3641" s="3" t="str">
        <f>IFERROR(__xludf.DUMMYFUNCTION("""COMPUTED_VALUE"""),"TEGAR NOVA PRIYATMOKO")</f>
        <v>TEGAR NOVA PRIYATMOKO</v>
      </c>
      <c r="C3641" s="3" t="str">
        <f>IFERROR(__xludf.DUMMYFUNCTION("""COMPUTED_VALUE"""),"T9526042882")</f>
        <v>T9526042882</v>
      </c>
      <c r="D3641" s="3">
        <f>IFERROR(__xludf.DUMMYFUNCTION("""COMPUTED_VALUE"""),30.0)</f>
        <v>30</v>
      </c>
      <c r="E3641" s="1"/>
    </row>
    <row r="3642">
      <c r="A3642" s="1"/>
      <c r="B3642" s="3" t="str">
        <f>IFERROR(__xludf.DUMMYFUNCTION("""COMPUTED_VALUE"""),"EVI INTAN HERIATY")</f>
        <v>EVI INTAN HERIATY</v>
      </c>
      <c r="C3642" s="3" t="str">
        <f>IFERROR(__xludf.DUMMYFUNCTION("""COMPUTED_VALUE"""),"E0026040385")</f>
        <v>E0026040385</v>
      </c>
      <c r="D3642" s="3">
        <f>IFERROR(__xludf.DUMMYFUNCTION("""COMPUTED_VALUE"""),25.0)</f>
        <v>25</v>
      </c>
      <c r="E3642" s="1"/>
    </row>
    <row r="3643">
      <c r="A3643" s="1"/>
      <c r="B3643" s="3" t="str">
        <f>IFERROR(__xludf.DUMMYFUNCTION("""COMPUTED_VALUE"""),"TEGAR NOVA PRIYATMOKO")</f>
        <v>TEGAR NOVA PRIYATMOKO</v>
      </c>
      <c r="C3643" s="3" t="str">
        <f>IFERROR(__xludf.DUMMYFUNCTION("""COMPUTED_VALUE"""),"T9526042882")</f>
        <v>T9526042882</v>
      </c>
      <c r="D3643" s="3">
        <f>IFERROR(__xludf.DUMMYFUNCTION("""COMPUTED_VALUE"""),30.0)</f>
        <v>30</v>
      </c>
      <c r="E3643" s="1"/>
    </row>
    <row r="3644">
      <c r="A3644" s="1"/>
      <c r="B3644" s="3" t="str">
        <f>IFERROR(__xludf.DUMMYFUNCTION("""COMPUTED_VALUE"""),"MUHAMMAD ATHALLAH RAISYAUQI")</f>
        <v>MUHAMMAD ATHALLAH RAISYAUQI</v>
      </c>
      <c r="C3644" s="3" t="str">
        <f>IFERROR(__xludf.DUMMYFUNCTION("""COMPUTED_VALUE"""),"M1726041285")</f>
        <v>M1726041285</v>
      </c>
      <c r="D3644" s="3">
        <f>IFERROR(__xludf.DUMMYFUNCTION("""COMPUTED_VALUE"""),9.0)</f>
        <v>9</v>
      </c>
      <c r="E3644" s="1"/>
    </row>
    <row r="3645">
      <c r="A3645" s="1"/>
      <c r="B3645" s="3" t="str">
        <f>IFERROR(__xludf.DUMMYFUNCTION("""COMPUTED_VALUE"""),"SENG TJUAN")</f>
        <v>SENG TJUAN</v>
      </c>
      <c r="C3645" s="3" t="str">
        <f>IFERROR(__xludf.DUMMYFUNCTION("""COMPUTED_VALUE"""),"S7526040888")</f>
        <v>S7526040888</v>
      </c>
      <c r="D3645" s="3">
        <f>IFERROR(__xludf.DUMMYFUNCTION("""COMPUTED_VALUE"""),51.0)</f>
        <v>51</v>
      </c>
      <c r="E3645" s="1"/>
    </row>
    <row r="3646">
      <c r="A3646" s="1"/>
      <c r="B3646" s="3" t="str">
        <f>IFERROR(__xludf.DUMMYFUNCTION("""COMPUTED_VALUE"""),"SUSI")</f>
        <v>SUSI</v>
      </c>
      <c r="C3646" s="3" t="str">
        <f>IFERROR(__xludf.DUMMYFUNCTION("""COMPUTED_VALUE"""),"S9326043335")</f>
        <v>S9326043335</v>
      </c>
      <c r="D3646" s="3">
        <f>IFERROR(__xludf.DUMMYFUNCTION("""COMPUTED_VALUE"""),32.0)</f>
        <v>32</v>
      </c>
      <c r="E3646" s="1"/>
    </row>
    <row r="3647">
      <c r="A3647" s="1"/>
      <c r="B3647" s="3" t="str">
        <f>IFERROR(__xludf.DUMMYFUNCTION("""COMPUTED_VALUE"""),"IRFAN MAULANA")</f>
        <v>IRFAN MAULANA</v>
      </c>
      <c r="C3647" s="3" t="str">
        <f>IFERROR(__xludf.DUMMYFUNCTION("""COMPUTED_VALUE"""),"I9526046559")</f>
        <v>I9526046559</v>
      </c>
      <c r="D3647" s="3">
        <f>IFERROR(__xludf.DUMMYFUNCTION("""COMPUTED_VALUE"""),30.0)</f>
        <v>30</v>
      </c>
      <c r="E3647" s="1"/>
    </row>
    <row r="3648">
      <c r="A3648" s="1"/>
      <c r="B3648" s="3" t="str">
        <f>IFERROR(__xludf.DUMMYFUNCTION("""COMPUTED_VALUE"""),"KARINA EKA SAKTI")</f>
        <v>KARINA EKA SAKTI</v>
      </c>
      <c r="C3648" s="3" t="str">
        <f>IFERROR(__xludf.DUMMYFUNCTION("""COMPUTED_VALUE"""),"K9626044720")</f>
        <v>K9626044720</v>
      </c>
      <c r="D3648" s="3">
        <f>IFERROR(__xludf.DUMMYFUNCTION("""COMPUTED_VALUE"""),29.0)</f>
        <v>29</v>
      </c>
      <c r="E3648" s="1"/>
    </row>
    <row r="3649">
      <c r="A3649" s="1"/>
      <c r="B3649" s="3" t="str">
        <f>IFERROR(__xludf.DUMMYFUNCTION("""COMPUTED_VALUE"""),"YUNNY ELVANDARI")</f>
        <v>YUNNY ELVANDARI</v>
      </c>
      <c r="C3649" s="3" t="str">
        <f>IFERROR(__xludf.DUMMYFUNCTION("""COMPUTED_VALUE"""),"Y8526046110")</f>
        <v>Y8526046110</v>
      </c>
      <c r="D3649" s="3">
        <f>IFERROR(__xludf.DUMMYFUNCTION("""COMPUTED_VALUE"""),40.0)</f>
        <v>40</v>
      </c>
      <c r="E3649" s="1"/>
    </row>
    <row r="3650">
      <c r="A3650" s="1"/>
      <c r="B3650" s="3" t="str">
        <f>IFERROR(__xludf.DUMMYFUNCTION("""COMPUTED_VALUE"""),"ENDANG HARYANTI")</f>
        <v>ENDANG HARYANTI</v>
      </c>
      <c r="C3650" s="3" t="str">
        <f>IFERROR(__xludf.DUMMYFUNCTION("""COMPUTED_VALUE"""),"E7026045002")</f>
        <v>E7026045002</v>
      </c>
      <c r="D3650" s="3">
        <f>IFERROR(__xludf.DUMMYFUNCTION("""COMPUTED_VALUE"""),55.0)</f>
        <v>55</v>
      </c>
      <c r="E3650" s="1"/>
    </row>
    <row r="3651">
      <c r="A3651" s="1"/>
      <c r="B3651" s="3" t="str">
        <f>IFERROR(__xludf.DUMMYFUNCTION("""COMPUTED_VALUE"""),"MAHANI ISMARIANA ")</f>
        <v>MAHANI ISMARIANA </v>
      </c>
      <c r="C3651" s="3" t="str">
        <f>IFERROR(__xludf.DUMMYFUNCTION("""COMPUTED_VALUE"""),"M6926045873")</f>
        <v>M6926045873</v>
      </c>
      <c r="D3651" s="3">
        <f>IFERROR(__xludf.DUMMYFUNCTION("""COMPUTED_VALUE"""),56.0)</f>
        <v>56</v>
      </c>
      <c r="E3651" s="1"/>
    </row>
    <row r="3652">
      <c r="A3652" s="1"/>
      <c r="B3652" s="3" t="str">
        <f>IFERROR(__xludf.DUMMYFUNCTION("""COMPUTED_VALUE"""),"DARMIATI")</f>
        <v>DARMIATI</v>
      </c>
      <c r="C3652" s="3" t="str">
        <f>IFERROR(__xludf.DUMMYFUNCTION("""COMPUTED_VALUE"""),"D6926044555")</f>
        <v>D6926044555</v>
      </c>
      <c r="D3652" s="3">
        <f>IFERROR(__xludf.DUMMYFUNCTION("""COMPUTED_VALUE"""),56.0)</f>
        <v>56</v>
      </c>
      <c r="E3652" s="1"/>
    </row>
    <row r="3653">
      <c r="A3653" s="1"/>
      <c r="B3653" s="3" t="str">
        <f>IFERROR(__xludf.DUMMYFUNCTION("""COMPUTED_VALUE"""),"PARMI")</f>
        <v>PARMI</v>
      </c>
      <c r="C3653" s="3" t="str">
        <f>IFERROR(__xludf.DUMMYFUNCTION("""COMPUTED_VALUE"""),"P5826046030")</f>
        <v>P5826046030</v>
      </c>
      <c r="D3653" s="3">
        <f>IFERROR(__xludf.DUMMYFUNCTION("""COMPUTED_VALUE"""),68.0)</f>
        <v>68</v>
      </c>
      <c r="E3653" s="1"/>
    </row>
    <row r="3654">
      <c r="A3654" s="1"/>
      <c r="B3654" s="3" t="str">
        <f>IFERROR(__xludf.DUMMYFUNCTION("""COMPUTED_VALUE"""),"IWAN MULYAWAN")</f>
        <v>IWAN MULYAWAN</v>
      </c>
      <c r="C3654" s="3" t="str">
        <f>IFERROR(__xludf.DUMMYFUNCTION("""COMPUTED_VALUE"""),"I6626049850")</f>
        <v>I6626049850</v>
      </c>
      <c r="D3654" s="3">
        <f>IFERROR(__xludf.DUMMYFUNCTION("""COMPUTED_VALUE"""),59.0)</f>
        <v>59</v>
      </c>
      <c r="E3654" s="1"/>
    </row>
    <row r="3655">
      <c r="A3655" s="1"/>
      <c r="B3655" s="3" t="str">
        <f>IFERROR(__xludf.DUMMYFUNCTION("""COMPUTED_VALUE"""),"MUHAMMAD ALFAREZZI")</f>
        <v>MUHAMMAD ALFAREZZI</v>
      </c>
      <c r="C3655" s="3" t="str">
        <f>IFERROR(__xludf.DUMMYFUNCTION("""COMPUTED_VALUE"""),"M0726042765")</f>
        <v>M0726042765</v>
      </c>
      <c r="D3655" s="3">
        <f>IFERROR(__xludf.DUMMYFUNCTION("""COMPUTED_VALUE"""),18.0)</f>
        <v>18</v>
      </c>
      <c r="E3655" s="1"/>
    </row>
    <row r="3656">
      <c r="A3656" s="1"/>
      <c r="B3656" s="3" t="str">
        <f>IFERROR(__xludf.DUMMYFUNCTION("""COMPUTED_VALUE"""),"TATA")</f>
        <v>TATA</v>
      </c>
      <c r="C3656" s="3" t="str">
        <f>IFERROR(__xludf.DUMMYFUNCTION("""COMPUTED_VALUE"""),"T0126044916")</f>
        <v>T0126044916</v>
      </c>
      <c r="D3656" s="3">
        <f>IFERROR(__xludf.DUMMYFUNCTION("""COMPUTED_VALUE"""),25.0)</f>
        <v>25</v>
      </c>
      <c r="E3656" s="1"/>
    </row>
    <row r="3657">
      <c r="A3657" s="1"/>
      <c r="B3657" s="3" t="str">
        <f>IFERROR(__xludf.DUMMYFUNCTION("""COMPUTED_VALUE"""),"ENDAH ARDHIA UTAMI")</f>
        <v>ENDAH ARDHIA UTAMI</v>
      </c>
      <c r="C3657" s="3" t="str">
        <f>IFERROR(__xludf.DUMMYFUNCTION("""COMPUTED_VALUE"""),"E9826044095")</f>
        <v>E9826044095</v>
      </c>
      <c r="D3657" s="3">
        <f>IFERROR(__xludf.DUMMYFUNCTION("""COMPUTED_VALUE"""),28.0)</f>
        <v>28</v>
      </c>
      <c r="E3657" s="1"/>
    </row>
    <row r="3658">
      <c r="A3658" s="1"/>
      <c r="B3658" s="3" t="str">
        <f>IFERROR(__xludf.DUMMYFUNCTION("""COMPUTED_VALUE"""),"FITRIANA 0703")</f>
        <v>FITRIANA 0703</v>
      </c>
      <c r="C3658" s="3" t="str">
        <f>IFERROR(__xludf.DUMMYFUNCTION("""COMPUTED_VALUE"""),"F0726049692")</f>
        <v>F0726049692</v>
      </c>
      <c r="D3658" s="3">
        <f>IFERROR(__xludf.DUMMYFUNCTION("""COMPUTED_VALUE"""),19.0)</f>
        <v>19</v>
      </c>
      <c r="E3658" s="1"/>
    </row>
    <row r="3659">
      <c r="A3659" s="1"/>
      <c r="B3659" s="3" t="str">
        <f>IFERROR(__xludf.DUMMYFUNCTION("""COMPUTED_VALUE"""),"NURITA")</f>
        <v>NURITA</v>
      </c>
      <c r="C3659" s="3" t="str">
        <f>IFERROR(__xludf.DUMMYFUNCTION("""COMPUTED_VALUE"""),"N8026048918")</f>
        <v>N8026048918</v>
      </c>
      <c r="D3659" s="3">
        <f>IFERROR(__xludf.DUMMYFUNCTION("""COMPUTED_VALUE"""),45.0)</f>
        <v>45</v>
      </c>
      <c r="E3659" s="1"/>
    </row>
    <row r="3660">
      <c r="A3660" s="1"/>
      <c r="B3660" s="3" t="str">
        <f>IFERROR(__xludf.DUMMYFUNCTION("""COMPUTED_VALUE"""),"LILYANA")</f>
        <v>LILYANA</v>
      </c>
      <c r="C3660" s="3" t="str">
        <f>IFERROR(__xludf.DUMMYFUNCTION("""COMPUTED_VALUE"""),"L8026040816")</f>
        <v>L8026040816</v>
      </c>
      <c r="D3660" s="3">
        <f>IFERROR(__xludf.DUMMYFUNCTION("""COMPUTED_VALUE"""),45.0)</f>
        <v>45</v>
      </c>
      <c r="E3660" s="1"/>
    </row>
    <row r="3661">
      <c r="A3661" s="1"/>
      <c r="B3661" s="3" t="str">
        <f>IFERROR(__xludf.DUMMYFUNCTION("""COMPUTED_VALUE"""),"JATMOKO")</f>
        <v>JATMOKO</v>
      </c>
      <c r="C3661" s="3" t="str">
        <f>IFERROR(__xludf.DUMMYFUNCTION("""COMPUTED_VALUE"""),"J8426042455")</f>
        <v>J8426042455</v>
      </c>
      <c r="D3661" s="3">
        <f>IFERROR(__xludf.DUMMYFUNCTION("""COMPUTED_VALUE"""),42.0)</f>
        <v>42</v>
      </c>
      <c r="E3661" s="1"/>
    </row>
    <row r="3662">
      <c r="A3662" s="1"/>
      <c r="B3662" s="3" t="str">
        <f>IFERROR(__xludf.DUMMYFUNCTION("""COMPUTED_VALUE"""),"NG SIAM BWEE ALS ROSIANTY")</f>
        <v>NG SIAM BWEE ALS ROSIANTY</v>
      </c>
      <c r="C3662" s="3" t="str">
        <f>IFERROR(__xludf.DUMMYFUNCTION("""COMPUTED_VALUE"""),"N5826041886")</f>
        <v>N5826041886</v>
      </c>
      <c r="D3662" s="3">
        <f>IFERROR(__xludf.DUMMYFUNCTION("""COMPUTED_VALUE"""),68.0)</f>
        <v>68</v>
      </c>
      <c r="E3662" s="1"/>
    </row>
    <row r="3663">
      <c r="A3663" s="1"/>
      <c r="B3663" s="3" t="str">
        <f>IFERROR(__xludf.DUMMYFUNCTION("""COMPUTED_VALUE"""),"KARINA HAFZANY PUTRI")</f>
        <v>KARINA HAFZANY PUTRI</v>
      </c>
      <c r="C3663" s="3" t="str">
        <f>IFERROR(__xludf.DUMMYFUNCTION("""COMPUTED_VALUE"""),"K9526049528")</f>
        <v>K9526049528</v>
      </c>
      <c r="D3663" s="3">
        <f>IFERROR(__xludf.DUMMYFUNCTION("""COMPUTED_VALUE"""),30.0)</f>
        <v>30</v>
      </c>
      <c r="E3663" s="1"/>
    </row>
    <row r="3664">
      <c r="A3664" s="1"/>
      <c r="B3664" s="3" t="str">
        <f>IFERROR(__xludf.DUMMYFUNCTION("""COMPUTED_VALUE"""),"MICHAEL LIE")</f>
        <v>MICHAEL LIE</v>
      </c>
      <c r="C3664" s="3" t="str">
        <f>IFERROR(__xludf.DUMMYFUNCTION("""COMPUTED_VALUE"""),"M9526043111")</f>
        <v>M9526043111</v>
      </c>
      <c r="D3664" s="3">
        <f>IFERROR(__xludf.DUMMYFUNCTION("""COMPUTED_VALUE"""),30.0)</f>
        <v>30</v>
      </c>
      <c r="E3664" s="1"/>
    </row>
    <row r="3665">
      <c r="A3665" s="1"/>
      <c r="B3665" s="3" t="str">
        <f>IFERROR(__xludf.DUMMYFUNCTION("""COMPUTED_VALUE"""),"KENZIE DEAN DEWANTO")</f>
        <v>KENZIE DEAN DEWANTO</v>
      </c>
      <c r="C3665" s="3" t="str">
        <f>IFERROR(__xludf.DUMMYFUNCTION("""COMPUTED_VALUE"""),"K1726049498")</f>
        <v>K1726049498</v>
      </c>
      <c r="D3665" s="3">
        <f>IFERROR(__xludf.DUMMYFUNCTION("""COMPUTED_VALUE"""),8.0)</f>
        <v>8</v>
      </c>
      <c r="E3665" s="1"/>
    </row>
    <row r="3666">
      <c r="A3666" s="1"/>
      <c r="B3666" s="3" t="str">
        <f>IFERROR(__xludf.DUMMYFUNCTION("""COMPUTED_VALUE"""),"INDUN KARTINI")</f>
        <v>INDUN KARTINI</v>
      </c>
      <c r="C3666" s="3" t="str">
        <f>IFERROR(__xludf.DUMMYFUNCTION("""COMPUTED_VALUE"""),"I5826047003")</f>
        <v>I5826047003</v>
      </c>
      <c r="D3666" s="3">
        <f>IFERROR(__xludf.DUMMYFUNCTION("""COMPUTED_VALUE"""),67.0)</f>
        <v>67</v>
      </c>
      <c r="E3666" s="1"/>
    </row>
    <row r="3667">
      <c r="A3667" s="1"/>
      <c r="B3667" s="3" t="str">
        <f>IFERROR(__xludf.DUMMYFUNCTION("""COMPUTED_VALUE"""),"DAFFA DEWANTA AKBAR")</f>
        <v>DAFFA DEWANTA AKBAR</v>
      </c>
      <c r="C3667" s="3" t="str">
        <f>IFERROR(__xludf.DUMMYFUNCTION("""COMPUTED_VALUE"""),"D1226044144")</f>
        <v>D1226044144</v>
      </c>
      <c r="D3667" s="3">
        <f>IFERROR(__xludf.DUMMYFUNCTION("""COMPUTED_VALUE"""),14.0)</f>
        <v>14</v>
      </c>
      <c r="E3667" s="1"/>
    </row>
    <row r="3668">
      <c r="A3668" s="1"/>
      <c r="B3668" s="3" t="str">
        <f>IFERROR(__xludf.DUMMYFUNCTION("""COMPUTED_VALUE"""),"TARI INDRIANI")</f>
        <v>TARI INDRIANI</v>
      </c>
      <c r="C3668" s="3" t="str">
        <f>IFERROR(__xludf.DUMMYFUNCTION("""COMPUTED_VALUE"""),"T9426047155")</f>
        <v>T9426047155</v>
      </c>
      <c r="D3668" s="3">
        <f>IFERROR(__xludf.DUMMYFUNCTION("""COMPUTED_VALUE"""),32.0)</f>
        <v>32</v>
      </c>
      <c r="E3668" s="1"/>
    </row>
    <row r="3669">
      <c r="A3669" s="1"/>
      <c r="B3669" s="3" t="str">
        <f>IFERROR(__xludf.DUMMYFUNCTION("""COMPUTED_VALUE"""),"ELFIRA NATALIA ")</f>
        <v>ELFIRA NATALIA </v>
      </c>
      <c r="C3669" s="3" t="str">
        <f>IFERROR(__xludf.DUMMYFUNCTION("""COMPUTED_VALUE"""),"E9226047657")</f>
        <v>E9226047657</v>
      </c>
      <c r="D3669" s="3">
        <f>IFERROR(__xludf.DUMMYFUNCTION("""COMPUTED_VALUE"""),33.0)</f>
        <v>33</v>
      </c>
      <c r="E3669" s="1"/>
    </row>
    <row r="3670">
      <c r="A3670" s="1"/>
      <c r="B3670" s="3" t="str">
        <f>IFERROR(__xludf.DUMMYFUNCTION("""COMPUTED_VALUE"""),"LIP WENG")</f>
        <v>LIP WENG</v>
      </c>
      <c r="C3670" s="3" t="str">
        <f>IFERROR(__xludf.DUMMYFUNCTION("""COMPUTED_VALUE"""),"L2626048182")</f>
        <v>L2626048182</v>
      </c>
      <c r="D3670" s="3">
        <f>IFERROR(__xludf.DUMMYFUNCTION("""COMPUTED_VALUE"""),0.0)</f>
        <v>0</v>
      </c>
      <c r="E3670" s="1"/>
    </row>
    <row r="3671">
      <c r="A3671" s="1"/>
      <c r="B3671" s="3" t="str">
        <f>IFERROR(__xludf.DUMMYFUNCTION("""COMPUTED_VALUE"""),"CHERRY LIM")</f>
        <v>CHERRY LIM</v>
      </c>
      <c r="C3671" s="3" t="str">
        <f>IFERROR(__xludf.DUMMYFUNCTION("""COMPUTED_VALUE"""),"C7226048181")</f>
        <v>C7226048181</v>
      </c>
      <c r="D3671" s="3">
        <f>IFERROR(__xludf.DUMMYFUNCTION("""COMPUTED_VALUE"""),153.0)</f>
        <v>153</v>
      </c>
      <c r="E3671" s="1"/>
    </row>
    <row r="3672">
      <c r="A3672" s="1"/>
      <c r="B3672" s="3" t="str">
        <f>IFERROR(__xludf.DUMMYFUNCTION("""COMPUTED_VALUE"""),"EXCEL XAVIER LIMARCO")</f>
        <v>EXCEL XAVIER LIMARCO</v>
      </c>
      <c r="C3672" s="3" t="str">
        <f>IFERROR(__xludf.DUMMYFUNCTION("""COMPUTED_VALUE"""),"E1126045431")</f>
        <v>E1126045431</v>
      </c>
      <c r="D3672" s="3">
        <f>IFERROR(__xludf.DUMMYFUNCTION("""COMPUTED_VALUE"""),14.0)</f>
        <v>14</v>
      </c>
      <c r="E3672" s="1"/>
    </row>
    <row r="3673">
      <c r="A3673" s="1"/>
      <c r="B3673" s="3" t="str">
        <f>IFERROR(__xludf.DUMMYFUNCTION("""COMPUTED_VALUE"""),"DARMAWATI")</f>
        <v>DARMAWATI</v>
      </c>
      <c r="C3673" s="3" t="str">
        <f>IFERROR(__xludf.DUMMYFUNCTION("""COMPUTED_VALUE"""),"D7326044273")</f>
        <v>D7326044273</v>
      </c>
      <c r="D3673" s="3">
        <f>IFERROR(__xludf.DUMMYFUNCTION("""COMPUTED_VALUE"""),53.0)</f>
        <v>53</v>
      </c>
      <c r="E3673" s="1"/>
    </row>
    <row r="3674">
      <c r="A3674" s="1"/>
      <c r="B3674" s="3" t="str">
        <f>IFERROR(__xludf.DUMMYFUNCTION("""COMPUTED_VALUE"""),"SHERLY")</f>
        <v>SHERLY</v>
      </c>
      <c r="C3674" s="3" t="str">
        <f>IFERROR(__xludf.DUMMYFUNCTION("""COMPUTED_VALUE"""),"S8326045858")</f>
        <v>S8326045858</v>
      </c>
      <c r="D3674" s="3">
        <f>IFERROR(__xludf.DUMMYFUNCTION("""COMPUTED_VALUE"""),42.0)</f>
        <v>42</v>
      </c>
      <c r="E3674" s="1"/>
    </row>
    <row r="3675">
      <c r="A3675" s="1"/>
      <c r="B3675" s="3" t="str">
        <f>IFERROR(__xludf.DUMMYFUNCTION("""COMPUTED_VALUE"""),"ANISA FUASANA")</f>
        <v>ANISA FUASANA</v>
      </c>
      <c r="C3675" s="3" t="str">
        <f>IFERROR(__xludf.DUMMYFUNCTION("""COMPUTED_VALUE"""),"A9626046065")</f>
        <v>A9626046065</v>
      </c>
      <c r="D3675" s="3">
        <f>IFERROR(__xludf.DUMMYFUNCTION("""COMPUTED_VALUE"""),30.0)</f>
        <v>30</v>
      </c>
      <c r="E3675" s="1"/>
    </row>
    <row r="3676">
      <c r="A3676" s="1"/>
      <c r="B3676" s="3" t="str">
        <f>IFERROR(__xludf.DUMMYFUNCTION("""COMPUTED_VALUE"""),"ISMAIL AKBAR")</f>
        <v>ISMAIL AKBAR</v>
      </c>
      <c r="C3676" s="3" t="str">
        <f>IFERROR(__xludf.DUMMYFUNCTION("""COMPUTED_VALUE"""),"I7326043382")</f>
        <v>I7326043382</v>
      </c>
      <c r="D3676" s="3">
        <f>IFERROR(__xludf.DUMMYFUNCTION("""COMPUTED_VALUE"""),53.0)</f>
        <v>53</v>
      </c>
      <c r="E3676" s="1"/>
    </row>
    <row r="3677">
      <c r="A3677" s="1"/>
      <c r="B3677" s="3" t="str">
        <f>IFERROR(__xludf.DUMMYFUNCTION("""COMPUTED_VALUE"""),"MULYANA")</f>
        <v>MULYANA</v>
      </c>
      <c r="C3677" s="3" t="str">
        <f>IFERROR(__xludf.DUMMYFUNCTION("""COMPUTED_VALUE"""),"M7226046441")</f>
        <v>M7226046441</v>
      </c>
      <c r="D3677" s="3">
        <f>IFERROR(__xludf.DUMMYFUNCTION("""COMPUTED_VALUE"""),54.0)</f>
        <v>54</v>
      </c>
      <c r="E3677" s="1"/>
    </row>
    <row r="3678">
      <c r="A3678" s="1"/>
      <c r="B3678" s="3" t="str">
        <f>IFERROR(__xludf.DUMMYFUNCTION("""COMPUTED_VALUE"""),"LUSIANA")</f>
        <v>LUSIANA</v>
      </c>
      <c r="C3678" s="3" t="str">
        <f>IFERROR(__xludf.DUMMYFUNCTION("""COMPUTED_VALUE"""),"L9426047047")</f>
        <v>L9426047047</v>
      </c>
      <c r="D3678" s="3">
        <f>IFERROR(__xludf.DUMMYFUNCTION("""COMPUTED_VALUE"""),32.0)</f>
        <v>32</v>
      </c>
      <c r="E3678" s="1"/>
    </row>
    <row r="3679">
      <c r="A3679" s="1"/>
      <c r="B3679" s="3" t="str">
        <f>IFERROR(__xludf.DUMMYFUNCTION("""COMPUTED_VALUE"""),"SULISTYARINI ")</f>
        <v>SULISTYARINI </v>
      </c>
      <c r="C3679" s="3" t="str">
        <f>IFERROR(__xludf.DUMMYFUNCTION("""COMPUTED_VALUE"""),"S6526043209")</f>
        <v>S6526043209</v>
      </c>
      <c r="D3679" s="3">
        <f>IFERROR(__xludf.DUMMYFUNCTION("""COMPUTED_VALUE"""),60.0)</f>
        <v>60</v>
      </c>
      <c r="E3679" s="1"/>
    </row>
    <row r="3680">
      <c r="A3680" s="1"/>
      <c r="B3680" s="3" t="str">
        <f>IFERROR(__xludf.DUMMYFUNCTION("""COMPUTED_VALUE"""),"ERLIN INDRIYANI ")</f>
        <v>ERLIN INDRIYANI </v>
      </c>
      <c r="C3680" s="3" t="str">
        <f>IFERROR(__xludf.DUMMYFUNCTION("""COMPUTED_VALUE"""),"E8926048960")</f>
        <v>E8926048960</v>
      </c>
      <c r="D3680" s="3">
        <f>IFERROR(__xludf.DUMMYFUNCTION("""COMPUTED_VALUE"""),36.0)</f>
        <v>36</v>
      </c>
      <c r="E3680" s="1"/>
    </row>
    <row r="3681">
      <c r="A3681" s="1"/>
      <c r="B3681" s="3" t="str">
        <f>IFERROR(__xludf.DUMMYFUNCTION("""COMPUTED_VALUE"""),"PRANSISKA OLIVIA")</f>
        <v>PRANSISKA OLIVIA</v>
      </c>
      <c r="C3681" s="3" t="str">
        <f>IFERROR(__xludf.DUMMYFUNCTION("""COMPUTED_VALUE"""),"P0726040580")</f>
        <v>P0726040580</v>
      </c>
      <c r="D3681" s="3">
        <f>IFERROR(__xludf.DUMMYFUNCTION("""COMPUTED_VALUE"""),19.0)</f>
        <v>19</v>
      </c>
      <c r="E3681" s="1"/>
    </row>
    <row r="3682">
      <c r="A3682" s="1"/>
      <c r="B3682" s="3" t="str">
        <f>IFERROR(__xludf.DUMMYFUNCTION("""COMPUTED_VALUE"""),"YUSTINA")</f>
        <v>YUSTINA</v>
      </c>
      <c r="C3682" s="3" t="str">
        <f>IFERROR(__xludf.DUMMYFUNCTION("""COMPUTED_VALUE"""),"Y5726041357")</f>
        <v>Y5726041357</v>
      </c>
      <c r="D3682" s="3">
        <f>IFERROR(__xludf.DUMMYFUNCTION("""COMPUTED_VALUE"""),68.0)</f>
        <v>68</v>
      </c>
      <c r="E3682" s="1"/>
    </row>
    <row r="3683">
      <c r="A3683" s="1"/>
      <c r="B3683" s="3" t="str">
        <f>IFERROR(__xludf.DUMMYFUNCTION("""COMPUTED_VALUE"""),"ABYAN QAYS ALFARIZ")</f>
        <v>ABYAN QAYS ALFARIZ</v>
      </c>
      <c r="C3683" s="3" t="str">
        <f>IFERROR(__xludf.DUMMYFUNCTION("""COMPUTED_VALUE"""),"A1726048503")</f>
        <v>A1726048503</v>
      </c>
      <c r="D3683" s="3">
        <f>IFERROR(__xludf.DUMMYFUNCTION("""COMPUTED_VALUE"""),9.0)</f>
        <v>9</v>
      </c>
      <c r="E3683" s="1"/>
    </row>
    <row r="3684">
      <c r="A3684" s="1"/>
      <c r="B3684" s="3" t="str">
        <f>IFERROR(__xludf.DUMMYFUNCTION("""COMPUTED_VALUE"""),"AUGUSTO WIJAYA")</f>
        <v>AUGUSTO WIJAYA</v>
      </c>
      <c r="C3684" s="3" t="str">
        <f>IFERROR(__xludf.DUMMYFUNCTION("""COMPUTED_VALUE"""),"A0026049744")</f>
        <v>A0026049744</v>
      </c>
      <c r="D3684" s="3">
        <f>IFERROR(__xludf.DUMMYFUNCTION("""COMPUTED_VALUE"""),25.0)</f>
        <v>25</v>
      </c>
      <c r="E3684" s="1"/>
    </row>
    <row r="3685">
      <c r="A3685" s="1"/>
      <c r="B3685" s="3" t="str">
        <f>IFERROR(__xludf.DUMMYFUNCTION("""COMPUTED_VALUE"""),"MUHAMMAD ZAID ASH SHAFA ")</f>
        <v>MUHAMMAD ZAID ASH SHAFA </v>
      </c>
      <c r="C3685" s="3" t="str">
        <f>IFERROR(__xludf.DUMMYFUNCTION("""COMPUTED_VALUE"""),"M0526047029")</f>
        <v>M0526047029</v>
      </c>
      <c r="D3685" s="3">
        <f>IFERROR(__xludf.DUMMYFUNCTION("""COMPUTED_VALUE"""),20.0)</f>
        <v>20</v>
      </c>
      <c r="E3685" s="1"/>
    </row>
    <row r="3686">
      <c r="A3686" s="1"/>
      <c r="B3686" s="3" t="str">
        <f>IFERROR(__xludf.DUMMYFUNCTION("""COMPUTED_VALUE"""),"AGAM MARWANSYAH")</f>
        <v>AGAM MARWANSYAH</v>
      </c>
      <c r="C3686" s="3" t="str">
        <f>IFERROR(__xludf.DUMMYFUNCTION("""COMPUTED_VALUE"""),"A9626045499")</f>
        <v>A9626045499</v>
      </c>
      <c r="D3686" s="3">
        <f>IFERROR(__xludf.DUMMYFUNCTION("""COMPUTED_VALUE"""),29.0)</f>
        <v>29</v>
      </c>
      <c r="E3686" s="1"/>
    </row>
    <row r="3687">
      <c r="A3687" s="1"/>
      <c r="B3687" s="3" t="str">
        <f>IFERROR(__xludf.DUMMYFUNCTION("""COMPUTED_VALUE"""),"WENNIE YANITA")</f>
        <v>WENNIE YANITA</v>
      </c>
      <c r="C3687" s="3" t="str">
        <f>IFERROR(__xludf.DUMMYFUNCTION("""COMPUTED_VALUE"""),"W8526044145")</f>
        <v>W8526044145</v>
      </c>
      <c r="D3687" s="3">
        <f>IFERROR(__xludf.DUMMYFUNCTION("""COMPUTED_VALUE"""),41.0)</f>
        <v>41</v>
      </c>
      <c r="E3687" s="1"/>
    </row>
    <row r="3688">
      <c r="A3688" s="1"/>
      <c r="B3688" s="3" t="str">
        <f>IFERROR(__xludf.DUMMYFUNCTION("""COMPUTED_VALUE"""),"HARDIYANTO")</f>
        <v>HARDIYANTO</v>
      </c>
      <c r="C3688" s="3" t="str">
        <f>IFERROR(__xludf.DUMMYFUNCTION("""COMPUTED_VALUE"""),"H9626040899")</f>
        <v>H9626040899</v>
      </c>
      <c r="D3688" s="3">
        <f>IFERROR(__xludf.DUMMYFUNCTION("""COMPUTED_VALUE"""),30.0)</f>
        <v>30</v>
      </c>
      <c r="E3688" s="1"/>
    </row>
    <row r="3689">
      <c r="A3689" s="1"/>
      <c r="B3689" s="3" t="str">
        <f>IFERROR(__xludf.DUMMYFUNCTION("""COMPUTED_VALUE"""),"DZAKY DHIAULHAQ")</f>
        <v>DZAKY DHIAULHAQ</v>
      </c>
      <c r="C3689" s="3" t="str">
        <f>IFERROR(__xludf.DUMMYFUNCTION("""COMPUTED_VALUE"""),"D0926042317")</f>
        <v>D0926042317</v>
      </c>
      <c r="D3689" s="3">
        <f>IFERROR(__xludf.DUMMYFUNCTION("""COMPUTED_VALUE"""),17.0)</f>
        <v>17</v>
      </c>
      <c r="E3689" s="1"/>
    </row>
    <row r="3690">
      <c r="A3690" s="1"/>
      <c r="B3690" s="3" t="str">
        <f>IFERROR(__xludf.DUMMYFUNCTION("""COMPUTED_VALUE"""),"ALWI CHANDRA ANDIKA")</f>
        <v>ALWI CHANDRA ANDIKA</v>
      </c>
      <c r="C3690" s="3" t="str">
        <f>IFERROR(__xludf.DUMMYFUNCTION("""COMPUTED_VALUE"""),"A0826048189")</f>
        <v>A0826048189</v>
      </c>
      <c r="D3690" s="3">
        <f>IFERROR(__xludf.DUMMYFUNCTION("""COMPUTED_VALUE"""),18.0)</f>
        <v>18</v>
      </c>
      <c r="E3690" s="1"/>
    </row>
    <row r="3691">
      <c r="A3691" s="1"/>
      <c r="B3691" s="3" t="str">
        <f>IFERROR(__xludf.DUMMYFUNCTION("""COMPUTED_VALUE"""),"SANDRA WIJAYA")</f>
        <v>SANDRA WIJAYA</v>
      </c>
      <c r="C3691" s="3" t="str">
        <f>IFERROR(__xludf.DUMMYFUNCTION("""COMPUTED_VALUE"""),"S9726043033")</f>
        <v>S9726043033</v>
      </c>
      <c r="D3691" s="3">
        <f>IFERROR(__xludf.DUMMYFUNCTION("""COMPUTED_VALUE"""),29.0)</f>
        <v>29</v>
      </c>
      <c r="E3691" s="1"/>
    </row>
    <row r="3692">
      <c r="A3692" s="1"/>
      <c r="B3692" s="3" t="str">
        <f>IFERROR(__xludf.DUMMYFUNCTION("""COMPUTED_VALUE"""),"PETER LIU")</f>
        <v>PETER LIU</v>
      </c>
      <c r="C3692" s="3" t="str">
        <f>IFERROR(__xludf.DUMMYFUNCTION("""COMPUTED_VALUE"""),"P7326043624")</f>
        <v>P7326043624</v>
      </c>
      <c r="D3692" s="3">
        <f>IFERROR(__xludf.DUMMYFUNCTION("""COMPUTED_VALUE"""),53.0)</f>
        <v>53</v>
      </c>
      <c r="E3692" s="1"/>
    </row>
    <row r="3693">
      <c r="A3693" s="1"/>
      <c r="B3693" s="3" t="str">
        <f>IFERROR(__xludf.DUMMYFUNCTION("""COMPUTED_VALUE"""),"ERWIN DJONG")</f>
        <v>ERWIN DJONG</v>
      </c>
      <c r="C3693" s="3" t="str">
        <f>IFERROR(__xludf.DUMMYFUNCTION("""COMPUTED_VALUE"""),"E6226045500")</f>
        <v>E6226045500</v>
      </c>
      <c r="D3693" s="3">
        <f>IFERROR(__xludf.DUMMYFUNCTION("""COMPUTED_VALUE"""),64.0)</f>
        <v>64</v>
      </c>
      <c r="E3693" s="1"/>
    </row>
    <row r="3694">
      <c r="A3694" s="1"/>
      <c r="B3694" s="3" t="str">
        <f>IFERROR(__xludf.DUMMYFUNCTION("""COMPUTED_VALUE"""),"FLAVIUS DARRELL ")</f>
        <v>FLAVIUS DARRELL </v>
      </c>
      <c r="C3694" s="3" t="str">
        <f>IFERROR(__xludf.DUMMYFUNCTION("""COMPUTED_VALUE"""),"F0826048647")</f>
        <v>F0826048647</v>
      </c>
      <c r="D3694" s="3">
        <f>IFERROR(__xludf.DUMMYFUNCTION("""COMPUTED_VALUE"""),17.0)</f>
        <v>17</v>
      </c>
      <c r="E3694" s="1"/>
    </row>
    <row r="3695">
      <c r="A3695" s="1"/>
      <c r="B3695" s="3" t="str">
        <f>IFERROR(__xludf.DUMMYFUNCTION("""COMPUTED_VALUE"""),"M. SAPARWIN A. MD")</f>
        <v>M. SAPARWIN A. MD</v>
      </c>
      <c r="C3695" s="3" t="str">
        <f>IFERROR(__xludf.DUMMYFUNCTION("""COMPUTED_VALUE"""),"M9326042953")</f>
        <v>M9326042953</v>
      </c>
      <c r="D3695" s="3">
        <f>IFERROR(__xludf.DUMMYFUNCTION("""COMPUTED_VALUE"""),32.0)</f>
        <v>32</v>
      </c>
      <c r="E3695" s="1"/>
    </row>
    <row r="3696">
      <c r="A3696" s="1"/>
      <c r="B3696" s="3" t="str">
        <f>IFERROR(__xludf.DUMMYFUNCTION("""COMPUTED_VALUE"""),"IPOLIANA")</f>
        <v>IPOLIANA</v>
      </c>
      <c r="C3696" s="3" t="str">
        <f>IFERROR(__xludf.DUMMYFUNCTION("""COMPUTED_VALUE"""),"I7926048908")</f>
        <v>I7926048908</v>
      </c>
      <c r="D3696" s="3">
        <f>IFERROR(__xludf.DUMMYFUNCTION("""COMPUTED_VALUE"""),46.0)</f>
        <v>46</v>
      </c>
      <c r="E3696" s="1"/>
    </row>
    <row r="3697">
      <c r="A3697" s="1"/>
      <c r="B3697" s="3" t="str">
        <f>IFERROR(__xludf.DUMMYFUNCTION("""COMPUTED_VALUE"""),"RIA ANANDA 8408")</f>
        <v>RIA ANANDA 8408</v>
      </c>
      <c r="C3697" s="3" t="str">
        <f>IFERROR(__xludf.DUMMYFUNCTION("""COMPUTED_VALUE"""),"R8426046592")</f>
        <v>R8426046592</v>
      </c>
      <c r="D3697" s="3">
        <f>IFERROR(__xludf.DUMMYFUNCTION("""COMPUTED_VALUE"""),41.0)</f>
        <v>41</v>
      </c>
      <c r="E3697" s="1"/>
    </row>
    <row r="3698">
      <c r="A3698" s="1"/>
      <c r="B3698" s="3" t="str">
        <f>IFERROR(__xludf.DUMMYFUNCTION("""COMPUTED_VALUE"""),"EDI SUDIANDI")</f>
        <v>EDI SUDIANDI</v>
      </c>
      <c r="C3698" s="3" t="str">
        <f>IFERROR(__xludf.DUMMYFUNCTION("""COMPUTED_VALUE"""),"E0126046250")</f>
        <v>E0126046250</v>
      </c>
      <c r="D3698" s="3">
        <f>IFERROR(__xludf.DUMMYFUNCTION("""COMPUTED_VALUE"""),24.0)</f>
        <v>24</v>
      </c>
      <c r="E3698" s="1"/>
    </row>
    <row r="3699">
      <c r="A3699" s="1"/>
      <c r="B3699" s="3" t="str">
        <f>IFERROR(__xludf.DUMMYFUNCTION("""COMPUTED_VALUE"""),"RIDHO HENDRI FREDINATA ")</f>
        <v>RIDHO HENDRI FREDINATA </v>
      </c>
      <c r="C3699" s="3" t="str">
        <f>IFERROR(__xludf.DUMMYFUNCTION("""COMPUTED_VALUE"""),"R7926049747")</f>
        <v>R7926049747</v>
      </c>
      <c r="D3699" s="3">
        <f>IFERROR(__xludf.DUMMYFUNCTION("""COMPUTED_VALUE"""),46.0)</f>
        <v>46</v>
      </c>
      <c r="E3699" s="1"/>
    </row>
    <row r="3700">
      <c r="A3700" s="1"/>
      <c r="B3700" s="3" t="str">
        <f>IFERROR(__xludf.DUMMYFUNCTION("""COMPUTED_VALUE"""),"R. MUHAMMAD UMAR")</f>
        <v>R. MUHAMMAD UMAR</v>
      </c>
      <c r="C3700" s="3" t="str">
        <f>IFERROR(__xludf.DUMMYFUNCTION("""COMPUTED_VALUE"""),"R5526040490")</f>
        <v>R5526040490</v>
      </c>
      <c r="D3700" s="3">
        <f>IFERROR(__xludf.DUMMYFUNCTION("""COMPUTED_VALUE"""),71.0)</f>
        <v>71</v>
      </c>
      <c r="E3700" s="1"/>
    </row>
    <row r="3701">
      <c r="A3701" s="1"/>
      <c r="B3701" s="3" t="str">
        <f>IFERROR(__xludf.DUMMYFUNCTION("""COMPUTED_VALUE"""),"HERWIN FIDELIO SALAM")</f>
        <v>HERWIN FIDELIO SALAM</v>
      </c>
      <c r="C3701" s="3" t="str">
        <f>IFERROR(__xludf.DUMMYFUNCTION("""COMPUTED_VALUE"""),"H8426049089")</f>
        <v>H8426049089</v>
      </c>
      <c r="D3701" s="3">
        <f>IFERROR(__xludf.DUMMYFUNCTION("""COMPUTED_VALUE"""),41.0)</f>
        <v>41</v>
      </c>
      <c r="E3701" s="1"/>
    </row>
    <row r="3702">
      <c r="A3702" s="1"/>
      <c r="B3702" s="3" t="str">
        <f>IFERROR(__xludf.DUMMYFUNCTION("""COMPUTED_VALUE"""),"KURNIA SAYUNI ")</f>
        <v>KURNIA SAYUNI </v>
      </c>
      <c r="C3702" s="3" t="str">
        <f>IFERROR(__xludf.DUMMYFUNCTION("""COMPUTED_VALUE"""),"K0526043902")</f>
        <v>K0526043902</v>
      </c>
      <c r="D3702" s="3">
        <f>IFERROR(__xludf.DUMMYFUNCTION("""COMPUTED_VALUE"""),20.0)</f>
        <v>20</v>
      </c>
      <c r="E3702" s="1"/>
    </row>
    <row r="3703">
      <c r="A3703" s="1"/>
      <c r="B3703" s="3" t="str">
        <f>IFERROR(__xludf.DUMMYFUNCTION("""COMPUTED_VALUE"""),"AURELIA AGUSTA")</f>
        <v>AURELIA AGUSTA</v>
      </c>
      <c r="C3703" s="3" t="str">
        <f>IFERROR(__xludf.DUMMYFUNCTION("""COMPUTED_VALUE"""),"A9826049353")</f>
        <v>A9826049353</v>
      </c>
      <c r="D3703" s="3">
        <f>IFERROR(__xludf.DUMMYFUNCTION("""COMPUTED_VALUE"""),27.0)</f>
        <v>27</v>
      </c>
      <c r="E3703" s="1"/>
    </row>
    <row r="3704">
      <c r="A3704" s="1"/>
      <c r="B3704" s="3" t="str">
        <f>IFERROR(__xludf.DUMMYFUNCTION("""COMPUTED_VALUE"""),"DESTRIYANA D")</f>
        <v>DESTRIYANA D</v>
      </c>
      <c r="C3704" s="3" t="str">
        <f>IFERROR(__xludf.DUMMYFUNCTION("""COMPUTED_VALUE"""),"D9026042890")</f>
        <v>D9026042890</v>
      </c>
      <c r="D3704" s="3">
        <f>IFERROR(__xludf.DUMMYFUNCTION("""COMPUTED_VALUE"""),35.0)</f>
        <v>35</v>
      </c>
      <c r="E3704" s="1"/>
    </row>
    <row r="3705">
      <c r="A3705" s="1"/>
      <c r="B3705" s="3" t="str">
        <f>IFERROR(__xludf.DUMMYFUNCTION("""COMPUTED_VALUE"""),"TJIN DJAM")</f>
        <v>TJIN DJAM</v>
      </c>
      <c r="C3705" s="3" t="str">
        <f>IFERROR(__xludf.DUMMYFUNCTION("""COMPUTED_VALUE"""),"T2626042629")</f>
        <v>T2626042629</v>
      </c>
      <c r="D3705" s="3">
        <f>IFERROR(__xludf.DUMMYFUNCTION("""COMPUTED_VALUE"""),0.0)</f>
        <v>0</v>
      </c>
      <c r="E3705" s="1"/>
    </row>
    <row r="3706">
      <c r="A3706" s="1"/>
      <c r="B3706" s="3" t="str">
        <f>IFERROR(__xludf.DUMMYFUNCTION("""COMPUTED_VALUE"""),"PONTI INDAH SARI")</f>
        <v>PONTI INDAH SARI</v>
      </c>
      <c r="C3706" s="3" t="str">
        <f>IFERROR(__xludf.DUMMYFUNCTION("""COMPUTED_VALUE"""),"P9526042231")</f>
        <v>P9526042231</v>
      </c>
      <c r="D3706" s="3">
        <f>IFERROR(__xludf.DUMMYFUNCTION("""COMPUTED_VALUE"""),30.0)</f>
        <v>30</v>
      </c>
      <c r="E3706" s="1"/>
    </row>
    <row r="3707">
      <c r="A3707" s="1"/>
      <c r="B3707" s="3" t="str">
        <f>IFERROR(__xludf.DUMMYFUNCTION("""COMPUTED_VALUE"""),"MARLINA 7203")</f>
        <v>MARLINA 7203</v>
      </c>
      <c r="C3707" s="3" t="str">
        <f>IFERROR(__xludf.DUMMYFUNCTION("""COMPUTED_VALUE"""),"M7226049567")</f>
        <v>M7226049567</v>
      </c>
      <c r="D3707" s="3">
        <f>IFERROR(__xludf.DUMMYFUNCTION("""COMPUTED_VALUE"""),54.0)</f>
        <v>54</v>
      </c>
      <c r="E3707" s="1"/>
    </row>
    <row r="3708">
      <c r="A3708" s="1"/>
      <c r="B3708" s="3" t="str">
        <f>IFERROR(__xludf.DUMMYFUNCTION("""COMPUTED_VALUE"""),"XAVIO AXELL")</f>
        <v>XAVIO AXELL</v>
      </c>
      <c r="C3708" s="3" t="str">
        <f>IFERROR(__xludf.DUMMYFUNCTION("""COMPUTED_VALUE"""),"X1726047998")</f>
        <v>X1726047998</v>
      </c>
      <c r="D3708" s="3">
        <f>IFERROR(__xludf.DUMMYFUNCTION("""COMPUTED_VALUE"""),9.0)</f>
        <v>9</v>
      </c>
      <c r="E3708" s="1"/>
    </row>
    <row r="3709">
      <c r="A3709" s="1"/>
      <c r="B3709" s="3" t="str">
        <f>IFERROR(__xludf.DUMMYFUNCTION("""COMPUTED_VALUE"""),"M.RIDHO TORIS MEIDIANO ")</f>
        <v>M.RIDHO TORIS MEIDIANO </v>
      </c>
      <c r="C3709" s="3" t="str">
        <f>IFERROR(__xludf.DUMMYFUNCTION("""COMPUTED_VALUE"""),"M0926042104")</f>
        <v>M0926042104</v>
      </c>
      <c r="D3709" s="3">
        <f>IFERROR(__xludf.DUMMYFUNCTION("""COMPUTED_VALUE"""),17.0)</f>
        <v>17</v>
      </c>
      <c r="E3709" s="1"/>
    </row>
    <row r="3710">
      <c r="A3710" s="1"/>
      <c r="B3710" s="3" t="str">
        <f>IFERROR(__xludf.DUMMYFUNCTION("""COMPUTED_VALUE"""),"NURHASANAH S.AG")</f>
        <v>NURHASANAH S.AG</v>
      </c>
      <c r="C3710" s="3" t="str">
        <f>IFERROR(__xludf.DUMMYFUNCTION("""COMPUTED_VALUE"""),"N7226047362")</f>
        <v>N7226047362</v>
      </c>
      <c r="D3710" s="3">
        <f>IFERROR(__xludf.DUMMYFUNCTION("""COMPUTED_VALUE"""),53.0)</f>
        <v>53</v>
      </c>
      <c r="E3710" s="1"/>
    </row>
    <row r="3711">
      <c r="A3711" s="1"/>
      <c r="B3711" s="3" t="str">
        <f>IFERROR(__xludf.DUMMYFUNCTION("""COMPUTED_VALUE"""),"TIFANY NATHASYA")</f>
        <v>TIFANY NATHASYA</v>
      </c>
      <c r="C3711" s="3" t="str">
        <f>IFERROR(__xludf.DUMMYFUNCTION("""COMPUTED_VALUE"""),"T9826043156")</f>
        <v>T9826043156</v>
      </c>
      <c r="D3711" s="3">
        <f>IFERROR(__xludf.DUMMYFUNCTION("""COMPUTED_VALUE"""),28.0)</f>
        <v>28</v>
      </c>
      <c r="E3711" s="1"/>
    </row>
    <row r="3712">
      <c r="A3712" s="1"/>
      <c r="B3712" s="3" t="str">
        <f>IFERROR(__xludf.DUMMYFUNCTION("""COMPUTED_VALUE"""),"AHMAD BUDI FAUSTAL")</f>
        <v>AHMAD BUDI FAUSTAL</v>
      </c>
      <c r="C3712" s="3" t="str">
        <f>IFERROR(__xludf.DUMMYFUNCTION("""COMPUTED_VALUE"""),"A1626045056")</f>
        <v>A1626045056</v>
      </c>
      <c r="D3712" s="3">
        <f>IFERROR(__xludf.DUMMYFUNCTION("""COMPUTED_VALUE"""),10.0)</f>
        <v>10</v>
      </c>
      <c r="E3712" s="1"/>
    </row>
    <row r="3713">
      <c r="A3713" s="1"/>
      <c r="B3713" s="3" t="str">
        <f>IFERROR(__xludf.DUMMYFUNCTION("""COMPUTED_VALUE"""),"FIRMAN 9407")</f>
        <v>FIRMAN 9407</v>
      </c>
      <c r="C3713" s="3" t="str">
        <f>IFERROR(__xludf.DUMMYFUNCTION("""COMPUTED_VALUE"""),"F9426041922")</f>
        <v>F9426041922</v>
      </c>
      <c r="D3713" s="3">
        <f>IFERROR(__xludf.DUMMYFUNCTION("""COMPUTED_VALUE"""),31.0)</f>
        <v>31</v>
      </c>
      <c r="E3713" s="1"/>
    </row>
    <row r="3714">
      <c r="A3714" s="1"/>
      <c r="B3714" s="3" t="str">
        <f>IFERROR(__xludf.DUMMYFUNCTION("""COMPUTED_VALUE"""),"VINSEN NOVENTA")</f>
        <v>VINSEN NOVENTA</v>
      </c>
      <c r="C3714" s="3" t="str">
        <f>IFERROR(__xludf.DUMMYFUNCTION("""COMPUTED_VALUE"""),"V0326042735")</f>
        <v>V0326042735</v>
      </c>
      <c r="D3714" s="3">
        <f>IFERROR(__xludf.DUMMYFUNCTION("""COMPUTED_VALUE"""),22.0)</f>
        <v>22</v>
      </c>
      <c r="E3714" s="1"/>
    </row>
    <row r="3715">
      <c r="A3715" s="1"/>
      <c r="B3715" s="3" t="str">
        <f>IFERROR(__xludf.DUMMYFUNCTION("""COMPUTED_VALUE"""),"RADEN FANIKA AZZAHRA")</f>
        <v>RADEN FANIKA AZZAHRA</v>
      </c>
      <c r="C3715" s="3" t="str">
        <f>IFERROR(__xludf.DUMMYFUNCTION("""COMPUTED_VALUE"""),"R1026049899")</f>
        <v>R1026049899</v>
      </c>
      <c r="D3715" s="3">
        <f>IFERROR(__xludf.DUMMYFUNCTION("""COMPUTED_VALUE"""),15.0)</f>
        <v>15</v>
      </c>
      <c r="E3715" s="1"/>
    </row>
    <row r="3716">
      <c r="A3716" s="1"/>
      <c r="B3716" s="3" t="str">
        <f>IFERROR(__xludf.DUMMYFUNCTION("""COMPUTED_VALUE"""),"NG SUI MIAUW")</f>
        <v>NG SUI MIAUW</v>
      </c>
      <c r="C3716" s="3" t="str">
        <f>IFERROR(__xludf.DUMMYFUNCTION("""COMPUTED_VALUE"""),"N5926041232")</f>
        <v>N5926041232</v>
      </c>
      <c r="D3716" s="3">
        <f>IFERROR(__xludf.DUMMYFUNCTION("""COMPUTED_VALUE"""),67.0)</f>
        <v>67</v>
      </c>
      <c r="E3716" s="1"/>
    </row>
    <row r="3717">
      <c r="A3717" s="1"/>
      <c r="B3717" s="3" t="str">
        <f>IFERROR(__xludf.DUMMYFUNCTION("""COMPUTED_VALUE"""),"RENDY DWIPUTRA ")</f>
        <v>RENDY DWIPUTRA </v>
      </c>
      <c r="C3717" s="3" t="str">
        <f>IFERROR(__xludf.DUMMYFUNCTION("""COMPUTED_VALUE"""),"R0626047079")</f>
        <v>R0626047079</v>
      </c>
      <c r="D3717" s="3">
        <f>IFERROR(__xludf.DUMMYFUNCTION("""COMPUTED_VALUE"""),19.0)</f>
        <v>19</v>
      </c>
      <c r="E3717" s="1"/>
    </row>
    <row r="3718">
      <c r="A3718" s="1"/>
      <c r="B3718" s="3" t="str">
        <f>IFERROR(__xludf.DUMMYFUNCTION("""COMPUTED_VALUE"""),"R. TAUFAN SUGIARTO")</f>
        <v>R. TAUFAN SUGIARTO</v>
      </c>
      <c r="C3718" s="3" t="str">
        <f>IFERROR(__xludf.DUMMYFUNCTION("""COMPUTED_VALUE"""),"R8426049890")</f>
        <v>R8426049890</v>
      </c>
      <c r="D3718" s="3">
        <f>IFERROR(__xludf.DUMMYFUNCTION("""COMPUTED_VALUE"""),42.0)</f>
        <v>42</v>
      </c>
      <c r="E3718" s="1"/>
    </row>
    <row r="3719">
      <c r="A3719" s="1"/>
      <c r="B3719" s="3" t="str">
        <f>IFERROR(__xludf.DUMMYFUNCTION("""COMPUTED_VALUE"""),"H. ANDI BASO TEPU")</f>
        <v>H. ANDI BASO TEPU</v>
      </c>
      <c r="C3719" s="3" t="str">
        <f>IFERROR(__xludf.DUMMYFUNCTION("""COMPUTED_VALUE"""),"H4226046739")</f>
        <v>H4226046739</v>
      </c>
      <c r="D3719" s="3">
        <f>IFERROR(__xludf.DUMMYFUNCTION("""COMPUTED_VALUE"""),84.0)</f>
        <v>84</v>
      </c>
      <c r="E3719" s="1"/>
    </row>
    <row r="3720">
      <c r="A3720" s="1"/>
      <c r="B3720" s="3" t="str">
        <f>IFERROR(__xludf.DUMMYFUNCTION("""COMPUTED_VALUE"""),"NATHANIA")</f>
        <v>NATHANIA</v>
      </c>
      <c r="C3720" s="3" t="str">
        <f>IFERROR(__xludf.DUMMYFUNCTION("""COMPUTED_VALUE"""),"N9326044305")</f>
        <v>N9326044305</v>
      </c>
      <c r="D3720" s="3">
        <f>IFERROR(__xludf.DUMMYFUNCTION("""COMPUTED_VALUE"""),32.0)</f>
        <v>32</v>
      </c>
      <c r="E3720" s="1"/>
    </row>
    <row r="3721">
      <c r="A3721" s="1"/>
      <c r="B3721" s="3" t="str">
        <f>IFERROR(__xludf.DUMMYFUNCTION("""COMPUTED_VALUE"""),"LU ZONGLIANG")</f>
        <v>LU ZONGLIANG</v>
      </c>
      <c r="C3721" s="3" t="str">
        <f>IFERROR(__xludf.DUMMYFUNCTION("""COMPUTED_VALUE"""),"L6826041528")</f>
        <v>L6826041528</v>
      </c>
      <c r="D3721" s="3">
        <f>IFERROR(__xludf.DUMMYFUNCTION("""COMPUTED_VALUE"""),58.0)</f>
        <v>58</v>
      </c>
      <c r="E3721" s="1"/>
    </row>
    <row r="3722">
      <c r="A3722" s="1"/>
      <c r="B3722" s="3" t="str">
        <f>IFERROR(__xludf.DUMMYFUNCTION("""COMPUTED_VALUE"""),"WILLSON LOUISSE HANSEN VILLERY")</f>
        <v>WILLSON LOUISSE HANSEN VILLERY</v>
      </c>
      <c r="C3722" s="3" t="str">
        <f>IFERROR(__xludf.DUMMYFUNCTION("""COMPUTED_VALUE"""),"W0426047124")</f>
        <v>W0426047124</v>
      </c>
      <c r="D3722" s="3">
        <f>IFERROR(__xludf.DUMMYFUNCTION("""COMPUTED_VALUE"""),21.0)</f>
        <v>21</v>
      </c>
      <c r="E3722" s="1"/>
    </row>
    <row r="3723">
      <c r="A3723" s="1"/>
      <c r="B3723" s="3" t="str">
        <f>IFERROR(__xludf.DUMMYFUNCTION("""COMPUTED_VALUE"""),"ELIS SARTIKAWATI, S.SOS")</f>
        <v>ELIS SARTIKAWATI, S.SOS</v>
      </c>
      <c r="C3723" s="3" t="str">
        <f>IFERROR(__xludf.DUMMYFUNCTION("""COMPUTED_VALUE"""),"E8326041723")</f>
        <v>E8326041723</v>
      </c>
      <c r="D3723" s="3">
        <f>IFERROR(__xludf.DUMMYFUNCTION("""COMPUTED_VALUE"""),43.0)</f>
        <v>43</v>
      </c>
      <c r="E3723" s="1"/>
    </row>
    <row r="3724">
      <c r="A3724" s="1"/>
      <c r="B3724" s="3" t="str">
        <f>IFERROR(__xludf.DUMMYFUNCTION("""COMPUTED_VALUE"""),"RESA BAYU MURTHY")</f>
        <v>RESA BAYU MURTHY</v>
      </c>
      <c r="C3724" s="3" t="str">
        <f>IFERROR(__xludf.DUMMYFUNCTION("""COMPUTED_VALUE"""),"R9626043226")</f>
        <v>R9626043226</v>
      </c>
      <c r="D3724" s="3">
        <f>IFERROR(__xludf.DUMMYFUNCTION("""COMPUTED_VALUE"""),30.0)</f>
        <v>30</v>
      </c>
      <c r="E3724" s="1"/>
    </row>
    <row r="3725">
      <c r="A3725" s="1"/>
      <c r="B3725" s="3" t="str">
        <f>IFERROR(__xludf.DUMMYFUNCTION("""COMPUTED_VALUE"""),"HONG CHAI")</f>
        <v>HONG CHAI</v>
      </c>
      <c r="C3725" s="3" t="str">
        <f>IFERROR(__xludf.DUMMYFUNCTION("""COMPUTED_VALUE"""),"H7426041954")</f>
        <v>H7426041954</v>
      </c>
      <c r="D3725" s="3">
        <f>IFERROR(__xludf.DUMMYFUNCTION("""COMPUTED_VALUE"""),52.0)</f>
        <v>52</v>
      </c>
      <c r="E3725" s="1"/>
    </row>
    <row r="3726">
      <c r="A3726" s="1"/>
      <c r="B3726" s="3" t="str">
        <f>IFERROR(__xludf.DUMMYFUNCTION("""COMPUTED_VALUE"""),"WAHYU PAMBUDI")</f>
        <v>WAHYU PAMBUDI</v>
      </c>
      <c r="C3726" s="3" t="str">
        <f>IFERROR(__xludf.DUMMYFUNCTION("""COMPUTED_VALUE"""),"W9726049729")</f>
        <v>W9726049729</v>
      </c>
      <c r="D3726" s="3">
        <f>IFERROR(__xludf.DUMMYFUNCTION("""COMPUTED_VALUE"""),29.0)</f>
        <v>29</v>
      </c>
      <c r="E3726" s="1"/>
    </row>
    <row r="3727">
      <c r="A3727" s="1"/>
      <c r="B3727" s="3" t="str">
        <f>IFERROR(__xludf.DUMMYFUNCTION("""COMPUTED_VALUE"""),"SUHAIRI")</f>
        <v>SUHAIRI</v>
      </c>
      <c r="C3727" s="3" t="str">
        <f>IFERROR(__xludf.DUMMYFUNCTION("""COMPUTED_VALUE"""),"S7926040586")</f>
        <v>S7926040586</v>
      </c>
      <c r="D3727" s="3">
        <f>IFERROR(__xludf.DUMMYFUNCTION("""COMPUTED_VALUE"""),47.0)</f>
        <v>47</v>
      </c>
      <c r="E3727" s="1"/>
    </row>
    <row r="3728">
      <c r="A3728" s="1"/>
      <c r="B3728" s="3" t="str">
        <f>IFERROR(__xludf.DUMMYFUNCTION("""COMPUTED_VALUE"""),"DAYUNDA PRAMESTI")</f>
        <v>DAYUNDA PRAMESTI</v>
      </c>
      <c r="C3728" s="3" t="str">
        <f>IFERROR(__xludf.DUMMYFUNCTION("""COMPUTED_VALUE"""),"D9926041410")</f>
        <v>D9926041410</v>
      </c>
      <c r="D3728" s="3">
        <f>IFERROR(__xludf.DUMMYFUNCTION("""COMPUTED_VALUE"""),26.0)</f>
        <v>26</v>
      </c>
      <c r="E3728" s="1"/>
    </row>
    <row r="3729">
      <c r="A3729" s="1"/>
      <c r="B3729" s="3" t="str">
        <f>IFERROR(__xludf.DUMMYFUNCTION("""COMPUTED_VALUE"""),"LILYANI GOJONO")</f>
        <v>LILYANI GOJONO</v>
      </c>
      <c r="C3729" s="3" t="str">
        <f>IFERROR(__xludf.DUMMYFUNCTION("""COMPUTED_VALUE"""),"L6226042686")</f>
        <v>L6226042686</v>
      </c>
      <c r="D3729" s="3">
        <f>IFERROR(__xludf.DUMMYFUNCTION("""COMPUTED_VALUE"""),64.0)</f>
        <v>64</v>
      </c>
      <c r="E3729" s="1"/>
    </row>
    <row r="3730">
      <c r="A3730" s="1"/>
      <c r="B3730" s="3" t="str">
        <f>IFERROR(__xludf.DUMMYFUNCTION("""COMPUTED_VALUE"""),"ANDRI KUSWARA")</f>
        <v>ANDRI KUSWARA</v>
      </c>
      <c r="C3730" s="3" t="str">
        <f>IFERROR(__xludf.DUMMYFUNCTION("""COMPUTED_VALUE"""),"A8026048622")</f>
        <v>A8026048622</v>
      </c>
      <c r="D3730" s="3">
        <f>IFERROR(__xludf.DUMMYFUNCTION("""COMPUTED_VALUE"""),45.0)</f>
        <v>45</v>
      </c>
      <c r="E3730" s="1"/>
    </row>
    <row r="3731">
      <c r="A3731" s="1"/>
      <c r="B3731" s="3" t="str">
        <f>IFERROR(__xludf.DUMMYFUNCTION("""COMPUTED_VALUE"""),"SUPRAPTI")</f>
        <v>SUPRAPTI</v>
      </c>
      <c r="C3731" s="3" t="str">
        <f>IFERROR(__xludf.DUMMYFUNCTION("""COMPUTED_VALUE"""),"S7726045537")</f>
        <v>S7726045537</v>
      </c>
      <c r="D3731" s="3">
        <f>IFERROR(__xludf.DUMMYFUNCTION("""COMPUTED_VALUE"""),49.0)</f>
        <v>49</v>
      </c>
      <c r="E3731" s="1"/>
    </row>
    <row r="3732">
      <c r="A3732" s="1"/>
      <c r="B3732" s="3" t="str">
        <f>IFERROR(__xludf.DUMMYFUNCTION("""COMPUTED_VALUE"""),"CARLIN DESMONDA")</f>
        <v>CARLIN DESMONDA</v>
      </c>
      <c r="C3732" s="3" t="str">
        <f>IFERROR(__xludf.DUMMYFUNCTION("""COMPUTED_VALUE"""),"C0826044356")</f>
        <v>C0826044356</v>
      </c>
      <c r="D3732" s="3">
        <f>IFERROR(__xludf.DUMMYFUNCTION("""COMPUTED_VALUE"""),17.0)</f>
        <v>17</v>
      </c>
      <c r="E3732" s="1"/>
    </row>
    <row r="3733">
      <c r="A3733" s="1"/>
      <c r="B3733" s="3" t="str">
        <f>IFERROR(__xludf.DUMMYFUNCTION("""COMPUTED_VALUE"""),"NG FA MOI")</f>
        <v>NG FA MOI</v>
      </c>
      <c r="C3733" s="3" t="str">
        <f>IFERROR(__xludf.DUMMYFUNCTION("""COMPUTED_VALUE"""),"N4526048181")</f>
        <v>N4526048181</v>
      </c>
      <c r="D3733" s="3">
        <f>IFERROR(__xludf.DUMMYFUNCTION("""COMPUTED_VALUE"""),81.0)</f>
        <v>81</v>
      </c>
      <c r="E3733" s="1"/>
    </row>
    <row r="3734">
      <c r="A3734" s="1"/>
      <c r="B3734" s="3" t="str">
        <f>IFERROR(__xludf.DUMMYFUNCTION("""COMPUTED_VALUE"""),"TIARA GALISTHA PUTRI")</f>
        <v>TIARA GALISTHA PUTRI</v>
      </c>
      <c r="C3734" s="3" t="str">
        <f>IFERROR(__xludf.DUMMYFUNCTION("""COMPUTED_VALUE"""),"T0726043346")</f>
        <v>T0726043346</v>
      </c>
      <c r="D3734" s="3">
        <f>IFERROR(__xludf.DUMMYFUNCTION("""COMPUTED_VALUE"""),18.0)</f>
        <v>18</v>
      </c>
      <c r="E3734" s="1"/>
    </row>
    <row r="3735">
      <c r="A3735" s="1"/>
      <c r="B3735" s="3" t="str">
        <f>IFERROR(__xludf.DUMMYFUNCTION("""COMPUTED_VALUE"""),"PRAKOSO SUSILO")</f>
        <v>PRAKOSO SUSILO</v>
      </c>
      <c r="C3735" s="3" t="str">
        <f>IFERROR(__xludf.DUMMYFUNCTION("""COMPUTED_VALUE"""),"P8426045999")</f>
        <v>P8426045999</v>
      </c>
      <c r="D3735" s="3">
        <f>IFERROR(__xludf.DUMMYFUNCTION("""COMPUTED_VALUE"""),41.0)</f>
        <v>41</v>
      </c>
      <c r="E3735" s="1"/>
    </row>
    <row r="3736">
      <c r="A3736" s="1"/>
      <c r="B3736" s="3" t="str">
        <f>IFERROR(__xludf.DUMMYFUNCTION("""COMPUTED_VALUE"""),"VINNDY CHONDRO")</f>
        <v>VINNDY CHONDRO</v>
      </c>
      <c r="C3736" s="3" t="str">
        <f>IFERROR(__xludf.DUMMYFUNCTION("""COMPUTED_VALUE"""),"V9726041998")</f>
        <v>V9726041998</v>
      </c>
      <c r="D3736" s="3">
        <f>IFERROR(__xludf.DUMMYFUNCTION("""COMPUTED_VALUE"""),29.0)</f>
        <v>29</v>
      </c>
      <c r="E3736" s="1"/>
    </row>
    <row r="3737">
      <c r="A3737" s="1"/>
      <c r="B3737" s="3" t="str">
        <f>IFERROR(__xludf.DUMMYFUNCTION("""COMPUTED_VALUE"""),"IPUNG WIJAYA ")</f>
        <v>IPUNG WIJAYA </v>
      </c>
      <c r="C3737" s="3" t="str">
        <f>IFERROR(__xludf.DUMMYFUNCTION("""COMPUTED_VALUE"""),"I6926049567")</f>
        <v>I6926049567</v>
      </c>
      <c r="D3737" s="3">
        <f>IFERROR(__xludf.DUMMYFUNCTION("""COMPUTED_VALUE"""),57.0)</f>
        <v>57</v>
      </c>
      <c r="E3737" s="1"/>
    </row>
    <row r="3738">
      <c r="A3738" s="1"/>
      <c r="B3738" s="3" t="str">
        <f>IFERROR(__xludf.DUMMYFUNCTION("""COMPUTED_VALUE"""),"ASTERIA MARCELINE")</f>
        <v>ASTERIA MARCELINE</v>
      </c>
      <c r="C3738" s="3" t="str">
        <f>IFERROR(__xludf.DUMMYFUNCTION("""COMPUTED_VALUE"""),"A9526045122")</f>
        <v>A9526045122</v>
      </c>
      <c r="D3738" s="3">
        <f>IFERROR(__xludf.DUMMYFUNCTION("""COMPUTED_VALUE"""),31.0)</f>
        <v>31</v>
      </c>
      <c r="E3738" s="1"/>
    </row>
    <row r="3739">
      <c r="A3739" s="1"/>
      <c r="B3739" s="3" t="str">
        <f>IFERROR(__xludf.DUMMYFUNCTION("""COMPUTED_VALUE"""),"SEPRIDA KURNIAWATI")</f>
        <v>SEPRIDA KURNIAWATI</v>
      </c>
      <c r="C3739" s="3" t="str">
        <f>IFERROR(__xludf.DUMMYFUNCTION("""COMPUTED_VALUE"""),"S8826042858")</f>
        <v>S8826042858</v>
      </c>
      <c r="D3739" s="3">
        <f>IFERROR(__xludf.DUMMYFUNCTION("""COMPUTED_VALUE"""),37.0)</f>
        <v>37</v>
      </c>
      <c r="E3739" s="1"/>
    </row>
    <row r="3740">
      <c r="A3740" s="1"/>
      <c r="B3740" s="3" t="str">
        <f>IFERROR(__xludf.DUMMYFUNCTION("""COMPUTED_VALUE"""),"AVRIL CAPRICIA")</f>
        <v>AVRIL CAPRICIA</v>
      </c>
      <c r="C3740" s="3" t="str">
        <f>IFERROR(__xludf.DUMMYFUNCTION("""COMPUTED_VALUE"""),"A0526040818")</f>
        <v>A0526040818</v>
      </c>
      <c r="D3740" s="3">
        <f>IFERROR(__xludf.DUMMYFUNCTION("""COMPUTED_VALUE"""),21.0)</f>
        <v>21</v>
      </c>
      <c r="E3740" s="1"/>
    </row>
    <row r="3741">
      <c r="A3741" s="1"/>
      <c r="B3741" s="3" t="str">
        <f>IFERROR(__xludf.DUMMYFUNCTION("""COMPUTED_VALUE"""),"CAMELIA SANTIKA")</f>
        <v>CAMELIA SANTIKA</v>
      </c>
      <c r="C3741" s="3" t="str">
        <f>IFERROR(__xludf.DUMMYFUNCTION("""COMPUTED_VALUE"""),"C0026044840")</f>
        <v>C0026044840</v>
      </c>
      <c r="D3741" s="3">
        <f>IFERROR(__xludf.DUMMYFUNCTION("""COMPUTED_VALUE"""),25.0)</f>
        <v>25</v>
      </c>
      <c r="E3741" s="1"/>
    </row>
    <row r="3742">
      <c r="A3742" s="1"/>
      <c r="B3742" s="3" t="str">
        <f>IFERROR(__xludf.DUMMYFUNCTION("""COMPUTED_VALUE"""),"AHMADI")</f>
        <v>AHMADI</v>
      </c>
      <c r="C3742" s="3" t="str">
        <f>IFERROR(__xludf.DUMMYFUNCTION("""COMPUTED_VALUE"""),"A7226041925")</f>
        <v>A7226041925</v>
      </c>
      <c r="D3742" s="3">
        <f>IFERROR(__xludf.DUMMYFUNCTION("""COMPUTED_VALUE"""),53.0)</f>
        <v>53</v>
      </c>
      <c r="E3742" s="1"/>
    </row>
    <row r="3743">
      <c r="A3743" s="1"/>
      <c r="B3743" s="3" t="str">
        <f>IFERROR(__xludf.DUMMYFUNCTION("""COMPUTED_VALUE"""),"EVIE YULINDA")</f>
        <v>EVIE YULINDA</v>
      </c>
      <c r="C3743" s="3" t="str">
        <f>IFERROR(__xludf.DUMMYFUNCTION("""COMPUTED_VALUE"""),"E6526041157")</f>
        <v>E6526041157</v>
      </c>
      <c r="D3743" s="3">
        <f>IFERROR(__xludf.DUMMYFUNCTION("""COMPUTED_VALUE"""),60.0)</f>
        <v>60</v>
      </c>
      <c r="E3743" s="1"/>
    </row>
    <row r="3744">
      <c r="A3744" s="1"/>
      <c r="B3744" s="3" t="str">
        <f>IFERROR(__xludf.DUMMYFUNCTION("""COMPUTED_VALUE"""),"TOMY")</f>
        <v>TOMY</v>
      </c>
      <c r="C3744" s="3" t="str">
        <f>IFERROR(__xludf.DUMMYFUNCTION("""COMPUTED_VALUE"""),"T9026049599")</f>
        <v>T9026049599</v>
      </c>
      <c r="D3744" s="3">
        <f>IFERROR(__xludf.DUMMYFUNCTION("""COMPUTED_VALUE"""),35.0)</f>
        <v>35</v>
      </c>
      <c r="E3744" s="1"/>
    </row>
    <row r="3745">
      <c r="A3745" s="1"/>
      <c r="B3745" s="3" t="str">
        <f>IFERROR(__xludf.DUMMYFUNCTION("""COMPUTED_VALUE"""),"AURELLIA RAHMA DWIYANTI")</f>
        <v>AURELLIA RAHMA DWIYANTI</v>
      </c>
      <c r="C3745" s="3" t="str">
        <f>IFERROR(__xludf.DUMMYFUNCTION("""COMPUTED_VALUE"""),"A0926040847")</f>
        <v>A0926040847</v>
      </c>
      <c r="D3745" s="3">
        <f>IFERROR(__xludf.DUMMYFUNCTION("""COMPUTED_VALUE"""),16.0)</f>
        <v>16</v>
      </c>
      <c r="E3745" s="1"/>
    </row>
    <row r="3746">
      <c r="A3746" s="1"/>
      <c r="B3746" s="3" t="str">
        <f>IFERROR(__xludf.DUMMYFUNCTION("""COMPUTED_VALUE"""),"ISTIQOMAH")</f>
        <v>ISTIQOMAH</v>
      </c>
      <c r="C3746" s="3" t="str">
        <f>IFERROR(__xludf.DUMMYFUNCTION("""COMPUTED_VALUE"""),"I9926040518")</f>
        <v>I9926040518</v>
      </c>
      <c r="D3746" s="3">
        <f>IFERROR(__xludf.DUMMYFUNCTION("""COMPUTED_VALUE"""),26.0)</f>
        <v>26</v>
      </c>
      <c r="E3746" s="1"/>
    </row>
    <row r="3747">
      <c r="A3747" s="1"/>
      <c r="B3747" s="3" t="str">
        <f>IFERROR(__xludf.DUMMYFUNCTION("""COMPUTED_VALUE"""),"KARIU SIDISMO")</f>
        <v>KARIU SIDISMO</v>
      </c>
      <c r="C3747" s="3" t="str">
        <f>IFERROR(__xludf.DUMMYFUNCTION("""COMPUTED_VALUE"""),"K6226042437")</f>
        <v>K6226042437</v>
      </c>
      <c r="D3747" s="3">
        <f>IFERROR(__xludf.DUMMYFUNCTION("""COMPUTED_VALUE"""),63.0)</f>
        <v>63</v>
      </c>
      <c r="E3747" s="1"/>
    </row>
    <row r="3748">
      <c r="A3748" s="1"/>
      <c r="B3748" s="3" t="str">
        <f>IFERROR(__xludf.DUMMYFUNCTION("""COMPUTED_VALUE"""),"M BAMBANG SUMANTRI")</f>
        <v>M BAMBANG SUMANTRI</v>
      </c>
      <c r="C3748" s="3" t="str">
        <f>IFERROR(__xludf.DUMMYFUNCTION("""COMPUTED_VALUE"""),"M0826042608")</f>
        <v>M0826042608</v>
      </c>
      <c r="D3748" s="3">
        <f>IFERROR(__xludf.DUMMYFUNCTION("""COMPUTED_VALUE"""),18.0)</f>
        <v>18</v>
      </c>
      <c r="E3748" s="1"/>
    </row>
    <row r="3749">
      <c r="A3749" s="1"/>
      <c r="B3749" s="3" t="str">
        <f>IFERROR(__xludf.DUMMYFUNCTION("""COMPUTED_VALUE"""),"H. ANTON PRASETYO")</f>
        <v>H. ANTON PRASETYO</v>
      </c>
      <c r="C3749" s="3" t="str">
        <f>IFERROR(__xludf.DUMMYFUNCTION("""COMPUTED_VALUE"""),"H6026048898")</f>
        <v>H6026048898</v>
      </c>
      <c r="D3749" s="3">
        <f>IFERROR(__xludf.DUMMYFUNCTION("""COMPUTED_VALUE"""),66.0)</f>
        <v>66</v>
      </c>
      <c r="E3749" s="1"/>
    </row>
    <row r="3750">
      <c r="A3750" s="1"/>
      <c r="B3750" s="3" t="str">
        <f>IFERROR(__xludf.DUMMYFUNCTION("""COMPUTED_VALUE"""),"ABANG BUSRANUDIN")</f>
        <v>ABANG BUSRANUDIN</v>
      </c>
      <c r="C3750" s="3" t="str">
        <f>IFERROR(__xludf.DUMMYFUNCTION("""COMPUTED_VALUE"""),"A9526047213")</f>
        <v>A9526047213</v>
      </c>
      <c r="D3750" s="3">
        <f>IFERROR(__xludf.DUMMYFUNCTION("""COMPUTED_VALUE"""),30.0)</f>
        <v>30</v>
      </c>
      <c r="E3750" s="1"/>
    </row>
    <row r="3751">
      <c r="A3751" s="1"/>
      <c r="B3751" s="3" t="str">
        <f>IFERROR(__xludf.DUMMYFUNCTION("""COMPUTED_VALUE"""),"IWAN GUNAWAN")</f>
        <v>IWAN GUNAWAN</v>
      </c>
      <c r="C3751" s="3" t="str">
        <f>IFERROR(__xludf.DUMMYFUNCTION("""COMPUTED_VALUE"""),"I8026045527")</f>
        <v>I8026045527</v>
      </c>
      <c r="D3751" s="3">
        <f>IFERROR(__xludf.DUMMYFUNCTION("""COMPUTED_VALUE"""),45.0)</f>
        <v>45</v>
      </c>
      <c r="E3751" s="1"/>
    </row>
    <row r="3752">
      <c r="A3752" s="1"/>
      <c r="B3752" s="3" t="str">
        <f>IFERROR(__xludf.DUMMYFUNCTION("""COMPUTED_VALUE"""),"AGUSTONO")</f>
        <v>AGUSTONO</v>
      </c>
      <c r="C3752" s="3" t="str">
        <f>IFERROR(__xludf.DUMMYFUNCTION("""COMPUTED_VALUE"""),"A6726040451")</f>
        <v>A6726040451</v>
      </c>
      <c r="D3752" s="3">
        <f>IFERROR(__xludf.DUMMYFUNCTION("""COMPUTED_VALUE"""),58.0)</f>
        <v>58</v>
      </c>
      <c r="E3752" s="1"/>
    </row>
    <row r="3753">
      <c r="A3753" s="1"/>
      <c r="B3753" s="3" t="str">
        <f>IFERROR(__xludf.DUMMYFUNCTION("""COMPUTED_VALUE"""),"LIM MOI TJU")</f>
        <v>LIM MOI TJU</v>
      </c>
      <c r="C3753" s="3" t="str">
        <f>IFERROR(__xludf.DUMMYFUNCTION("""COMPUTED_VALUE"""),"L5926043158")</f>
        <v>L5926043158</v>
      </c>
      <c r="D3753" s="3">
        <f>IFERROR(__xludf.DUMMYFUNCTION("""COMPUTED_VALUE"""),66.0)</f>
        <v>66</v>
      </c>
      <c r="E3753" s="1"/>
    </row>
    <row r="3754">
      <c r="A3754" s="1"/>
      <c r="B3754" s="3" t="str">
        <f>IFERROR(__xludf.DUMMYFUNCTION("""COMPUTED_VALUE"""),"DEWI WAHYUDANINGSIH")</f>
        <v>DEWI WAHYUDANINGSIH</v>
      </c>
      <c r="C3754" s="3" t="str">
        <f>IFERROR(__xludf.DUMMYFUNCTION("""COMPUTED_VALUE"""),"D7326044231")</f>
        <v>D7326044231</v>
      </c>
      <c r="D3754" s="3">
        <f>IFERROR(__xludf.DUMMYFUNCTION("""COMPUTED_VALUE"""),53.0)</f>
        <v>53</v>
      </c>
      <c r="E3754" s="1"/>
    </row>
    <row r="3755">
      <c r="A3755" s="1"/>
      <c r="B3755" s="3" t="str">
        <f>IFERROR(__xludf.DUMMYFUNCTION("""COMPUTED_VALUE"""),"PUTRI SAMPURNA DEWI")</f>
        <v>PUTRI SAMPURNA DEWI</v>
      </c>
      <c r="C3755" s="3" t="str">
        <f>IFERROR(__xludf.DUMMYFUNCTION("""COMPUTED_VALUE"""),"P9126049381")</f>
        <v>P9126049381</v>
      </c>
      <c r="D3755" s="3">
        <f>IFERROR(__xludf.DUMMYFUNCTION("""COMPUTED_VALUE"""),34.0)</f>
        <v>34</v>
      </c>
      <c r="E3755" s="1"/>
    </row>
    <row r="3756">
      <c r="A3756" s="1"/>
      <c r="B3756" s="3" t="str">
        <f>IFERROR(__xludf.DUMMYFUNCTION("""COMPUTED_VALUE"""),"ERIC")</f>
        <v>ERIC</v>
      </c>
      <c r="C3756" s="3" t="str">
        <f>IFERROR(__xludf.DUMMYFUNCTION("""COMPUTED_VALUE"""),"E9326041991")</f>
        <v>E9326041991</v>
      </c>
      <c r="D3756" s="3">
        <f>IFERROR(__xludf.DUMMYFUNCTION("""COMPUTED_VALUE"""),32.0)</f>
        <v>32</v>
      </c>
      <c r="E3756" s="1"/>
    </row>
    <row r="3757">
      <c r="A3757" s="1"/>
      <c r="B3757" s="3" t="str">
        <f>IFERROR(__xludf.DUMMYFUNCTION("""COMPUTED_VALUE"""),"YASHINTA DIAJENG KULAAN")</f>
        <v>YASHINTA DIAJENG KULAAN</v>
      </c>
      <c r="C3757" s="3" t="str">
        <f>IFERROR(__xludf.DUMMYFUNCTION("""COMPUTED_VALUE"""),"Y9426058459")</f>
        <v>Y9426058459</v>
      </c>
      <c r="D3757" s="3">
        <f>IFERROR(__xludf.DUMMYFUNCTION("""COMPUTED_VALUE"""),31.0)</f>
        <v>31</v>
      </c>
      <c r="E3757" s="1"/>
    </row>
    <row r="3758">
      <c r="A3758" s="1"/>
      <c r="B3758" s="3" t="str">
        <f>IFERROR(__xludf.DUMMYFUNCTION("""COMPUTED_VALUE"""),"IKHSANUDIN 6611")</f>
        <v>IKHSANUDIN 6611</v>
      </c>
      <c r="C3758" s="3" t="str">
        <f>IFERROR(__xludf.DUMMYFUNCTION("""COMPUTED_VALUE"""),"I6626056966")</f>
        <v>I6626056966</v>
      </c>
      <c r="D3758" s="3">
        <f>IFERROR(__xludf.DUMMYFUNCTION("""COMPUTED_VALUE"""),59.0)</f>
        <v>59</v>
      </c>
      <c r="E3758" s="1"/>
    </row>
    <row r="3759">
      <c r="A3759" s="1"/>
      <c r="B3759" s="3" t="str">
        <f>IFERROR(__xludf.DUMMYFUNCTION("""COMPUTED_VALUE"""),"IMAN ROMADHONI ")</f>
        <v>IMAN ROMADHONI </v>
      </c>
      <c r="C3759" s="3" t="str">
        <f>IFERROR(__xludf.DUMMYFUNCTION("""COMPUTED_VALUE"""),"I0526052947")</f>
        <v>I0526052947</v>
      </c>
      <c r="D3759" s="3">
        <f>IFERROR(__xludf.DUMMYFUNCTION("""COMPUTED_VALUE"""),20.0)</f>
        <v>20</v>
      </c>
      <c r="E3759" s="1"/>
    </row>
    <row r="3760">
      <c r="A3760" s="1"/>
      <c r="B3760" s="3" t="str">
        <f>IFERROR(__xludf.DUMMYFUNCTION("""COMPUTED_VALUE"""),"MERY")</f>
        <v>MERY</v>
      </c>
      <c r="C3760" s="3" t="str">
        <f>IFERROR(__xludf.DUMMYFUNCTION("""COMPUTED_VALUE"""),"M7726058129")</f>
        <v>M7726058129</v>
      </c>
      <c r="D3760" s="3">
        <f>IFERROR(__xludf.DUMMYFUNCTION("""COMPUTED_VALUE"""),49.0)</f>
        <v>49</v>
      </c>
      <c r="E3760" s="1"/>
    </row>
    <row r="3761">
      <c r="A3761" s="1"/>
      <c r="B3761" s="3" t="str">
        <f>IFERROR(__xludf.DUMMYFUNCTION("""COMPUTED_VALUE"""),"HELEN")</f>
        <v>HELEN</v>
      </c>
      <c r="C3761" s="3" t="str">
        <f>IFERROR(__xludf.DUMMYFUNCTION("""COMPUTED_VALUE"""),"H8626052100")</f>
        <v>H8626052100</v>
      </c>
      <c r="D3761" s="3">
        <f>IFERROR(__xludf.DUMMYFUNCTION("""COMPUTED_VALUE"""),39.0)</f>
        <v>39</v>
      </c>
      <c r="E3761" s="1"/>
    </row>
    <row r="3762">
      <c r="A3762" s="1"/>
      <c r="B3762" s="3" t="str">
        <f>IFERROR(__xludf.DUMMYFUNCTION("""COMPUTED_VALUE"""),"ANDRE DWI CAHYO")</f>
        <v>ANDRE DWI CAHYO</v>
      </c>
      <c r="C3762" s="3" t="str">
        <f>IFERROR(__xludf.DUMMYFUNCTION("""COMPUTED_VALUE"""),"A9626055998")</f>
        <v>A9626055998</v>
      </c>
      <c r="D3762" s="3">
        <f>IFERROR(__xludf.DUMMYFUNCTION("""COMPUTED_VALUE"""),29.0)</f>
        <v>29</v>
      </c>
      <c r="E3762" s="1"/>
    </row>
    <row r="3763">
      <c r="A3763" s="1"/>
      <c r="B3763" s="3" t="str">
        <f>IFERROR(__xludf.DUMMYFUNCTION("""COMPUTED_VALUE"""),"DELLA SAPUTRI")</f>
        <v>DELLA SAPUTRI</v>
      </c>
      <c r="C3763" s="3" t="str">
        <f>IFERROR(__xludf.DUMMYFUNCTION("""COMPUTED_VALUE"""),"D0126051793")</f>
        <v>D0126051793</v>
      </c>
      <c r="D3763" s="3">
        <f>IFERROR(__xludf.DUMMYFUNCTION("""COMPUTED_VALUE"""),24.0)</f>
        <v>24</v>
      </c>
      <c r="E3763" s="1"/>
    </row>
    <row r="3764">
      <c r="A3764" s="1"/>
      <c r="B3764" s="3" t="str">
        <f>IFERROR(__xludf.DUMMYFUNCTION("""COMPUTED_VALUE"""),"ADINDA OKA KHAYLA PUTRI")</f>
        <v>ADINDA OKA KHAYLA PUTRI</v>
      </c>
      <c r="C3764" s="3" t="str">
        <f>IFERROR(__xludf.DUMMYFUNCTION("""COMPUTED_VALUE"""),"A0726050007")</f>
        <v>A0726050007</v>
      </c>
      <c r="D3764" s="3">
        <f>IFERROR(__xludf.DUMMYFUNCTION("""COMPUTED_VALUE"""),18.0)</f>
        <v>18</v>
      </c>
      <c r="E3764" s="1"/>
    </row>
    <row r="3765">
      <c r="A3765" s="1"/>
      <c r="B3765" s="3" t="str">
        <f>IFERROR(__xludf.DUMMYFUNCTION("""COMPUTED_VALUE"""),"EKA SUSANTI")</f>
        <v>EKA SUSANTI</v>
      </c>
      <c r="C3765" s="3" t="str">
        <f>IFERROR(__xludf.DUMMYFUNCTION("""COMPUTED_VALUE"""),"E9126058138")</f>
        <v>E9126058138</v>
      </c>
      <c r="D3765" s="3">
        <f>IFERROR(__xludf.DUMMYFUNCTION("""COMPUTED_VALUE"""),34.0)</f>
        <v>34</v>
      </c>
      <c r="E3765" s="1"/>
    </row>
    <row r="3766">
      <c r="A3766" s="1"/>
      <c r="B3766" s="3" t="str">
        <f>IFERROR(__xludf.DUMMYFUNCTION("""COMPUTED_VALUE"""),"SILKY YESSITA")</f>
        <v>SILKY YESSITA</v>
      </c>
      <c r="C3766" s="3" t="str">
        <f>IFERROR(__xludf.DUMMYFUNCTION("""COMPUTED_VALUE"""),"S7626053377")</f>
        <v>S7626053377</v>
      </c>
      <c r="D3766" s="3">
        <f>IFERROR(__xludf.DUMMYFUNCTION("""COMPUTED_VALUE"""),49.0)</f>
        <v>49</v>
      </c>
      <c r="E3766" s="1"/>
    </row>
    <row r="3767">
      <c r="A3767" s="1"/>
      <c r="B3767" s="3" t="str">
        <f>IFERROR(__xludf.DUMMYFUNCTION("""COMPUTED_VALUE"""),"WILLY WINARDI")</f>
        <v>WILLY WINARDI</v>
      </c>
      <c r="C3767" s="3" t="str">
        <f>IFERROR(__xludf.DUMMYFUNCTION("""COMPUTED_VALUE"""),"W8726058052")</f>
        <v>W8726058052</v>
      </c>
      <c r="D3767" s="3">
        <f>IFERROR(__xludf.DUMMYFUNCTION("""COMPUTED_VALUE"""),38.0)</f>
        <v>38</v>
      </c>
      <c r="E3767" s="1"/>
    </row>
    <row r="3768">
      <c r="A3768" s="1"/>
      <c r="B3768" s="3" t="str">
        <f>IFERROR(__xludf.DUMMYFUNCTION("""COMPUTED_VALUE"""),"DEDY HIDAYAT")</f>
        <v>DEDY HIDAYAT</v>
      </c>
      <c r="C3768" s="3" t="str">
        <f>IFERROR(__xludf.DUMMYFUNCTION("""COMPUTED_VALUE"""),"D7726053377")</f>
        <v>D7726053377</v>
      </c>
      <c r="D3768" s="3">
        <f>IFERROR(__xludf.DUMMYFUNCTION("""COMPUTED_VALUE"""),49.0)</f>
        <v>49</v>
      </c>
      <c r="E3768" s="1"/>
    </row>
    <row r="3769">
      <c r="A3769" s="1"/>
      <c r="B3769" s="3" t="str">
        <f>IFERROR(__xludf.DUMMYFUNCTION("""COMPUTED_VALUE"""),"NAROKTADENY")</f>
        <v>NAROKTADENY</v>
      </c>
      <c r="C3769" s="3" t="str">
        <f>IFERROR(__xludf.DUMMYFUNCTION("""COMPUTED_VALUE"""),"N7526051243")</f>
        <v>N7526051243</v>
      </c>
      <c r="D3769" s="3">
        <f>IFERROR(__xludf.DUMMYFUNCTION("""COMPUTED_VALUE"""),50.0)</f>
        <v>50</v>
      </c>
      <c r="E3769" s="1"/>
    </row>
    <row r="3770">
      <c r="A3770" s="1"/>
      <c r="B3770" s="3" t="str">
        <f>IFERROR(__xludf.DUMMYFUNCTION("""COMPUTED_VALUE"""),"WAHYU DYAH")</f>
        <v>WAHYU DYAH</v>
      </c>
      <c r="C3770" s="3" t="str">
        <f>IFERROR(__xludf.DUMMYFUNCTION("""COMPUTED_VALUE"""),"W7626050823")</f>
        <v>W7626050823</v>
      </c>
      <c r="D3770" s="3">
        <f>IFERROR(__xludf.DUMMYFUNCTION("""COMPUTED_VALUE"""),50.0)</f>
        <v>50</v>
      </c>
      <c r="E3770" s="1"/>
    </row>
    <row r="3771">
      <c r="A3771" s="1"/>
      <c r="B3771" s="3" t="str">
        <f>IFERROR(__xludf.DUMMYFUNCTION("""COMPUTED_VALUE"""),"ERDUS AMA MASANG")</f>
        <v>ERDUS AMA MASANG</v>
      </c>
      <c r="C3771" s="3" t="str">
        <f>IFERROR(__xludf.DUMMYFUNCTION("""COMPUTED_VALUE"""),"E8726059300")</f>
        <v>E8726059300</v>
      </c>
      <c r="D3771" s="3">
        <f>IFERROR(__xludf.DUMMYFUNCTION("""COMPUTED_VALUE"""),39.0)</f>
        <v>39</v>
      </c>
      <c r="E3771" s="1"/>
    </row>
    <row r="3772">
      <c r="A3772" s="1"/>
      <c r="B3772" s="3" t="str">
        <f>IFERROR(__xludf.DUMMYFUNCTION("""COMPUTED_VALUE"""),"GEORGE BUDIJANTO SALIM")</f>
        <v>GEORGE BUDIJANTO SALIM</v>
      </c>
      <c r="C3772" s="3" t="str">
        <f>IFERROR(__xludf.DUMMYFUNCTION("""COMPUTED_VALUE"""),"G4826058883")</f>
        <v>G4826058883</v>
      </c>
      <c r="D3772" s="3">
        <f>IFERROR(__xludf.DUMMYFUNCTION("""COMPUTED_VALUE"""),77.0)</f>
        <v>77</v>
      </c>
      <c r="E3772" s="1"/>
    </row>
    <row r="3773">
      <c r="A3773" s="1"/>
      <c r="B3773" s="3" t="str">
        <f>IFERROR(__xludf.DUMMYFUNCTION("""COMPUTED_VALUE"""),"YANDI ALEXIS ")</f>
        <v>YANDI ALEXIS </v>
      </c>
      <c r="C3773" s="3" t="str">
        <f>IFERROR(__xludf.DUMMYFUNCTION("""COMPUTED_VALUE"""),"Y9026059998")</f>
        <v>Y9026059998</v>
      </c>
      <c r="D3773" s="3">
        <f>IFERROR(__xludf.DUMMYFUNCTION("""COMPUTED_VALUE"""),36.0)</f>
        <v>36</v>
      </c>
      <c r="E3773" s="1"/>
    </row>
    <row r="3774">
      <c r="A3774" s="1"/>
      <c r="B3774" s="3" t="str">
        <f>IFERROR(__xludf.DUMMYFUNCTION("""COMPUTED_VALUE"""),"OWEN FRENTSEN")</f>
        <v>OWEN FRENTSEN</v>
      </c>
      <c r="C3774" s="3" t="str">
        <f>IFERROR(__xludf.DUMMYFUNCTION("""COMPUTED_VALUE"""),"O9926054447")</f>
        <v>O9926054447</v>
      </c>
      <c r="D3774" s="3">
        <f>IFERROR(__xludf.DUMMYFUNCTION("""COMPUTED_VALUE"""),26.0)</f>
        <v>26</v>
      </c>
      <c r="E3774" s="1"/>
    </row>
    <row r="3775">
      <c r="A3775" s="1"/>
      <c r="B3775" s="3" t="str">
        <f>IFERROR(__xludf.DUMMYFUNCTION("""COMPUTED_VALUE"""),"VINA MONIKA")</f>
        <v>VINA MONIKA</v>
      </c>
      <c r="C3775" s="3" t="str">
        <f>IFERROR(__xludf.DUMMYFUNCTION("""COMPUTED_VALUE"""),"V9826055530")</f>
        <v>V9826055530</v>
      </c>
      <c r="D3775" s="3">
        <f>IFERROR(__xludf.DUMMYFUNCTION("""COMPUTED_VALUE"""),27.0)</f>
        <v>27</v>
      </c>
      <c r="E3775" s="1"/>
    </row>
    <row r="3776">
      <c r="A3776" s="1"/>
      <c r="B3776" s="3" t="str">
        <f>IFERROR(__xludf.DUMMYFUNCTION("""COMPUTED_VALUE"""),"AMIRUL MUCHDI")</f>
        <v>AMIRUL MUCHDI</v>
      </c>
      <c r="C3776" s="3" t="str">
        <f>IFERROR(__xludf.DUMMYFUNCTION("""COMPUTED_VALUE"""),"A9826052856")</f>
        <v>A9826052856</v>
      </c>
      <c r="D3776" s="3">
        <f>IFERROR(__xludf.DUMMYFUNCTION("""COMPUTED_VALUE"""),27.0)</f>
        <v>27</v>
      </c>
      <c r="E3776" s="1"/>
    </row>
    <row r="3777">
      <c r="A3777" s="1"/>
      <c r="B3777" s="3" t="str">
        <f>IFERROR(__xludf.DUMMYFUNCTION("""COMPUTED_VALUE"""),"SISNAWATI")</f>
        <v>SISNAWATI</v>
      </c>
      <c r="C3777" s="3" t="str">
        <f>IFERROR(__xludf.DUMMYFUNCTION("""COMPUTED_VALUE"""),"S8526057973")</f>
        <v>S8526057973</v>
      </c>
      <c r="D3777" s="3">
        <f>IFERROR(__xludf.DUMMYFUNCTION("""COMPUTED_VALUE"""),40.0)</f>
        <v>40</v>
      </c>
      <c r="E3777" s="1"/>
    </row>
    <row r="3778">
      <c r="A3778" s="1"/>
      <c r="B3778" s="3" t="str">
        <f>IFERROR(__xludf.DUMMYFUNCTION("""COMPUTED_VALUE"""),"TAUFIKURROHMAN")</f>
        <v>TAUFIKURROHMAN</v>
      </c>
      <c r="C3778" s="3" t="str">
        <f>IFERROR(__xludf.DUMMYFUNCTION("""COMPUTED_VALUE"""),"T9726055545")</f>
        <v>T9726055545</v>
      </c>
      <c r="D3778" s="3">
        <f>IFERROR(__xludf.DUMMYFUNCTION("""COMPUTED_VALUE"""),28.0)</f>
        <v>28</v>
      </c>
      <c r="E3778" s="1"/>
    </row>
    <row r="3779">
      <c r="A3779" s="1"/>
      <c r="B3779" s="3" t="str">
        <f>IFERROR(__xludf.DUMMYFUNCTION("""COMPUTED_VALUE"""),"ASRI MUHARANI ARSA")</f>
        <v>ASRI MUHARANI ARSA</v>
      </c>
      <c r="C3779" s="3" t="str">
        <f>IFERROR(__xludf.DUMMYFUNCTION("""COMPUTED_VALUE"""),"A9626050666")</f>
        <v>A9626050666</v>
      </c>
      <c r="D3779" s="3">
        <f>IFERROR(__xludf.DUMMYFUNCTION("""COMPUTED_VALUE"""),30.0)</f>
        <v>30</v>
      </c>
      <c r="E3779" s="1"/>
    </row>
    <row r="3780">
      <c r="A3780" s="1"/>
      <c r="B3780" s="3" t="str">
        <f>IFERROR(__xludf.DUMMYFUNCTION("""COMPUTED_VALUE"""),"RITA")</f>
        <v>RITA</v>
      </c>
      <c r="C3780" s="3" t="str">
        <f>IFERROR(__xludf.DUMMYFUNCTION("""COMPUTED_VALUE"""),"R8626057005")</f>
        <v>R8626057005</v>
      </c>
      <c r="D3780" s="3">
        <f>IFERROR(__xludf.DUMMYFUNCTION("""COMPUTED_VALUE"""),40.0)</f>
        <v>40</v>
      </c>
      <c r="E3780" s="1"/>
    </row>
    <row r="3781">
      <c r="A3781" s="1"/>
      <c r="B3781" s="3" t="str">
        <f>IFERROR(__xludf.DUMMYFUNCTION("""COMPUTED_VALUE"""),"MANJA")</f>
        <v>MANJA</v>
      </c>
      <c r="C3781" s="3" t="str">
        <f>IFERROR(__xludf.DUMMYFUNCTION("""COMPUTED_VALUE"""),"M9826052194")</f>
        <v>M9826052194</v>
      </c>
      <c r="D3781" s="3">
        <f>IFERROR(__xludf.DUMMYFUNCTION("""COMPUTED_VALUE"""),28.0)</f>
        <v>28</v>
      </c>
      <c r="E3781" s="1"/>
    </row>
    <row r="3782">
      <c r="A3782" s="1"/>
      <c r="B3782" s="3" t="str">
        <f>IFERROR(__xludf.DUMMYFUNCTION("""COMPUTED_VALUE"""),"GAN KONG HOK ALS KIEMHOO")</f>
        <v>GAN KONG HOK ALS KIEMHOO</v>
      </c>
      <c r="C3782" s="3" t="str">
        <f>IFERROR(__xludf.DUMMYFUNCTION("""COMPUTED_VALUE"""),"G5426057226")</f>
        <v>G5426057226</v>
      </c>
      <c r="D3782" s="3">
        <f>IFERROR(__xludf.DUMMYFUNCTION("""COMPUTED_VALUE"""),71.0)</f>
        <v>71</v>
      </c>
      <c r="E3782" s="1"/>
    </row>
    <row r="3783">
      <c r="A3783" s="1"/>
      <c r="B3783" s="3" t="str">
        <f>IFERROR(__xludf.DUMMYFUNCTION("""COMPUTED_VALUE"""),"FITRI FATIMAH")</f>
        <v>FITRI FATIMAH</v>
      </c>
      <c r="C3783" s="3" t="str">
        <f>IFERROR(__xludf.DUMMYFUNCTION("""COMPUTED_VALUE"""),"F8126053336")</f>
        <v>F8126053336</v>
      </c>
      <c r="D3783" s="3">
        <f>IFERROR(__xludf.DUMMYFUNCTION("""COMPUTED_VALUE"""),45.0)</f>
        <v>45</v>
      </c>
      <c r="E3783" s="1"/>
    </row>
    <row r="3784">
      <c r="A3784" s="1"/>
      <c r="B3784" s="3" t="str">
        <f>IFERROR(__xludf.DUMMYFUNCTION("""COMPUTED_VALUE"""),"CHARLES")</f>
        <v>CHARLES</v>
      </c>
      <c r="C3784" s="3" t="str">
        <f>IFERROR(__xludf.DUMMYFUNCTION("""COMPUTED_VALUE"""),"C0126058829")</f>
        <v>C0126058829</v>
      </c>
      <c r="D3784" s="3">
        <f>IFERROR(__xludf.DUMMYFUNCTION("""COMPUTED_VALUE"""),24.0)</f>
        <v>24</v>
      </c>
      <c r="E3784" s="1"/>
    </row>
    <row r="3785">
      <c r="A3785" s="1"/>
      <c r="B3785" s="3" t="str">
        <f>IFERROR(__xludf.DUMMYFUNCTION("""COMPUTED_VALUE"""),"JOKO PRANOTO")</f>
        <v>JOKO PRANOTO</v>
      </c>
      <c r="C3785" s="3" t="str">
        <f>IFERROR(__xludf.DUMMYFUNCTION("""COMPUTED_VALUE"""),"J9526054463")</f>
        <v>J9526054463</v>
      </c>
      <c r="D3785" s="3">
        <f>IFERROR(__xludf.DUMMYFUNCTION("""COMPUTED_VALUE"""),31.0)</f>
        <v>31</v>
      </c>
      <c r="E3785" s="1"/>
    </row>
    <row r="3786">
      <c r="A3786" s="1"/>
      <c r="B3786" s="3" t="str">
        <f>IFERROR(__xludf.DUMMYFUNCTION("""COMPUTED_VALUE"""),"MUHAIMIN SANI ")</f>
        <v>MUHAIMIN SANI </v>
      </c>
      <c r="C3786" s="3" t="str">
        <f>IFERROR(__xludf.DUMMYFUNCTION("""COMPUTED_VALUE"""),"M8926051205")</f>
        <v>M8926051205</v>
      </c>
      <c r="D3786" s="3">
        <f>IFERROR(__xludf.DUMMYFUNCTION("""COMPUTED_VALUE"""),37.0)</f>
        <v>37</v>
      </c>
      <c r="E3786" s="1"/>
    </row>
    <row r="3787">
      <c r="A3787" s="1"/>
      <c r="B3787" s="3" t="str">
        <f>IFERROR(__xludf.DUMMYFUNCTION("""COMPUTED_VALUE"""),"PUTRI AMALIA NURMIZAN")</f>
        <v>PUTRI AMALIA NURMIZAN</v>
      </c>
      <c r="C3787" s="3" t="str">
        <f>IFERROR(__xludf.DUMMYFUNCTION("""COMPUTED_VALUE"""),"P0226050008")</f>
        <v>P0226050008</v>
      </c>
      <c r="D3787" s="3">
        <f>IFERROR(__xludf.DUMMYFUNCTION("""COMPUTED_VALUE"""),24.0)</f>
        <v>24</v>
      </c>
      <c r="E3787" s="1"/>
    </row>
    <row r="3788">
      <c r="A3788" s="1"/>
      <c r="B3788" s="3" t="str">
        <f>IFERROR(__xludf.DUMMYFUNCTION("""COMPUTED_VALUE"""),"KURNIA WIDYASTUTY")</f>
        <v>KURNIA WIDYASTUTY</v>
      </c>
      <c r="C3788" s="3" t="str">
        <f>IFERROR(__xludf.DUMMYFUNCTION("""COMPUTED_VALUE"""),"K9126053003")</f>
        <v>K9126053003</v>
      </c>
      <c r="D3788" s="3">
        <f>IFERROR(__xludf.DUMMYFUNCTION("""COMPUTED_VALUE"""),34.0)</f>
        <v>34</v>
      </c>
      <c r="E3788" s="1"/>
    </row>
    <row r="3789">
      <c r="A3789" s="1"/>
      <c r="B3789" s="3" t="str">
        <f>IFERROR(__xludf.DUMMYFUNCTION("""COMPUTED_VALUE"""),"EPENDI")</f>
        <v>EPENDI</v>
      </c>
      <c r="C3789" s="3" t="str">
        <f>IFERROR(__xludf.DUMMYFUNCTION("""COMPUTED_VALUE"""),"E9726051490")</f>
        <v>E9726051490</v>
      </c>
      <c r="D3789" s="3">
        <f>IFERROR(__xludf.DUMMYFUNCTION("""COMPUTED_VALUE"""),29.0)</f>
        <v>29</v>
      </c>
      <c r="E3789" s="1"/>
    </row>
    <row r="3790">
      <c r="A3790" s="1"/>
      <c r="B3790" s="3" t="str">
        <f>IFERROR(__xludf.DUMMYFUNCTION("""COMPUTED_VALUE"""),"NOVITA ADI HANDAYANI")</f>
        <v>NOVITA ADI HANDAYANI</v>
      </c>
      <c r="C3790" s="3" t="str">
        <f>IFERROR(__xludf.DUMMYFUNCTION("""COMPUTED_VALUE"""),"N9026059606")</f>
        <v>N9026059606</v>
      </c>
      <c r="D3790" s="3">
        <f>IFERROR(__xludf.DUMMYFUNCTION("""COMPUTED_VALUE"""),35.0)</f>
        <v>35</v>
      </c>
      <c r="E3790" s="1"/>
    </row>
    <row r="3791">
      <c r="A3791" s="1"/>
      <c r="B3791" s="3" t="str">
        <f>IFERROR(__xludf.DUMMYFUNCTION("""COMPUTED_VALUE"""),"DINDA RIFA RISKI HANDAYANI")</f>
        <v>DINDA RIFA RISKI HANDAYANI</v>
      </c>
      <c r="C3791" s="3" t="str">
        <f>IFERROR(__xludf.DUMMYFUNCTION("""COMPUTED_VALUE"""),"D9626050731")</f>
        <v>D9626050731</v>
      </c>
      <c r="D3791" s="3">
        <f>IFERROR(__xludf.DUMMYFUNCTION("""COMPUTED_VALUE"""),30.0)</f>
        <v>30</v>
      </c>
      <c r="E3791" s="1"/>
    </row>
    <row r="3792">
      <c r="A3792" s="1"/>
      <c r="B3792" s="3" t="str">
        <f>IFERROR(__xludf.DUMMYFUNCTION("""COMPUTED_VALUE"""),"CIPTA CAKRA DIRAJA PUTRA")</f>
        <v>CIPTA CAKRA DIRAJA PUTRA</v>
      </c>
      <c r="C3792" s="3" t="str">
        <f>IFERROR(__xludf.DUMMYFUNCTION("""COMPUTED_VALUE"""),"C8926057927")</f>
        <v>C8926057927</v>
      </c>
      <c r="D3792" s="3">
        <f>IFERROR(__xludf.DUMMYFUNCTION("""COMPUTED_VALUE"""),36.0)</f>
        <v>36</v>
      </c>
      <c r="E3792" s="1"/>
    </row>
    <row r="3793">
      <c r="A3793" s="1"/>
      <c r="B3793" s="3" t="str">
        <f>IFERROR(__xludf.DUMMYFUNCTION("""COMPUTED_VALUE"""),"PHILIP ST")</f>
        <v>PHILIP ST</v>
      </c>
      <c r="C3793" s="3" t="str">
        <f>IFERROR(__xludf.DUMMYFUNCTION("""COMPUTED_VALUE"""),"P8926051408")</f>
        <v>P8926051408</v>
      </c>
      <c r="D3793" s="3">
        <f>IFERROR(__xludf.DUMMYFUNCTION("""COMPUTED_VALUE"""),36.0)</f>
        <v>36</v>
      </c>
      <c r="E3793" s="1"/>
    </row>
    <row r="3794">
      <c r="A3794" s="1"/>
      <c r="B3794" s="3" t="str">
        <f>IFERROR(__xludf.DUMMYFUNCTION("""COMPUTED_VALUE"""),"ATI 7506")</f>
        <v>ATI 7506</v>
      </c>
      <c r="C3794" s="3" t="str">
        <f>IFERROR(__xludf.DUMMYFUNCTION("""COMPUTED_VALUE"""),"A7526055628")</f>
        <v>A7526055628</v>
      </c>
      <c r="D3794" s="3">
        <f>IFERROR(__xludf.DUMMYFUNCTION("""COMPUTED_VALUE"""),50.0)</f>
        <v>50</v>
      </c>
      <c r="E3794" s="1"/>
    </row>
    <row r="3795">
      <c r="A3795" s="1"/>
      <c r="B3795" s="3" t="str">
        <f>IFERROR(__xludf.DUMMYFUNCTION("""COMPUTED_VALUE"""),"EKO NOPRIYANTO ")</f>
        <v>EKO NOPRIYANTO </v>
      </c>
      <c r="C3795" s="3" t="str">
        <f>IFERROR(__xludf.DUMMYFUNCTION("""COMPUTED_VALUE"""),"E8226059888")</f>
        <v>E8226059888</v>
      </c>
      <c r="D3795" s="3">
        <f>IFERROR(__xludf.DUMMYFUNCTION("""COMPUTED_VALUE"""),43.0)</f>
        <v>43</v>
      </c>
      <c r="E3795" s="1"/>
    </row>
    <row r="3796">
      <c r="A3796" s="1"/>
      <c r="B3796" s="3" t="str">
        <f>IFERROR(__xludf.DUMMYFUNCTION("""COMPUTED_VALUE"""),"MUHAMMAD MUFID EIMAN ANANDA")</f>
        <v>MUHAMMAD MUFID EIMAN ANANDA</v>
      </c>
      <c r="C3796" s="3" t="str">
        <f>IFERROR(__xludf.DUMMYFUNCTION("""COMPUTED_VALUE"""),"M0026050782")</f>
        <v>M0026050782</v>
      </c>
      <c r="D3796" s="3">
        <f>IFERROR(__xludf.DUMMYFUNCTION("""COMPUTED_VALUE"""),25.0)</f>
        <v>25</v>
      </c>
      <c r="E3796" s="1"/>
    </row>
    <row r="3797">
      <c r="A3797" s="1"/>
      <c r="B3797" s="3" t="str">
        <f>IFERROR(__xludf.DUMMYFUNCTION("""COMPUTED_VALUE"""),"JOVITA APRIANA")</f>
        <v>JOVITA APRIANA</v>
      </c>
      <c r="C3797" s="3" t="str">
        <f>IFERROR(__xludf.DUMMYFUNCTION("""COMPUTED_VALUE"""),"J0026050411")</f>
        <v>J0026050411</v>
      </c>
      <c r="D3797" s="3">
        <f>IFERROR(__xludf.DUMMYFUNCTION("""COMPUTED_VALUE"""),26.0)</f>
        <v>26</v>
      </c>
      <c r="E3797" s="1"/>
    </row>
    <row r="3798">
      <c r="A3798" s="1"/>
      <c r="B3798" s="3" t="str">
        <f>IFERROR(__xludf.DUMMYFUNCTION("""COMPUTED_VALUE"""),"SYARIF MUHAMMAD RIDWAN")</f>
        <v>SYARIF MUHAMMAD RIDWAN</v>
      </c>
      <c r="C3798" s="3" t="str">
        <f>IFERROR(__xludf.DUMMYFUNCTION("""COMPUTED_VALUE"""),"S9926054786")</f>
        <v>S9926054786</v>
      </c>
      <c r="D3798" s="3">
        <f>IFERROR(__xludf.DUMMYFUNCTION("""COMPUTED_VALUE"""),26.0)</f>
        <v>26</v>
      </c>
      <c r="E3798" s="1"/>
    </row>
    <row r="3799">
      <c r="A3799" s="1"/>
      <c r="B3799" s="3" t="str">
        <f>IFERROR(__xludf.DUMMYFUNCTION("""COMPUTED_VALUE"""),"REFINKHA ZETYA ARNINDHA")</f>
        <v>REFINKHA ZETYA ARNINDHA</v>
      </c>
      <c r="C3799" s="3" t="str">
        <f>IFERROR(__xludf.DUMMYFUNCTION("""COMPUTED_VALUE"""),"R0726050690")</f>
        <v>R0726050690</v>
      </c>
      <c r="D3799" s="3">
        <f>IFERROR(__xludf.DUMMYFUNCTION("""COMPUTED_VALUE"""),19.0)</f>
        <v>19</v>
      </c>
      <c r="E3799" s="1"/>
    </row>
    <row r="3800">
      <c r="A3800" s="1"/>
      <c r="B3800" s="3" t="str">
        <f>IFERROR(__xludf.DUMMYFUNCTION("""COMPUTED_VALUE"""),"HARRIS CESAR")</f>
        <v>HARRIS CESAR</v>
      </c>
      <c r="C3800" s="3" t="str">
        <f>IFERROR(__xludf.DUMMYFUNCTION("""COMPUTED_VALUE"""),"H8726055656")</f>
        <v>H8726055656</v>
      </c>
      <c r="D3800" s="3">
        <f>IFERROR(__xludf.DUMMYFUNCTION("""COMPUTED_VALUE"""),38.0)</f>
        <v>38</v>
      </c>
      <c r="E3800" s="1"/>
    </row>
    <row r="3801">
      <c r="A3801" s="1"/>
      <c r="B3801" s="3" t="str">
        <f>IFERROR(__xludf.DUMMYFUNCTION("""COMPUTED_VALUE"""),"NATAYA RAFIF")</f>
        <v>NATAYA RAFIF</v>
      </c>
      <c r="C3801" s="3" t="str">
        <f>IFERROR(__xludf.DUMMYFUNCTION("""COMPUTED_VALUE"""),"N1826055656")</f>
        <v>N1826055656</v>
      </c>
      <c r="D3801" s="3">
        <f>IFERROR(__xludf.DUMMYFUNCTION("""COMPUTED_VALUE"""),7.0)</f>
        <v>7</v>
      </c>
      <c r="E3801" s="1"/>
    </row>
    <row r="3802">
      <c r="A3802" s="1"/>
      <c r="B3802" s="3" t="str">
        <f>IFERROR(__xludf.DUMMYFUNCTION("""COMPUTED_VALUE"""),"DEVI VERONICA")</f>
        <v>DEVI VERONICA</v>
      </c>
      <c r="C3802" s="3" t="str">
        <f>IFERROR(__xludf.DUMMYFUNCTION("""COMPUTED_VALUE"""),"D9626054488")</f>
        <v>D9626054488</v>
      </c>
      <c r="D3802" s="3">
        <f>IFERROR(__xludf.DUMMYFUNCTION("""COMPUTED_VALUE"""),29.0)</f>
        <v>29</v>
      </c>
      <c r="E3802" s="1"/>
    </row>
    <row r="3803">
      <c r="A3803" s="1"/>
      <c r="B3803" s="3" t="str">
        <f>IFERROR(__xludf.DUMMYFUNCTION("""COMPUTED_VALUE"""),"MUHAJIR HILAL")</f>
        <v>MUHAJIR HILAL</v>
      </c>
      <c r="C3803" s="3" t="str">
        <f>IFERROR(__xludf.DUMMYFUNCTION("""COMPUTED_VALUE"""),"M9926054445")</f>
        <v>M9926054445</v>
      </c>
      <c r="D3803" s="3">
        <f>IFERROR(__xludf.DUMMYFUNCTION("""COMPUTED_VALUE"""),27.0)</f>
        <v>27</v>
      </c>
      <c r="E3803" s="1"/>
    </row>
    <row r="3804">
      <c r="A3804" s="1"/>
      <c r="B3804" s="3" t="str">
        <f>IFERROR(__xludf.DUMMYFUNCTION("""COMPUTED_VALUE"""),"KUKUH ")</f>
        <v>KUKUH </v>
      </c>
      <c r="C3804" s="3" t="str">
        <f>IFERROR(__xludf.DUMMYFUNCTION("""COMPUTED_VALUE"""),"K9226050904")</f>
        <v>K9226050904</v>
      </c>
      <c r="D3804" s="3">
        <f>IFERROR(__xludf.DUMMYFUNCTION("""COMPUTED_VALUE"""),34.0)</f>
        <v>34</v>
      </c>
      <c r="E3804" s="1"/>
    </row>
    <row r="3805">
      <c r="A3805" s="1"/>
      <c r="B3805" s="3" t="str">
        <f>IFERROR(__xludf.DUMMYFUNCTION("""COMPUTED_VALUE"""),"PURNAMA YUNIARSIH")</f>
        <v>PURNAMA YUNIARSIH</v>
      </c>
      <c r="C3805" s="3" t="str">
        <f>IFERROR(__xludf.DUMMYFUNCTION("""COMPUTED_VALUE"""),"P9626059787")</f>
        <v>P9626059787</v>
      </c>
      <c r="D3805" s="3">
        <f>IFERROR(__xludf.DUMMYFUNCTION("""COMPUTED_VALUE"""),30.0)</f>
        <v>30</v>
      </c>
      <c r="E3805" s="1"/>
    </row>
    <row r="3806">
      <c r="A3806" s="1"/>
      <c r="B3806" s="3" t="str">
        <f>IFERROR(__xludf.DUMMYFUNCTION("""COMPUTED_VALUE"""),"OMAR F. FISABILILLAH")</f>
        <v>OMAR F. FISABILILLAH</v>
      </c>
      <c r="C3806" s="3" t="str">
        <f>IFERROR(__xludf.DUMMYFUNCTION("""COMPUTED_VALUE"""),"O1826051795")</f>
        <v>O1826051795</v>
      </c>
      <c r="D3806" s="3">
        <f>IFERROR(__xludf.DUMMYFUNCTION("""COMPUTED_VALUE"""),7.0)</f>
        <v>7</v>
      </c>
      <c r="E3806" s="1"/>
    </row>
    <row r="3807">
      <c r="A3807" s="1"/>
      <c r="B3807" s="3" t="str">
        <f>IFERROR(__xludf.DUMMYFUNCTION("""COMPUTED_VALUE"""),"ASRI HUMAIRA ")</f>
        <v>ASRI HUMAIRA </v>
      </c>
      <c r="C3807" s="3" t="str">
        <f>IFERROR(__xludf.DUMMYFUNCTION("""COMPUTED_VALUE"""),"A0426059008")</f>
        <v>A0426059008</v>
      </c>
      <c r="D3807" s="3">
        <f>IFERROR(__xludf.DUMMYFUNCTION("""COMPUTED_VALUE"""),22.0)</f>
        <v>22</v>
      </c>
      <c r="E3807" s="1"/>
    </row>
    <row r="3808">
      <c r="A3808" s="1"/>
      <c r="B3808" s="3" t="str">
        <f>IFERROR(__xludf.DUMMYFUNCTION("""COMPUTED_VALUE"""),"SRI RAHMANI")</f>
        <v>SRI RAHMANI</v>
      </c>
      <c r="C3808" s="3" t="str">
        <f>IFERROR(__xludf.DUMMYFUNCTION("""COMPUTED_VALUE"""),"S8526052373")</f>
        <v>S8526052373</v>
      </c>
      <c r="D3808" s="3">
        <f>IFERROR(__xludf.DUMMYFUNCTION("""COMPUTED_VALUE"""),41.0)</f>
        <v>41</v>
      </c>
      <c r="E3808" s="1"/>
    </row>
    <row r="3809">
      <c r="A3809" s="1"/>
      <c r="B3809" s="3" t="str">
        <f>IFERROR(__xludf.DUMMYFUNCTION("""COMPUTED_VALUE"""),"NURUL AQIDATUL KHAIRINA ")</f>
        <v>NURUL AQIDATUL KHAIRINA </v>
      </c>
      <c r="C3809" s="3" t="str">
        <f>IFERROR(__xludf.DUMMYFUNCTION("""COMPUTED_VALUE"""),"N0026050245")</f>
        <v>N0026050245</v>
      </c>
      <c r="D3809" s="3">
        <f>IFERROR(__xludf.DUMMYFUNCTION("""COMPUTED_VALUE"""),26.0)</f>
        <v>26</v>
      </c>
      <c r="E3809" s="1"/>
    </row>
    <row r="3810">
      <c r="A3810" s="1"/>
      <c r="B3810" s="3" t="str">
        <f>IFERROR(__xludf.DUMMYFUNCTION("""COMPUTED_VALUE"""),"M.ROZALI")</f>
        <v>M.ROZALI</v>
      </c>
      <c r="C3810" s="3" t="str">
        <f>IFERROR(__xludf.DUMMYFUNCTION("""COMPUTED_VALUE"""),"M8426053002")</f>
        <v>M8426053002</v>
      </c>
      <c r="D3810" s="3">
        <f>IFERROR(__xludf.DUMMYFUNCTION("""COMPUTED_VALUE"""),41.0)</f>
        <v>41</v>
      </c>
      <c r="E3810" s="1"/>
    </row>
    <row r="3811">
      <c r="A3811" s="1"/>
      <c r="B3811" s="3" t="str">
        <f>IFERROR(__xludf.DUMMYFUNCTION("""COMPUTED_VALUE"""),"SRI RATNAWATI")</f>
        <v>SRI RATNAWATI</v>
      </c>
      <c r="C3811" s="3" t="str">
        <f>IFERROR(__xludf.DUMMYFUNCTION("""COMPUTED_VALUE"""),"S7226053356")</f>
        <v>S7226053356</v>
      </c>
      <c r="D3811" s="3">
        <f>IFERROR(__xludf.DUMMYFUNCTION("""COMPUTED_VALUE"""),53.0)</f>
        <v>53</v>
      </c>
      <c r="E3811" s="1"/>
    </row>
    <row r="3812">
      <c r="A3812" s="1"/>
      <c r="B3812" s="3" t="str">
        <f>IFERROR(__xludf.DUMMYFUNCTION("""COMPUTED_VALUE"""),"DARWIN TARIGAN")</f>
        <v>DARWIN TARIGAN</v>
      </c>
      <c r="C3812" s="3" t="str">
        <f>IFERROR(__xludf.DUMMYFUNCTION("""COMPUTED_VALUE"""),"D8526052798")</f>
        <v>D8526052798</v>
      </c>
      <c r="D3812" s="3">
        <f>IFERROR(__xludf.DUMMYFUNCTION("""COMPUTED_VALUE"""),40.0)</f>
        <v>40</v>
      </c>
      <c r="E3812" s="1"/>
    </row>
    <row r="3813">
      <c r="A3813" s="1"/>
      <c r="B3813" s="3" t="str">
        <f>IFERROR(__xludf.DUMMYFUNCTION("""COMPUTED_VALUE"""),"JUPRIL MARDA")</f>
        <v>JUPRIL MARDA</v>
      </c>
      <c r="C3813" s="3" t="str">
        <f>IFERROR(__xludf.DUMMYFUNCTION("""COMPUTED_VALUE"""),"J9526052855")</f>
        <v>J9526052855</v>
      </c>
      <c r="D3813" s="3">
        <f>IFERROR(__xludf.DUMMYFUNCTION("""COMPUTED_VALUE"""),31.0)</f>
        <v>31</v>
      </c>
      <c r="E3813" s="1"/>
    </row>
    <row r="3814">
      <c r="A3814" s="1"/>
      <c r="B3814" s="3" t="str">
        <f>IFERROR(__xludf.DUMMYFUNCTION("""COMPUTED_VALUE"""),"HJ HALIJAH")</f>
        <v>HJ HALIJAH</v>
      </c>
      <c r="C3814" s="3" t="str">
        <f>IFERROR(__xludf.DUMMYFUNCTION("""COMPUTED_VALUE"""),"H6226055912")</f>
        <v>H6226055912</v>
      </c>
      <c r="D3814" s="3">
        <f>IFERROR(__xludf.DUMMYFUNCTION("""COMPUTED_VALUE"""),64.0)</f>
        <v>64</v>
      </c>
      <c r="E3814" s="1"/>
    </row>
    <row r="3815">
      <c r="A3815" s="1"/>
      <c r="B3815" s="3" t="str">
        <f>IFERROR(__xludf.DUMMYFUNCTION("""COMPUTED_VALUE"""),"HJ RITA")</f>
        <v>HJ RITA</v>
      </c>
      <c r="C3815" s="3" t="str">
        <f>IFERROR(__xludf.DUMMYFUNCTION("""COMPUTED_VALUE"""),"H6926050314")</f>
        <v>H6926050314</v>
      </c>
      <c r="D3815" s="3">
        <f>IFERROR(__xludf.DUMMYFUNCTION("""COMPUTED_VALUE"""),56.0)</f>
        <v>56</v>
      </c>
      <c r="E3815" s="1"/>
    </row>
    <row r="3816">
      <c r="A3816" s="1"/>
      <c r="B3816" s="3" t="str">
        <f>IFERROR(__xludf.DUMMYFUNCTION("""COMPUTED_VALUE"""),"ANNY MAYESTI")</f>
        <v>ANNY MAYESTI</v>
      </c>
      <c r="C3816" s="3" t="str">
        <f>IFERROR(__xludf.DUMMYFUNCTION("""COMPUTED_VALUE"""),"A6726059726")</f>
        <v>A6726059726</v>
      </c>
      <c r="D3816" s="3">
        <f>IFERROR(__xludf.DUMMYFUNCTION("""COMPUTED_VALUE"""),59.0)</f>
        <v>59</v>
      </c>
      <c r="E3816" s="1"/>
    </row>
    <row r="3817">
      <c r="A3817" s="1"/>
      <c r="B3817" s="3" t="str">
        <f>IFERROR(__xludf.DUMMYFUNCTION("""COMPUTED_VALUE"""),"HJ SUMARNI")</f>
        <v>HJ SUMARNI</v>
      </c>
      <c r="C3817" s="3" t="str">
        <f>IFERROR(__xludf.DUMMYFUNCTION("""COMPUTED_VALUE"""),"H6426056966")</f>
        <v>H6426056966</v>
      </c>
      <c r="D3817" s="3">
        <f>IFERROR(__xludf.DUMMYFUNCTION("""COMPUTED_VALUE"""),61.0)</f>
        <v>61</v>
      </c>
      <c r="E3817" s="1"/>
    </row>
    <row r="3818">
      <c r="A3818" s="1"/>
      <c r="B3818" s="3" t="str">
        <f>IFERROR(__xludf.DUMMYFUNCTION("""COMPUTED_VALUE"""),"CUI FA")</f>
        <v>CUI FA</v>
      </c>
      <c r="C3818" s="3" t="str">
        <f>IFERROR(__xludf.DUMMYFUNCTION("""COMPUTED_VALUE"""),"C6826057609")</f>
        <v>C6826057609</v>
      </c>
      <c r="D3818" s="3">
        <f>IFERROR(__xludf.DUMMYFUNCTION("""COMPUTED_VALUE"""),57.0)</f>
        <v>57</v>
      </c>
      <c r="E3818" s="1"/>
    </row>
    <row r="3819">
      <c r="A3819" s="1"/>
      <c r="B3819" s="3" t="str">
        <f>IFERROR(__xludf.DUMMYFUNCTION("""COMPUTED_VALUE"""),"PUTRI DUTA SENOPATI")</f>
        <v>PUTRI DUTA SENOPATI</v>
      </c>
      <c r="C3819" s="3" t="str">
        <f>IFERROR(__xludf.DUMMYFUNCTION("""COMPUTED_VALUE"""),"P0026052666")</f>
        <v>P0026052666</v>
      </c>
      <c r="D3819" s="3">
        <f>IFERROR(__xludf.DUMMYFUNCTION("""COMPUTED_VALUE"""),26.0)</f>
        <v>26</v>
      </c>
      <c r="E3819" s="1"/>
    </row>
    <row r="3820">
      <c r="A3820" s="1"/>
      <c r="B3820" s="3" t="str">
        <f>IFERROR(__xludf.DUMMYFUNCTION("""COMPUTED_VALUE"""),"SARAH JEMBARANITA ")</f>
        <v>SARAH JEMBARANITA </v>
      </c>
      <c r="C3820" s="3" t="str">
        <f>IFERROR(__xludf.DUMMYFUNCTION("""COMPUTED_VALUE"""),"S9926057229")</f>
        <v>S9926057229</v>
      </c>
      <c r="D3820" s="3">
        <f>IFERROR(__xludf.DUMMYFUNCTION("""COMPUTED_VALUE"""),27.0)</f>
        <v>27</v>
      </c>
      <c r="E3820" s="1"/>
    </row>
    <row r="3821">
      <c r="A3821" s="1"/>
      <c r="B3821" s="3" t="str">
        <f>IFERROR(__xludf.DUMMYFUNCTION("""COMPUTED_VALUE"""),"ERVINA")</f>
        <v>ERVINA</v>
      </c>
      <c r="C3821" s="3" t="str">
        <f>IFERROR(__xludf.DUMMYFUNCTION("""COMPUTED_VALUE"""),"E9426057887")</f>
        <v>E9426057887</v>
      </c>
      <c r="D3821" s="3">
        <f>IFERROR(__xludf.DUMMYFUNCTION("""COMPUTED_VALUE"""),31.0)</f>
        <v>31</v>
      </c>
      <c r="E3821" s="1"/>
    </row>
    <row r="3822">
      <c r="A3822" s="1"/>
      <c r="B3822" s="3" t="str">
        <f>IFERROR(__xludf.DUMMYFUNCTION("""COMPUTED_VALUE"""),"FAUZY SETYAWAN")</f>
        <v>FAUZY SETYAWAN</v>
      </c>
      <c r="C3822" s="3" t="str">
        <f>IFERROR(__xludf.DUMMYFUNCTION("""COMPUTED_VALUE"""),"F0426052331")</f>
        <v>F0426052331</v>
      </c>
      <c r="D3822" s="3">
        <f>IFERROR(__xludf.DUMMYFUNCTION("""COMPUTED_VALUE"""),21.0)</f>
        <v>21</v>
      </c>
      <c r="E3822" s="1"/>
    </row>
    <row r="3823">
      <c r="A3823" s="1"/>
      <c r="B3823" s="3" t="str">
        <f>IFERROR(__xludf.DUMMYFUNCTION("""COMPUTED_VALUE"""),"ABDUL MANAN ARSYUL")</f>
        <v>ABDUL MANAN ARSYUL</v>
      </c>
      <c r="C3823" s="3" t="str">
        <f>IFERROR(__xludf.DUMMYFUNCTION("""COMPUTED_VALUE"""),"A5026056699")</f>
        <v>A5026056699</v>
      </c>
      <c r="D3823" s="3">
        <f>IFERROR(__xludf.DUMMYFUNCTION("""COMPUTED_VALUE"""),76.0)</f>
        <v>76</v>
      </c>
      <c r="E3823" s="1"/>
    </row>
    <row r="3824">
      <c r="A3824" s="1"/>
      <c r="B3824" s="3" t="str">
        <f>IFERROR(__xludf.DUMMYFUNCTION("""COMPUTED_VALUE"""),"TJANG KHENG")</f>
        <v>TJANG KHENG</v>
      </c>
      <c r="C3824" s="3" t="str">
        <f>IFERROR(__xludf.DUMMYFUNCTION("""COMPUTED_VALUE"""),"T4626051927")</f>
        <v>T4626051927</v>
      </c>
      <c r="D3824" s="3">
        <f>IFERROR(__xludf.DUMMYFUNCTION("""COMPUTED_VALUE"""),80.0)</f>
        <v>80</v>
      </c>
      <c r="E3824" s="1"/>
    </row>
    <row r="3825">
      <c r="A3825" s="1"/>
      <c r="B3825" s="3" t="str">
        <f>IFERROR(__xludf.DUMMYFUNCTION("""COMPUTED_VALUE"""),"PONIA PASTIAGE")</f>
        <v>PONIA PASTIAGE</v>
      </c>
      <c r="C3825" s="3" t="str">
        <f>IFERROR(__xludf.DUMMYFUNCTION("""COMPUTED_VALUE"""),"P0626052601")</f>
        <v>P0626052601</v>
      </c>
      <c r="D3825" s="3">
        <f>IFERROR(__xludf.DUMMYFUNCTION("""COMPUTED_VALUE"""),20.0)</f>
        <v>20</v>
      </c>
      <c r="E3825" s="1"/>
    </row>
    <row r="3826">
      <c r="A3826" s="1"/>
      <c r="B3826" s="3" t="str">
        <f>IFERROR(__xludf.DUMMYFUNCTION("""COMPUTED_VALUE"""),"MUHAMMAD IRFAN DJUHA")</f>
        <v>MUHAMMAD IRFAN DJUHA</v>
      </c>
      <c r="C3826" s="3" t="str">
        <f>IFERROR(__xludf.DUMMYFUNCTION("""COMPUTED_VALUE"""),"M9726058718")</f>
        <v>M9726058718</v>
      </c>
      <c r="D3826" s="3">
        <f>IFERROR(__xludf.DUMMYFUNCTION("""COMPUTED_VALUE"""),29.0)</f>
        <v>29</v>
      </c>
      <c r="E3826" s="1"/>
    </row>
    <row r="3827">
      <c r="A3827" s="1"/>
      <c r="B3827" s="3" t="str">
        <f>IFERROR(__xludf.DUMMYFUNCTION("""COMPUTED_VALUE"""),"ORM TIA KHASINA")</f>
        <v>ORM TIA KHASINA</v>
      </c>
      <c r="C3827" s="3" t="str">
        <f>IFERROR(__xludf.DUMMYFUNCTION("""COMPUTED_VALUE"""),"O9626053094")</f>
        <v>O9626053094</v>
      </c>
      <c r="D3827" s="3">
        <f>IFERROR(__xludf.DUMMYFUNCTION("""COMPUTED_VALUE"""),29.0)</f>
        <v>29</v>
      </c>
      <c r="E3827" s="1"/>
    </row>
    <row r="3828">
      <c r="A3828" s="1"/>
      <c r="B3828" s="3" t="str">
        <f>IFERROR(__xludf.DUMMYFUNCTION("""COMPUTED_VALUE"""),"JIMMY MARLANTIKA")</f>
        <v>JIMMY MARLANTIKA</v>
      </c>
      <c r="C3828" s="3" t="str">
        <f>IFERROR(__xludf.DUMMYFUNCTION("""COMPUTED_VALUE"""),"J9526052393")</f>
        <v>J9526052393</v>
      </c>
      <c r="D3828" s="3">
        <f>IFERROR(__xludf.DUMMYFUNCTION("""COMPUTED_VALUE"""),31.0)</f>
        <v>31</v>
      </c>
      <c r="E3828" s="1"/>
    </row>
    <row r="3829">
      <c r="A3829" s="1"/>
      <c r="B3829" s="3" t="str">
        <f>IFERROR(__xludf.DUMMYFUNCTION("""COMPUTED_VALUE"""),"FALIH SYHAFWAN ALMY")</f>
        <v>FALIH SYHAFWAN ALMY</v>
      </c>
      <c r="C3829" s="3" t="str">
        <f>IFERROR(__xludf.DUMMYFUNCTION("""COMPUTED_VALUE"""),"F0326054250")</f>
        <v>F0326054250</v>
      </c>
      <c r="D3829" s="3">
        <f>IFERROR(__xludf.DUMMYFUNCTION("""COMPUTED_VALUE"""),22.0)</f>
        <v>22</v>
      </c>
      <c r="E3829" s="1"/>
    </row>
    <row r="3830">
      <c r="A3830" s="1"/>
      <c r="B3830" s="3" t="str">
        <f>IFERROR(__xludf.DUMMYFUNCTION("""COMPUTED_VALUE"""),"NABILA ZHAFIRA FASYA")</f>
        <v>NABILA ZHAFIRA FASYA</v>
      </c>
      <c r="C3830" s="3" t="str">
        <f>IFERROR(__xludf.DUMMYFUNCTION("""COMPUTED_VALUE"""),"N9726059066")</f>
        <v>N9726059066</v>
      </c>
      <c r="D3830" s="3">
        <f>IFERROR(__xludf.DUMMYFUNCTION("""COMPUTED_VALUE"""),28.0)</f>
        <v>28</v>
      </c>
      <c r="E3830" s="1"/>
    </row>
    <row r="3831">
      <c r="A3831" s="1"/>
      <c r="B3831" s="3" t="str">
        <f>IFERROR(__xludf.DUMMYFUNCTION("""COMPUTED_VALUE"""),"M. RAFAEL ALFANZA")</f>
        <v>M. RAFAEL ALFANZA</v>
      </c>
      <c r="C3831" s="3" t="str">
        <f>IFERROR(__xludf.DUMMYFUNCTION("""COMPUTED_VALUE"""),"M0626058282")</f>
        <v>M0626058282</v>
      </c>
      <c r="D3831" s="3">
        <f>IFERROR(__xludf.DUMMYFUNCTION("""COMPUTED_VALUE"""),20.0)</f>
        <v>20</v>
      </c>
      <c r="E3831" s="1"/>
    </row>
    <row r="3832">
      <c r="A3832" s="1"/>
      <c r="B3832" s="3" t="str">
        <f>IFERROR(__xludf.DUMMYFUNCTION("""COMPUTED_VALUE"""),"TETY MAULIZAR")</f>
        <v>TETY MAULIZAR</v>
      </c>
      <c r="C3832" s="3" t="str">
        <f>IFERROR(__xludf.DUMMYFUNCTION("""COMPUTED_VALUE"""),"T9426050942")</f>
        <v>T9426050942</v>
      </c>
      <c r="D3832" s="3">
        <f>IFERROR(__xludf.DUMMYFUNCTION("""COMPUTED_VALUE"""),31.0)</f>
        <v>31</v>
      </c>
      <c r="E3832" s="1"/>
    </row>
    <row r="3833">
      <c r="A3833" s="1"/>
      <c r="B3833" s="3" t="str">
        <f>IFERROR(__xludf.DUMMYFUNCTION("""COMPUTED_VALUE"""),"MARINI")</f>
        <v>MARINI</v>
      </c>
      <c r="C3833" s="3" t="str">
        <f>IFERROR(__xludf.DUMMYFUNCTION("""COMPUTED_VALUE"""),"M8226052553")</f>
        <v>M8226052553</v>
      </c>
      <c r="D3833" s="3">
        <f>IFERROR(__xludf.DUMMYFUNCTION("""COMPUTED_VALUE"""),44.0)</f>
        <v>44</v>
      </c>
      <c r="E3833" s="1"/>
    </row>
    <row r="3834">
      <c r="A3834" s="1"/>
      <c r="B3834" s="3" t="str">
        <f>IFERROR(__xludf.DUMMYFUNCTION("""COMPUTED_VALUE"""),"NOVIZAR HARTADY")</f>
        <v>NOVIZAR HARTADY</v>
      </c>
      <c r="C3834" s="3" t="str">
        <f>IFERROR(__xludf.DUMMYFUNCTION("""COMPUTED_VALUE"""),"N9526053478")</f>
        <v>N9526053478</v>
      </c>
      <c r="D3834" s="3">
        <f>IFERROR(__xludf.DUMMYFUNCTION("""COMPUTED_VALUE"""),30.0)</f>
        <v>30</v>
      </c>
      <c r="E3834" s="1"/>
    </row>
    <row r="3835">
      <c r="A3835" s="1"/>
      <c r="B3835" s="3" t="str">
        <f>IFERROR(__xludf.DUMMYFUNCTION("""COMPUTED_VALUE"""),"SOBIB")</f>
        <v>SOBIB</v>
      </c>
      <c r="C3835" s="3" t="str">
        <f>IFERROR(__xludf.DUMMYFUNCTION("""COMPUTED_VALUE"""),"S6426051084")</f>
        <v>S6426051084</v>
      </c>
      <c r="D3835" s="3">
        <f>IFERROR(__xludf.DUMMYFUNCTION("""COMPUTED_VALUE"""),62.0)</f>
        <v>62</v>
      </c>
      <c r="E3835" s="1"/>
    </row>
    <row r="3836">
      <c r="A3836" s="1"/>
      <c r="B3836" s="3" t="str">
        <f>IFERROR(__xludf.DUMMYFUNCTION("""COMPUTED_VALUE"""),"FATIH RIDHO PERMANA ")</f>
        <v>FATIH RIDHO PERMANA </v>
      </c>
      <c r="C3836" s="3" t="str">
        <f>IFERROR(__xludf.DUMMYFUNCTION("""COMPUTED_VALUE"""),"F1126059700")</f>
        <v>F1126059700</v>
      </c>
      <c r="D3836" s="3">
        <f>IFERROR(__xludf.DUMMYFUNCTION("""COMPUTED_VALUE"""),15.0)</f>
        <v>15</v>
      </c>
      <c r="E3836" s="1"/>
    </row>
    <row r="3837">
      <c r="A3837" s="1"/>
      <c r="B3837" s="3" t="str">
        <f>IFERROR(__xludf.DUMMYFUNCTION("""COMPUTED_VALUE"""),"HENGKY")</f>
        <v>HENGKY</v>
      </c>
      <c r="C3837" s="3" t="str">
        <f>IFERROR(__xludf.DUMMYFUNCTION("""COMPUTED_VALUE"""),"H0426052417")</f>
        <v>H0426052417</v>
      </c>
      <c r="D3837" s="3">
        <f>IFERROR(__xludf.DUMMYFUNCTION("""COMPUTED_VALUE"""),22.0)</f>
        <v>22</v>
      </c>
      <c r="E3837" s="1"/>
    </row>
    <row r="3838">
      <c r="A3838" s="1"/>
      <c r="B3838" s="3" t="str">
        <f>IFERROR(__xludf.DUMMYFUNCTION("""COMPUTED_VALUE"""),"KRISTIAN DENNIS")</f>
        <v>KRISTIAN DENNIS</v>
      </c>
      <c r="C3838" s="3" t="str">
        <f>IFERROR(__xludf.DUMMYFUNCTION("""COMPUTED_VALUE"""),"K0726053360")</f>
        <v>K0726053360</v>
      </c>
      <c r="D3838" s="3">
        <f>IFERROR(__xludf.DUMMYFUNCTION("""COMPUTED_VALUE"""),18.0)</f>
        <v>18</v>
      </c>
      <c r="E3838" s="1"/>
    </row>
    <row r="3839">
      <c r="A3839" s="1"/>
      <c r="B3839" s="3" t="str">
        <f>IFERROR(__xludf.DUMMYFUNCTION("""COMPUTED_VALUE"""),"CHAIRUL DWIYANDI")</f>
        <v>CHAIRUL DWIYANDI</v>
      </c>
      <c r="C3839" s="3" t="str">
        <f>IFERROR(__xludf.DUMMYFUNCTION("""COMPUTED_VALUE"""),"C9226050306")</f>
        <v>C9226050306</v>
      </c>
      <c r="D3839" s="3">
        <f>IFERROR(__xludf.DUMMYFUNCTION("""COMPUTED_VALUE"""),33.0)</f>
        <v>33</v>
      </c>
      <c r="E3839" s="1"/>
    </row>
    <row r="3840">
      <c r="A3840" s="1"/>
      <c r="B3840" s="3" t="str">
        <f>IFERROR(__xludf.DUMMYFUNCTION("""COMPUTED_VALUE"""),"HERMAN")</f>
        <v>HERMAN</v>
      </c>
      <c r="C3840" s="3" t="str">
        <f>IFERROR(__xludf.DUMMYFUNCTION("""COMPUTED_VALUE"""),"H7726050221")</f>
        <v>H7726050221</v>
      </c>
      <c r="D3840" s="3">
        <f>IFERROR(__xludf.DUMMYFUNCTION("""COMPUTED_VALUE"""),48.0)</f>
        <v>48</v>
      </c>
      <c r="E3840" s="1"/>
    </row>
    <row r="3841">
      <c r="A3841" s="1"/>
      <c r="B3841" s="3" t="str">
        <f>IFERROR(__xludf.DUMMYFUNCTION("""COMPUTED_VALUE"""),"TARI MARDIANA")</f>
        <v>TARI MARDIANA</v>
      </c>
      <c r="C3841" s="3" t="str">
        <f>IFERROR(__xludf.DUMMYFUNCTION("""COMPUTED_VALUE"""),"T8926058124")</f>
        <v>T8926058124</v>
      </c>
      <c r="D3841" s="3">
        <f>IFERROR(__xludf.DUMMYFUNCTION("""COMPUTED_VALUE"""),37.0)</f>
        <v>37</v>
      </c>
      <c r="E3841" s="1"/>
    </row>
    <row r="3842">
      <c r="A3842" s="1"/>
      <c r="B3842" s="3" t="str">
        <f>IFERROR(__xludf.DUMMYFUNCTION("""COMPUTED_VALUE"""),"HERMAN")</f>
        <v>HERMAN</v>
      </c>
      <c r="C3842" s="3" t="str">
        <f>IFERROR(__xludf.DUMMYFUNCTION("""COMPUTED_VALUE"""),"H7726050221")</f>
        <v>H7726050221</v>
      </c>
      <c r="D3842" s="3">
        <f>IFERROR(__xludf.DUMMYFUNCTION("""COMPUTED_VALUE"""),48.0)</f>
        <v>48</v>
      </c>
      <c r="E3842" s="1"/>
    </row>
    <row r="3843">
      <c r="A3843" s="1"/>
      <c r="B3843" s="3" t="str">
        <f>IFERROR(__xludf.DUMMYFUNCTION("""COMPUTED_VALUE"""),"ERIK RADJALI 5103")</f>
        <v>ERIK RADJALI 5103</v>
      </c>
      <c r="C3843" s="3" t="str">
        <f>IFERROR(__xludf.DUMMYFUNCTION("""COMPUTED_VALUE"""),"E5126051303")</f>
        <v>E5126051303</v>
      </c>
      <c r="D3843" s="3">
        <f>IFERROR(__xludf.DUMMYFUNCTION("""COMPUTED_VALUE"""),75.0)</f>
        <v>75</v>
      </c>
      <c r="E3843" s="1"/>
    </row>
    <row r="3844">
      <c r="A3844" s="1"/>
      <c r="B3844" s="3" t="str">
        <f>IFERROR(__xludf.DUMMYFUNCTION("""COMPUTED_VALUE"""),"UTIN AGUSTINA")</f>
        <v>UTIN AGUSTINA</v>
      </c>
      <c r="C3844" s="3" t="str">
        <f>IFERROR(__xludf.DUMMYFUNCTION("""COMPUTED_VALUE"""),"U7726055548")</f>
        <v>U7726055548</v>
      </c>
      <c r="D3844" s="3">
        <f>IFERROR(__xludf.DUMMYFUNCTION("""COMPUTED_VALUE"""),48.0)</f>
        <v>48</v>
      </c>
      <c r="E3844" s="1"/>
    </row>
    <row r="3845">
      <c r="A3845" s="1"/>
      <c r="B3845" s="3" t="str">
        <f>IFERROR(__xludf.DUMMYFUNCTION("""COMPUTED_VALUE"""),"M AKHTAR ALFARIZY")</f>
        <v>M AKHTAR ALFARIZY</v>
      </c>
      <c r="C3845" s="3" t="str">
        <f>IFERROR(__xludf.DUMMYFUNCTION("""COMPUTED_VALUE"""),"M1826056272")</f>
        <v>M1826056272</v>
      </c>
      <c r="D3845" s="3">
        <f>IFERROR(__xludf.DUMMYFUNCTION("""COMPUTED_VALUE"""),8.0)</f>
        <v>8</v>
      </c>
      <c r="E3845" s="1"/>
    </row>
    <row r="3846">
      <c r="A3846" s="1"/>
      <c r="B3846" s="3" t="str">
        <f>IFERROR(__xludf.DUMMYFUNCTION("""COMPUTED_VALUE"""),"YOVIE VERA APRIANTY")</f>
        <v>YOVIE VERA APRIANTY</v>
      </c>
      <c r="C3846" s="3" t="str">
        <f>IFERROR(__xludf.DUMMYFUNCTION("""COMPUTED_VALUE"""),"Y7826052029")</f>
        <v>Y7826052029</v>
      </c>
      <c r="D3846" s="3">
        <f>IFERROR(__xludf.DUMMYFUNCTION("""COMPUTED_VALUE"""),48.0)</f>
        <v>48</v>
      </c>
      <c r="E3846" s="1"/>
    </row>
    <row r="3847">
      <c r="A3847" s="1"/>
      <c r="B3847" s="3" t="str">
        <f>IFERROR(__xludf.DUMMYFUNCTION("""COMPUTED_VALUE"""),"VITARIA LINA")</f>
        <v>VITARIA LINA</v>
      </c>
      <c r="C3847" s="3" t="str">
        <f>IFERROR(__xludf.DUMMYFUNCTION("""COMPUTED_VALUE"""),"V7726051923")</f>
        <v>V7726051923</v>
      </c>
      <c r="D3847" s="3">
        <f>IFERROR(__xludf.DUMMYFUNCTION("""COMPUTED_VALUE"""),48.0)</f>
        <v>48</v>
      </c>
      <c r="E3847" s="1"/>
    </row>
    <row r="3848">
      <c r="A3848" s="1"/>
      <c r="B3848" s="3" t="str">
        <f>IFERROR(__xludf.DUMMYFUNCTION("""COMPUTED_VALUE"""),"RIO ANGGARA")</f>
        <v>RIO ANGGARA</v>
      </c>
      <c r="C3848" s="3" t="str">
        <f>IFERROR(__xludf.DUMMYFUNCTION("""COMPUTED_VALUE"""),"R9026059626")</f>
        <v>R9026059626</v>
      </c>
      <c r="D3848" s="3">
        <f>IFERROR(__xludf.DUMMYFUNCTION("""COMPUTED_VALUE"""),36.0)</f>
        <v>36</v>
      </c>
      <c r="E3848" s="1"/>
    </row>
    <row r="3849">
      <c r="A3849" s="1"/>
      <c r="B3849" s="3" t="str">
        <f>IFERROR(__xludf.DUMMYFUNCTION("""COMPUTED_VALUE"""),"NOVA IRMA ADIHANDAYANI")</f>
        <v>NOVA IRMA ADIHANDAYANI</v>
      </c>
      <c r="C3849" s="3" t="str">
        <f>IFERROR(__xludf.DUMMYFUNCTION("""COMPUTED_VALUE"""),"N9226052097")</f>
        <v>N9226052097</v>
      </c>
      <c r="D3849" s="3">
        <f>IFERROR(__xludf.DUMMYFUNCTION("""COMPUTED_VALUE"""),34.0)</f>
        <v>34</v>
      </c>
      <c r="E3849" s="1"/>
    </row>
    <row r="3850">
      <c r="A3850" s="1"/>
      <c r="B3850" s="3" t="str">
        <f>IFERROR(__xludf.DUMMYFUNCTION("""COMPUTED_VALUE"""),"ARIENDI FITRI")</f>
        <v>ARIENDI FITRI</v>
      </c>
      <c r="C3850" s="3" t="str">
        <f>IFERROR(__xludf.DUMMYFUNCTION("""COMPUTED_VALUE"""),"A0226059038")</f>
        <v>A0226059038</v>
      </c>
      <c r="D3850" s="3">
        <f>IFERROR(__xludf.DUMMYFUNCTION("""COMPUTED_VALUE"""),23.0)</f>
        <v>23</v>
      </c>
      <c r="E3850" s="1"/>
    </row>
    <row r="3851">
      <c r="A3851" s="1"/>
      <c r="B3851" s="3" t="str">
        <f>IFERROR(__xludf.DUMMYFUNCTION("""COMPUTED_VALUE"""),"SINAH")</f>
        <v>SINAH</v>
      </c>
      <c r="C3851" s="3" t="str">
        <f>IFERROR(__xludf.DUMMYFUNCTION("""COMPUTED_VALUE"""),"S7126052338")</f>
        <v>S7126052338</v>
      </c>
      <c r="D3851" s="3">
        <f>IFERROR(__xludf.DUMMYFUNCTION("""COMPUTED_VALUE"""),54.0)</f>
        <v>54</v>
      </c>
      <c r="E3851" s="1"/>
    </row>
    <row r="3852">
      <c r="A3852" s="1"/>
      <c r="B3852" s="3" t="str">
        <f>IFERROR(__xludf.DUMMYFUNCTION("""COMPUTED_VALUE"""),"FIRMAN DESTYAN")</f>
        <v>FIRMAN DESTYAN</v>
      </c>
      <c r="C3852" s="3" t="str">
        <f>IFERROR(__xludf.DUMMYFUNCTION("""COMPUTED_VALUE"""),"F0026054746")</f>
        <v>F0026054746</v>
      </c>
      <c r="D3852" s="3">
        <f>IFERROR(__xludf.DUMMYFUNCTION("""COMPUTED_VALUE"""),25.0)</f>
        <v>25</v>
      </c>
      <c r="E3852" s="1"/>
    </row>
    <row r="3853">
      <c r="A3853" s="1"/>
      <c r="B3853" s="3" t="str">
        <f>IFERROR(__xludf.DUMMYFUNCTION("""COMPUTED_VALUE"""),"IRFAN RACHMAN HAKIM")</f>
        <v>IRFAN RACHMAN HAKIM</v>
      </c>
      <c r="C3853" s="3" t="str">
        <f>IFERROR(__xludf.DUMMYFUNCTION("""COMPUTED_VALUE"""),"I9026059114")</f>
        <v>I9026059114</v>
      </c>
      <c r="D3853" s="3">
        <f>IFERROR(__xludf.DUMMYFUNCTION("""COMPUTED_VALUE"""),35.0)</f>
        <v>35</v>
      </c>
      <c r="E3853" s="1"/>
    </row>
    <row r="3854">
      <c r="A3854" s="1"/>
      <c r="B3854" s="3" t="str">
        <f>IFERROR(__xludf.DUMMYFUNCTION("""COMPUTED_VALUE"""),"HENDRY")</f>
        <v>HENDRY</v>
      </c>
      <c r="C3854" s="3" t="str">
        <f>IFERROR(__xludf.DUMMYFUNCTION("""COMPUTED_VALUE"""),"H8426053685")</f>
        <v>H8426053685</v>
      </c>
      <c r="D3854" s="3">
        <f>IFERROR(__xludf.DUMMYFUNCTION("""COMPUTED_VALUE"""),41.0)</f>
        <v>41</v>
      </c>
      <c r="E3854" s="1"/>
    </row>
    <row r="3855">
      <c r="A3855" s="1"/>
      <c r="B3855" s="3" t="str">
        <f>IFERROR(__xludf.DUMMYFUNCTION("""COMPUTED_VALUE"""),"MIKHAEL KEVIN")</f>
        <v>MIKHAEL KEVIN</v>
      </c>
      <c r="C3855" s="3" t="str">
        <f>IFERROR(__xludf.DUMMYFUNCTION("""COMPUTED_VALUE"""),"M0326050192")</f>
        <v>M0326050192</v>
      </c>
      <c r="D3855" s="3">
        <f>IFERROR(__xludf.DUMMYFUNCTION("""COMPUTED_VALUE"""),22.0)</f>
        <v>22</v>
      </c>
      <c r="E3855" s="1"/>
    </row>
    <row r="3856">
      <c r="A3856" s="1"/>
      <c r="B3856" s="3" t="str">
        <f>IFERROR(__xludf.DUMMYFUNCTION("""COMPUTED_VALUE"""),"YASHINTA DIAJENG KULAAN")</f>
        <v>YASHINTA DIAJENG KULAAN</v>
      </c>
      <c r="C3856" s="3" t="str">
        <f>IFERROR(__xludf.DUMMYFUNCTION("""COMPUTED_VALUE"""),"Y9426058456")</f>
        <v>Y9426058456</v>
      </c>
      <c r="D3856" s="3">
        <f>IFERROR(__xludf.DUMMYFUNCTION("""COMPUTED_VALUE"""),31.0)</f>
        <v>31</v>
      </c>
      <c r="E3856" s="1"/>
    </row>
    <row r="3857">
      <c r="A3857" s="1"/>
      <c r="B3857" s="3" t="str">
        <f>IFERROR(__xludf.DUMMYFUNCTION("""COMPUTED_VALUE"""),"RENALDI ADITYA DWI SAPUTRA")</f>
        <v>RENALDI ADITYA DWI SAPUTRA</v>
      </c>
      <c r="C3857" s="3" t="str">
        <f>IFERROR(__xludf.DUMMYFUNCTION("""COMPUTED_VALUE"""),"R9826050541")</f>
        <v>R9826050541</v>
      </c>
      <c r="D3857" s="3">
        <f>IFERROR(__xludf.DUMMYFUNCTION("""COMPUTED_VALUE"""),27.0)</f>
        <v>27</v>
      </c>
      <c r="E3857" s="1"/>
    </row>
    <row r="3858">
      <c r="A3858" s="1"/>
      <c r="B3858" s="3" t="str">
        <f>IFERROR(__xludf.DUMMYFUNCTION("""COMPUTED_VALUE"""),"NAYYARA TSABITA YUMNA")</f>
        <v>NAYYARA TSABITA YUMNA</v>
      </c>
      <c r="C3858" s="3" t="str">
        <f>IFERROR(__xludf.DUMMYFUNCTION("""COMPUTED_VALUE"""),"N1726054313")</f>
        <v>N1726054313</v>
      </c>
      <c r="D3858" s="3">
        <f>IFERROR(__xludf.DUMMYFUNCTION("""COMPUTED_VALUE"""),9.0)</f>
        <v>9</v>
      </c>
      <c r="E3858" s="1"/>
    </row>
    <row r="3859">
      <c r="A3859" s="1"/>
      <c r="B3859" s="3" t="str">
        <f>IFERROR(__xludf.DUMMYFUNCTION("""COMPUTED_VALUE"""),"WULANDARI SAPUTRI")</f>
        <v>WULANDARI SAPUTRI</v>
      </c>
      <c r="C3859" s="3" t="str">
        <f>IFERROR(__xludf.DUMMYFUNCTION("""COMPUTED_VALUE"""),"W8926055767")</f>
        <v>W8926055767</v>
      </c>
      <c r="D3859" s="3">
        <f>IFERROR(__xludf.DUMMYFUNCTION("""COMPUTED_VALUE"""),36.0)</f>
        <v>36</v>
      </c>
      <c r="E3859" s="1"/>
    </row>
    <row r="3860">
      <c r="A3860" s="1"/>
      <c r="B3860" s="3" t="str">
        <f>IFERROR(__xludf.DUMMYFUNCTION("""COMPUTED_VALUE"""),"JURIYATI")</f>
        <v>JURIYATI</v>
      </c>
      <c r="C3860" s="3" t="str">
        <f>IFERROR(__xludf.DUMMYFUNCTION("""COMPUTED_VALUE"""),"J6926050248")</f>
        <v>J6926050248</v>
      </c>
      <c r="D3860" s="3">
        <f>IFERROR(__xludf.DUMMYFUNCTION("""COMPUTED_VALUE"""),57.0)</f>
        <v>57</v>
      </c>
      <c r="E3860" s="1"/>
    </row>
    <row r="3861">
      <c r="A3861" s="1"/>
      <c r="B3861" s="3" t="str">
        <f>IFERROR(__xludf.DUMMYFUNCTION("""COMPUTED_VALUE"""),"U. HERU ISWIRNANDA")</f>
        <v>U. HERU ISWIRNANDA</v>
      </c>
      <c r="C3861" s="3" t="str">
        <f>IFERROR(__xludf.DUMMYFUNCTION("""COMPUTED_VALUE"""),"U8726050256")</f>
        <v>U8726050256</v>
      </c>
      <c r="D3861" s="3">
        <f>IFERROR(__xludf.DUMMYFUNCTION("""COMPUTED_VALUE"""),38.0)</f>
        <v>38</v>
      </c>
      <c r="E3861" s="1"/>
    </row>
    <row r="3862">
      <c r="A3862" s="1"/>
      <c r="B3862" s="3" t="str">
        <f>IFERROR(__xludf.DUMMYFUNCTION("""COMPUTED_VALUE"""),"KENRICH ELSON UTOMO")</f>
        <v>KENRICH ELSON UTOMO</v>
      </c>
      <c r="C3862" s="3" t="str">
        <f>IFERROR(__xludf.DUMMYFUNCTION("""COMPUTED_VALUE"""),"K1426059293")</f>
        <v>K1426059293</v>
      </c>
      <c r="D3862" s="3">
        <f>IFERROR(__xludf.DUMMYFUNCTION("""COMPUTED_VALUE"""),12.0)</f>
        <v>12</v>
      </c>
      <c r="E3862" s="1"/>
    </row>
    <row r="3863">
      <c r="A3863" s="1"/>
      <c r="B3863" s="3" t="str">
        <f>IFERROR(__xludf.DUMMYFUNCTION("""COMPUTED_VALUE"""),"ELISABET ELISA ")</f>
        <v>ELISABET ELISA </v>
      </c>
      <c r="C3863" s="3" t="str">
        <f>IFERROR(__xludf.DUMMYFUNCTION("""COMPUTED_VALUE"""),"E0626052183")</f>
        <v>E0626052183</v>
      </c>
      <c r="D3863" s="3">
        <f>IFERROR(__xludf.DUMMYFUNCTION("""COMPUTED_VALUE"""),19.0)</f>
        <v>19</v>
      </c>
      <c r="E3863" s="1"/>
    </row>
    <row r="3864">
      <c r="A3864" s="1"/>
      <c r="B3864" s="3" t="str">
        <f>IFERROR(__xludf.DUMMYFUNCTION("""COMPUTED_VALUE"""),"PUTRI TIYA RISNA DEWI")</f>
        <v>PUTRI TIYA RISNA DEWI</v>
      </c>
      <c r="C3864" s="3" t="str">
        <f>IFERROR(__xludf.DUMMYFUNCTION("""COMPUTED_VALUE"""),"P9926053436")</f>
        <v>P9926053436</v>
      </c>
      <c r="D3864" s="3">
        <f>IFERROR(__xludf.DUMMYFUNCTION("""COMPUTED_VALUE"""),26.0)</f>
        <v>26</v>
      </c>
      <c r="E3864" s="1"/>
    </row>
    <row r="3865">
      <c r="A3865" s="1"/>
      <c r="B3865" s="3" t="str">
        <f>IFERROR(__xludf.DUMMYFUNCTION("""COMPUTED_VALUE"""),"NADIA STEVANIA ")</f>
        <v>NADIA STEVANIA </v>
      </c>
      <c r="C3865" s="3" t="str">
        <f>IFERROR(__xludf.DUMMYFUNCTION("""COMPUTED_VALUE"""),"N0226059688")</f>
        <v>N0226059688</v>
      </c>
      <c r="D3865" s="3">
        <f>IFERROR(__xludf.DUMMYFUNCTION("""COMPUTED_VALUE"""),23.0)</f>
        <v>23</v>
      </c>
      <c r="E3865" s="1"/>
    </row>
    <row r="3866">
      <c r="A3866" s="1"/>
      <c r="B3866" s="3" t="str">
        <f>IFERROR(__xludf.DUMMYFUNCTION("""COMPUTED_VALUE"""),"WITONO")</f>
        <v>WITONO</v>
      </c>
      <c r="C3866" s="3" t="str">
        <f>IFERROR(__xludf.DUMMYFUNCTION("""COMPUTED_VALUE"""),"W7026057821")</f>
        <v>W7026057821</v>
      </c>
      <c r="D3866" s="3">
        <f>IFERROR(__xludf.DUMMYFUNCTION("""COMPUTED_VALUE"""),55.0)</f>
        <v>55</v>
      </c>
      <c r="E3866" s="1"/>
    </row>
    <row r="3867">
      <c r="A3867" s="1"/>
      <c r="B3867" s="3" t="str">
        <f>IFERROR(__xludf.DUMMYFUNCTION("""COMPUTED_VALUE"""),"NURYANI")</f>
        <v>NURYANI</v>
      </c>
      <c r="C3867" s="3" t="str">
        <f>IFERROR(__xludf.DUMMYFUNCTION("""COMPUTED_VALUE"""),"N6326055144")</f>
        <v>N6326055144</v>
      </c>
      <c r="D3867" s="3">
        <f>IFERROR(__xludf.DUMMYFUNCTION("""COMPUTED_VALUE"""),62.0)</f>
        <v>62</v>
      </c>
      <c r="E3867" s="1"/>
    </row>
    <row r="3868">
      <c r="A3868" s="1"/>
      <c r="B3868" s="3" t="str">
        <f>IFERROR(__xludf.DUMMYFUNCTION("""COMPUTED_VALUE"""),"WAGIATI")</f>
        <v>WAGIATI</v>
      </c>
      <c r="C3868" s="3" t="str">
        <f>IFERROR(__xludf.DUMMYFUNCTION("""COMPUTED_VALUE"""),"W7526056253")</f>
        <v>W7526056253</v>
      </c>
      <c r="D3868" s="3">
        <f>IFERROR(__xludf.DUMMYFUNCTION("""COMPUTED_VALUE"""),50.0)</f>
        <v>50</v>
      </c>
      <c r="E3868" s="1"/>
    </row>
    <row r="3869">
      <c r="A3869" s="1"/>
      <c r="B3869" s="3" t="str">
        <f>IFERROR(__xludf.DUMMYFUNCTION("""COMPUTED_VALUE"""),"FIRDA")</f>
        <v>FIRDA</v>
      </c>
      <c r="C3869" s="3" t="str">
        <f>IFERROR(__xludf.DUMMYFUNCTION("""COMPUTED_VALUE"""),"F8926051000")</f>
        <v>F8926051000</v>
      </c>
      <c r="D3869" s="3">
        <f>IFERROR(__xludf.DUMMYFUNCTION("""COMPUTED_VALUE"""),37.0)</f>
        <v>37</v>
      </c>
      <c r="E3869" s="1"/>
    </row>
    <row r="3870">
      <c r="A3870" s="1"/>
      <c r="B3870" s="3" t="str">
        <f>IFERROR(__xludf.DUMMYFUNCTION("""COMPUTED_VALUE"""),"MUHAMMAD SOULTANI")</f>
        <v>MUHAMMAD SOULTANI</v>
      </c>
      <c r="C3870" s="3" t="str">
        <f>IFERROR(__xludf.DUMMYFUNCTION("""COMPUTED_VALUE"""),"M8726057870")</f>
        <v>M8726057870</v>
      </c>
      <c r="D3870" s="3">
        <f>IFERROR(__xludf.DUMMYFUNCTION("""COMPUTED_VALUE"""),38.0)</f>
        <v>38</v>
      </c>
      <c r="E3870" s="1"/>
    </row>
    <row r="3871">
      <c r="A3871" s="1"/>
      <c r="B3871" s="3" t="str">
        <f>IFERROR(__xludf.DUMMYFUNCTION("""COMPUTED_VALUE"""),"SAODAH")</f>
        <v>SAODAH</v>
      </c>
      <c r="C3871" s="3" t="str">
        <f>IFERROR(__xludf.DUMMYFUNCTION("""COMPUTED_VALUE"""),"S6026058929")</f>
        <v>S6026058929</v>
      </c>
      <c r="D3871" s="3">
        <f>IFERROR(__xludf.DUMMYFUNCTION("""COMPUTED_VALUE"""),65.0)</f>
        <v>65</v>
      </c>
      <c r="E3871" s="1"/>
    </row>
    <row r="3872">
      <c r="A3872" s="1"/>
      <c r="B3872" s="3" t="str">
        <f>IFERROR(__xludf.DUMMYFUNCTION("""COMPUTED_VALUE"""),"SUDARTI RAHMAN")</f>
        <v>SUDARTI RAHMAN</v>
      </c>
      <c r="C3872" s="3" t="str">
        <f>IFERROR(__xludf.DUMMYFUNCTION("""COMPUTED_VALUE"""),"S5826059696")</f>
        <v>S5826059696</v>
      </c>
      <c r="D3872" s="3">
        <f>IFERROR(__xludf.DUMMYFUNCTION("""COMPUTED_VALUE"""),68.0)</f>
        <v>68</v>
      </c>
      <c r="E3872" s="1"/>
    </row>
    <row r="3873">
      <c r="A3873" s="1"/>
      <c r="B3873" s="3" t="str">
        <f>IFERROR(__xludf.DUMMYFUNCTION("""COMPUTED_VALUE"""),"INDRA SETIYAWAN")</f>
        <v>INDRA SETIYAWAN</v>
      </c>
      <c r="C3873" s="3" t="str">
        <f>IFERROR(__xludf.DUMMYFUNCTION("""COMPUTED_VALUE"""),"I9926051758")</f>
        <v>I9926051758</v>
      </c>
      <c r="D3873" s="3">
        <f>IFERROR(__xludf.DUMMYFUNCTION("""COMPUTED_VALUE"""),26.0)</f>
        <v>26</v>
      </c>
      <c r="E3873" s="1"/>
    </row>
    <row r="3874">
      <c r="A3874" s="1"/>
      <c r="B3874" s="3" t="str">
        <f>IFERROR(__xludf.DUMMYFUNCTION("""COMPUTED_VALUE"""),"MARIA AGNES ")</f>
        <v>MARIA AGNES </v>
      </c>
      <c r="C3874" s="3" t="str">
        <f>IFERROR(__xludf.DUMMYFUNCTION("""COMPUTED_VALUE"""),"M9626055850")</f>
        <v>M9626055850</v>
      </c>
      <c r="D3874" s="3">
        <f>IFERROR(__xludf.DUMMYFUNCTION("""COMPUTED_VALUE"""),29.0)</f>
        <v>29</v>
      </c>
      <c r="E3874" s="1"/>
    </row>
    <row r="3875">
      <c r="A3875" s="1"/>
      <c r="B3875" s="3" t="str">
        <f>IFERROR(__xludf.DUMMYFUNCTION("""COMPUTED_VALUE"""),"HADI YULIANTO")</f>
        <v>HADI YULIANTO</v>
      </c>
      <c r="C3875" s="3" t="str">
        <f>IFERROR(__xludf.DUMMYFUNCTION("""COMPUTED_VALUE"""),"H9126053438")</f>
        <v>H9126053438</v>
      </c>
      <c r="D3875" s="3">
        <f>IFERROR(__xludf.DUMMYFUNCTION("""COMPUTED_VALUE"""),35.0)</f>
        <v>35</v>
      </c>
      <c r="E3875" s="1"/>
    </row>
    <row r="3876">
      <c r="A3876" s="1"/>
      <c r="B3876" s="3" t="str">
        <f>IFERROR(__xludf.DUMMYFUNCTION("""COMPUTED_VALUE"""),"MUHAMMAD ADITYA HAPSORO")</f>
        <v>MUHAMMAD ADITYA HAPSORO</v>
      </c>
      <c r="C3876" s="3" t="str">
        <f>IFERROR(__xludf.DUMMYFUNCTION("""COMPUTED_VALUE"""),"M9726059925")</f>
        <v>M9726059925</v>
      </c>
      <c r="D3876" s="3">
        <f>IFERROR(__xludf.DUMMYFUNCTION("""COMPUTED_VALUE"""),28.0)</f>
        <v>28</v>
      </c>
      <c r="E3876" s="1"/>
    </row>
    <row r="3877">
      <c r="A3877" s="1"/>
      <c r="B3877" s="3" t="str">
        <f>IFERROR(__xludf.DUMMYFUNCTION("""COMPUTED_VALUE"""),"GEMILANG HOSHI HAYET ")</f>
        <v>GEMILANG HOSHI HAYET </v>
      </c>
      <c r="C3877" s="3" t="str">
        <f>IFERROR(__xludf.DUMMYFUNCTION("""COMPUTED_VALUE"""),"G1126056837")</f>
        <v>G1126056837</v>
      </c>
      <c r="D3877" s="3">
        <f>IFERROR(__xludf.DUMMYFUNCTION("""COMPUTED_VALUE"""),14.0)</f>
        <v>14</v>
      </c>
      <c r="E3877" s="1"/>
    </row>
    <row r="3878">
      <c r="A3878" s="1"/>
      <c r="B3878" s="3" t="str">
        <f>IFERROR(__xludf.DUMMYFUNCTION("""COMPUTED_VALUE"""),"HENDRI BUDIYANTO")</f>
        <v>HENDRI BUDIYANTO</v>
      </c>
      <c r="C3878" s="3" t="str">
        <f>IFERROR(__xludf.DUMMYFUNCTION("""COMPUTED_VALUE"""),"H0326059855")</f>
        <v>H0326059855</v>
      </c>
      <c r="D3878" s="3">
        <f>IFERROR(__xludf.DUMMYFUNCTION("""COMPUTED_VALUE"""),23.0)</f>
        <v>23</v>
      </c>
      <c r="E3878" s="1"/>
    </row>
    <row r="3879">
      <c r="A3879" s="1"/>
      <c r="B3879" s="3" t="str">
        <f>IFERROR(__xludf.DUMMYFUNCTION("""COMPUTED_VALUE"""),"TITIK HARYATI")</f>
        <v>TITIK HARYATI</v>
      </c>
      <c r="C3879" s="3" t="str">
        <f>IFERROR(__xludf.DUMMYFUNCTION("""COMPUTED_VALUE"""),"T5326050902")</f>
        <v>T5326050902</v>
      </c>
      <c r="D3879" s="3">
        <f>IFERROR(__xludf.DUMMYFUNCTION("""COMPUTED_VALUE"""),73.0)</f>
        <v>73</v>
      </c>
      <c r="E3879" s="1"/>
    </row>
    <row r="3880">
      <c r="A3880" s="1"/>
      <c r="B3880" s="3" t="str">
        <f>IFERROR(__xludf.DUMMYFUNCTION("""COMPUTED_VALUE"""),"ABDIAS JURITINO")</f>
        <v>ABDIAS JURITINO</v>
      </c>
      <c r="C3880" s="3" t="str">
        <f>IFERROR(__xludf.DUMMYFUNCTION("""COMPUTED_VALUE"""),"A0526051851")</f>
        <v>A0526051851</v>
      </c>
      <c r="D3880" s="3">
        <f>IFERROR(__xludf.DUMMYFUNCTION("""COMPUTED_VALUE"""),20.0)</f>
        <v>20</v>
      </c>
      <c r="E3880" s="1"/>
    </row>
    <row r="3881">
      <c r="A3881" s="1"/>
      <c r="B3881" s="3" t="str">
        <f>IFERROR(__xludf.DUMMYFUNCTION("""COMPUTED_VALUE"""),"SALWA SALSABILA")</f>
        <v>SALWA SALSABILA</v>
      </c>
      <c r="C3881" s="3" t="str">
        <f>IFERROR(__xludf.DUMMYFUNCTION("""COMPUTED_VALUE"""),"S9926063350")</f>
        <v>S9926063350</v>
      </c>
      <c r="D3881" s="3">
        <f>IFERROR(__xludf.DUMMYFUNCTION("""COMPUTED_VALUE"""),27.0)</f>
        <v>27</v>
      </c>
      <c r="E3881" s="1"/>
    </row>
    <row r="3882">
      <c r="A3882" s="1"/>
      <c r="B3882" s="3" t="str">
        <f>IFERROR(__xludf.DUMMYFUNCTION("""COMPUTED_VALUE"""),"SANGAPTA SITEPU")</f>
        <v>SANGAPTA SITEPU</v>
      </c>
      <c r="C3882" s="3" t="str">
        <f>IFERROR(__xludf.DUMMYFUNCTION("""COMPUTED_VALUE"""),"S8526068861")</f>
        <v>S8526068861</v>
      </c>
      <c r="D3882" s="3">
        <f>IFERROR(__xludf.DUMMYFUNCTION("""COMPUTED_VALUE"""),41.0)</f>
        <v>41</v>
      </c>
      <c r="E3882" s="1"/>
    </row>
    <row r="3883">
      <c r="A3883" s="1"/>
      <c r="B3883" s="3" t="str">
        <f>IFERROR(__xludf.DUMMYFUNCTION("""COMPUTED_VALUE"""),"RIRIN PURNAMA DEWI")</f>
        <v>RIRIN PURNAMA DEWI</v>
      </c>
      <c r="C3883" s="3" t="str">
        <f>IFERROR(__xludf.DUMMYFUNCTION("""COMPUTED_VALUE"""),"R9526069710")</f>
        <v>R9526069710</v>
      </c>
      <c r="D3883" s="3">
        <f>IFERROR(__xludf.DUMMYFUNCTION("""COMPUTED_VALUE"""),30.0)</f>
        <v>30</v>
      </c>
      <c r="E3883" s="1"/>
    </row>
    <row r="3884">
      <c r="A3884" s="1"/>
      <c r="B3884" s="3" t="str">
        <f>IFERROR(__xludf.DUMMYFUNCTION("""COMPUTED_VALUE"""),"SAMIMA")</f>
        <v>SAMIMA</v>
      </c>
      <c r="C3884" s="3" t="str">
        <f>IFERROR(__xludf.DUMMYFUNCTION("""COMPUTED_VALUE"""),"S9826060651")</f>
        <v>S9826060651</v>
      </c>
      <c r="D3884" s="3">
        <f>IFERROR(__xludf.DUMMYFUNCTION("""COMPUTED_VALUE"""),27.0)</f>
        <v>27</v>
      </c>
      <c r="E3884" s="1"/>
    </row>
    <row r="3885">
      <c r="A3885" s="1"/>
      <c r="B3885" s="3" t="str">
        <f>IFERROR(__xludf.DUMMYFUNCTION("""COMPUTED_VALUE"""),"SYF NURAINI")</f>
        <v>SYF NURAINI</v>
      </c>
      <c r="C3885" s="3" t="str">
        <f>IFERROR(__xludf.DUMMYFUNCTION("""COMPUTED_VALUE"""),"S6626068878")</f>
        <v>S6626068878</v>
      </c>
      <c r="D3885" s="3">
        <f>IFERROR(__xludf.DUMMYFUNCTION("""COMPUTED_VALUE"""),60.0)</f>
        <v>60</v>
      </c>
      <c r="E3885" s="1"/>
    </row>
    <row r="3886">
      <c r="A3886" s="1"/>
      <c r="B3886" s="3" t="str">
        <f>IFERROR(__xludf.DUMMYFUNCTION("""COMPUTED_VALUE"""),"MUHAMMAD LUTHFIR RAHMAN")</f>
        <v>MUHAMMAD LUTHFIR RAHMAN</v>
      </c>
      <c r="C3886" s="3" t="str">
        <f>IFERROR(__xludf.DUMMYFUNCTION("""COMPUTED_VALUE"""),"M1326066368")</f>
        <v>M1326066368</v>
      </c>
      <c r="D3886" s="3">
        <f>IFERROR(__xludf.DUMMYFUNCTION("""COMPUTED_VALUE"""),13.0)</f>
        <v>13</v>
      </c>
      <c r="E3886" s="1"/>
    </row>
    <row r="3887">
      <c r="A3887" s="1"/>
      <c r="B3887" s="3" t="str">
        <f>IFERROR(__xludf.DUMMYFUNCTION("""COMPUTED_VALUE"""),"R. ADANG ERI RISWANA")</f>
        <v>R. ADANG ERI RISWANA</v>
      </c>
      <c r="C3887" s="3" t="str">
        <f>IFERROR(__xludf.DUMMYFUNCTION("""COMPUTED_VALUE"""),"R8026065125")</f>
        <v>R8026065125</v>
      </c>
      <c r="D3887" s="3">
        <f>IFERROR(__xludf.DUMMYFUNCTION("""COMPUTED_VALUE"""),45.0)</f>
        <v>45</v>
      </c>
      <c r="E3887" s="1"/>
    </row>
    <row r="3888">
      <c r="A3888" s="1"/>
      <c r="B3888" s="3" t="str">
        <f>IFERROR(__xludf.DUMMYFUNCTION("""COMPUTED_VALUE"""),"HERMI HERMAWAN")</f>
        <v>HERMI HERMAWAN</v>
      </c>
      <c r="C3888" s="3" t="str">
        <f>IFERROR(__xludf.DUMMYFUNCTION("""COMPUTED_VALUE"""),"H8126061485")</f>
        <v>H8126061485</v>
      </c>
      <c r="D3888" s="3">
        <f>IFERROR(__xludf.DUMMYFUNCTION("""COMPUTED_VALUE"""),45.0)</f>
        <v>45</v>
      </c>
      <c r="E3888" s="1"/>
    </row>
    <row r="3889">
      <c r="A3889" s="1"/>
      <c r="B3889" s="3" t="str">
        <f>IFERROR(__xludf.DUMMYFUNCTION("""COMPUTED_VALUE"""),"ENDY MAULIDI")</f>
        <v>ENDY MAULIDI</v>
      </c>
      <c r="C3889" s="3" t="str">
        <f>IFERROR(__xludf.DUMMYFUNCTION("""COMPUTED_VALUE"""),"E9226067470")</f>
        <v>E9226067470</v>
      </c>
      <c r="D3889" s="3">
        <f>IFERROR(__xludf.DUMMYFUNCTION("""COMPUTED_VALUE"""),33.0)</f>
        <v>33</v>
      </c>
      <c r="E3889" s="1"/>
    </row>
    <row r="3890">
      <c r="A3890" s="1"/>
      <c r="B3890" s="3" t="str">
        <f>IFERROR(__xludf.DUMMYFUNCTION("""COMPUTED_VALUE"""),"HAIKAL DEVEN")</f>
        <v>HAIKAL DEVEN</v>
      </c>
      <c r="C3890" s="3" t="str">
        <f>IFERROR(__xludf.DUMMYFUNCTION("""COMPUTED_VALUE"""),"H1026068810")</f>
        <v>H1026068810</v>
      </c>
      <c r="D3890" s="3">
        <f>IFERROR(__xludf.DUMMYFUNCTION("""COMPUTED_VALUE"""),16.0)</f>
        <v>16</v>
      </c>
      <c r="E3890" s="1"/>
    </row>
    <row r="3891">
      <c r="A3891" s="1"/>
      <c r="B3891" s="3" t="str">
        <f>IFERROR(__xludf.DUMMYFUNCTION("""COMPUTED_VALUE"""),"TUTI MULYATI")</f>
        <v>TUTI MULYATI</v>
      </c>
      <c r="C3891" s="3" t="str">
        <f>IFERROR(__xludf.DUMMYFUNCTION("""COMPUTED_VALUE"""),"T6326061565")</f>
        <v>T6326061565</v>
      </c>
      <c r="D3891" s="3">
        <f>IFERROR(__xludf.DUMMYFUNCTION("""COMPUTED_VALUE"""),63.0)</f>
        <v>63</v>
      </c>
      <c r="E3891" s="1"/>
    </row>
    <row r="3892">
      <c r="A3892" s="1"/>
      <c r="B3892" s="3" t="str">
        <f>IFERROR(__xludf.DUMMYFUNCTION("""COMPUTED_VALUE"""),"RHAFA AL QAHFY")</f>
        <v>RHAFA AL QAHFY</v>
      </c>
      <c r="C3892" s="3" t="str">
        <f>IFERROR(__xludf.DUMMYFUNCTION("""COMPUTED_VALUE"""),"R0726065339")</f>
        <v>R0726065339</v>
      </c>
      <c r="D3892" s="3">
        <f>IFERROR(__xludf.DUMMYFUNCTION("""COMPUTED_VALUE"""),18.0)</f>
        <v>18</v>
      </c>
      <c r="E3892" s="1"/>
    </row>
    <row r="3893">
      <c r="A3893" s="1"/>
      <c r="B3893" s="3" t="str">
        <f>IFERROR(__xludf.DUMMYFUNCTION("""COMPUTED_VALUE"""),"YULIA RAMADHIYANTI")</f>
        <v>YULIA RAMADHIYANTI</v>
      </c>
      <c r="C3893" s="3" t="str">
        <f>IFERROR(__xludf.DUMMYFUNCTION("""COMPUTED_VALUE"""),"Y8226066566")</f>
        <v>Y8226066566</v>
      </c>
      <c r="D3893" s="3">
        <f>IFERROR(__xludf.DUMMYFUNCTION("""COMPUTED_VALUE"""),43.0)</f>
        <v>43</v>
      </c>
      <c r="E3893" s="1"/>
    </row>
    <row r="3894">
      <c r="A3894" s="1"/>
      <c r="B3894" s="3" t="str">
        <f>IFERROR(__xludf.DUMMYFUNCTION("""COMPUTED_VALUE"""),"HASAN BASRI ")</f>
        <v>HASAN BASRI </v>
      </c>
      <c r="C3894" s="3" t="str">
        <f>IFERROR(__xludf.DUMMYFUNCTION("""COMPUTED_VALUE"""),"H6526063635")</f>
        <v>H6526063635</v>
      </c>
      <c r="D3894" s="3">
        <f>IFERROR(__xludf.DUMMYFUNCTION("""COMPUTED_VALUE"""),61.0)</f>
        <v>61</v>
      </c>
      <c r="E3894" s="1"/>
    </row>
    <row r="3895">
      <c r="A3895" s="1"/>
      <c r="B3895" s="3" t="str">
        <f>IFERROR(__xludf.DUMMYFUNCTION("""COMPUTED_VALUE"""),"IPAH SIDA , S.E.")</f>
        <v>IPAH SIDA , S.E.</v>
      </c>
      <c r="C3895" s="3" t="str">
        <f>IFERROR(__xludf.DUMMYFUNCTION("""COMPUTED_VALUE"""),"I8426061984")</f>
        <v>I8426061984</v>
      </c>
      <c r="D3895" s="3">
        <f>IFERROR(__xludf.DUMMYFUNCTION("""COMPUTED_VALUE"""),41.0)</f>
        <v>41</v>
      </c>
      <c r="E3895" s="1"/>
    </row>
    <row r="3896">
      <c r="A3896" s="1"/>
      <c r="B3896" s="3" t="str">
        <f>IFERROR(__xludf.DUMMYFUNCTION("""COMPUTED_VALUE"""),"NINING DWI PUSPITASARI ")</f>
        <v>NINING DWI PUSPITASARI </v>
      </c>
      <c r="C3896" s="3" t="str">
        <f>IFERROR(__xludf.DUMMYFUNCTION("""COMPUTED_VALUE"""),"N9026065696")</f>
        <v>N9026065696</v>
      </c>
      <c r="D3896" s="3">
        <f>IFERROR(__xludf.DUMMYFUNCTION("""COMPUTED_VALUE"""),35.0)</f>
        <v>35</v>
      </c>
      <c r="E3896" s="1"/>
    </row>
    <row r="3897">
      <c r="A3897" s="1"/>
      <c r="B3897" s="3" t="str">
        <f>IFERROR(__xludf.DUMMYFUNCTION("""COMPUTED_VALUE"""),"STIVEN")</f>
        <v>STIVEN</v>
      </c>
      <c r="C3897" s="3" t="str">
        <f>IFERROR(__xludf.DUMMYFUNCTION("""COMPUTED_VALUE"""),"S0426068353")</f>
        <v>S0426068353</v>
      </c>
      <c r="D3897" s="3">
        <f>IFERROR(__xludf.DUMMYFUNCTION("""COMPUTED_VALUE"""),21.0)</f>
        <v>21</v>
      </c>
      <c r="E3897" s="1"/>
    </row>
    <row r="3898">
      <c r="A3898" s="1"/>
      <c r="B3898" s="3" t="str">
        <f>IFERROR(__xludf.DUMMYFUNCTION("""COMPUTED_VALUE"""),"ALDI RANDY YUDO")</f>
        <v>ALDI RANDY YUDO</v>
      </c>
      <c r="C3898" s="3" t="str">
        <f>IFERROR(__xludf.DUMMYFUNCTION("""COMPUTED_VALUE"""),"A9226062020")</f>
        <v>A9226062020</v>
      </c>
      <c r="D3898" s="3">
        <f>IFERROR(__xludf.DUMMYFUNCTION("""COMPUTED_VALUE"""),34.0)</f>
        <v>34</v>
      </c>
      <c r="E3898" s="1"/>
    </row>
    <row r="3899">
      <c r="A3899" s="1"/>
      <c r="B3899" s="3" t="str">
        <f>IFERROR(__xludf.DUMMYFUNCTION("""COMPUTED_VALUE"""),"EFRIANA")</f>
        <v>EFRIANA</v>
      </c>
      <c r="C3899" s="3" t="str">
        <f>IFERROR(__xludf.DUMMYFUNCTION("""COMPUTED_VALUE"""),"E9426069108")</f>
        <v>E9426069108</v>
      </c>
      <c r="D3899" s="3">
        <f>IFERROR(__xludf.DUMMYFUNCTION("""COMPUTED_VALUE"""),32.0)</f>
        <v>32</v>
      </c>
      <c r="E3899" s="1"/>
    </row>
    <row r="3900">
      <c r="A3900" s="1"/>
      <c r="B3900" s="3" t="str">
        <f>IFERROR(__xludf.DUMMYFUNCTION("""COMPUTED_VALUE"""),"SUMARNI")</f>
        <v>SUMARNI</v>
      </c>
      <c r="C3900" s="3" t="str">
        <f>IFERROR(__xludf.DUMMYFUNCTION("""COMPUTED_VALUE"""),"S8226060509")</f>
        <v>S8226060509</v>
      </c>
      <c r="D3900" s="3">
        <f>IFERROR(__xludf.DUMMYFUNCTION("""COMPUTED_VALUE"""),44.0)</f>
        <v>44</v>
      </c>
      <c r="E3900" s="1"/>
    </row>
    <row r="3901">
      <c r="A3901" s="1"/>
      <c r="B3901" s="3" t="str">
        <f>IFERROR(__xludf.DUMMYFUNCTION("""COMPUTED_VALUE"""),"NISAH")</f>
        <v>NISAH</v>
      </c>
      <c r="C3901" s="3" t="str">
        <f>IFERROR(__xludf.DUMMYFUNCTION("""COMPUTED_VALUE"""),"N7226062266")</f>
        <v>N7226062266</v>
      </c>
      <c r="D3901" s="3">
        <f>IFERROR(__xludf.DUMMYFUNCTION("""COMPUTED_VALUE"""),53.0)</f>
        <v>53</v>
      </c>
      <c r="E3901" s="1"/>
    </row>
    <row r="3902">
      <c r="A3902" s="1"/>
      <c r="B3902" s="3" t="str">
        <f>IFERROR(__xludf.DUMMYFUNCTION("""COMPUTED_VALUE"""),"DEWI")</f>
        <v>DEWI</v>
      </c>
      <c r="C3902" s="3" t="str">
        <f>IFERROR(__xludf.DUMMYFUNCTION("""COMPUTED_VALUE"""),"D892606ba")</f>
        <v>D892606ba</v>
      </c>
      <c r="D3902" s="3">
        <f>IFERROR(__xludf.DUMMYFUNCTION("""COMPUTED_VALUE"""),37.0)</f>
        <v>37</v>
      </c>
      <c r="E3902" s="1"/>
    </row>
    <row r="3903">
      <c r="A3903" s="1"/>
      <c r="B3903" s="3" t="str">
        <f>IFERROR(__xludf.DUMMYFUNCTION("""COMPUTED_VALUE"""),"DIAH KURNIATI")</f>
        <v>DIAH KURNIATI</v>
      </c>
      <c r="C3903" s="3" t="str">
        <f>IFERROR(__xludf.DUMMYFUNCTION("""COMPUTED_VALUE"""),"D8026067741")</f>
        <v>D8026067741</v>
      </c>
      <c r="D3903" s="3">
        <f>IFERROR(__xludf.DUMMYFUNCTION("""COMPUTED_VALUE"""),45.0)</f>
        <v>45</v>
      </c>
      <c r="E3903" s="1"/>
    </row>
    <row r="3904">
      <c r="A3904" s="1"/>
      <c r="B3904" s="3" t="str">
        <f>IFERROR(__xludf.DUMMYFUNCTION("""COMPUTED_VALUE"""),"HERMI HERMAWAN")</f>
        <v>HERMI HERMAWAN</v>
      </c>
      <c r="C3904" s="3" t="str">
        <f>IFERROR(__xludf.DUMMYFUNCTION("""COMPUTED_VALUE"""),"H8126067772")</f>
        <v>H8126067772</v>
      </c>
      <c r="D3904" s="3">
        <f>IFERROR(__xludf.DUMMYFUNCTION("""COMPUTED_VALUE"""),45.0)</f>
        <v>45</v>
      </c>
      <c r="E3904" s="1"/>
    </row>
    <row r="3905">
      <c r="A3905" s="1"/>
      <c r="B3905" s="3" t="str">
        <f>IFERROR(__xludf.DUMMYFUNCTION("""COMPUTED_VALUE"""),"DIAH KURNIATI")</f>
        <v>DIAH KURNIATI</v>
      </c>
      <c r="C3905" s="3" t="str">
        <f>IFERROR(__xludf.DUMMYFUNCTION("""COMPUTED_VALUE"""),"D8026067741")</f>
        <v>D8026067741</v>
      </c>
      <c r="D3905" s="3">
        <f>IFERROR(__xludf.DUMMYFUNCTION("""COMPUTED_VALUE"""),45.0)</f>
        <v>45</v>
      </c>
      <c r="E3905" s="1"/>
    </row>
    <row r="3906">
      <c r="A3906" s="1"/>
      <c r="B3906" s="3" t="str">
        <f>IFERROR(__xludf.DUMMYFUNCTION("""COMPUTED_VALUE"""),"HERMI HERMAWAN")</f>
        <v>HERMI HERMAWAN</v>
      </c>
      <c r="C3906" s="3" t="str">
        <f>IFERROR(__xludf.DUMMYFUNCTION("""COMPUTED_VALUE"""),"H8126067772")</f>
        <v>H8126067772</v>
      </c>
      <c r="D3906" s="3">
        <f>IFERROR(__xludf.DUMMYFUNCTION("""COMPUTED_VALUE"""),45.0)</f>
        <v>45</v>
      </c>
      <c r="E3906" s="1"/>
    </row>
    <row r="3907">
      <c r="A3907" s="1"/>
      <c r="B3907" s="3" t="str">
        <f>IFERROR(__xludf.DUMMYFUNCTION("""COMPUTED_VALUE"""),"DARA APRILA YUSLYANI")</f>
        <v>DARA APRILA YUSLYANI</v>
      </c>
      <c r="C3907" s="3" t="str">
        <f>IFERROR(__xludf.DUMMYFUNCTION("""COMPUTED_VALUE"""),"D9526063678")</f>
        <v>D9526063678</v>
      </c>
      <c r="D3907" s="3">
        <f>IFERROR(__xludf.DUMMYFUNCTION("""COMPUTED_VALUE"""),31.0)</f>
        <v>31</v>
      </c>
      <c r="E3907" s="1"/>
    </row>
    <row r="3908">
      <c r="A3908" s="1"/>
      <c r="B3908" s="3" t="str">
        <f>IFERROR(__xludf.DUMMYFUNCTION("""COMPUTED_VALUE"""),"ROBIYATI")</f>
        <v>ROBIYATI</v>
      </c>
      <c r="C3908" s="3" t="str">
        <f>IFERROR(__xludf.DUMMYFUNCTION("""COMPUTED_VALUE"""),"R7626066583")</f>
        <v>R7626066583</v>
      </c>
      <c r="D3908" s="3">
        <f>IFERROR(__xludf.DUMMYFUNCTION("""COMPUTED_VALUE"""),49.0)</f>
        <v>49</v>
      </c>
      <c r="E3908" s="1"/>
    </row>
    <row r="3909">
      <c r="A3909" s="1"/>
      <c r="B3909" s="3" t="str">
        <f>IFERROR(__xludf.DUMMYFUNCTION("""COMPUTED_VALUE"""),"KUKUH WIDADI")</f>
        <v>KUKUH WIDADI</v>
      </c>
      <c r="C3909" s="3" t="str">
        <f>IFERROR(__xludf.DUMMYFUNCTION("""COMPUTED_VALUE"""),"K9026061487")</f>
        <v>K9026061487</v>
      </c>
      <c r="D3909" s="3">
        <f>IFERROR(__xludf.DUMMYFUNCTION("""COMPUTED_VALUE"""),35.0)</f>
        <v>35</v>
      </c>
      <c r="E3909" s="1"/>
    </row>
    <row r="3910">
      <c r="A3910" s="1"/>
      <c r="B3910" s="3" t="str">
        <f>IFERROR(__xludf.DUMMYFUNCTION("""COMPUTED_VALUE"""),"HABIBULLAH")</f>
        <v>HABIBULLAH</v>
      </c>
      <c r="C3910" s="3" t="str">
        <f>IFERROR(__xludf.DUMMYFUNCTION("""COMPUTED_VALUE"""),"H7626060660")</f>
        <v>H7626060660</v>
      </c>
      <c r="D3910" s="3">
        <f>IFERROR(__xludf.DUMMYFUNCTION("""COMPUTED_VALUE"""),49.0)</f>
        <v>49</v>
      </c>
      <c r="E3910" s="1"/>
    </row>
    <row r="3911">
      <c r="A3911" s="1"/>
      <c r="B3911" s="3" t="str">
        <f>IFERROR(__xludf.DUMMYFUNCTION("""COMPUTED_VALUE"""),"SYARIF MAUDUDI ANSARI")</f>
        <v>SYARIF MAUDUDI ANSARI</v>
      </c>
      <c r="C3911" s="3" t="str">
        <f>IFERROR(__xludf.DUMMYFUNCTION("""COMPUTED_VALUE"""),"S9026069284")</f>
        <v>S9026069284</v>
      </c>
      <c r="D3911" s="3">
        <f>IFERROR(__xludf.DUMMYFUNCTION("""COMPUTED_VALUE"""),36.0)</f>
        <v>36</v>
      </c>
      <c r="E3911" s="1"/>
    </row>
    <row r="3912">
      <c r="A3912" s="1"/>
      <c r="B3912" s="3" t="str">
        <f>IFERROR(__xludf.DUMMYFUNCTION("""COMPUTED_VALUE"""),"ARINI")</f>
        <v>ARINI</v>
      </c>
      <c r="C3912" s="3" t="str">
        <f>IFERROR(__xludf.DUMMYFUNCTION("""COMPUTED_VALUE"""),"A7726065868")</f>
        <v>A7726065868</v>
      </c>
      <c r="D3912" s="3">
        <f>IFERROR(__xludf.DUMMYFUNCTION("""COMPUTED_VALUE"""),49.0)</f>
        <v>49</v>
      </c>
      <c r="E3912" s="1"/>
    </row>
    <row r="3913">
      <c r="A3913" s="1"/>
      <c r="B3913" s="3" t="str">
        <f>IFERROR(__xludf.DUMMYFUNCTION("""COMPUTED_VALUE"""),"JAWARIYAH")</f>
        <v>JAWARIYAH</v>
      </c>
      <c r="C3913" s="3" t="str">
        <f>IFERROR(__xludf.DUMMYFUNCTION("""COMPUTED_VALUE"""),"J6426063757")</f>
        <v>J6426063757</v>
      </c>
      <c r="D3913" s="3">
        <f>IFERROR(__xludf.DUMMYFUNCTION("""COMPUTED_VALUE"""),62.0)</f>
        <v>62</v>
      </c>
      <c r="E3913" s="1"/>
    </row>
    <row r="3914">
      <c r="A3914" s="1"/>
      <c r="B3914" s="3" t="str">
        <f>IFERROR(__xludf.DUMMYFUNCTION("""COMPUTED_VALUE"""),"SHOCHIHATUZ")</f>
        <v>SHOCHIHATUZ</v>
      </c>
      <c r="C3914" s="3" t="str">
        <f>IFERROR(__xludf.DUMMYFUNCTION("""COMPUTED_VALUE"""),"S9426069383")</f>
        <v>S9426069383</v>
      </c>
      <c r="D3914" s="3">
        <f>IFERROR(__xludf.DUMMYFUNCTION("""COMPUTED_VALUE"""),31.0)</f>
        <v>31</v>
      </c>
      <c r="E3914" s="1"/>
    </row>
    <row r="3915">
      <c r="A3915" s="1"/>
      <c r="B3915" s="3" t="str">
        <f>IFERROR(__xludf.DUMMYFUNCTION("""COMPUTED_VALUE"""),"LUKAS FAJAR")</f>
        <v>LUKAS FAJAR</v>
      </c>
      <c r="C3915" s="3" t="str">
        <f>IFERROR(__xludf.DUMMYFUNCTION("""COMPUTED_VALUE"""),"L0126069099")</f>
        <v>L0126069099</v>
      </c>
      <c r="D3915" s="3">
        <f>IFERROR(__xludf.DUMMYFUNCTION("""COMPUTED_VALUE"""),25.0)</f>
        <v>25</v>
      </c>
      <c r="E3915" s="1"/>
    </row>
    <row r="3916">
      <c r="A3916" s="1"/>
      <c r="B3916" s="3" t="str">
        <f>IFERROR(__xludf.DUMMYFUNCTION("""COMPUTED_VALUE"""),"ZAKI MUBARAK")</f>
        <v>ZAKI MUBARAK</v>
      </c>
      <c r="C3916" s="3" t="str">
        <f>IFERROR(__xludf.DUMMYFUNCTION("""COMPUTED_VALUE"""),"Z0226060742")</f>
        <v>Z0226060742</v>
      </c>
      <c r="D3916" s="3">
        <f>IFERROR(__xludf.DUMMYFUNCTION("""COMPUTED_VALUE"""),23.0)</f>
        <v>23</v>
      </c>
      <c r="E3916" s="1"/>
    </row>
    <row r="3917">
      <c r="A3917" s="1"/>
      <c r="B3917" s="3" t="str">
        <f>IFERROR(__xludf.DUMMYFUNCTION("""COMPUTED_VALUE"""),"MILAWATY")</f>
        <v>MILAWATY</v>
      </c>
      <c r="C3917" s="3" t="str">
        <f>IFERROR(__xludf.DUMMYFUNCTION("""COMPUTED_VALUE"""),"M6326065357")</f>
        <v>M6326065357</v>
      </c>
      <c r="D3917" s="3">
        <f>IFERROR(__xludf.DUMMYFUNCTION("""COMPUTED_VALUE"""),62.0)</f>
        <v>62</v>
      </c>
      <c r="E3917" s="1"/>
    </row>
    <row r="3918">
      <c r="A3918" s="1"/>
      <c r="B3918" s="3" t="str">
        <f>IFERROR(__xludf.DUMMYFUNCTION("""COMPUTED_VALUE"""),"ARIF 6912")</f>
        <v>ARIF 6912</v>
      </c>
      <c r="C3918" s="3" t="str">
        <f>IFERROR(__xludf.DUMMYFUNCTION("""COMPUTED_VALUE"""),"A6926067526")</f>
        <v>A6926067526</v>
      </c>
      <c r="D3918" s="3">
        <f>IFERROR(__xludf.DUMMYFUNCTION("""COMPUTED_VALUE"""),56.0)</f>
        <v>56</v>
      </c>
      <c r="E3918" s="1"/>
    </row>
    <row r="3919">
      <c r="A3919" s="1"/>
      <c r="B3919" s="3" t="str">
        <f>IFERROR(__xludf.DUMMYFUNCTION("""COMPUTED_VALUE"""),"SUWARDI TJANDRA")</f>
        <v>SUWARDI TJANDRA</v>
      </c>
      <c r="C3919" s="3" t="str">
        <f>IFERROR(__xludf.DUMMYFUNCTION("""COMPUTED_VALUE"""),"S6426061560")</f>
        <v>S6426061560</v>
      </c>
      <c r="D3919" s="3">
        <f>IFERROR(__xludf.DUMMYFUNCTION("""COMPUTED_VALUE"""),62.0)</f>
        <v>62</v>
      </c>
      <c r="E3919" s="1"/>
    </row>
    <row r="3920">
      <c r="A3920" s="1"/>
      <c r="B3920" s="3" t="str">
        <f>IFERROR(__xludf.DUMMYFUNCTION("""COMPUTED_VALUE"""),"HERLINA 7309")</f>
        <v>HERLINA 7309</v>
      </c>
      <c r="C3920" s="3" t="str">
        <f>IFERROR(__xludf.DUMMYFUNCTION("""COMPUTED_VALUE"""),"H7326064128")</f>
        <v>H7326064128</v>
      </c>
      <c r="D3920" s="3">
        <f>IFERROR(__xludf.DUMMYFUNCTION("""COMPUTED_VALUE"""),52.0)</f>
        <v>52</v>
      </c>
      <c r="E3920" s="1"/>
    </row>
    <row r="3921">
      <c r="A3921" s="1"/>
      <c r="B3921" s="3" t="str">
        <f>IFERROR(__xludf.DUMMYFUNCTION("""COMPUTED_VALUE"""),"FADHIL AL FATAH")</f>
        <v>FADHIL AL FATAH</v>
      </c>
      <c r="C3921" s="3" t="str">
        <f>IFERROR(__xludf.DUMMYFUNCTION("""COMPUTED_VALUE"""),"F9426065585")</f>
        <v>F9426065585</v>
      </c>
      <c r="D3921" s="3">
        <f>IFERROR(__xludf.DUMMYFUNCTION("""COMPUTED_VALUE"""),31.0)</f>
        <v>31</v>
      </c>
      <c r="E3921" s="1"/>
    </row>
    <row r="3922">
      <c r="A3922" s="1"/>
      <c r="B3922" s="3" t="str">
        <f>IFERROR(__xludf.DUMMYFUNCTION("""COMPUTED_VALUE"""),"WAHYUDIN CIPTADI")</f>
        <v>WAHYUDIN CIPTADI</v>
      </c>
      <c r="C3922" s="3" t="str">
        <f>IFERROR(__xludf.DUMMYFUNCTION("""COMPUTED_VALUE"""),"W7826064195")</f>
        <v>W7826064195</v>
      </c>
      <c r="D3922" s="3">
        <f>IFERROR(__xludf.DUMMYFUNCTION("""COMPUTED_VALUE"""),47.0)</f>
        <v>47</v>
      </c>
      <c r="E3922" s="1"/>
    </row>
    <row r="3923">
      <c r="A3923" s="1"/>
      <c r="B3923" s="3" t="str">
        <f>IFERROR(__xludf.DUMMYFUNCTION("""COMPUTED_VALUE"""),"DEWI978")</f>
        <v>DEWI978</v>
      </c>
      <c r="C3923" s="3" t="str">
        <f>IFERROR(__xludf.DUMMYFUNCTION("""COMPUTED_VALUE"""),"D7926067523")</f>
        <v>D7926067523</v>
      </c>
      <c r="D3923" s="3">
        <f>IFERROR(__xludf.DUMMYFUNCTION("""COMPUTED_VALUE"""),47.0)</f>
        <v>47</v>
      </c>
      <c r="E3923" s="1"/>
    </row>
    <row r="3924">
      <c r="A3924" s="1"/>
      <c r="B3924" s="3" t="str">
        <f>IFERROR(__xludf.DUMMYFUNCTION("""COMPUTED_VALUE"""),"ENDANG TUTI SETIAWATI")</f>
        <v>ENDANG TUTI SETIAWATI</v>
      </c>
      <c r="C3924" s="3" t="str">
        <f>IFERROR(__xludf.DUMMYFUNCTION("""COMPUTED_VALUE"""),"E7526069163")</f>
        <v>E7526069163</v>
      </c>
      <c r="D3924" s="3">
        <f>IFERROR(__xludf.DUMMYFUNCTION("""COMPUTED_VALUE"""),51.0)</f>
        <v>51</v>
      </c>
      <c r="E3924" s="1"/>
    </row>
    <row r="3925">
      <c r="A3925" s="1"/>
      <c r="B3925" s="3"/>
      <c r="C3925" s="3" t="str">
        <f>IFERROR(__xludf.DUMMYFUNCTION("""COMPUTED_VALUE"""),"")</f>
        <v/>
      </c>
      <c r="D3925" s="3" t="str">
        <f>IFERROR(__xludf.DUMMYFUNCTION("""COMPUTED_VALUE"""),"")</f>
        <v/>
      </c>
      <c r="E3925" s="1"/>
    </row>
    <row r="3926">
      <c r="A3926" s="1"/>
      <c r="B3926" s="3"/>
      <c r="C3926" s="3" t="str">
        <f>IFERROR(__xludf.DUMMYFUNCTION("""COMPUTED_VALUE"""),"")</f>
        <v/>
      </c>
      <c r="D3926" s="3" t="str">
        <f>IFERROR(__xludf.DUMMYFUNCTION("""COMPUTED_VALUE"""),"")</f>
        <v/>
      </c>
      <c r="E3926" s="1"/>
    </row>
    <row r="3927">
      <c r="A3927" s="1"/>
      <c r="B3927" s="3"/>
      <c r="C3927" s="3" t="str">
        <f>IFERROR(__xludf.DUMMYFUNCTION("""COMPUTED_VALUE"""),"")</f>
        <v/>
      </c>
      <c r="D3927" s="3" t="str">
        <f>IFERROR(__xludf.DUMMYFUNCTION("""COMPUTED_VALUE"""),"")</f>
        <v/>
      </c>
      <c r="E3927" s="1"/>
    </row>
    <row r="3928">
      <c r="A3928" s="1"/>
      <c r="B3928" s="3"/>
      <c r="C3928" s="3" t="str">
        <f>IFERROR(__xludf.DUMMYFUNCTION("""COMPUTED_VALUE"""),"")</f>
        <v/>
      </c>
      <c r="D3928" s="3" t="str">
        <f>IFERROR(__xludf.DUMMYFUNCTION("""COMPUTED_VALUE"""),"")</f>
        <v/>
      </c>
      <c r="E3928" s="1"/>
    </row>
    <row r="3929">
      <c r="A3929" s="1"/>
      <c r="B3929" s="3"/>
      <c r="C3929" s="3" t="str">
        <f>IFERROR(__xludf.DUMMYFUNCTION("""COMPUTED_VALUE"""),"")</f>
        <v/>
      </c>
      <c r="D3929" s="3" t="str">
        <f>IFERROR(__xludf.DUMMYFUNCTION("""COMPUTED_VALUE"""),"")</f>
        <v/>
      </c>
      <c r="E3929" s="1"/>
    </row>
    <row r="3930">
      <c r="A3930" s="1"/>
      <c r="B3930" s="3"/>
      <c r="C3930" s="3" t="str">
        <f>IFERROR(__xludf.DUMMYFUNCTION("""COMPUTED_VALUE"""),"")</f>
        <v/>
      </c>
      <c r="D3930" s="3" t="str">
        <f>IFERROR(__xludf.DUMMYFUNCTION("""COMPUTED_VALUE"""),"")</f>
        <v/>
      </c>
      <c r="E3930" s="1"/>
    </row>
    <row r="3931">
      <c r="A3931" s="1"/>
      <c r="B3931" s="3"/>
      <c r="C3931" s="3" t="str">
        <f>IFERROR(__xludf.DUMMYFUNCTION("""COMPUTED_VALUE"""),"")</f>
        <v/>
      </c>
      <c r="D3931" s="3" t="str">
        <f>IFERROR(__xludf.DUMMYFUNCTION("""COMPUTED_VALUE"""),"")</f>
        <v/>
      </c>
      <c r="E3931" s="1"/>
    </row>
    <row r="3932">
      <c r="A3932" s="1"/>
      <c r="B3932" s="3"/>
      <c r="C3932" s="3" t="str">
        <f>IFERROR(__xludf.DUMMYFUNCTION("""COMPUTED_VALUE"""),"")</f>
        <v/>
      </c>
      <c r="D3932" s="3" t="str">
        <f>IFERROR(__xludf.DUMMYFUNCTION("""COMPUTED_VALUE"""),"")</f>
        <v/>
      </c>
      <c r="E3932" s="1"/>
    </row>
    <row r="3933">
      <c r="A3933" s="1"/>
      <c r="B3933" s="3"/>
      <c r="C3933" s="3" t="str">
        <f>IFERROR(__xludf.DUMMYFUNCTION("""COMPUTED_VALUE"""),"")</f>
        <v/>
      </c>
      <c r="D3933" s="3" t="str">
        <f>IFERROR(__xludf.DUMMYFUNCTION("""COMPUTED_VALUE"""),"")</f>
        <v/>
      </c>
      <c r="E3933" s="1"/>
    </row>
    <row r="3934">
      <c r="A3934" s="1"/>
      <c r="B3934" s="3"/>
      <c r="C3934" s="3" t="str">
        <f>IFERROR(__xludf.DUMMYFUNCTION("""COMPUTED_VALUE"""),"")</f>
        <v/>
      </c>
      <c r="D3934" s="3" t="str">
        <f>IFERROR(__xludf.DUMMYFUNCTION("""COMPUTED_VALUE"""),"")</f>
        <v/>
      </c>
      <c r="E3934" s="1"/>
    </row>
    <row r="3935">
      <c r="A3935" s="1"/>
      <c r="B3935" s="3"/>
      <c r="C3935" s="3" t="str">
        <f>IFERROR(__xludf.DUMMYFUNCTION("""COMPUTED_VALUE"""),"")</f>
        <v/>
      </c>
      <c r="D3935" s="3" t="str">
        <f>IFERROR(__xludf.DUMMYFUNCTION("""COMPUTED_VALUE"""),"")</f>
        <v/>
      </c>
      <c r="E3935" s="1"/>
    </row>
    <row r="3936">
      <c r="A3936" s="1"/>
      <c r="B3936" s="3"/>
      <c r="C3936" s="3" t="str">
        <f>IFERROR(__xludf.DUMMYFUNCTION("""COMPUTED_VALUE"""),"")</f>
        <v/>
      </c>
      <c r="D3936" s="3" t="str">
        <f>IFERROR(__xludf.DUMMYFUNCTION("""COMPUTED_VALUE"""),"")</f>
        <v/>
      </c>
      <c r="E3936" s="1"/>
    </row>
    <row r="3937">
      <c r="A3937" s="1"/>
      <c r="B3937" s="3"/>
      <c r="C3937" s="3" t="str">
        <f>IFERROR(__xludf.DUMMYFUNCTION("""COMPUTED_VALUE"""),"")</f>
        <v/>
      </c>
      <c r="D3937" s="3" t="str">
        <f>IFERROR(__xludf.DUMMYFUNCTION("""COMPUTED_VALUE"""),"")</f>
        <v/>
      </c>
      <c r="E3937" s="1"/>
    </row>
    <row r="3938">
      <c r="A3938" s="1"/>
      <c r="B3938" s="3"/>
      <c r="C3938" s="3" t="str">
        <f>IFERROR(__xludf.DUMMYFUNCTION("""COMPUTED_VALUE"""),"")</f>
        <v/>
      </c>
      <c r="D3938" s="3" t="str">
        <f>IFERROR(__xludf.DUMMYFUNCTION("""COMPUTED_VALUE"""),"")</f>
        <v/>
      </c>
      <c r="E3938" s="1"/>
    </row>
    <row r="3939">
      <c r="A3939" s="1"/>
      <c r="B3939" s="3"/>
      <c r="C3939" s="3" t="str">
        <f>IFERROR(__xludf.DUMMYFUNCTION("""COMPUTED_VALUE"""),"")</f>
        <v/>
      </c>
      <c r="D3939" s="3" t="str">
        <f>IFERROR(__xludf.DUMMYFUNCTION("""COMPUTED_VALUE"""),"")</f>
        <v/>
      </c>
      <c r="E3939" s="1"/>
    </row>
    <row r="3940">
      <c r="A3940" s="1"/>
      <c r="B3940" s="3"/>
      <c r="C3940" s="3" t="str">
        <f>IFERROR(__xludf.DUMMYFUNCTION("""COMPUTED_VALUE"""),"")</f>
        <v/>
      </c>
      <c r="D3940" s="3" t="str">
        <f>IFERROR(__xludf.DUMMYFUNCTION("""COMPUTED_VALUE"""),"")</f>
        <v/>
      </c>
      <c r="E3940" s="1"/>
    </row>
    <row r="3941">
      <c r="A3941" s="1"/>
      <c r="B3941" s="3"/>
      <c r="C3941" s="3" t="str">
        <f>IFERROR(__xludf.DUMMYFUNCTION("""COMPUTED_VALUE"""),"")</f>
        <v/>
      </c>
      <c r="D3941" s="3" t="str">
        <f>IFERROR(__xludf.DUMMYFUNCTION("""COMPUTED_VALUE"""),"")</f>
        <v/>
      </c>
      <c r="E3941" s="1"/>
    </row>
    <row r="3942">
      <c r="A3942" s="1"/>
      <c r="B3942" s="3"/>
      <c r="C3942" s="3" t="str">
        <f>IFERROR(__xludf.DUMMYFUNCTION("""COMPUTED_VALUE"""),"")</f>
        <v/>
      </c>
      <c r="D3942" s="3" t="str">
        <f>IFERROR(__xludf.DUMMYFUNCTION("""COMPUTED_VALUE"""),"")</f>
        <v/>
      </c>
      <c r="E3942" s="1"/>
    </row>
    <row r="3943">
      <c r="A3943" s="1"/>
      <c r="B3943" s="3"/>
      <c r="C3943" s="3" t="str">
        <f>IFERROR(__xludf.DUMMYFUNCTION("""COMPUTED_VALUE"""),"")</f>
        <v/>
      </c>
      <c r="D3943" s="3" t="str">
        <f>IFERROR(__xludf.DUMMYFUNCTION("""COMPUTED_VALUE"""),"")</f>
        <v/>
      </c>
      <c r="E3943" s="1"/>
    </row>
    <row r="3944">
      <c r="A3944" s="1"/>
      <c r="B3944" s="3"/>
      <c r="C3944" s="3" t="str">
        <f>IFERROR(__xludf.DUMMYFUNCTION("""COMPUTED_VALUE"""),"")</f>
        <v/>
      </c>
      <c r="D3944" s="3" t="str">
        <f>IFERROR(__xludf.DUMMYFUNCTION("""COMPUTED_VALUE"""),"")</f>
        <v/>
      </c>
      <c r="E3944" s="1"/>
    </row>
    <row r="3945">
      <c r="A3945" s="1"/>
      <c r="B3945" s="3"/>
      <c r="C3945" s="3" t="str">
        <f>IFERROR(__xludf.DUMMYFUNCTION("""COMPUTED_VALUE"""),"")</f>
        <v/>
      </c>
      <c r="D3945" s="3" t="str">
        <f>IFERROR(__xludf.DUMMYFUNCTION("""COMPUTED_VALUE"""),"")</f>
        <v/>
      </c>
      <c r="E3945" s="1"/>
    </row>
    <row r="3946">
      <c r="A3946" s="1"/>
      <c r="B3946" s="3"/>
      <c r="C3946" s="3" t="str">
        <f>IFERROR(__xludf.DUMMYFUNCTION("""COMPUTED_VALUE"""),"")</f>
        <v/>
      </c>
      <c r="D3946" s="3" t="str">
        <f>IFERROR(__xludf.DUMMYFUNCTION("""COMPUTED_VALUE"""),"")</f>
        <v/>
      </c>
      <c r="E3946" s="1"/>
    </row>
    <row r="3947">
      <c r="A3947" s="1"/>
      <c r="B3947" s="3"/>
      <c r="C3947" s="3" t="str">
        <f>IFERROR(__xludf.DUMMYFUNCTION("""COMPUTED_VALUE"""),"")</f>
        <v/>
      </c>
      <c r="D3947" s="3" t="str">
        <f>IFERROR(__xludf.DUMMYFUNCTION("""COMPUTED_VALUE"""),"")</f>
        <v/>
      </c>
      <c r="E3947" s="1"/>
    </row>
    <row r="3948">
      <c r="A3948" s="1"/>
      <c r="B3948" s="3"/>
      <c r="C3948" s="3" t="str">
        <f>IFERROR(__xludf.DUMMYFUNCTION("""COMPUTED_VALUE"""),"")</f>
        <v/>
      </c>
      <c r="D3948" s="3" t="str">
        <f>IFERROR(__xludf.DUMMYFUNCTION("""COMPUTED_VALUE"""),"")</f>
        <v/>
      </c>
      <c r="E3948" s="1"/>
    </row>
    <row r="3949">
      <c r="A3949" s="1"/>
      <c r="B3949" s="3"/>
      <c r="C3949" s="3" t="str">
        <f>IFERROR(__xludf.DUMMYFUNCTION("""COMPUTED_VALUE"""),"")</f>
        <v/>
      </c>
      <c r="D3949" s="3" t="str">
        <f>IFERROR(__xludf.DUMMYFUNCTION("""COMPUTED_VALUE"""),"")</f>
        <v/>
      </c>
      <c r="E3949" s="1"/>
    </row>
    <row r="3950">
      <c r="A3950" s="1"/>
      <c r="B3950" s="3"/>
      <c r="C3950" s="3" t="str">
        <f>IFERROR(__xludf.DUMMYFUNCTION("""COMPUTED_VALUE"""),"")</f>
        <v/>
      </c>
      <c r="D3950" s="3" t="str">
        <f>IFERROR(__xludf.DUMMYFUNCTION("""COMPUTED_VALUE"""),"")</f>
        <v/>
      </c>
      <c r="E3950" s="1"/>
    </row>
    <row r="3951">
      <c r="A3951" s="1"/>
      <c r="B3951" s="3"/>
      <c r="C3951" s="3" t="str">
        <f>IFERROR(__xludf.DUMMYFUNCTION("""COMPUTED_VALUE"""),"")</f>
        <v/>
      </c>
      <c r="D3951" s="3" t="str">
        <f>IFERROR(__xludf.DUMMYFUNCTION("""COMPUTED_VALUE"""),"")</f>
        <v/>
      </c>
      <c r="E3951" s="1"/>
    </row>
    <row r="3952">
      <c r="A3952" s="1"/>
      <c r="B3952" s="3"/>
      <c r="C3952" s="3" t="str">
        <f>IFERROR(__xludf.DUMMYFUNCTION("""COMPUTED_VALUE"""),"")</f>
        <v/>
      </c>
      <c r="D3952" s="3" t="str">
        <f>IFERROR(__xludf.DUMMYFUNCTION("""COMPUTED_VALUE"""),"")</f>
        <v/>
      </c>
      <c r="E3952" s="1"/>
    </row>
    <row r="3953">
      <c r="A3953" s="1"/>
      <c r="B3953" s="3"/>
      <c r="C3953" s="3" t="str">
        <f>IFERROR(__xludf.DUMMYFUNCTION("""COMPUTED_VALUE"""),"")</f>
        <v/>
      </c>
      <c r="D3953" s="3" t="str">
        <f>IFERROR(__xludf.DUMMYFUNCTION("""COMPUTED_VALUE"""),"")</f>
        <v/>
      </c>
      <c r="E3953" s="1"/>
    </row>
    <row r="3954">
      <c r="A3954" s="1"/>
      <c r="B3954" s="3"/>
      <c r="C3954" s="3" t="str">
        <f>IFERROR(__xludf.DUMMYFUNCTION("""COMPUTED_VALUE"""),"")</f>
        <v/>
      </c>
      <c r="D3954" s="3" t="str">
        <f>IFERROR(__xludf.DUMMYFUNCTION("""COMPUTED_VALUE"""),"")</f>
        <v/>
      </c>
      <c r="E3954" s="1"/>
    </row>
    <row r="3955">
      <c r="A3955" s="1"/>
      <c r="B3955" s="3"/>
      <c r="C3955" s="3" t="str">
        <f>IFERROR(__xludf.DUMMYFUNCTION("""COMPUTED_VALUE"""),"")</f>
        <v/>
      </c>
      <c r="D3955" s="3" t="str">
        <f>IFERROR(__xludf.DUMMYFUNCTION("""COMPUTED_VALUE"""),"")</f>
        <v/>
      </c>
      <c r="E3955" s="1"/>
    </row>
    <row r="3956">
      <c r="A3956" s="1"/>
      <c r="B3956" s="3"/>
      <c r="C3956" s="3" t="str">
        <f>IFERROR(__xludf.DUMMYFUNCTION("""COMPUTED_VALUE"""),"")</f>
        <v/>
      </c>
      <c r="D3956" s="3" t="str">
        <f>IFERROR(__xludf.DUMMYFUNCTION("""COMPUTED_VALUE"""),"")</f>
        <v/>
      </c>
      <c r="E3956" s="1"/>
    </row>
    <row r="3957">
      <c r="A3957" s="1"/>
      <c r="B3957" s="3"/>
      <c r="C3957" s="3" t="str">
        <f>IFERROR(__xludf.DUMMYFUNCTION("""COMPUTED_VALUE"""),"")</f>
        <v/>
      </c>
      <c r="D3957" s="3" t="str">
        <f>IFERROR(__xludf.DUMMYFUNCTION("""COMPUTED_VALUE"""),"")</f>
        <v/>
      </c>
      <c r="E3957" s="1"/>
    </row>
    <row r="3958">
      <c r="A3958" s="1"/>
      <c r="B3958" s="3"/>
      <c r="C3958" s="3" t="str">
        <f>IFERROR(__xludf.DUMMYFUNCTION("""COMPUTED_VALUE"""),"")</f>
        <v/>
      </c>
      <c r="D3958" s="3" t="str">
        <f>IFERROR(__xludf.DUMMYFUNCTION("""COMPUTED_VALUE"""),"")</f>
        <v/>
      </c>
      <c r="E3958" s="1"/>
    </row>
    <row r="3959">
      <c r="A3959" s="1"/>
      <c r="B3959" s="3"/>
      <c r="C3959" s="3" t="str">
        <f>IFERROR(__xludf.DUMMYFUNCTION("""COMPUTED_VALUE"""),"")</f>
        <v/>
      </c>
      <c r="D3959" s="3" t="str">
        <f>IFERROR(__xludf.DUMMYFUNCTION("""COMPUTED_VALUE"""),"")</f>
        <v/>
      </c>
      <c r="E3959" s="1"/>
    </row>
    <row r="3960">
      <c r="A3960" s="1"/>
      <c r="B3960" s="3"/>
      <c r="C3960" s="3" t="str">
        <f>IFERROR(__xludf.DUMMYFUNCTION("""COMPUTED_VALUE"""),"")</f>
        <v/>
      </c>
      <c r="D3960" s="3" t="str">
        <f>IFERROR(__xludf.DUMMYFUNCTION("""COMPUTED_VALUE"""),"")</f>
        <v/>
      </c>
      <c r="E3960" s="1"/>
    </row>
    <row r="3961">
      <c r="A3961" s="1"/>
      <c r="B3961" s="3"/>
      <c r="C3961" s="3" t="str">
        <f>IFERROR(__xludf.DUMMYFUNCTION("""COMPUTED_VALUE"""),"")</f>
        <v/>
      </c>
      <c r="D3961" s="3" t="str">
        <f>IFERROR(__xludf.DUMMYFUNCTION("""COMPUTED_VALUE"""),"")</f>
        <v/>
      </c>
      <c r="E3961" s="1"/>
    </row>
    <row r="3962">
      <c r="A3962" s="1"/>
      <c r="B3962" s="3"/>
      <c r="C3962" s="3" t="str">
        <f>IFERROR(__xludf.DUMMYFUNCTION("""COMPUTED_VALUE"""),"")</f>
        <v/>
      </c>
      <c r="D3962" s="3" t="str">
        <f>IFERROR(__xludf.DUMMYFUNCTION("""COMPUTED_VALUE"""),"")</f>
        <v/>
      </c>
      <c r="E3962" s="1"/>
    </row>
    <row r="3963">
      <c r="A3963" s="1"/>
      <c r="B3963" s="3"/>
      <c r="C3963" s="3" t="str">
        <f>IFERROR(__xludf.DUMMYFUNCTION("""COMPUTED_VALUE"""),"")</f>
        <v/>
      </c>
      <c r="D3963" s="3" t="str">
        <f>IFERROR(__xludf.DUMMYFUNCTION("""COMPUTED_VALUE"""),"")</f>
        <v/>
      </c>
      <c r="E3963" s="1"/>
    </row>
    <row r="3964">
      <c r="A3964" s="1"/>
      <c r="B3964" s="3"/>
      <c r="C3964" s="3" t="str">
        <f>IFERROR(__xludf.DUMMYFUNCTION("""COMPUTED_VALUE"""),"")</f>
        <v/>
      </c>
      <c r="D3964" s="3" t="str">
        <f>IFERROR(__xludf.DUMMYFUNCTION("""COMPUTED_VALUE"""),"")</f>
        <v/>
      </c>
      <c r="E3964" s="1"/>
    </row>
    <row r="3965">
      <c r="A3965" s="1"/>
      <c r="B3965" s="3"/>
      <c r="C3965" s="3" t="str">
        <f>IFERROR(__xludf.DUMMYFUNCTION("""COMPUTED_VALUE"""),"")</f>
        <v/>
      </c>
      <c r="D3965" s="3" t="str">
        <f>IFERROR(__xludf.DUMMYFUNCTION("""COMPUTED_VALUE"""),"")</f>
        <v/>
      </c>
      <c r="E3965" s="1"/>
    </row>
    <row r="3966">
      <c r="A3966" s="1"/>
      <c r="B3966" s="3"/>
      <c r="C3966" s="3" t="str">
        <f>IFERROR(__xludf.DUMMYFUNCTION("""COMPUTED_VALUE"""),"")</f>
        <v/>
      </c>
      <c r="D3966" s="3" t="str">
        <f>IFERROR(__xludf.DUMMYFUNCTION("""COMPUTED_VALUE"""),"")</f>
        <v/>
      </c>
      <c r="E3966" s="1"/>
    </row>
    <row r="3967">
      <c r="A3967" s="1"/>
      <c r="B3967" s="3"/>
      <c r="C3967" s="3" t="str">
        <f>IFERROR(__xludf.DUMMYFUNCTION("""COMPUTED_VALUE"""),"")</f>
        <v/>
      </c>
      <c r="D3967" s="3" t="str">
        <f>IFERROR(__xludf.DUMMYFUNCTION("""COMPUTED_VALUE"""),"")</f>
        <v/>
      </c>
      <c r="E3967" s="1"/>
    </row>
    <row r="3968">
      <c r="A3968" s="1"/>
      <c r="B3968" s="3"/>
      <c r="C3968" s="3" t="str">
        <f>IFERROR(__xludf.DUMMYFUNCTION("""COMPUTED_VALUE"""),"")</f>
        <v/>
      </c>
      <c r="D3968" s="3" t="str">
        <f>IFERROR(__xludf.DUMMYFUNCTION("""COMPUTED_VALUE"""),"")</f>
        <v/>
      </c>
      <c r="E3968" s="1"/>
    </row>
    <row r="3969">
      <c r="A3969" s="1"/>
      <c r="B3969" s="3"/>
      <c r="C3969" s="3" t="str">
        <f>IFERROR(__xludf.DUMMYFUNCTION("""COMPUTED_VALUE"""),"")</f>
        <v/>
      </c>
      <c r="D3969" s="3" t="str">
        <f>IFERROR(__xludf.DUMMYFUNCTION("""COMPUTED_VALUE"""),"")</f>
        <v/>
      </c>
      <c r="E3969" s="1"/>
    </row>
    <row r="3970">
      <c r="A3970" s="1"/>
      <c r="B3970" s="3"/>
      <c r="C3970" s="3" t="str">
        <f>IFERROR(__xludf.DUMMYFUNCTION("""COMPUTED_VALUE"""),"")</f>
        <v/>
      </c>
      <c r="D3970" s="3" t="str">
        <f>IFERROR(__xludf.DUMMYFUNCTION("""COMPUTED_VALUE"""),"")</f>
        <v/>
      </c>
      <c r="E3970" s="1"/>
    </row>
    <row r="3971">
      <c r="A3971" s="1"/>
      <c r="B3971" s="3"/>
      <c r="C3971" s="3" t="str">
        <f>IFERROR(__xludf.DUMMYFUNCTION("""COMPUTED_VALUE"""),"")</f>
        <v/>
      </c>
      <c r="D3971" s="3" t="str">
        <f>IFERROR(__xludf.DUMMYFUNCTION("""COMPUTED_VALUE"""),"")</f>
        <v/>
      </c>
      <c r="E3971" s="1"/>
    </row>
    <row r="3972">
      <c r="A3972" s="1"/>
      <c r="B3972" s="3"/>
      <c r="C3972" s="3" t="str">
        <f>IFERROR(__xludf.DUMMYFUNCTION("""COMPUTED_VALUE"""),"")</f>
        <v/>
      </c>
      <c r="D3972" s="3" t="str">
        <f>IFERROR(__xludf.DUMMYFUNCTION("""COMPUTED_VALUE"""),"")</f>
        <v/>
      </c>
      <c r="E3972" s="1"/>
    </row>
    <row r="3973">
      <c r="A3973" s="1"/>
      <c r="B3973" s="3"/>
      <c r="C3973" s="3" t="str">
        <f>IFERROR(__xludf.DUMMYFUNCTION("""COMPUTED_VALUE"""),"")</f>
        <v/>
      </c>
      <c r="D3973" s="3" t="str">
        <f>IFERROR(__xludf.DUMMYFUNCTION("""COMPUTED_VALUE"""),"")</f>
        <v/>
      </c>
      <c r="E3973" s="1"/>
    </row>
    <row r="3974">
      <c r="A3974" s="1"/>
      <c r="B3974" s="3"/>
      <c r="C3974" s="3" t="str">
        <f>IFERROR(__xludf.DUMMYFUNCTION("""COMPUTED_VALUE"""),"")</f>
        <v/>
      </c>
      <c r="D3974" s="3" t="str">
        <f>IFERROR(__xludf.DUMMYFUNCTION("""COMPUTED_VALUE"""),"")</f>
        <v/>
      </c>
      <c r="E3974" s="1"/>
    </row>
    <row r="3975">
      <c r="A3975" s="1"/>
      <c r="B3975" s="3"/>
      <c r="C3975" s="3" t="str">
        <f>IFERROR(__xludf.DUMMYFUNCTION("""COMPUTED_VALUE"""),"")</f>
        <v/>
      </c>
      <c r="D3975" s="3" t="str">
        <f>IFERROR(__xludf.DUMMYFUNCTION("""COMPUTED_VALUE"""),"")</f>
        <v/>
      </c>
      <c r="E3975" s="1"/>
    </row>
    <row r="3976">
      <c r="A3976" s="1"/>
      <c r="B3976" s="3"/>
      <c r="C3976" s="3" t="str">
        <f>IFERROR(__xludf.DUMMYFUNCTION("""COMPUTED_VALUE"""),"")</f>
        <v/>
      </c>
      <c r="D3976" s="3" t="str">
        <f>IFERROR(__xludf.DUMMYFUNCTION("""COMPUTED_VALUE"""),"")</f>
        <v/>
      </c>
      <c r="E3976" s="1"/>
    </row>
    <row r="3977">
      <c r="A3977" s="1"/>
      <c r="B3977" s="3"/>
      <c r="C3977" s="3" t="str">
        <f>IFERROR(__xludf.DUMMYFUNCTION("""COMPUTED_VALUE"""),"")</f>
        <v/>
      </c>
      <c r="D3977" s="3" t="str">
        <f>IFERROR(__xludf.DUMMYFUNCTION("""COMPUTED_VALUE"""),"")</f>
        <v/>
      </c>
      <c r="E3977" s="1"/>
    </row>
    <row r="3978">
      <c r="A3978" s="1"/>
      <c r="B3978" s="3"/>
      <c r="C3978" s="3" t="str">
        <f>IFERROR(__xludf.DUMMYFUNCTION("""COMPUTED_VALUE"""),"")</f>
        <v/>
      </c>
      <c r="D3978" s="3" t="str">
        <f>IFERROR(__xludf.DUMMYFUNCTION("""COMPUTED_VALUE"""),"")</f>
        <v/>
      </c>
      <c r="E3978" s="1"/>
    </row>
    <row r="3979">
      <c r="A3979" s="1"/>
      <c r="B3979" s="3"/>
      <c r="C3979" s="3" t="str">
        <f>IFERROR(__xludf.DUMMYFUNCTION("""COMPUTED_VALUE"""),"")</f>
        <v/>
      </c>
      <c r="D3979" s="3" t="str">
        <f>IFERROR(__xludf.DUMMYFUNCTION("""COMPUTED_VALUE"""),"")</f>
        <v/>
      </c>
      <c r="E3979" s="1"/>
    </row>
    <row r="3980">
      <c r="A3980" s="1"/>
      <c r="B3980" s="3"/>
      <c r="C3980" s="3" t="str">
        <f>IFERROR(__xludf.DUMMYFUNCTION("""COMPUTED_VALUE"""),"")</f>
        <v/>
      </c>
      <c r="D3980" s="3" t="str">
        <f>IFERROR(__xludf.DUMMYFUNCTION("""COMPUTED_VALUE"""),"")</f>
        <v/>
      </c>
      <c r="E3980" s="1"/>
    </row>
    <row r="3981">
      <c r="A3981" s="1"/>
      <c r="B3981" s="3"/>
      <c r="C3981" s="3" t="str">
        <f>IFERROR(__xludf.DUMMYFUNCTION("""COMPUTED_VALUE"""),"")</f>
        <v/>
      </c>
      <c r="D3981" s="3" t="str">
        <f>IFERROR(__xludf.DUMMYFUNCTION("""COMPUTED_VALUE"""),"")</f>
        <v/>
      </c>
      <c r="E3981" s="1"/>
    </row>
    <row r="3982">
      <c r="A3982" s="1"/>
      <c r="B3982" s="3"/>
      <c r="C3982" s="3" t="str">
        <f>IFERROR(__xludf.DUMMYFUNCTION("""COMPUTED_VALUE"""),"")</f>
        <v/>
      </c>
      <c r="D3982" s="3" t="str">
        <f>IFERROR(__xludf.DUMMYFUNCTION("""COMPUTED_VALUE"""),"")</f>
        <v/>
      </c>
      <c r="E3982" s="1"/>
    </row>
    <row r="3983">
      <c r="A3983" s="1"/>
      <c r="B3983" s="3"/>
      <c r="C3983" s="3" t="str">
        <f>IFERROR(__xludf.DUMMYFUNCTION("""COMPUTED_VALUE"""),"")</f>
        <v/>
      </c>
      <c r="D3983" s="3" t="str">
        <f>IFERROR(__xludf.DUMMYFUNCTION("""COMPUTED_VALUE"""),"")</f>
        <v/>
      </c>
      <c r="E3983" s="1"/>
    </row>
    <row r="3984">
      <c r="A3984" s="1"/>
      <c r="B3984" s="3"/>
      <c r="C3984" s="3" t="str">
        <f>IFERROR(__xludf.DUMMYFUNCTION("""COMPUTED_VALUE"""),"")</f>
        <v/>
      </c>
      <c r="D3984" s="3" t="str">
        <f>IFERROR(__xludf.DUMMYFUNCTION("""COMPUTED_VALUE"""),"")</f>
        <v/>
      </c>
      <c r="E3984" s="1"/>
    </row>
    <row r="3985">
      <c r="A3985" s="1"/>
      <c r="B3985" s="3"/>
      <c r="C3985" s="3" t="str">
        <f>IFERROR(__xludf.DUMMYFUNCTION("""COMPUTED_VALUE"""),"")</f>
        <v/>
      </c>
      <c r="D3985" s="3" t="str">
        <f>IFERROR(__xludf.DUMMYFUNCTION("""COMPUTED_VALUE"""),"")</f>
        <v/>
      </c>
      <c r="E3985" s="1"/>
    </row>
    <row r="3986">
      <c r="A3986" s="1"/>
      <c r="B3986" s="3"/>
      <c r="C3986" s="3" t="str">
        <f>IFERROR(__xludf.DUMMYFUNCTION("""COMPUTED_VALUE"""),"")</f>
        <v/>
      </c>
      <c r="D3986" s="3" t="str">
        <f>IFERROR(__xludf.DUMMYFUNCTION("""COMPUTED_VALUE"""),"")</f>
        <v/>
      </c>
      <c r="E3986" s="1"/>
    </row>
    <row r="3987">
      <c r="A3987" s="1"/>
      <c r="B3987" s="3"/>
      <c r="C3987" s="3" t="str">
        <f>IFERROR(__xludf.DUMMYFUNCTION("""COMPUTED_VALUE"""),"")</f>
        <v/>
      </c>
      <c r="D3987" s="3" t="str">
        <f>IFERROR(__xludf.DUMMYFUNCTION("""COMPUTED_VALUE"""),"")</f>
        <v/>
      </c>
      <c r="E3987" s="1"/>
    </row>
    <row r="3988">
      <c r="A3988" s="1"/>
      <c r="B3988" s="3"/>
      <c r="C3988" s="3" t="str">
        <f>IFERROR(__xludf.DUMMYFUNCTION("""COMPUTED_VALUE"""),"")</f>
        <v/>
      </c>
      <c r="D3988" s="3" t="str">
        <f>IFERROR(__xludf.DUMMYFUNCTION("""COMPUTED_VALUE"""),"")</f>
        <v/>
      </c>
      <c r="E3988" s="1"/>
    </row>
    <row r="3989">
      <c r="A3989" s="1"/>
      <c r="B3989" s="3"/>
      <c r="C3989" s="3" t="str">
        <f>IFERROR(__xludf.DUMMYFUNCTION("""COMPUTED_VALUE"""),"")</f>
        <v/>
      </c>
      <c r="D3989" s="3" t="str">
        <f>IFERROR(__xludf.DUMMYFUNCTION("""COMPUTED_VALUE"""),"")</f>
        <v/>
      </c>
      <c r="E3989" s="1"/>
    </row>
    <row r="3990">
      <c r="A3990" s="1"/>
      <c r="B3990" s="3"/>
      <c r="C3990" s="3" t="str">
        <f>IFERROR(__xludf.DUMMYFUNCTION("""COMPUTED_VALUE"""),"")</f>
        <v/>
      </c>
      <c r="D3990" s="3" t="str">
        <f>IFERROR(__xludf.DUMMYFUNCTION("""COMPUTED_VALUE"""),"")</f>
        <v/>
      </c>
      <c r="E3990" s="1"/>
    </row>
    <row r="3991">
      <c r="A3991" s="1"/>
      <c r="B3991" s="3"/>
      <c r="C3991" s="3" t="str">
        <f>IFERROR(__xludf.DUMMYFUNCTION("""COMPUTED_VALUE"""),"")</f>
        <v/>
      </c>
      <c r="D3991" s="3" t="str">
        <f>IFERROR(__xludf.DUMMYFUNCTION("""COMPUTED_VALUE"""),"")</f>
        <v/>
      </c>
      <c r="E3991" s="1"/>
    </row>
    <row r="3992">
      <c r="A3992" s="1"/>
      <c r="B3992" s="3"/>
      <c r="C3992" s="3" t="str">
        <f>IFERROR(__xludf.DUMMYFUNCTION("""COMPUTED_VALUE"""),"")</f>
        <v/>
      </c>
      <c r="D3992" s="3" t="str">
        <f>IFERROR(__xludf.DUMMYFUNCTION("""COMPUTED_VALUE"""),"")</f>
        <v/>
      </c>
      <c r="E3992" s="1"/>
    </row>
    <row r="3993">
      <c r="A3993" s="1"/>
      <c r="B3993" s="3"/>
      <c r="C3993" s="3" t="str">
        <f>IFERROR(__xludf.DUMMYFUNCTION("""COMPUTED_VALUE"""),"")</f>
        <v/>
      </c>
      <c r="D3993" s="3" t="str">
        <f>IFERROR(__xludf.DUMMYFUNCTION("""COMPUTED_VALUE"""),"")</f>
        <v/>
      </c>
      <c r="E3993" s="1"/>
    </row>
    <row r="3994">
      <c r="A3994" s="1"/>
      <c r="B3994" s="3"/>
      <c r="C3994" s="3" t="str">
        <f>IFERROR(__xludf.DUMMYFUNCTION("""COMPUTED_VALUE"""),"")</f>
        <v/>
      </c>
      <c r="D3994" s="3" t="str">
        <f>IFERROR(__xludf.DUMMYFUNCTION("""COMPUTED_VALUE"""),"")</f>
        <v/>
      </c>
      <c r="E3994" s="1"/>
    </row>
    <row r="3995">
      <c r="A3995" s="1"/>
      <c r="B3995" s="3"/>
      <c r="C3995" s="3" t="str">
        <f>IFERROR(__xludf.DUMMYFUNCTION("""COMPUTED_VALUE"""),"")</f>
        <v/>
      </c>
      <c r="D3995" s="3" t="str">
        <f>IFERROR(__xludf.DUMMYFUNCTION("""COMPUTED_VALUE"""),"")</f>
        <v/>
      </c>
      <c r="E3995" s="1"/>
    </row>
    <row r="3996">
      <c r="A3996" s="1"/>
      <c r="B3996" s="3"/>
      <c r="C3996" s="3" t="str">
        <f>IFERROR(__xludf.DUMMYFUNCTION("""COMPUTED_VALUE"""),"")</f>
        <v/>
      </c>
      <c r="D3996" s="3" t="str">
        <f>IFERROR(__xludf.DUMMYFUNCTION("""COMPUTED_VALUE"""),"")</f>
        <v/>
      </c>
      <c r="E3996" s="1"/>
    </row>
    <row r="3997">
      <c r="A3997" s="1"/>
      <c r="B3997" s="3"/>
      <c r="C3997" s="3" t="str">
        <f>IFERROR(__xludf.DUMMYFUNCTION("""COMPUTED_VALUE"""),"")</f>
        <v/>
      </c>
      <c r="D3997" s="3" t="str">
        <f>IFERROR(__xludf.DUMMYFUNCTION("""COMPUTED_VALUE"""),"")</f>
        <v/>
      </c>
      <c r="E3997" s="1"/>
    </row>
    <row r="3998">
      <c r="A3998" s="1"/>
      <c r="B3998" s="3"/>
      <c r="C3998" s="3" t="str">
        <f>IFERROR(__xludf.DUMMYFUNCTION("""COMPUTED_VALUE"""),"")</f>
        <v/>
      </c>
      <c r="D3998" s="3" t="str">
        <f>IFERROR(__xludf.DUMMYFUNCTION("""COMPUTED_VALUE"""),"")</f>
        <v/>
      </c>
      <c r="E3998" s="1"/>
    </row>
    <row r="3999">
      <c r="A3999" s="1"/>
      <c r="B3999" s="3"/>
      <c r="C3999" s="3" t="str">
        <f>IFERROR(__xludf.DUMMYFUNCTION("""COMPUTED_VALUE"""),"")</f>
        <v/>
      </c>
      <c r="D3999" s="3" t="str">
        <f>IFERROR(__xludf.DUMMYFUNCTION("""COMPUTED_VALUE"""),"")</f>
        <v/>
      </c>
      <c r="E3999" s="1"/>
    </row>
    <row r="4000">
      <c r="A4000" s="1"/>
      <c r="B4000" s="3"/>
      <c r="C4000" s="3" t="str">
        <f>IFERROR(__xludf.DUMMYFUNCTION("""COMPUTED_VALUE"""),"")</f>
        <v/>
      </c>
      <c r="D4000" s="3" t="str">
        <f>IFERROR(__xludf.DUMMYFUNCTION("""COMPUTED_VALUE"""),"")</f>
        <v/>
      </c>
      <c r="E4000" s="1"/>
    </row>
    <row r="4001">
      <c r="A4001" s="1"/>
      <c r="B4001" s="3"/>
      <c r="C4001" s="3" t="str">
        <f>IFERROR(__xludf.DUMMYFUNCTION("""COMPUTED_VALUE"""),"")</f>
        <v/>
      </c>
      <c r="D4001" s="3" t="str">
        <f>IFERROR(__xludf.DUMMYFUNCTION("""COMPUTED_VALUE"""),"")</f>
        <v/>
      </c>
      <c r="E4001" s="1"/>
    </row>
    <row r="4002">
      <c r="A4002" s="1"/>
      <c r="B4002" s="3"/>
      <c r="C4002" s="3" t="str">
        <f>IFERROR(__xludf.DUMMYFUNCTION("""COMPUTED_VALUE"""),"")</f>
        <v/>
      </c>
      <c r="D4002" s="3" t="str">
        <f>IFERROR(__xludf.DUMMYFUNCTION("""COMPUTED_VALUE"""),"")</f>
        <v/>
      </c>
      <c r="E4002" s="1"/>
    </row>
    <row r="4003">
      <c r="A4003" s="1"/>
      <c r="B4003" s="3"/>
      <c r="C4003" s="3" t="str">
        <f>IFERROR(__xludf.DUMMYFUNCTION("""COMPUTED_VALUE"""),"")</f>
        <v/>
      </c>
      <c r="D4003" s="3" t="str">
        <f>IFERROR(__xludf.DUMMYFUNCTION("""COMPUTED_VALUE"""),"")</f>
        <v/>
      </c>
      <c r="E4003" s="1"/>
    </row>
    <row r="4004">
      <c r="A4004" s="1"/>
      <c r="B4004" s="3"/>
      <c r="C4004" s="3" t="str">
        <f>IFERROR(__xludf.DUMMYFUNCTION("""COMPUTED_VALUE"""),"")</f>
        <v/>
      </c>
      <c r="D4004" s="3" t="str">
        <f>IFERROR(__xludf.DUMMYFUNCTION("""COMPUTED_VALUE"""),"")</f>
        <v/>
      </c>
      <c r="E4004" s="1"/>
    </row>
    <row r="4005">
      <c r="A4005" s="1"/>
      <c r="B4005" s="3"/>
      <c r="C4005" s="3" t="str">
        <f>IFERROR(__xludf.DUMMYFUNCTION("""COMPUTED_VALUE"""),"")</f>
        <v/>
      </c>
      <c r="D4005" s="3" t="str">
        <f>IFERROR(__xludf.DUMMYFUNCTION("""COMPUTED_VALUE"""),"")</f>
        <v/>
      </c>
      <c r="E4005" s="1"/>
    </row>
    <row r="4006">
      <c r="A4006" s="1"/>
      <c r="B4006" s="3"/>
      <c r="C4006" s="3" t="str">
        <f>IFERROR(__xludf.DUMMYFUNCTION("""COMPUTED_VALUE"""),"")</f>
        <v/>
      </c>
      <c r="D4006" s="3" t="str">
        <f>IFERROR(__xludf.DUMMYFUNCTION("""COMPUTED_VALUE"""),"")</f>
        <v/>
      </c>
      <c r="E4006" s="1"/>
    </row>
    <row r="4007">
      <c r="A4007" s="1"/>
      <c r="B4007" s="3"/>
      <c r="C4007" s="3" t="str">
        <f>IFERROR(__xludf.DUMMYFUNCTION("""COMPUTED_VALUE"""),"")</f>
        <v/>
      </c>
      <c r="D4007" s="3" t="str">
        <f>IFERROR(__xludf.DUMMYFUNCTION("""COMPUTED_VALUE"""),"")</f>
        <v/>
      </c>
      <c r="E4007" s="1"/>
    </row>
    <row r="4008">
      <c r="A4008" s="1"/>
      <c r="B4008" s="3"/>
      <c r="C4008" s="3" t="str">
        <f>IFERROR(__xludf.DUMMYFUNCTION("""COMPUTED_VALUE"""),"")</f>
        <v/>
      </c>
      <c r="D4008" s="3" t="str">
        <f>IFERROR(__xludf.DUMMYFUNCTION("""COMPUTED_VALUE"""),"")</f>
        <v/>
      </c>
      <c r="E4008" s="1"/>
    </row>
    <row r="4009">
      <c r="A4009" s="1"/>
      <c r="B4009" s="3"/>
      <c r="C4009" s="3" t="str">
        <f>IFERROR(__xludf.DUMMYFUNCTION("""COMPUTED_VALUE"""),"")</f>
        <v/>
      </c>
      <c r="D4009" s="3" t="str">
        <f>IFERROR(__xludf.DUMMYFUNCTION("""COMPUTED_VALUE"""),"")</f>
        <v/>
      </c>
      <c r="E4009" s="1"/>
    </row>
    <row r="4010">
      <c r="A4010" s="1"/>
      <c r="B4010" s="3"/>
      <c r="C4010" s="3" t="str">
        <f>IFERROR(__xludf.DUMMYFUNCTION("""COMPUTED_VALUE"""),"")</f>
        <v/>
      </c>
      <c r="D4010" s="3" t="str">
        <f>IFERROR(__xludf.DUMMYFUNCTION("""COMPUTED_VALUE"""),"")</f>
        <v/>
      </c>
      <c r="E4010" s="1"/>
    </row>
    <row r="4011">
      <c r="A4011" s="1"/>
      <c r="B4011" s="3"/>
      <c r="C4011" s="3" t="str">
        <f>IFERROR(__xludf.DUMMYFUNCTION("""COMPUTED_VALUE"""),"")</f>
        <v/>
      </c>
      <c r="D4011" s="3" t="str">
        <f>IFERROR(__xludf.DUMMYFUNCTION("""COMPUTED_VALUE"""),"")</f>
        <v/>
      </c>
      <c r="E4011" s="1"/>
    </row>
    <row r="4012">
      <c r="A4012" s="1"/>
      <c r="B4012" s="3"/>
      <c r="C4012" s="3" t="str">
        <f>IFERROR(__xludf.DUMMYFUNCTION("""COMPUTED_VALUE"""),"")</f>
        <v/>
      </c>
      <c r="D4012" s="3" t="str">
        <f>IFERROR(__xludf.DUMMYFUNCTION("""COMPUTED_VALUE"""),"")</f>
        <v/>
      </c>
      <c r="E4012" s="1"/>
    </row>
    <row r="4013">
      <c r="A4013" s="1"/>
      <c r="B4013" s="3"/>
      <c r="C4013" s="3" t="str">
        <f>IFERROR(__xludf.DUMMYFUNCTION("""COMPUTED_VALUE"""),"")</f>
        <v/>
      </c>
      <c r="D4013" s="3" t="str">
        <f>IFERROR(__xludf.DUMMYFUNCTION("""COMPUTED_VALUE"""),"")</f>
        <v/>
      </c>
      <c r="E4013" s="1"/>
    </row>
    <row r="4014">
      <c r="A4014" s="1"/>
      <c r="B4014" s="3"/>
      <c r="C4014" s="3" t="str">
        <f>IFERROR(__xludf.DUMMYFUNCTION("""COMPUTED_VALUE"""),"")</f>
        <v/>
      </c>
      <c r="D4014" s="3" t="str">
        <f>IFERROR(__xludf.DUMMYFUNCTION("""COMPUTED_VALUE"""),"")</f>
        <v/>
      </c>
      <c r="E4014" s="1"/>
    </row>
    <row r="4015">
      <c r="A4015" s="1"/>
      <c r="B4015" s="3"/>
      <c r="C4015" s="3" t="str">
        <f>IFERROR(__xludf.DUMMYFUNCTION("""COMPUTED_VALUE"""),"")</f>
        <v/>
      </c>
      <c r="D4015" s="3" t="str">
        <f>IFERROR(__xludf.DUMMYFUNCTION("""COMPUTED_VALUE"""),"")</f>
        <v/>
      </c>
      <c r="E4015" s="1"/>
    </row>
    <row r="4016">
      <c r="A4016" s="1"/>
      <c r="B4016" s="3"/>
      <c r="C4016" s="3" t="str">
        <f>IFERROR(__xludf.DUMMYFUNCTION("""COMPUTED_VALUE"""),"")</f>
        <v/>
      </c>
      <c r="D4016" s="3" t="str">
        <f>IFERROR(__xludf.DUMMYFUNCTION("""COMPUTED_VALUE"""),"")</f>
        <v/>
      </c>
      <c r="E4016" s="1"/>
    </row>
    <row r="4017">
      <c r="A4017" s="1"/>
      <c r="B4017" s="3"/>
      <c r="C4017" s="3" t="str">
        <f>IFERROR(__xludf.DUMMYFUNCTION("""COMPUTED_VALUE"""),"")</f>
        <v/>
      </c>
      <c r="D4017" s="3" t="str">
        <f>IFERROR(__xludf.DUMMYFUNCTION("""COMPUTED_VALUE"""),"")</f>
        <v/>
      </c>
      <c r="E4017" s="1"/>
    </row>
    <row r="4018">
      <c r="A4018" s="1"/>
      <c r="B4018" s="3"/>
      <c r="C4018" s="3" t="str">
        <f>IFERROR(__xludf.DUMMYFUNCTION("""COMPUTED_VALUE"""),"")</f>
        <v/>
      </c>
      <c r="D4018" s="3" t="str">
        <f>IFERROR(__xludf.DUMMYFUNCTION("""COMPUTED_VALUE"""),"")</f>
        <v/>
      </c>
      <c r="E4018" s="1"/>
    </row>
    <row r="4019">
      <c r="A4019" s="1"/>
      <c r="B4019" s="3"/>
      <c r="C4019" s="3" t="str">
        <f>IFERROR(__xludf.DUMMYFUNCTION("""COMPUTED_VALUE"""),"")</f>
        <v/>
      </c>
      <c r="D4019" s="3" t="str">
        <f>IFERROR(__xludf.DUMMYFUNCTION("""COMPUTED_VALUE"""),"")</f>
        <v/>
      </c>
      <c r="E4019" s="1"/>
    </row>
    <row r="4020">
      <c r="A4020" s="1"/>
      <c r="B4020" s="3"/>
      <c r="C4020" s="3" t="str">
        <f>IFERROR(__xludf.DUMMYFUNCTION("""COMPUTED_VALUE"""),"")</f>
        <v/>
      </c>
      <c r="D4020" s="3" t="str">
        <f>IFERROR(__xludf.DUMMYFUNCTION("""COMPUTED_VALUE"""),"")</f>
        <v/>
      </c>
      <c r="E4020" s="1"/>
    </row>
    <row r="4021">
      <c r="A4021" s="1"/>
      <c r="B4021" s="3"/>
      <c r="C4021" s="3" t="str">
        <f>IFERROR(__xludf.DUMMYFUNCTION("""COMPUTED_VALUE"""),"")</f>
        <v/>
      </c>
      <c r="D4021" s="3" t="str">
        <f>IFERROR(__xludf.DUMMYFUNCTION("""COMPUTED_VALUE"""),"")</f>
        <v/>
      </c>
      <c r="E4021" s="1"/>
    </row>
    <row r="4022">
      <c r="A4022" s="1"/>
      <c r="B4022" s="3"/>
      <c r="C4022" s="3" t="str">
        <f>IFERROR(__xludf.DUMMYFUNCTION("""COMPUTED_VALUE"""),"")</f>
        <v/>
      </c>
      <c r="D4022" s="3" t="str">
        <f>IFERROR(__xludf.DUMMYFUNCTION("""COMPUTED_VALUE"""),"")</f>
        <v/>
      </c>
      <c r="E4022" s="1"/>
    </row>
    <row r="4023">
      <c r="A4023" s="1"/>
      <c r="B4023" s="3"/>
      <c r="C4023" s="3" t="str">
        <f>IFERROR(__xludf.DUMMYFUNCTION("""COMPUTED_VALUE"""),"")</f>
        <v/>
      </c>
      <c r="D4023" s="3" t="str">
        <f>IFERROR(__xludf.DUMMYFUNCTION("""COMPUTED_VALUE"""),"")</f>
        <v/>
      </c>
      <c r="E4023" s="1"/>
    </row>
    <row r="4024">
      <c r="A4024" s="1"/>
      <c r="B4024" s="3"/>
      <c r="C4024" s="3" t="str">
        <f>IFERROR(__xludf.DUMMYFUNCTION("""COMPUTED_VALUE"""),"")</f>
        <v/>
      </c>
      <c r="D4024" s="3" t="str">
        <f>IFERROR(__xludf.DUMMYFUNCTION("""COMPUTED_VALUE"""),"")</f>
        <v/>
      </c>
      <c r="E4024" s="1"/>
    </row>
    <row r="4025">
      <c r="A4025" s="1"/>
      <c r="B4025" s="3"/>
      <c r="C4025" s="3" t="str">
        <f>IFERROR(__xludf.DUMMYFUNCTION("""COMPUTED_VALUE"""),"")</f>
        <v/>
      </c>
      <c r="D4025" s="3" t="str">
        <f>IFERROR(__xludf.DUMMYFUNCTION("""COMPUTED_VALUE"""),"")</f>
        <v/>
      </c>
      <c r="E4025" s="1"/>
    </row>
    <row r="4026">
      <c r="A4026" s="1"/>
      <c r="B4026" s="3"/>
      <c r="C4026" s="3" t="str">
        <f>IFERROR(__xludf.DUMMYFUNCTION("""COMPUTED_VALUE"""),"")</f>
        <v/>
      </c>
      <c r="D4026" s="3" t="str">
        <f>IFERROR(__xludf.DUMMYFUNCTION("""COMPUTED_VALUE"""),"")</f>
        <v/>
      </c>
      <c r="E4026" s="1"/>
    </row>
    <row r="4027">
      <c r="A4027" s="1"/>
      <c r="B4027" s="3"/>
      <c r="C4027" s="3" t="str">
        <f>IFERROR(__xludf.DUMMYFUNCTION("""COMPUTED_VALUE"""),"")</f>
        <v/>
      </c>
      <c r="D4027" s="3" t="str">
        <f>IFERROR(__xludf.DUMMYFUNCTION("""COMPUTED_VALUE"""),"")</f>
        <v/>
      </c>
      <c r="E4027" s="1"/>
    </row>
    <row r="4028">
      <c r="A4028" s="1"/>
      <c r="B4028" s="3"/>
      <c r="C4028" s="3" t="str">
        <f>IFERROR(__xludf.DUMMYFUNCTION("""COMPUTED_VALUE"""),"")</f>
        <v/>
      </c>
      <c r="D4028" s="3" t="str">
        <f>IFERROR(__xludf.DUMMYFUNCTION("""COMPUTED_VALUE"""),"")</f>
        <v/>
      </c>
      <c r="E4028" s="1"/>
    </row>
    <row r="4029">
      <c r="A4029" s="1"/>
      <c r="B4029" s="3"/>
      <c r="C4029" s="3" t="str">
        <f>IFERROR(__xludf.DUMMYFUNCTION("""COMPUTED_VALUE"""),"")</f>
        <v/>
      </c>
      <c r="D4029" s="3" t="str">
        <f>IFERROR(__xludf.DUMMYFUNCTION("""COMPUTED_VALUE"""),"")</f>
        <v/>
      </c>
      <c r="E4029" s="1"/>
    </row>
    <row r="4030">
      <c r="A4030" s="1"/>
      <c r="B4030" s="3"/>
      <c r="C4030" s="3" t="str">
        <f>IFERROR(__xludf.DUMMYFUNCTION("""COMPUTED_VALUE"""),"")</f>
        <v/>
      </c>
      <c r="D4030" s="3" t="str">
        <f>IFERROR(__xludf.DUMMYFUNCTION("""COMPUTED_VALUE"""),"")</f>
        <v/>
      </c>
      <c r="E4030" s="1"/>
    </row>
    <row r="4031">
      <c r="A4031" s="1"/>
      <c r="B4031" s="3"/>
      <c r="C4031" s="3" t="str">
        <f>IFERROR(__xludf.DUMMYFUNCTION("""COMPUTED_VALUE"""),"")</f>
        <v/>
      </c>
      <c r="D4031" s="3" t="str">
        <f>IFERROR(__xludf.DUMMYFUNCTION("""COMPUTED_VALUE"""),"")</f>
        <v/>
      </c>
      <c r="E4031" s="1"/>
    </row>
    <row r="4032">
      <c r="A4032" s="1"/>
      <c r="B4032" s="3"/>
      <c r="C4032" s="3" t="str">
        <f>IFERROR(__xludf.DUMMYFUNCTION("""COMPUTED_VALUE"""),"")</f>
        <v/>
      </c>
      <c r="D4032" s="3" t="str">
        <f>IFERROR(__xludf.DUMMYFUNCTION("""COMPUTED_VALUE"""),"")</f>
        <v/>
      </c>
      <c r="E4032" s="1"/>
    </row>
    <row r="4033">
      <c r="A4033" s="1"/>
      <c r="B4033" s="3"/>
      <c r="C4033" s="3" t="str">
        <f>IFERROR(__xludf.DUMMYFUNCTION("""COMPUTED_VALUE"""),"")</f>
        <v/>
      </c>
      <c r="D4033" s="3" t="str">
        <f>IFERROR(__xludf.DUMMYFUNCTION("""COMPUTED_VALUE"""),"")</f>
        <v/>
      </c>
      <c r="E4033" s="1"/>
    </row>
    <row r="4034">
      <c r="A4034" s="1"/>
      <c r="B4034" s="3"/>
      <c r="C4034" s="3" t="str">
        <f>IFERROR(__xludf.DUMMYFUNCTION("""COMPUTED_VALUE"""),"")</f>
        <v/>
      </c>
      <c r="D4034" s="3" t="str">
        <f>IFERROR(__xludf.DUMMYFUNCTION("""COMPUTED_VALUE"""),"")</f>
        <v/>
      </c>
      <c r="E4034" s="1"/>
    </row>
    <row r="4035">
      <c r="A4035" s="1"/>
      <c r="B4035" s="3"/>
      <c r="C4035" s="3" t="str">
        <f>IFERROR(__xludf.DUMMYFUNCTION("""COMPUTED_VALUE"""),"")</f>
        <v/>
      </c>
      <c r="D4035" s="3" t="str">
        <f>IFERROR(__xludf.DUMMYFUNCTION("""COMPUTED_VALUE"""),"")</f>
        <v/>
      </c>
      <c r="E4035" s="1"/>
    </row>
    <row r="4036">
      <c r="A4036" s="1"/>
      <c r="B4036" s="3"/>
      <c r="C4036" s="3" t="str">
        <f>IFERROR(__xludf.DUMMYFUNCTION("""COMPUTED_VALUE"""),"")</f>
        <v/>
      </c>
      <c r="D4036" s="3" t="str">
        <f>IFERROR(__xludf.DUMMYFUNCTION("""COMPUTED_VALUE"""),"")</f>
        <v/>
      </c>
      <c r="E4036" s="1"/>
    </row>
    <row r="4037">
      <c r="A4037" s="1"/>
      <c r="B4037" s="3"/>
      <c r="C4037" s="3" t="str">
        <f>IFERROR(__xludf.DUMMYFUNCTION("""COMPUTED_VALUE"""),"")</f>
        <v/>
      </c>
      <c r="D4037" s="3" t="str">
        <f>IFERROR(__xludf.DUMMYFUNCTION("""COMPUTED_VALUE"""),"")</f>
        <v/>
      </c>
      <c r="E4037" s="1"/>
    </row>
    <row r="4038">
      <c r="A4038" s="1"/>
      <c r="B4038" s="3"/>
      <c r="C4038" s="3" t="str">
        <f>IFERROR(__xludf.DUMMYFUNCTION("""COMPUTED_VALUE"""),"")</f>
        <v/>
      </c>
      <c r="D4038" s="3" t="str">
        <f>IFERROR(__xludf.DUMMYFUNCTION("""COMPUTED_VALUE"""),"")</f>
        <v/>
      </c>
      <c r="E4038" s="1"/>
    </row>
    <row r="4039">
      <c r="A4039" s="1"/>
      <c r="B4039" s="3"/>
      <c r="C4039" s="3" t="str">
        <f>IFERROR(__xludf.DUMMYFUNCTION("""COMPUTED_VALUE"""),"")</f>
        <v/>
      </c>
      <c r="D4039" s="3" t="str">
        <f>IFERROR(__xludf.DUMMYFUNCTION("""COMPUTED_VALUE"""),"")</f>
        <v/>
      </c>
      <c r="E4039" s="1"/>
    </row>
    <row r="4040">
      <c r="A4040" s="1"/>
      <c r="B4040" s="3"/>
      <c r="C4040" s="3" t="str">
        <f>IFERROR(__xludf.DUMMYFUNCTION("""COMPUTED_VALUE"""),"")</f>
        <v/>
      </c>
      <c r="D4040" s="3" t="str">
        <f>IFERROR(__xludf.DUMMYFUNCTION("""COMPUTED_VALUE"""),"")</f>
        <v/>
      </c>
      <c r="E4040" s="1"/>
    </row>
    <row r="4041">
      <c r="A4041" s="1"/>
      <c r="B4041" s="3"/>
      <c r="C4041" s="3" t="str">
        <f>IFERROR(__xludf.DUMMYFUNCTION("""COMPUTED_VALUE"""),"")</f>
        <v/>
      </c>
      <c r="D4041" s="3" t="str">
        <f>IFERROR(__xludf.DUMMYFUNCTION("""COMPUTED_VALUE"""),"")</f>
        <v/>
      </c>
      <c r="E4041" s="1"/>
    </row>
    <row r="4042">
      <c r="A4042" s="1"/>
      <c r="B4042" s="3"/>
      <c r="C4042" s="3" t="str">
        <f>IFERROR(__xludf.DUMMYFUNCTION("""COMPUTED_VALUE"""),"")</f>
        <v/>
      </c>
      <c r="D4042" s="3" t="str">
        <f>IFERROR(__xludf.DUMMYFUNCTION("""COMPUTED_VALUE"""),"")</f>
        <v/>
      </c>
      <c r="E4042" s="1"/>
    </row>
    <row r="4043">
      <c r="A4043" s="1"/>
      <c r="B4043" s="3"/>
      <c r="C4043" s="3" t="str">
        <f>IFERROR(__xludf.DUMMYFUNCTION("""COMPUTED_VALUE"""),"")</f>
        <v/>
      </c>
      <c r="D4043" s="3" t="str">
        <f>IFERROR(__xludf.DUMMYFUNCTION("""COMPUTED_VALUE"""),"")</f>
        <v/>
      </c>
      <c r="E4043" s="1"/>
    </row>
    <row r="4044">
      <c r="A4044" s="1"/>
      <c r="B4044" s="3"/>
      <c r="C4044" s="3" t="str">
        <f>IFERROR(__xludf.DUMMYFUNCTION("""COMPUTED_VALUE"""),"")</f>
        <v/>
      </c>
      <c r="D4044" s="3" t="str">
        <f>IFERROR(__xludf.DUMMYFUNCTION("""COMPUTED_VALUE"""),"")</f>
        <v/>
      </c>
      <c r="E4044" s="1"/>
    </row>
    <row r="4045">
      <c r="A4045" s="1"/>
      <c r="B4045" s="3"/>
      <c r="C4045" s="3" t="str">
        <f>IFERROR(__xludf.DUMMYFUNCTION("""COMPUTED_VALUE"""),"")</f>
        <v/>
      </c>
      <c r="D4045" s="3" t="str">
        <f>IFERROR(__xludf.DUMMYFUNCTION("""COMPUTED_VALUE"""),"")</f>
        <v/>
      </c>
      <c r="E4045" s="1"/>
    </row>
    <row r="4046">
      <c r="A4046" s="1"/>
      <c r="B4046" s="3"/>
      <c r="C4046" s="3" t="str">
        <f>IFERROR(__xludf.DUMMYFUNCTION("""COMPUTED_VALUE"""),"")</f>
        <v/>
      </c>
      <c r="D4046" s="3" t="str">
        <f>IFERROR(__xludf.DUMMYFUNCTION("""COMPUTED_VALUE"""),"")</f>
        <v/>
      </c>
      <c r="E4046" s="1"/>
    </row>
    <row r="4047">
      <c r="A4047" s="1"/>
      <c r="B4047" s="3"/>
      <c r="C4047" s="3" t="str">
        <f>IFERROR(__xludf.DUMMYFUNCTION("""COMPUTED_VALUE"""),"")</f>
        <v/>
      </c>
      <c r="D4047" s="3" t="str">
        <f>IFERROR(__xludf.DUMMYFUNCTION("""COMPUTED_VALUE"""),"")</f>
        <v/>
      </c>
      <c r="E4047" s="1"/>
    </row>
    <row r="4048">
      <c r="A4048" s="1"/>
      <c r="B4048" s="3"/>
      <c r="C4048" s="3" t="str">
        <f>IFERROR(__xludf.DUMMYFUNCTION("""COMPUTED_VALUE"""),"")</f>
        <v/>
      </c>
      <c r="D4048" s="3" t="str">
        <f>IFERROR(__xludf.DUMMYFUNCTION("""COMPUTED_VALUE"""),"")</f>
        <v/>
      </c>
      <c r="E4048" s="1"/>
    </row>
    <row r="4049">
      <c r="A4049" s="1"/>
      <c r="B4049" s="3"/>
      <c r="C4049" s="3" t="str">
        <f>IFERROR(__xludf.DUMMYFUNCTION("""COMPUTED_VALUE"""),"")</f>
        <v/>
      </c>
      <c r="D4049" s="3" t="str">
        <f>IFERROR(__xludf.DUMMYFUNCTION("""COMPUTED_VALUE"""),"")</f>
        <v/>
      </c>
      <c r="E4049" s="1"/>
    </row>
    <row r="4050">
      <c r="A4050" s="1"/>
      <c r="B4050" s="3"/>
      <c r="C4050" s="3" t="str">
        <f>IFERROR(__xludf.DUMMYFUNCTION("""COMPUTED_VALUE"""),"")</f>
        <v/>
      </c>
      <c r="D4050" s="3" t="str">
        <f>IFERROR(__xludf.DUMMYFUNCTION("""COMPUTED_VALUE"""),"")</f>
        <v/>
      </c>
      <c r="E4050" s="1"/>
    </row>
    <row r="4051">
      <c r="A4051" s="1"/>
      <c r="B4051" s="3"/>
      <c r="C4051" s="3" t="str">
        <f>IFERROR(__xludf.DUMMYFUNCTION("""COMPUTED_VALUE"""),"")</f>
        <v/>
      </c>
      <c r="D4051" s="3" t="str">
        <f>IFERROR(__xludf.DUMMYFUNCTION("""COMPUTED_VALUE"""),"")</f>
        <v/>
      </c>
      <c r="E4051" s="1"/>
    </row>
    <row r="4052">
      <c r="A4052" s="1"/>
      <c r="B4052" s="3"/>
      <c r="C4052" s="3" t="str">
        <f>IFERROR(__xludf.DUMMYFUNCTION("""COMPUTED_VALUE"""),"")</f>
        <v/>
      </c>
      <c r="D4052" s="3" t="str">
        <f>IFERROR(__xludf.DUMMYFUNCTION("""COMPUTED_VALUE"""),"")</f>
        <v/>
      </c>
      <c r="E4052" s="1"/>
    </row>
    <row r="4053">
      <c r="A4053" s="1"/>
      <c r="B4053" s="3"/>
      <c r="C4053" s="3" t="str">
        <f>IFERROR(__xludf.DUMMYFUNCTION("""COMPUTED_VALUE"""),"")</f>
        <v/>
      </c>
      <c r="D4053" s="3" t="str">
        <f>IFERROR(__xludf.DUMMYFUNCTION("""COMPUTED_VALUE"""),"")</f>
        <v/>
      </c>
      <c r="E4053" s="1"/>
    </row>
    <row r="4054">
      <c r="A4054" s="1"/>
      <c r="B4054" s="3"/>
      <c r="C4054" s="3" t="str">
        <f>IFERROR(__xludf.DUMMYFUNCTION("""COMPUTED_VALUE"""),"")</f>
        <v/>
      </c>
      <c r="D4054" s="3" t="str">
        <f>IFERROR(__xludf.DUMMYFUNCTION("""COMPUTED_VALUE"""),"")</f>
        <v/>
      </c>
      <c r="E4054" s="1"/>
    </row>
    <row r="4055">
      <c r="A4055" s="1"/>
      <c r="B4055" s="3"/>
      <c r="C4055" s="3" t="str">
        <f>IFERROR(__xludf.DUMMYFUNCTION("""COMPUTED_VALUE"""),"")</f>
        <v/>
      </c>
      <c r="D4055" s="3" t="str">
        <f>IFERROR(__xludf.DUMMYFUNCTION("""COMPUTED_VALUE"""),"")</f>
        <v/>
      </c>
      <c r="E4055" s="1"/>
    </row>
    <row r="4056">
      <c r="A4056" s="1"/>
      <c r="B4056" s="3"/>
      <c r="C4056" s="3" t="str">
        <f>IFERROR(__xludf.DUMMYFUNCTION("""COMPUTED_VALUE"""),"")</f>
        <v/>
      </c>
      <c r="D4056" s="3" t="str">
        <f>IFERROR(__xludf.DUMMYFUNCTION("""COMPUTED_VALUE"""),"")</f>
        <v/>
      </c>
      <c r="E4056" s="1"/>
    </row>
    <row r="4057">
      <c r="A4057" s="1"/>
      <c r="B4057" s="3"/>
      <c r="C4057" s="3" t="str">
        <f>IFERROR(__xludf.DUMMYFUNCTION("""COMPUTED_VALUE"""),"")</f>
        <v/>
      </c>
      <c r="D4057" s="3" t="str">
        <f>IFERROR(__xludf.DUMMYFUNCTION("""COMPUTED_VALUE"""),"")</f>
        <v/>
      </c>
      <c r="E4057" s="1"/>
    </row>
    <row r="4058">
      <c r="A4058" s="1"/>
      <c r="B4058" s="3"/>
      <c r="C4058" s="3" t="str">
        <f>IFERROR(__xludf.DUMMYFUNCTION("""COMPUTED_VALUE"""),"")</f>
        <v/>
      </c>
      <c r="D4058" s="3" t="str">
        <f>IFERROR(__xludf.DUMMYFUNCTION("""COMPUTED_VALUE"""),"")</f>
        <v/>
      </c>
      <c r="E4058" s="1"/>
    </row>
    <row r="4059">
      <c r="A4059" s="1"/>
      <c r="B4059" s="3"/>
      <c r="C4059" s="3" t="str">
        <f>IFERROR(__xludf.DUMMYFUNCTION("""COMPUTED_VALUE"""),"")</f>
        <v/>
      </c>
      <c r="D4059" s="3" t="str">
        <f>IFERROR(__xludf.DUMMYFUNCTION("""COMPUTED_VALUE"""),"")</f>
        <v/>
      </c>
      <c r="E4059" s="1"/>
    </row>
    <row r="4060">
      <c r="A4060" s="1"/>
      <c r="B4060" s="3"/>
      <c r="C4060" s="3" t="str">
        <f>IFERROR(__xludf.DUMMYFUNCTION("""COMPUTED_VALUE"""),"")</f>
        <v/>
      </c>
      <c r="D4060" s="3" t="str">
        <f>IFERROR(__xludf.DUMMYFUNCTION("""COMPUTED_VALUE"""),"")</f>
        <v/>
      </c>
      <c r="E4060" s="1"/>
    </row>
    <row r="4061">
      <c r="A4061" s="1"/>
      <c r="B4061" s="3"/>
      <c r="C4061" s="3" t="str">
        <f>IFERROR(__xludf.DUMMYFUNCTION("""COMPUTED_VALUE"""),"")</f>
        <v/>
      </c>
      <c r="D4061" s="3" t="str">
        <f>IFERROR(__xludf.DUMMYFUNCTION("""COMPUTED_VALUE"""),"")</f>
        <v/>
      </c>
      <c r="E4061" s="1"/>
    </row>
    <row r="4062">
      <c r="A4062" s="1"/>
      <c r="B4062" s="3"/>
      <c r="C4062" s="3" t="str">
        <f>IFERROR(__xludf.DUMMYFUNCTION("""COMPUTED_VALUE"""),"")</f>
        <v/>
      </c>
      <c r="D4062" s="3" t="str">
        <f>IFERROR(__xludf.DUMMYFUNCTION("""COMPUTED_VALUE"""),"")</f>
        <v/>
      </c>
      <c r="E4062" s="1"/>
    </row>
    <row r="4063">
      <c r="A4063" s="1"/>
      <c r="B4063" s="3"/>
      <c r="C4063" s="3" t="str">
        <f>IFERROR(__xludf.DUMMYFUNCTION("""COMPUTED_VALUE"""),"")</f>
        <v/>
      </c>
      <c r="D4063" s="3" t="str">
        <f>IFERROR(__xludf.DUMMYFUNCTION("""COMPUTED_VALUE"""),"")</f>
        <v/>
      </c>
      <c r="E4063" s="1"/>
    </row>
    <row r="4064">
      <c r="A4064" s="1"/>
      <c r="B4064" s="3"/>
      <c r="C4064" s="3" t="str">
        <f>IFERROR(__xludf.DUMMYFUNCTION("""COMPUTED_VALUE"""),"")</f>
        <v/>
      </c>
      <c r="D4064" s="3" t="str">
        <f>IFERROR(__xludf.DUMMYFUNCTION("""COMPUTED_VALUE"""),"")</f>
        <v/>
      </c>
      <c r="E4064" s="1"/>
    </row>
    <row r="4065">
      <c r="A4065" s="1"/>
      <c r="B4065" s="3"/>
      <c r="C4065" s="3" t="str">
        <f>IFERROR(__xludf.DUMMYFUNCTION("""COMPUTED_VALUE"""),"")</f>
        <v/>
      </c>
      <c r="D4065" s="3" t="str">
        <f>IFERROR(__xludf.DUMMYFUNCTION("""COMPUTED_VALUE"""),"")</f>
        <v/>
      </c>
      <c r="E4065" s="1"/>
    </row>
    <row r="4066">
      <c r="A4066" s="1"/>
      <c r="B4066" s="3"/>
      <c r="C4066" s="3" t="str">
        <f>IFERROR(__xludf.DUMMYFUNCTION("""COMPUTED_VALUE"""),"")</f>
        <v/>
      </c>
      <c r="D4066" s="3" t="str">
        <f>IFERROR(__xludf.DUMMYFUNCTION("""COMPUTED_VALUE"""),"")</f>
        <v/>
      </c>
      <c r="E4066" s="1"/>
    </row>
    <row r="4067">
      <c r="A4067" s="1"/>
      <c r="B4067" s="3"/>
      <c r="C4067" s="3" t="str">
        <f>IFERROR(__xludf.DUMMYFUNCTION("""COMPUTED_VALUE"""),"")</f>
        <v/>
      </c>
      <c r="D4067" s="3" t="str">
        <f>IFERROR(__xludf.DUMMYFUNCTION("""COMPUTED_VALUE"""),"")</f>
        <v/>
      </c>
      <c r="E4067" s="1"/>
    </row>
    <row r="4068">
      <c r="A4068" s="1"/>
      <c r="B4068" s="3"/>
      <c r="C4068" s="3" t="str">
        <f>IFERROR(__xludf.DUMMYFUNCTION("""COMPUTED_VALUE"""),"")</f>
        <v/>
      </c>
      <c r="D4068" s="3" t="str">
        <f>IFERROR(__xludf.DUMMYFUNCTION("""COMPUTED_VALUE"""),"")</f>
        <v/>
      </c>
      <c r="E4068" s="1"/>
    </row>
    <row r="4069">
      <c r="A4069" s="1"/>
      <c r="B4069" s="3"/>
      <c r="C4069" s="3" t="str">
        <f>IFERROR(__xludf.DUMMYFUNCTION("""COMPUTED_VALUE"""),"")</f>
        <v/>
      </c>
      <c r="D4069" s="3" t="str">
        <f>IFERROR(__xludf.DUMMYFUNCTION("""COMPUTED_VALUE"""),"")</f>
        <v/>
      </c>
      <c r="E4069" s="1"/>
    </row>
    <row r="4070">
      <c r="A4070" s="1"/>
      <c r="B4070" s="3"/>
      <c r="C4070" s="3" t="str">
        <f>IFERROR(__xludf.DUMMYFUNCTION("""COMPUTED_VALUE"""),"")</f>
        <v/>
      </c>
      <c r="D4070" s="3" t="str">
        <f>IFERROR(__xludf.DUMMYFUNCTION("""COMPUTED_VALUE"""),"")</f>
        <v/>
      </c>
      <c r="E4070" s="1"/>
    </row>
    <row r="4071">
      <c r="A4071" s="1"/>
      <c r="B4071" s="3"/>
      <c r="C4071" s="3" t="str">
        <f>IFERROR(__xludf.DUMMYFUNCTION("""COMPUTED_VALUE"""),"")</f>
        <v/>
      </c>
      <c r="D4071" s="3" t="str">
        <f>IFERROR(__xludf.DUMMYFUNCTION("""COMPUTED_VALUE"""),"")</f>
        <v/>
      </c>
      <c r="E4071" s="1"/>
    </row>
    <row r="4072">
      <c r="A4072" s="1"/>
      <c r="B4072" s="3"/>
      <c r="C4072" s="3" t="str">
        <f>IFERROR(__xludf.DUMMYFUNCTION("""COMPUTED_VALUE"""),"")</f>
        <v/>
      </c>
      <c r="D4072" s="3" t="str">
        <f>IFERROR(__xludf.DUMMYFUNCTION("""COMPUTED_VALUE"""),"")</f>
        <v/>
      </c>
      <c r="E4072" s="1"/>
    </row>
    <row r="4073">
      <c r="A4073" s="1"/>
      <c r="B4073" s="3"/>
      <c r="C4073" s="3" t="str">
        <f>IFERROR(__xludf.DUMMYFUNCTION("""COMPUTED_VALUE"""),"")</f>
        <v/>
      </c>
      <c r="D4073" s="3" t="str">
        <f>IFERROR(__xludf.DUMMYFUNCTION("""COMPUTED_VALUE"""),"")</f>
        <v/>
      </c>
      <c r="E4073" s="1"/>
    </row>
    <row r="4074">
      <c r="A4074" s="1"/>
      <c r="B4074" s="3"/>
      <c r="C4074" s="3" t="str">
        <f>IFERROR(__xludf.DUMMYFUNCTION("""COMPUTED_VALUE"""),"")</f>
        <v/>
      </c>
      <c r="D4074" s="3" t="str">
        <f>IFERROR(__xludf.DUMMYFUNCTION("""COMPUTED_VALUE"""),"")</f>
        <v/>
      </c>
      <c r="E4074" s="1"/>
    </row>
    <row r="4075">
      <c r="A4075" s="1"/>
      <c r="B4075" s="3"/>
      <c r="C4075" s="3" t="str">
        <f>IFERROR(__xludf.DUMMYFUNCTION("""COMPUTED_VALUE"""),"")</f>
        <v/>
      </c>
      <c r="D4075" s="3" t="str">
        <f>IFERROR(__xludf.DUMMYFUNCTION("""COMPUTED_VALUE"""),"")</f>
        <v/>
      </c>
      <c r="E4075" s="1"/>
    </row>
    <row r="4076">
      <c r="A4076" s="1"/>
      <c r="B4076" s="3"/>
      <c r="C4076" s="3" t="str">
        <f>IFERROR(__xludf.DUMMYFUNCTION("""COMPUTED_VALUE"""),"")</f>
        <v/>
      </c>
      <c r="D4076" s="3" t="str">
        <f>IFERROR(__xludf.DUMMYFUNCTION("""COMPUTED_VALUE"""),"")</f>
        <v/>
      </c>
      <c r="E4076" s="1"/>
    </row>
    <row r="4077">
      <c r="A4077" s="1"/>
      <c r="B4077" s="3"/>
      <c r="C4077" s="3" t="str">
        <f>IFERROR(__xludf.DUMMYFUNCTION("""COMPUTED_VALUE"""),"")</f>
        <v/>
      </c>
      <c r="D4077" s="3" t="str">
        <f>IFERROR(__xludf.DUMMYFUNCTION("""COMPUTED_VALUE"""),"")</f>
        <v/>
      </c>
      <c r="E4077" s="1"/>
    </row>
    <row r="4078">
      <c r="A4078" s="1"/>
      <c r="B4078" s="3"/>
      <c r="C4078" s="3" t="str">
        <f>IFERROR(__xludf.DUMMYFUNCTION("""COMPUTED_VALUE"""),"")</f>
        <v/>
      </c>
      <c r="D4078" s="3" t="str">
        <f>IFERROR(__xludf.DUMMYFUNCTION("""COMPUTED_VALUE"""),"")</f>
        <v/>
      </c>
      <c r="E4078" s="1"/>
    </row>
    <row r="4079">
      <c r="A4079" s="1"/>
      <c r="B4079" s="3"/>
      <c r="C4079" s="3" t="str">
        <f>IFERROR(__xludf.DUMMYFUNCTION("""COMPUTED_VALUE"""),"")</f>
        <v/>
      </c>
      <c r="D4079" s="3" t="str">
        <f>IFERROR(__xludf.DUMMYFUNCTION("""COMPUTED_VALUE"""),"")</f>
        <v/>
      </c>
      <c r="E4079" s="1"/>
    </row>
    <row r="4080">
      <c r="A4080" s="1"/>
      <c r="B4080" s="3"/>
      <c r="C4080" s="3" t="str">
        <f>IFERROR(__xludf.DUMMYFUNCTION("""COMPUTED_VALUE"""),"")</f>
        <v/>
      </c>
      <c r="D4080" s="3" t="str">
        <f>IFERROR(__xludf.DUMMYFUNCTION("""COMPUTED_VALUE"""),"")</f>
        <v/>
      </c>
      <c r="E4080" s="1"/>
    </row>
    <row r="4081">
      <c r="A4081" s="1"/>
      <c r="B4081" s="3"/>
      <c r="C4081" s="3" t="str">
        <f>IFERROR(__xludf.DUMMYFUNCTION("""COMPUTED_VALUE"""),"")</f>
        <v/>
      </c>
      <c r="D4081" s="3" t="str">
        <f>IFERROR(__xludf.DUMMYFUNCTION("""COMPUTED_VALUE"""),"")</f>
        <v/>
      </c>
      <c r="E4081" s="1"/>
    </row>
    <row r="4082">
      <c r="A4082" s="1"/>
      <c r="B4082" s="3"/>
      <c r="C4082" s="3" t="str">
        <f>IFERROR(__xludf.DUMMYFUNCTION("""COMPUTED_VALUE"""),"")</f>
        <v/>
      </c>
      <c r="D4082" s="3" t="str">
        <f>IFERROR(__xludf.DUMMYFUNCTION("""COMPUTED_VALUE"""),"")</f>
        <v/>
      </c>
      <c r="E4082" s="1"/>
    </row>
    <row r="4083">
      <c r="A4083" s="1"/>
      <c r="B4083" s="3"/>
      <c r="C4083" s="3" t="str">
        <f>IFERROR(__xludf.DUMMYFUNCTION("""COMPUTED_VALUE"""),"")</f>
        <v/>
      </c>
      <c r="D4083" s="3" t="str">
        <f>IFERROR(__xludf.DUMMYFUNCTION("""COMPUTED_VALUE"""),"")</f>
        <v/>
      </c>
      <c r="E4083" s="1"/>
    </row>
    <row r="4084">
      <c r="A4084" s="1"/>
      <c r="B4084" s="3"/>
      <c r="C4084" s="3" t="str">
        <f>IFERROR(__xludf.DUMMYFUNCTION("""COMPUTED_VALUE"""),"")</f>
        <v/>
      </c>
      <c r="D4084" s="3" t="str">
        <f>IFERROR(__xludf.DUMMYFUNCTION("""COMPUTED_VALUE"""),"")</f>
        <v/>
      </c>
      <c r="E4084" s="1"/>
    </row>
    <row r="4085">
      <c r="A4085" s="1"/>
      <c r="B4085" s="3"/>
      <c r="C4085" s="3" t="str">
        <f>IFERROR(__xludf.DUMMYFUNCTION("""COMPUTED_VALUE"""),"")</f>
        <v/>
      </c>
      <c r="D4085" s="3" t="str">
        <f>IFERROR(__xludf.DUMMYFUNCTION("""COMPUTED_VALUE"""),"")</f>
        <v/>
      </c>
      <c r="E4085" s="1"/>
    </row>
    <row r="4086">
      <c r="A4086" s="1"/>
      <c r="B4086" s="3"/>
      <c r="C4086" s="3" t="str">
        <f>IFERROR(__xludf.DUMMYFUNCTION("""COMPUTED_VALUE"""),"")</f>
        <v/>
      </c>
      <c r="D4086" s="3" t="str">
        <f>IFERROR(__xludf.DUMMYFUNCTION("""COMPUTED_VALUE"""),"")</f>
        <v/>
      </c>
      <c r="E4086" s="1"/>
    </row>
    <row r="4087">
      <c r="A4087" s="1"/>
      <c r="B4087" s="3"/>
      <c r="C4087" s="3" t="str">
        <f>IFERROR(__xludf.DUMMYFUNCTION("""COMPUTED_VALUE"""),"")</f>
        <v/>
      </c>
      <c r="D4087" s="3" t="str">
        <f>IFERROR(__xludf.DUMMYFUNCTION("""COMPUTED_VALUE"""),"")</f>
        <v/>
      </c>
      <c r="E4087" s="1"/>
    </row>
    <row r="4088">
      <c r="A4088" s="1"/>
      <c r="B4088" s="3"/>
      <c r="C4088" s="3" t="str">
        <f>IFERROR(__xludf.DUMMYFUNCTION("""COMPUTED_VALUE"""),"")</f>
        <v/>
      </c>
      <c r="D4088" s="3" t="str">
        <f>IFERROR(__xludf.DUMMYFUNCTION("""COMPUTED_VALUE"""),"")</f>
        <v/>
      </c>
      <c r="E4088" s="1"/>
    </row>
    <row r="4089">
      <c r="A4089" s="1"/>
      <c r="B4089" s="3"/>
      <c r="C4089" s="3" t="str">
        <f>IFERROR(__xludf.DUMMYFUNCTION("""COMPUTED_VALUE"""),"")</f>
        <v/>
      </c>
      <c r="D4089" s="3" t="str">
        <f>IFERROR(__xludf.DUMMYFUNCTION("""COMPUTED_VALUE"""),"")</f>
        <v/>
      </c>
      <c r="E4089" s="1"/>
    </row>
    <row r="4090">
      <c r="A4090" s="1"/>
      <c r="B4090" s="3"/>
      <c r="C4090" s="3" t="str">
        <f>IFERROR(__xludf.DUMMYFUNCTION("""COMPUTED_VALUE"""),"")</f>
        <v/>
      </c>
      <c r="D4090" s="3" t="str">
        <f>IFERROR(__xludf.DUMMYFUNCTION("""COMPUTED_VALUE"""),"")</f>
        <v/>
      </c>
      <c r="E4090" s="1"/>
    </row>
    <row r="4091">
      <c r="A4091" s="1"/>
      <c r="B4091" s="3"/>
      <c r="C4091" s="3" t="str">
        <f>IFERROR(__xludf.DUMMYFUNCTION("""COMPUTED_VALUE"""),"")</f>
        <v/>
      </c>
      <c r="D4091" s="3" t="str">
        <f>IFERROR(__xludf.DUMMYFUNCTION("""COMPUTED_VALUE"""),"")</f>
        <v/>
      </c>
      <c r="E4091" s="1"/>
    </row>
    <row r="4092">
      <c r="A4092" s="1"/>
      <c r="B4092" s="3"/>
      <c r="C4092" s="3" t="str">
        <f>IFERROR(__xludf.DUMMYFUNCTION("""COMPUTED_VALUE"""),"")</f>
        <v/>
      </c>
      <c r="D4092" s="3" t="str">
        <f>IFERROR(__xludf.DUMMYFUNCTION("""COMPUTED_VALUE"""),"")</f>
        <v/>
      </c>
      <c r="E4092" s="1"/>
    </row>
    <row r="4093">
      <c r="A4093" s="1"/>
      <c r="B4093" s="3"/>
      <c r="C4093" s="3" t="str">
        <f>IFERROR(__xludf.DUMMYFUNCTION("""COMPUTED_VALUE"""),"")</f>
        <v/>
      </c>
      <c r="D4093" s="3" t="str">
        <f>IFERROR(__xludf.DUMMYFUNCTION("""COMPUTED_VALUE"""),"")</f>
        <v/>
      </c>
      <c r="E4093" s="1"/>
    </row>
    <row r="4094">
      <c r="A4094" s="1"/>
      <c r="B4094" s="3"/>
      <c r="C4094" s="3" t="str">
        <f>IFERROR(__xludf.DUMMYFUNCTION("""COMPUTED_VALUE"""),"")</f>
        <v/>
      </c>
      <c r="D4094" s="3" t="str">
        <f>IFERROR(__xludf.DUMMYFUNCTION("""COMPUTED_VALUE"""),"")</f>
        <v/>
      </c>
      <c r="E4094" s="1"/>
    </row>
    <row r="4095">
      <c r="A4095" s="1"/>
      <c r="B4095" s="3"/>
      <c r="C4095" s="3" t="str">
        <f>IFERROR(__xludf.DUMMYFUNCTION("""COMPUTED_VALUE"""),"")</f>
        <v/>
      </c>
      <c r="D4095" s="3" t="str">
        <f>IFERROR(__xludf.DUMMYFUNCTION("""COMPUTED_VALUE"""),"")</f>
        <v/>
      </c>
      <c r="E4095" s="1"/>
    </row>
    <row r="4096">
      <c r="A4096" s="1"/>
      <c r="B4096" s="3"/>
      <c r="C4096" s="3" t="str">
        <f>IFERROR(__xludf.DUMMYFUNCTION("""COMPUTED_VALUE"""),"")</f>
        <v/>
      </c>
      <c r="D4096" s="3" t="str">
        <f>IFERROR(__xludf.DUMMYFUNCTION("""COMPUTED_VALUE"""),"")</f>
        <v/>
      </c>
      <c r="E4096" s="1"/>
    </row>
    <row r="4097">
      <c r="A4097" s="1"/>
      <c r="B4097" s="3"/>
      <c r="C4097" s="3" t="str">
        <f>IFERROR(__xludf.DUMMYFUNCTION("""COMPUTED_VALUE"""),"")</f>
        <v/>
      </c>
      <c r="D4097" s="3" t="str">
        <f>IFERROR(__xludf.DUMMYFUNCTION("""COMPUTED_VALUE"""),"")</f>
        <v/>
      </c>
      <c r="E4097" s="1"/>
    </row>
    <row r="4098">
      <c r="A4098" s="1"/>
      <c r="B4098" s="3"/>
      <c r="C4098" s="3" t="str">
        <f>IFERROR(__xludf.DUMMYFUNCTION("""COMPUTED_VALUE"""),"")</f>
        <v/>
      </c>
      <c r="D4098" s="3" t="str">
        <f>IFERROR(__xludf.DUMMYFUNCTION("""COMPUTED_VALUE"""),"")</f>
        <v/>
      </c>
      <c r="E4098" s="1"/>
    </row>
    <row r="4099">
      <c r="A4099" s="1"/>
      <c r="B4099" s="3"/>
      <c r="C4099" s="3" t="str">
        <f>IFERROR(__xludf.DUMMYFUNCTION("""COMPUTED_VALUE"""),"")</f>
        <v/>
      </c>
      <c r="D4099" s="3" t="str">
        <f>IFERROR(__xludf.DUMMYFUNCTION("""COMPUTED_VALUE"""),"")</f>
        <v/>
      </c>
      <c r="E4099" s="1"/>
    </row>
    <row r="4100">
      <c r="A4100" s="1"/>
      <c r="B4100" s="3"/>
      <c r="C4100" s="3" t="str">
        <f>IFERROR(__xludf.DUMMYFUNCTION("""COMPUTED_VALUE"""),"")</f>
        <v/>
      </c>
      <c r="D4100" s="3" t="str">
        <f>IFERROR(__xludf.DUMMYFUNCTION("""COMPUTED_VALUE"""),"")</f>
        <v/>
      </c>
      <c r="E4100" s="1"/>
    </row>
    <row r="4101">
      <c r="A4101" s="1"/>
      <c r="B4101" s="3"/>
      <c r="C4101" s="3" t="str">
        <f>IFERROR(__xludf.DUMMYFUNCTION("""COMPUTED_VALUE"""),"")</f>
        <v/>
      </c>
      <c r="D4101" s="3" t="str">
        <f>IFERROR(__xludf.DUMMYFUNCTION("""COMPUTED_VALUE"""),"")</f>
        <v/>
      </c>
      <c r="E4101" s="1"/>
    </row>
    <row r="4102">
      <c r="A4102" s="1"/>
      <c r="B4102" s="3"/>
      <c r="C4102" s="3" t="str">
        <f>IFERROR(__xludf.DUMMYFUNCTION("""COMPUTED_VALUE"""),"")</f>
        <v/>
      </c>
      <c r="D4102" s="3" t="str">
        <f>IFERROR(__xludf.DUMMYFUNCTION("""COMPUTED_VALUE"""),"")</f>
        <v/>
      </c>
      <c r="E4102" s="1"/>
    </row>
    <row r="4103">
      <c r="A4103" s="1"/>
      <c r="B4103" s="3"/>
      <c r="C4103" s="3" t="str">
        <f>IFERROR(__xludf.DUMMYFUNCTION("""COMPUTED_VALUE"""),"")</f>
        <v/>
      </c>
      <c r="D4103" s="3" t="str">
        <f>IFERROR(__xludf.DUMMYFUNCTION("""COMPUTED_VALUE"""),"")</f>
        <v/>
      </c>
      <c r="E4103" s="1"/>
    </row>
    <row r="4104">
      <c r="A4104" s="1"/>
      <c r="B4104" s="3"/>
      <c r="C4104" s="3" t="str">
        <f>IFERROR(__xludf.DUMMYFUNCTION("""COMPUTED_VALUE"""),"")</f>
        <v/>
      </c>
      <c r="D4104" s="3" t="str">
        <f>IFERROR(__xludf.DUMMYFUNCTION("""COMPUTED_VALUE"""),"")</f>
        <v/>
      </c>
      <c r="E4104" s="1"/>
    </row>
    <row r="4105">
      <c r="A4105" s="1"/>
      <c r="B4105" s="3"/>
      <c r="C4105" s="3" t="str">
        <f>IFERROR(__xludf.DUMMYFUNCTION("""COMPUTED_VALUE"""),"")</f>
        <v/>
      </c>
      <c r="D4105" s="3" t="str">
        <f>IFERROR(__xludf.DUMMYFUNCTION("""COMPUTED_VALUE"""),"")</f>
        <v/>
      </c>
      <c r="E4105" s="1"/>
    </row>
    <row r="4106">
      <c r="A4106" s="1"/>
      <c r="B4106" s="3"/>
      <c r="C4106" s="3" t="str">
        <f>IFERROR(__xludf.DUMMYFUNCTION("""COMPUTED_VALUE"""),"")</f>
        <v/>
      </c>
      <c r="D4106" s="3" t="str">
        <f>IFERROR(__xludf.DUMMYFUNCTION("""COMPUTED_VALUE"""),"")</f>
        <v/>
      </c>
      <c r="E4106" s="1"/>
    </row>
    <row r="4107">
      <c r="A4107" s="1"/>
      <c r="B4107" s="3"/>
      <c r="C4107" s="3" t="str">
        <f>IFERROR(__xludf.DUMMYFUNCTION("""COMPUTED_VALUE"""),"")</f>
        <v/>
      </c>
      <c r="D4107" s="3" t="str">
        <f>IFERROR(__xludf.DUMMYFUNCTION("""COMPUTED_VALUE"""),"")</f>
        <v/>
      </c>
      <c r="E4107" s="1"/>
    </row>
    <row r="4108">
      <c r="A4108" s="1"/>
      <c r="B4108" s="3"/>
      <c r="C4108" s="3" t="str">
        <f>IFERROR(__xludf.DUMMYFUNCTION("""COMPUTED_VALUE"""),"")</f>
        <v/>
      </c>
      <c r="D4108" s="3" t="str">
        <f>IFERROR(__xludf.DUMMYFUNCTION("""COMPUTED_VALUE"""),"")</f>
        <v/>
      </c>
      <c r="E4108" s="1"/>
    </row>
    <row r="4109">
      <c r="A4109" s="1"/>
      <c r="B4109" s="3"/>
      <c r="C4109" s="3" t="str">
        <f>IFERROR(__xludf.DUMMYFUNCTION("""COMPUTED_VALUE"""),"")</f>
        <v/>
      </c>
      <c r="D4109" s="3" t="str">
        <f>IFERROR(__xludf.DUMMYFUNCTION("""COMPUTED_VALUE"""),"")</f>
        <v/>
      </c>
      <c r="E4109" s="1"/>
    </row>
    <row r="4110">
      <c r="A4110" s="1"/>
      <c r="B4110" s="3"/>
      <c r="C4110" s="3" t="str">
        <f>IFERROR(__xludf.DUMMYFUNCTION("""COMPUTED_VALUE"""),"")</f>
        <v/>
      </c>
      <c r="D4110" s="3" t="str">
        <f>IFERROR(__xludf.DUMMYFUNCTION("""COMPUTED_VALUE"""),"")</f>
        <v/>
      </c>
      <c r="E4110" s="1"/>
    </row>
    <row r="4111">
      <c r="A4111" s="1"/>
      <c r="B4111" s="3"/>
      <c r="C4111" s="3" t="str">
        <f>IFERROR(__xludf.DUMMYFUNCTION("""COMPUTED_VALUE"""),"")</f>
        <v/>
      </c>
      <c r="D4111" s="3" t="str">
        <f>IFERROR(__xludf.DUMMYFUNCTION("""COMPUTED_VALUE"""),"")</f>
        <v/>
      </c>
      <c r="E4111" s="1"/>
    </row>
    <row r="4112">
      <c r="A4112" s="1"/>
      <c r="B4112" s="3"/>
      <c r="C4112" s="3" t="str">
        <f>IFERROR(__xludf.DUMMYFUNCTION("""COMPUTED_VALUE"""),"")</f>
        <v/>
      </c>
      <c r="D4112" s="3" t="str">
        <f>IFERROR(__xludf.DUMMYFUNCTION("""COMPUTED_VALUE"""),"")</f>
        <v/>
      </c>
      <c r="E4112" s="1"/>
    </row>
    <row r="4113">
      <c r="A4113" s="1"/>
      <c r="B4113" s="3"/>
      <c r="C4113" s="3" t="str">
        <f>IFERROR(__xludf.DUMMYFUNCTION("""COMPUTED_VALUE"""),"")</f>
        <v/>
      </c>
      <c r="D4113" s="3" t="str">
        <f>IFERROR(__xludf.DUMMYFUNCTION("""COMPUTED_VALUE"""),"")</f>
        <v/>
      </c>
      <c r="E4113" s="1"/>
    </row>
    <row r="4114">
      <c r="A4114" s="1"/>
      <c r="B4114" s="3"/>
      <c r="C4114" s="3" t="str">
        <f>IFERROR(__xludf.DUMMYFUNCTION("""COMPUTED_VALUE"""),"")</f>
        <v/>
      </c>
      <c r="D4114" s="3" t="str">
        <f>IFERROR(__xludf.DUMMYFUNCTION("""COMPUTED_VALUE"""),"")</f>
        <v/>
      </c>
      <c r="E4114" s="1"/>
    </row>
    <row r="4115">
      <c r="A4115" s="1"/>
      <c r="B4115" s="3"/>
      <c r="C4115" s="3" t="str">
        <f>IFERROR(__xludf.DUMMYFUNCTION("""COMPUTED_VALUE"""),"")</f>
        <v/>
      </c>
      <c r="D4115" s="3" t="str">
        <f>IFERROR(__xludf.DUMMYFUNCTION("""COMPUTED_VALUE"""),"")</f>
        <v/>
      </c>
      <c r="E4115" s="1"/>
    </row>
    <row r="4116">
      <c r="A4116" s="1"/>
      <c r="B4116" s="3"/>
      <c r="C4116" s="3" t="str">
        <f>IFERROR(__xludf.DUMMYFUNCTION("""COMPUTED_VALUE"""),"")</f>
        <v/>
      </c>
      <c r="D4116" s="3" t="str">
        <f>IFERROR(__xludf.DUMMYFUNCTION("""COMPUTED_VALUE"""),"")</f>
        <v/>
      </c>
      <c r="E4116" s="1"/>
    </row>
    <row r="4117">
      <c r="A4117" s="1"/>
      <c r="B4117" s="3"/>
      <c r="C4117" s="3" t="str">
        <f>IFERROR(__xludf.DUMMYFUNCTION("""COMPUTED_VALUE"""),"")</f>
        <v/>
      </c>
      <c r="D4117" s="3" t="str">
        <f>IFERROR(__xludf.DUMMYFUNCTION("""COMPUTED_VALUE"""),"")</f>
        <v/>
      </c>
      <c r="E4117" s="1"/>
    </row>
    <row r="4118">
      <c r="A4118" s="1"/>
      <c r="B4118" s="3"/>
      <c r="C4118" s="3" t="str">
        <f>IFERROR(__xludf.DUMMYFUNCTION("""COMPUTED_VALUE"""),"")</f>
        <v/>
      </c>
      <c r="D4118" s="3" t="str">
        <f>IFERROR(__xludf.DUMMYFUNCTION("""COMPUTED_VALUE"""),"")</f>
        <v/>
      </c>
      <c r="E4118" s="1"/>
    </row>
    <row r="4119">
      <c r="A4119" s="1"/>
      <c r="B4119" s="3"/>
      <c r="C4119" s="3" t="str">
        <f>IFERROR(__xludf.DUMMYFUNCTION("""COMPUTED_VALUE"""),"")</f>
        <v/>
      </c>
      <c r="D4119" s="3" t="str">
        <f>IFERROR(__xludf.DUMMYFUNCTION("""COMPUTED_VALUE"""),"")</f>
        <v/>
      </c>
      <c r="E4119" s="1"/>
    </row>
    <row r="4120">
      <c r="A4120" s="1"/>
      <c r="B4120" s="3"/>
      <c r="C4120" s="3" t="str">
        <f>IFERROR(__xludf.DUMMYFUNCTION("""COMPUTED_VALUE"""),"")</f>
        <v/>
      </c>
      <c r="D4120" s="3" t="str">
        <f>IFERROR(__xludf.DUMMYFUNCTION("""COMPUTED_VALUE"""),"")</f>
        <v/>
      </c>
      <c r="E4120" s="1"/>
    </row>
    <row r="4121">
      <c r="A4121" s="1"/>
      <c r="B4121" s="3"/>
      <c r="C4121" s="3" t="str">
        <f>IFERROR(__xludf.DUMMYFUNCTION("""COMPUTED_VALUE"""),"")</f>
        <v/>
      </c>
      <c r="D4121" s="3" t="str">
        <f>IFERROR(__xludf.DUMMYFUNCTION("""COMPUTED_VALUE"""),"")</f>
        <v/>
      </c>
      <c r="E4121" s="1"/>
    </row>
    <row r="4122">
      <c r="A4122" s="1"/>
      <c r="B4122" s="3"/>
      <c r="C4122" s="3" t="str">
        <f>IFERROR(__xludf.DUMMYFUNCTION("""COMPUTED_VALUE"""),"")</f>
        <v/>
      </c>
      <c r="D4122" s="3" t="str">
        <f>IFERROR(__xludf.DUMMYFUNCTION("""COMPUTED_VALUE"""),"")</f>
        <v/>
      </c>
      <c r="E4122" s="1"/>
    </row>
    <row r="4123">
      <c r="A4123" s="1"/>
      <c r="B4123" s="3"/>
      <c r="C4123" s="3" t="str">
        <f>IFERROR(__xludf.DUMMYFUNCTION("""COMPUTED_VALUE"""),"")</f>
        <v/>
      </c>
      <c r="D4123" s="3" t="str">
        <f>IFERROR(__xludf.DUMMYFUNCTION("""COMPUTED_VALUE"""),"")</f>
        <v/>
      </c>
      <c r="E4123" s="1"/>
    </row>
    <row r="4124">
      <c r="A4124" s="1"/>
      <c r="B4124" s="3"/>
      <c r="C4124" s="3" t="str">
        <f>IFERROR(__xludf.DUMMYFUNCTION("""COMPUTED_VALUE"""),"")</f>
        <v/>
      </c>
      <c r="D4124" s="3" t="str">
        <f>IFERROR(__xludf.DUMMYFUNCTION("""COMPUTED_VALUE"""),"")</f>
        <v/>
      </c>
      <c r="E4124" s="1"/>
    </row>
    <row r="4125">
      <c r="A4125" s="1"/>
      <c r="B4125" s="3"/>
      <c r="C4125" s="3" t="str">
        <f>IFERROR(__xludf.DUMMYFUNCTION("""COMPUTED_VALUE"""),"")</f>
        <v/>
      </c>
      <c r="D4125" s="3" t="str">
        <f>IFERROR(__xludf.DUMMYFUNCTION("""COMPUTED_VALUE"""),"")</f>
        <v/>
      </c>
      <c r="E4125" s="1"/>
    </row>
    <row r="4126">
      <c r="A4126" s="1"/>
      <c r="B4126" s="3"/>
      <c r="C4126" s="3" t="str">
        <f>IFERROR(__xludf.DUMMYFUNCTION("""COMPUTED_VALUE"""),"")</f>
        <v/>
      </c>
      <c r="D4126" s="3" t="str">
        <f>IFERROR(__xludf.DUMMYFUNCTION("""COMPUTED_VALUE"""),"")</f>
        <v/>
      </c>
      <c r="E4126" s="1"/>
    </row>
    <row r="4127">
      <c r="A4127" s="1"/>
      <c r="B4127" s="3"/>
      <c r="C4127" s="3" t="str">
        <f>IFERROR(__xludf.DUMMYFUNCTION("""COMPUTED_VALUE"""),"")</f>
        <v/>
      </c>
      <c r="D4127" s="3" t="str">
        <f>IFERROR(__xludf.DUMMYFUNCTION("""COMPUTED_VALUE"""),"")</f>
        <v/>
      </c>
      <c r="E4127" s="1"/>
    </row>
    <row r="4128">
      <c r="A4128" s="1"/>
      <c r="B4128" s="3"/>
      <c r="C4128" s="3" t="str">
        <f>IFERROR(__xludf.DUMMYFUNCTION("""COMPUTED_VALUE"""),"")</f>
        <v/>
      </c>
      <c r="D4128" s="3" t="str">
        <f>IFERROR(__xludf.DUMMYFUNCTION("""COMPUTED_VALUE"""),"")</f>
        <v/>
      </c>
      <c r="E4128" s="1"/>
    </row>
    <row r="4129">
      <c r="A4129" s="1"/>
      <c r="B4129" s="3"/>
      <c r="C4129" s="3" t="str">
        <f>IFERROR(__xludf.DUMMYFUNCTION("""COMPUTED_VALUE"""),"")</f>
        <v/>
      </c>
      <c r="D4129" s="3" t="str">
        <f>IFERROR(__xludf.DUMMYFUNCTION("""COMPUTED_VALUE"""),"")</f>
        <v/>
      </c>
      <c r="E4129" s="1"/>
    </row>
    <row r="4130">
      <c r="A4130" s="1"/>
      <c r="B4130" s="3"/>
      <c r="C4130" s="3" t="str">
        <f>IFERROR(__xludf.DUMMYFUNCTION("""COMPUTED_VALUE"""),"")</f>
        <v/>
      </c>
      <c r="D4130" s="3" t="str">
        <f>IFERROR(__xludf.DUMMYFUNCTION("""COMPUTED_VALUE"""),"")</f>
        <v/>
      </c>
      <c r="E4130" s="1"/>
    </row>
    <row r="4131">
      <c r="A4131" s="1"/>
      <c r="B4131" s="3"/>
      <c r="C4131" s="3" t="str">
        <f>IFERROR(__xludf.DUMMYFUNCTION("""COMPUTED_VALUE"""),"")</f>
        <v/>
      </c>
      <c r="D4131" s="3" t="str">
        <f>IFERROR(__xludf.DUMMYFUNCTION("""COMPUTED_VALUE"""),"")</f>
        <v/>
      </c>
      <c r="E4131" s="1"/>
    </row>
    <row r="4132">
      <c r="A4132" s="1"/>
      <c r="B4132" s="3"/>
      <c r="C4132" s="3" t="str">
        <f>IFERROR(__xludf.DUMMYFUNCTION("""COMPUTED_VALUE"""),"")</f>
        <v/>
      </c>
      <c r="D4132" s="3" t="str">
        <f>IFERROR(__xludf.DUMMYFUNCTION("""COMPUTED_VALUE"""),"")</f>
        <v/>
      </c>
      <c r="E4132" s="1"/>
    </row>
    <row r="4133">
      <c r="A4133" s="1"/>
      <c r="B4133" s="3"/>
      <c r="C4133" s="3" t="str">
        <f>IFERROR(__xludf.DUMMYFUNCTION("""COMPUTED_VALUE"""),"")</f>
        <v/>
      </c>
      <c r="D4133" s="3" t="str">
        <f>IFERROR(__xludf.DUMMYFUNCTION("""COMPUTED_VALUE"""),"")</f>
        <v/>
      </c>
      <c r="E4133" s="1"/>
    </row>
    <row r="4134">
      <c r="A4134" s="1"/>
      <c r="B4134" s="3"/>
      <c r="C4134" s="3" t="str">
        <f>IFERROR(__xludf.DUMMYFUNCTION("""COMPUTED_VALUE"""),"")</f>
        <v/>
      </c>
      <c r="D4134" s="3" t="str">
        <f>IFERROR(__xludf.DUMMYFUNCTION("""COMPUTED_VALUE"""),"")</f>
        <v/>
      </c>
      <c r="E4134" s="1"/>
    </row>
    <row r="4135">
      <c r="A4135" s="1"/>
      <c r="B4135" s="3"/>
      <c r="C4135" s="3" t="str">
        <f>IFERROR(__xludf.DUMMYFUNCTION("""COMPUTED_VALUE"""),"")</f>
        <v/>
      </c>
      <c r="D4135" s="3" t="str">
        <f>IFERROR(__xludf.DUMMYFUNCTION("""COMPUTED_VALUE"""),"")</f>
        <v/>
      </c>
      <c r="E4135" s="1"/>
    </row>
    <row r="4136">
      <c r="A4136" s="1"/>
      <c r="B4136" s="3"/>
      <c r="C4136" s="3" t="str">
        <f>IFERROR(__xludf.DUMMYFUNCTION("""COMPUTED_VALUE"""),"")</f>
        <v/>
      </c>
      <c r="D4136" s="3" t="str">
        <f>IFERROR(__xludf.DUMMYFUNCTION("""COMPUTED_VALUE"""),"")</f>
        <v/>
      </c>
      <c r="E4136" s="1"/>
    </row>
    <row r="4137">
      <c r="A4137" s="1"/>
      <c r="B4137" s="3"/>
      <c r="C4137" s="3" t="str">
        <f>IFERROR(__xludf.DUMMYFUNCTION("""COMPUTED_VALUE"""),"")</f>
        <v/>
      </c>
      <c r="D4137" s="3" t="str">
        <f>IFERROR(__xludf.DUMMYFUNCTION("""COMPUTED_VALUE"""),"")</f>
        <v/>
      </c>
      <c r="E4137" s="1"/>
    </row>
    <row r="4138">
      <c r="A4138" s="1"/>
      <c r="B4138" s="3"/>
      <c r="C4138" s="3" t="str">
        <f>IFERROR(__xludf.DUMMYFUNCTION("""COMPUTED_VALUE"""),"")</f>
        <v/>
      </c>
      <c r="D4138" s="3" t="str">
        <f>IFERROR(__xludf.DUMMYFUNCTION("""COMPUTED_VALUE"""),"")</f>
        <v/>
      </c>
      <c r="E4138" s="1"/>
    </row>
    <row r="4139">
      <c r="A4139" s="1"/>
      <c r="B4139" s="3"/>
      <c r="C4139" s="3" t="str">
        <f>IFERROR(__xludf.DUMMYFUNCTION("""COMPUTED_VALUE"""),"")</f>
        <v/>
      </c>
      <c r="D4139" s="3" t="str">
        <f>IFERROR(__xludf.DUMMYFUNCTION("""COMPUTED_VALUE"""),"")</f>
        <v/>
      </c>
      <c r="E4139" s="1"/>
    </row>
    <row r="4140">
      <c r="A4140" s="1"/>
      <c r="B4140" s="3"/>
      <c r="C4140" s="3" t="str">
        <f>IFERROR(__xludf.DUMMYFUNCTION("""COMPUTED_VALUE"""),"")</f>
        <v/>
      </c>
      <c r="D4140" s="3" t="str">
        <f>IFERROR(__xludf.DUMMYFUNCTION("""COMPUTED_VALUE"""),"")</f>
        <v/>
      </c>
      <c r="E4140" s="1"/>
    </row>
    <row r="4141">
      <c r="A4141" s="1"/>
      <c r="B4141" s="3"/>
      <c r="C4141" s="3" t="str">
        <f>IFERROR(__xludf.DUMMYFUNCTION("""COMPUTED_VALUE"""),"")</f>
        <v/>
      </c>
      <c r="D4141" s="3" t="str">
        <f>IFERROR(__xludf.DUMMYFUNCTION("""COMPUTED_VALUE"""),"")</f>
        <v/>
      </c>
      <c r="E4141" s="1"/>
    </row>
    <row r="4142">
      <c r="A4142" s="1"/>
      <c r="B4142" s="3"/>
      <c r="C4142" s="3" t="str">
        <f>IFERROR(__xludf.DUMMYFUNCTION("""COMPUTED_VALUE"""),"")</f>
        <v/>
      </c>
      <c r="D4142" s="3" t="str">
        <f>IFERROR(__xludf.DUMMYFUNCTION("""COMPUTED_VALUE"""),"")</f>
        <v/>
      </c>
      <c r="E4142" s="1"/>
    </row>
    <row r="4143">
      <c r="A4143" s="1"/>
      <c r="B4143" s="3"/>
      <c r="C4143" s="3" t="str">
        <f>IFERROR(__xludf.DUMMYFUNCTION("""COMPUTED_VALUE"""),"")</f>
        <v/>
      </c>
      <c r="D4143" s="3" t="str">
        <f>IFERROR(__xludf.DUMMYFUNCTION("""COMPUTED_VALUE"""),"")</f>
        <v/>
      </c>
      <c r="E4143" s="1"/>
    </row>
    <row r="4144">
      <c r="A4144" s="1"/>
      <c r="B4144" s="3"/>
      <c r="C4144" s="3" t="str">
        <f>IFERROR(__xludf.DUMMYFUNCTION("""COMPUTED_VALUE"""),"")</f>
        <v/>
      </c>
      <c r="D4144" s="3" t="str">
        <f>IFERROR(__xludf.DUMMYFUNCTION("""COMPUTED_VALUE"""),"")</f>
        <v/>
      </c>
      <c r="E4144" s="1"/>
    </row>
    <row r="4145">
      <c r="A4145" s="1"/>
      <c r="B4145" s="3"/>
      <c r="C4145" s="3" t="str">
        <f>IFERROR(__xludf.DUMMYFUNCTION("""COMPUTED_VALUE"""),"")</f>
        <v/>
      </c>
      <c r="D4145" s="3" t="str">
        <f>IFERROR(__xludf.DUMMYFUNCTION("""COMPUTED_VALUE"""),"")</f>
        <v/>
      </c>
      <c r="E4145" s="1"/>
    </row>
    <row r="4146">
      <c r="A4146" s="1"/>
      <c r="B4146" s="3"/>
      <c r="C4146" s="3" t="str">
        <f>IFERROR(__xludf.DUMMYFUNCTION("""COMPUTED_VALUE"""),"")</f>
        <v/>
      </c>
      <c r="D4146" s="3" t="str">
        <f>IFERROR(__xludf.DUMMYFUNCTION("""COMPUTED_VALUE"""),"")</f>
        <v/>
      </c>
      <c r="E4146" s="1"/>
    </row>
    <row r="4147">
      <c r="A4147" s="1"/>
      <c r="B4147" s="3"/>
      <c r="C4147" s="3" t="str">
        <f>IFERROR(__xludf.DUMMYFUNCTION("""COMPUTED_VALUE"""),"")</f>
        <v/>
      </c>
      <c r="D4147" s="3" t="str">
        <f>IFERROR(__xludf.DUMMYFUNCTION("""COMPUTED_VALUE"""),"")</f>
        <v/>
      </c>
      <c r="E4147" s="1"/>
    </row>
    <row r="4148">
      <c r="A4148" s="1"/>
      <c r="B4148" s="3"/>
      <c r="C4148" s="3" t="str">
        <f>IFERROR(__xludf.DUMMYFUNCTION("""COMPUTED_VALUE"""),"")</f>
        <v/>
      </c>
      <c r="D4148" s="3" t="str">
        <f>IFERROR(__xludf.DUMMYFUNCTION("""COMPUTED_VALUE"""),"")</f>
        <v/>
      </c>
      <c r="E4148" s="1"/>
    </row>
    <row r="4149">
      <c r="A4149" s="1"/>
      <c r="B4149" s="3"/>
      <c r="C4149" s="3" t="str">
        <f>IFERROR(__xludf.DUMMYFUNCTION("""COMPUTED_VALUE"""),"")</f>
        <v/>
      </c>
      <c r="D4149" s="3" t="str">
        <f>IFERROR(__xludf.DUMMYFUNCTION("""COMPUTED_VALUE"""),"")</f>
        <v/>
      </c>
      <c r="E4149" s="1"/>
    </row>
    <row r="4150">
      <c r="A4150" s="1"/>
      <c r="B4150" s="3"/>
      <c r="C4150" s="3" t="str">
        <f>IFERROR(__xludf.DUMMYFUNCTION("""COMPUTED_VALUE"""),"")</f>
        <v/>
      </c>
      <c r="D4150" s="3" t="str">
        <f>IFERROR(__xludf.DUMMYFUNCTION("""COMPUTED_VALUE"""),"")</f>
        <v/>
      </c>
      <c r="E4150" s="1"/>
    </row>
    <row r="4151">
      <c r="A4151" s="1"/>
      <c r="B4151" s="3"/>
      <c r="C4151" s="3" t="str">
        <f>IFERROR(__xludf.DUMMYFUNCTION("""COMPUTED_VALUE"""),"")</f>
        <v/>
      </c>
      <c r="D4151" s="3" t="str">
        <f>IFERROR(__xludf.DUMMYFUNCTION("""COMPUTED_VALUE"""),"")</f>
        <v/>
      </c>
      <c r="E4151" s="1"/>
    </row>
    <row r="4152">
      <c r="A4152" s="1"/>
      <c r="B4152" s="3"/>
      <c r="C4152" s="3" t="str">
        <f>IFERROR(__xludf.DUMMYFUNCTION("""COMPUTED_VALUE"""),"")</f>
        <v/>
      </c>
      <c r="D4152" s="3" t="str">
        <f>IFERROR(__xludf.DUMMYFUNCTION("""COMPUTED_VALUE"""),"")</f>
        <v/>
      </c>
      <c r="E4152" s="1"/>
    </row>
    <row r="4153">
      <c r="A4153" s="1"/>
      <c r="B4153" s="3"/>
      <c r="C4153" s="3" t="str">
        <f>IFERROR(__xludf.DUMMYFUNCTION("""COMPUTED_VALUE"""),"")</f>
        <v/>
      </c>
      <c r="D4153" s="3" t="str">
        <f>IFERROR(__xludf.DUMMYFUNCTION("""COMPUTED_VALUE"""),"")</f>
        <v/>
      </c>
      <c r="E4153" s="1"/>
    </row>
    <row r="4154">
      <c r="A4154" s="1"/>
      <c r="B4154" s="3"/>
      <c r="C4154" s="3" t="str">
        <f>IFERROR(__xludf.DUMMYFUNCTION("""COMPUTED_VALUE"""),"")</f>
        <v/>
      </c>
      <c r="D4154" s="3" t="str">
        <f>IFERROR(__xludf.DUMMYFUNCTION("""COMPUTED_VALUE"""),"")</f>
        <v/>
      </c>
      <c r="E4154" s="1"/>
    </row>
    <row r="4155">
      <c r="A4155" s="1"/>
      <c r="B4155" s="3"/>
      <c r="C4155" s="3" t="str">
        <f>IFERROR(__xludf.DUMMYFUNCTION("""COMPUTED_VALUE"""),"")</f>
        <v/>
      </c>
      <c r="D4155" s="3" t="str">
        <f>IFERROR(__xludf.DUMMYFUNCTION("""COMPUTED_VALUE"""),"")</f>
        <v/>
      </c>
      <c r="E4155" s="1"/>
    </row>
    <row r="4156">
      <c r="A4156" s="1"/>
      <c r="B4156" s="3"/>
      <c r="C4156" s="3" t="str">
        <f>IFERROR(__xludf.DUMMYFUNCTION("""COMPUTED_VALUE"""),"")</f>
        <v/>
      </c>
      <c r="D4156" s="3" t="str">
        <f>IFERROR(__xludf.DUMMYFUNCTION("""COMPUTED_VALUE"""),"")</f>
        <v/>
      </c>
      <c r="E4156" s="1"/>
    </row>
    <row r="4157">
      <c r="A4157" s="1"/>
      <c r="B4157" s="3"/>
      <c r="C4157" s="3" t="str">
        <f>IFERROR(__xludf.DUMMYFUNCTION("""COMPUTED_VALUE"""),"")</f>
        <v/>
      </c>
      <c r="D4157" s="3" t="str">
        <f>IFERROR(__xludf.DUMMYFUNCTION("""COMPUTED_VALUE"""),"")</f>
        <v/>
      </c>
      <c r="E4157" s="1"/>
    </row>
    <row r="4158">
      <c r="A4158" s="1"/>
      <c r="B4158" s="3"/>
      <c r="C4158" s="3" t="str">
        <f>IFERROR(__xludf.DUMMYFUNCTION("""COMPUTED_VALUE"""),"")</f>
        <v/>
      </c>
      <c r="D4158" s="3" t="str">
        <f>IFERROR(__xludf.DUMMYFUNCTION("""COMPUTED_VALUE"""),"")</f>
        <v/>
      </c>
      <c r="E4158" s="1"/>
    </row>
    <row r="4159">
      <c r="A4159" s="1"/>
      <c r="B4159" s="3"/>
      <c r="C4159" s="3" t="str">
        <f>IFERROR(__xludf.DUMMYFUNCTION("""COMPUTED_VALUE"""),"")</f>
        <v/>
      </c>
      <c r="D4159" s="3" t="str">
        <f>IFERROR(__xludf.DUMMYFUNCTION("""COMPUTED_VALUE"""),"")</f>
        <v/>
      </c>
      <c r="E4159" s="1"/>
    </row>
    <row r="4160">
      <c r="A4160" s="1"/>
      <c r="B4160" s="3"/>
      <c r="C4160" s="3" t="str">
        <f>IFERROR(__xludf.DUMMYFUNCTION("""COMPUTED_VALUE"""),"")</f>
        <v/>
      </c>
      <c r="D4160" s="3" t="str">
        <f>IFERROR(__xludf.DUMMYFUNCTION("""COMPUTED_VALUE"""),"")</f>
        <v/>
      </c>
      <c r="E4160" s="1"/>
    </row>
    <row r="4161">
      <c r="A4161" s="1"/>
      <c r="B4161" s="3"/>
      <c r="C4161" s="3" t="str">
        <f>IFERROR(__xludf.DUMMYFUNCTION("""COMPUTED_VALUE"""),"")</f>
        <v/>
      </c>
      <c r="D4161" s="3" t="str">
        <f>IFERROR(__xludf.DUMMYFUNCTION("""COMPUTED_VALUE"""),"")</f>
        <v/>
      </c>
      <c r="E4161" s="1"/>
    </row>
    <row r="4162">
      <c r="A4162" s="1"/>
      <c r="B4162" s="3"/>
      <c r="C4162" s="3" t="str">
        <f>IFERROR(__xludf.DUMMYFUNCTION("""COMPUTED_VALUE"""),"")</f>
        <v/>
      </c>
      <c r="D4162" s="3" t="str">
        <f>IFERROR(__xludf.DUMMYFUNCTION("""COMPUTED_VALUE"""),"")</f>
        <v/>
      </c>
      <c r="E4162" s="1"/>
    </row>
    <row r="4163">
      <c r="A4163" s="1"/>
      <c r="B4163" s="3"/>
      <c r="C4163" s="3" t="str">
        <f>IFERROR(__xludf.DUMMYFUNCTION("""COMPUTED_VALUE"""),"")</f>
        <v/>
      </c>
      <c r="D4163" s="3" t="str">
        <f>IFERROR(__xludf.DUMMYFUNCTION("""COMPUTED_VALUE"""),"")</f>
        <v/>
      </c>
      <c r="E4163" s="1"/>
    </row>
    <row r="4164">
      <c r="A4164" s="1"/>
      <c r="B4164" s="3"/>
      <c r="C4164" s="3" t="str">
        <f>IFERROR(__xludf.DUMMYFUNCTION("""COMPUTED_VALUE"""),"")</f>
        <v/>
      </c>
      <c r="D4164" s="3" t="str">
        <f>IFERROR(__xludf.DUMMYFUNCTION("""COMPUTED_VALUE"""),"")</f>
        <v/>
      </c>
      <c r="E4164" s="1"/>
    </row>
    <row r="4165">
      <c r="A4165" s="1"/>
      <c r="B4165" s="3"/>
      <c r="C4165" s="3" t="str">
        <f>IFERROR(__xludf.DUMMYFUNCTION("""COMPUTED_VALUE"""),"")</f>
        <v/>
      </c>
      <c r="D4165" s="3" t="str">
        <f>IFERROR(__xludf.DUMMYFUNCTION("""COMPUTED_VALUE"""),"")</f>
        <v/>
      </c>
      <c r="E4165" s="1"/>
    </row>
    <row r="4166">
      <c r="A4166" s="1"/>
      <c r="B4166" s="3"/>
      <c r="C4166" s="3" t="str">
        <f>IFERROR(__xludf.DUMMYFUNCTION("""COMPUTED_VALUE"""),"")</f>
        <v/>
      </c>
      <c r="D4166" s="3" t="str">
        <f>IFERROR(__xludf.DUMMYFUNCTION("""COMPUTED_VALUE"""),"")</f>
        <v/>
      </c>
      <c r="E4166" s="1"/>
    </row>
    <row r="4167">
      <c r="A4167" s="1"/>
      <c r="B4167" s="3"/>
      <c r="C4167" s="3" t="str">
        <f>IFERROR(__xludf.DUMMYFUNCTION("""COMPUTED_VALUE"""),"")</f>
        <v/>
      </c>
      <c r="D4167" s="3" t="str">
        <f>IFERROR(__xludf.DUMMYFUNCTION("""COMPUTED_VALUE"""),"")</f>
        <v/>
      </c>
      <c r="E4167" s="1"/>
    </row>
    <row r="4168">
      <c r="A4168" s="1"/>
      <c r="B4168" s="3"/>
      <c r="C4168" s="3" t="str">
        <f>IFERROR(__xludf.DUMMYFUNCTION("""COMPUTED_VALUE"""),"")</f>
        <v/>
      </c>
      <c r="D4168" s="3" t="str">
        <f>IFERROR(__xludf.DUMMYFUNCTION("""COMPUTED_VALUE"""),"")</f>
        <v/>
      </c>
      <c r="E4168" s="1"/>
    </row>
    <row r="4169">
      <c r="A4169" s="1"/>
      <c r="B4169" s="3"/>
      <c r="C4169" s="3" t="str">
        <f>IFERROR(__xludf.DUMMYFUNCTION("""COMPUTED_VALUE"""),"")</f>
        <v/>
      </c>
      <c r="D4169" s="3" t="str">
        <f>IFERROR(__xludf.DUMMYFUNCTION("""COMPUTED_VALUE"""),"")</f>
        <v/>
      </c>
      <c r="E4169" s="1"/>
    </row>
    <row r="4170">
      <c r="A4170" s="1"/>
      <c r="B4170" s="3"/>
      <c r="C4170" s="3" t="str">
        <f>IFERROR(__xludf.DUMMYFUNCTION("""COMPUTED_VALUE"""),"")</f>
        <v/>
      </c>
      <c r="D4170" s="3" t="str">
        <f>IFERROR(__xludf.DUMMYFUNCTION("""COMPUTED_VALUE"""),"")</f>
        <v/>
      </c>
      <c r="E4170" s="1"/>
    </row>
    <row r="4171">
      <c r="A4171" s="1"/>
      <c r="B4171" s="3"/>
      <c r="C4171" s="3" t="str">
        <f>IFERROR(__xludf.DUMMYFUNCTION("""COMPUTED_VALUE"""),"")</f>
        <v/>
      </c>
      <c r="D4171" s="3" t="str">
        <f>IFERROR(__xludf.DUMMYFUNCTION("""COMPUTED_VALUE"""),"")</f>
        <v/>
      </c>
      <c r="E4171" s="1"/>
    </row>
    <row r="4172">
      <c r="A4172" s="1"/>
      <c r="B4172" s="3"/>
      <c r="C4172" s="3" t="str">
        <f>IFERROR(__xludf.DUMMYFUNCTION("""COMPUTED_VALUE"""),"")</f>
        <v/>
      </c>
      <c r="D4172" s="3" t="str">
        <f>IFERROR(__xludf.DUMMYFUNCTION("""COMPUTED_VALUE"""),"")</f>
        <v/>
      </c>
      <c r="E4172" s="1"/>
    </row>
    <row r="4173">
      <c r="A4173" s="1"/>
      <c r="B4173" s="3"/>
      <c r="C4173" s="3" t="str">
        <f>IFERROR(__xludf.DUMMYFUNCTION("""COMPUTED_VALUE"""),"")</f>
        <v/>
      </c>
      <c r="D4173" s="3" t="str">
        <f>IFERROR(__xludf.DUMMYFUNCTION("""COMPUTED_VALUE"""),"")</f>
        <v/>
      </c>
      <c r="E4173" s="1"/>
    </row>
    <row r="4174">
      <c r="A4174" s="1"/>
      <c r="B4174" s="3"/>
      <c r="C4174" s="3" t="str">
        <f>IFERROR(__xludf.DUMMYFUNCTION("""COMPUTED_VALUE"""),"")</f>
        <v/>
      </c>
      <c r="D4174" s="3" t="str">
        <f>IFERROR(__xludf.DUMMYFUNCTION("""COMPUTED_VALUE"""),"")</f>
        <v/>
      </c>
      <c r="E4174" s="1"/>
    </row>
    <row r="4175">
      <c r="A4175" s="1"/>
      <c r="B4175" s="3"/>
      <c r="C4175" s="3" t="str">
        <f>IFERROR(__xludf.DUMMYFUNCTION("""COMPUTED_VALUE"""),"")</f>
        <v/>
      </c>
      <c r="D4175" s="3" t="str">
        <f>IFERROR(__xludf.DUMMYFUNCTION("""COMPUTED_VALUE"""),"")</f>
        <v/>
      </c>
      <c r="E4175" s="1"/>
    </row>
    <row r="4176">
      <c r="A4176" s="1"/>
      <c r="B4176" s="3"/>
      <c r="C4176" s="3" t="str">
        <f>IFERROR(__xludf.DUMMYFUNCTION("""COMPUTED_VALUE"""),"")</f>
        <v/>
      </c>
      <c r="D4176" s="3" t="str">
        <f>IFERROR(__xludf.DUMMYFUNCTION("""COMPUTED_VALUE"""),"")</f>
        <v/>
      </c>
      <c r="E4176" s="1"/>
    </row>
    <row r="4177">
      <c r="A4177" s="1"/>
      <c r="B4177" s="3"/>
      <c r="C4177" s="3" t="str">
        <f>IFERROR(__xludf.DUMMYFUNCTION("""COMPUTED_VALUE"""),"")</f>
        <v/>
      </c>
      <c r="D4177" s="3" t="str">
        <f>IFERROR(__xludf.DUMMYFUNCTION("""COMPUTED_VALUE"""),"")</f>
        <v/>
      </c>
      <c r="E4177" s="1"/>
    </row>
    <row r="4178">
      <c r="A4178" s="1"/>
      <c r="B4178" s="3"/>
      <c r="C4178" s="3" t="str">
        <f>IFERROR(__xludf.DUMMYFUNCTION("""COMPUTED_VALUE"""),"")</f>
        <v/>
      </c>
      <c r="D4178" s="3" t="str">
        <f>IFERROR(__xludf.DUMMYFUNCTION("""COMPUTED_VALUE"""),"")</f>
        <v/>
      </c>
      <c r="E4178" s="1"/>
    </row>
    <row r="4179">
      <c r="A4179" s="1"/>
      <c r="B4179" s="3"/>
      <c r="C4179" s="3" t="str">
        <f>IFERROR(__xludf.DUMMYFUNCTION("""COMPUTED_VALUE"""),"")</f>
        <v/>
      </c>
      <c r="D4179" s="3" t="str">
        <f>IFERROR(__xludf.DUMMYFUNCTION("""COMPUTED_VALUE"""),"")</f>
        <v/>
      </c>
      <c r="E4179" s="1"/>
    </row>
    <row r="4180">
      <c r="A4180" s="1"/>
      <c r="B4180" s="3"/>
      <c r="C4180" s="3" t="str">
        <f>IFERROR(__xludf.DUMMYFUNCTION("""COMPUTED_VALUE"""),"")</f>
        <v/>
      </c>
      <c r="D4180" s="3" t="str">
        <f>IFERROR(__xludf.DUMMYFUNCTION("""COMPUTED_VALUE"""),"")</f>
        <v/>
      </c>
      <c r="E4180" s="1"/>
    </row>
    <row r="4181">
      <c r="A4181" s="1"/>
      <c r="B4181" s="3"/>
      <c r="C4181" s="3" t="str">
        <f>IFERROR(__xludf.DUMMYFUNCTION("""COMPUTED_VALUE"""),"")</f>
        <v/>
      </c>
      <c r="D4181" s="3" t="str">
        <f>IFERROR(__xludf.DUMMYFUNCTION("""COMPUTED_VALUE"""),"")</f>
        <v/>
      </c>
      <c r="E4181" s="1"/>
    </row>
    <row r="4182">
      <c r="A4182" s="1"/>
      <c r="B4182" s="3"/>
      <c r="C4182" s="3" t="str">
        <f>IFERROR(__xludf.DUMMYFUNCTION("""COMPUTED_VALUE"""),"")</f>
        <v/>
      </c>
      <c r="D4182" s="3" t="str">
        <f>IFERROR(__xludf.DUMMYFUNCTION("""COMPUTED_VALUE"""),"")</f>
        <v/>
      </c>
      <c r="E4182" s="1"/>
    </row>
    <row r="4183">
      <c r="A4183" s="1"/>
      <c r="B4183" s="3"/>
      <c r="C4183" s="3" t="str">
        <f>IFERROR(__xludf.DUMMYFUNCTION("""COMPUTED_VALUE"""),"")</f>
        <v/>
      </c>
      <c r="D4183" s="3" t="str">
        <f>IFERROR(__xludf.DUMMYFUNCTION("""COMPUTED_VALUE"""),"")</f>
        <v/>
      </c>
      <c r="E4183" s="1"/>
    </row>
    <row r="4184">
      <c r="A4184" s="1"/>
      <c r="B4184" s="3"/>
      <c r="C4184" s="3" t="str">
        <f>IFERROR(__xludf.DUMMYFUNCTION("""COMPUTED_VALUE"""),"")</f>
        <v/>
      </c>
      <c r="D4184" s="3" t="str">
        <f>IFERROR(__xludf.DUMMYFUNCTION("""COMPUTED_VALUE"""),"")</f>
        <v/>
      </c>
      <c r="E4184" s="1"/>
    </row>
    <row r="4185">
      <c r="A4185" s="1"/>
      <c r="B4185" s="3"/>
      <c r="C4185" s="3" t="str">
        <f>IFERROR(__xludf.DUMMYFUNCTION("""COMPUTED_VALUE"""),"")</f>
        <v/>
      </c>
      <c r="D4185" s="3" t="str">
        <f>IFERROR(__xludf.DUMMYFUNCTION("""COMPUTED_VALUE"""),"")</f>
        <v/>
      </c>
      <c r="E4185" s="1"/>
    </row>
    <row r="4186">
      <c r="A4186" s="1"/>
      <c r="B4186" s="3"/>
      <c r="C4186" s="3" t="str">
        <f>IFERROR(__xludf.DUMMYFUNCTION("""COMPUTED_VALUE"""),"")</f>
        <v/>
      </c>
      <c r="D4186" s="3" t="str">
        <f>IFERROR(__xludf.DUMMYFUNCTION("""COMPUTED_VALUE"""),"")</f>
        <v/>
      </c>
      <c r="E4186" s="1"/>
    </row>
    <row r="4187">
      <c r="A4187" s="1"/>
      <c r="B4187" s="3"/>
      <c r="C4187" s="3" t="str">
        <f>IFERROR(__xludf.DUMMYFUNCTION("""COMPUTED_VALUE"""),"")</f>
        <v/>
      </c>
      <c r="D4187" s="3" t="str">
        <f>IFERROR(__xludf.DUMMYFUNCTION("""COMPUTED_VALUE"""),"")</f>
        <v/>
      </c>
      <c r="E4187" s="1"/>
    </row>
    <row r="4188">
      <c r="A4188" s="1"/>
      <c r="B4188" s="3"/>
      <c r="C4188" s="3" t="str">
        <f>IFERROR(__xludf.DUMMYFUNCTION("""COMPUTED_VALUE"""),"")</f>
        <v/>
      </c>
      <c r="D4188" s="3" t="str">
        <f>IFERROR(__xludf.DUMMYFUNCTION("""COMPUTED_VALUE"""),"")</f>
        <v/>
      </c>
      <c r="E4188" s="1"/>
    </row>
    <row r="4189">
      <c r="A4189" s="1"/>
      <c r="B4189" s="3"/>
      <c r="C4189" s="3" t="str">
        <f>IFERROR(__xludf.DUMMYFUNCTION("""COMPUTED_VALUE"""),"")</f>
        <v/>
      </c>
      <c r="D4189" s="3" t="str">
        <f>IFERROR(__xludf.DUMMYFUNCTION("""COMPUTED_VALUE"""),"")</f>
        <v/>
      </c>
      <c r="E4189" s="1"/>
    </row>
    <row r="4190">
      <c r="A4190" s="1"/>
      <c r="B4190" s="3"/>
      <c r="C4190" s="3" t="str">
        <f>IFERROR(__xludf.DUMMYFUNCTION("""COMPUTED_VALUE"""),"")</f>
        <v/>
      </c>
      <c r="D4190" s="3" t="str">
        <f>IFERROR(__xludf.DUMMYFUNCTION("""COMPUTED_VALUE"""),"")</f>
        <v/>
      </c>
      <c r="E4190" s="1"/>
    </row>
    <row r="4191">
      <c r="A4191" s="1"/>
      <c r="B4191" s="3"/>
      <c r="C4191" s="3" t="str">
        <f>IFERROR(__xludf.DUMMYFUNCTION("""COMPUTED_VALUE"""),"")</f>
        <v/>
      </c>
      <c r="D4191" s="3" t="str">
        <f>IFERROR(__xludf.DUMMYFUNCTION("""COMPUTED_VALUE"""),"")</f>
        <v/>
      </c>
      <c r="E4191" s="1"/>
    </row>
    <row r="4192">
      <c r="A4192" s="1"/>
      <c r="B4192" s="3"/>
      <c r="C4192" s="3" t="str">
        <f>IFERROR(__xludf.DUMMYFUNCTION("""COMPUTED_VALUE"""),"")</f>
        <v/>
      </c>
      <c r="D4192" s="3" t="str">
        <f>IFERROR(__xludf.DUMMYFUNCTION("""COMPUTED_VALUE"""),"")</f>
        <v/>
      </c>
      <c r="E4192" s="1"/>
    </row>
    <row r="4193">
      <c r="A4193" s="1"/>
      <c r="B4193" s="3"/>
      <c r="C4193" s="3" t="str">
        <f>IFERROR(__xludf.DUMMYFUNCTION("""COMPUTED_VALUE"""),"")</f>
        <v/>
      </c>
      <c r="D4193" s="3" t="str">
        <f>IFERROR(__xludf.DUMMYFUNCTION("""COMPUTED_VALUE"""),"")</f>
        <v/>
      </c>
      <c r="E4193" s="1"/>
    </row>
    <row r="4194">
      <c r="A4194" s="1"/>
      <c r="B4194" s="3"/>
      <c r="C4194" s="3" t="str">
        <f>IFERROR(__xludf.DUMMYFUNCTION("""COMPUTED_VALUE"""),"")</f>
        <v/>
      </c>
      <c r="D4194" s="3" t="str">
        <f>IFERROR(__xludf.DUMMYFUNCTION("""COMPUTED_VALUE"""),"")</f>
        <v/>
      </c>
      <c r="E4194" s="1"/>
    </row>
    <row r="4195">
      <c r="A4195" s="1"/>
      <c r="B4195" s="3"/>
      <c r="C4195" s="3" t="str">
        <f>IFERROR(__xludf.DUMMYFUNCTION("""COMPUTED_VALUE"""),"")</f>
        <v/>
      </c>
      <c r="D4195" s="3" t="str">
        <f>IFERROR(__xludf.DUMMYFUNCTION("""COMPUTED_VALUE"""),"")</f>
        <v/>
      </c>
      <c r="E4195" s="1"/>
    </row>
    <row r="4196">
      <c r="A4196" s="1"/>
      <c r="B4196" s="3"/>
      <c r="C4196" s="3" t="str">
        <f>IFERROR(__xludf.DUMMYFUNCTION("""COMPUTED_VALUE"""),"")</f>
        <v/>
      </c>
      <c r="D4196" s="3" t="str">
        <f>IFERROR(__xludf.DUMMYFUNCTION("""COMPUTED_VALUE"""),"")</f>
        <v/>
      </c>
      <c r="E4196" s="1"/>
    </row>
    <row r="4197">
      <c r="A4197" s="1"/>
      <c r="B4197" s="3"/>
      <c r="C4197" s="3" t="str">
        <f>IFERROR(__xludf.DUMMYFUNCTION("""COMPUTED_VALUE"""),"")</f>
        <v/>
      </c>
      <c r="D4197" s="3" t="str">
        <f>IFERROR(__xludf.DUMMYFUNCTION("""COMPUTED_VALUE"""),"")</f>
        <v/>
      </c>
      <c r="E4197" s="1"/>
    </row>
    <row r="4198">
      <c r="A4198" s="1"/>
      <c r="B4198" s="3"/>
      <c r="C4198" s="3" t="str">
        <f>IFERROR(__xludf.DUMMYFUNCTION("""COMPUTED_VALUE"""),"")</f>
        <v/>
      </c>
      <c r="D4198" s="3" t="str">
        <f>IFERROR(__xludf.DUMMYFUNCTION("""COMPUTED_VALUE"""),"")</f>
        <v/>
      </c>
      <c r="E4198" s="1"/>
    </row>
    <row r="4199">
      <c r="A4199" s="1"/>
      <c r="B4199" s="3"/>
      <c r="C4199" s="3" t="str">
        <f>IFERROR(__xludf.DUMMYFUNCTION("""COMPUTED_VALUE"""),"")</f>
        <v/>
      </c>
      <c r="D4199" s="3" t="str">
        <f>IFERROR(__xludf.DUMMYFUNCTION("""COMPUTED_VALUE"""),"")</f>
        <v/>
      </c>
      <c r="E4199" s="1"/>
    </row>
    <row r="4200">
      <c r="A4200" s="1"/>
      <c r="B4200" s="3"/>
      <c r="C4200" s="3" t="str">
        <f>IFERROR(__xludf.DUMMYFUNCTION("""COMPUTED_VALUE"""),"")</f>
        <v/>
      </c>
      <c r="D4200" s="3" t="str">
        <f>IFERROR(__xludf.DUMMYFUNCTION("""COMPUTED_VALUE"""),"")</f>
        <v/>
      </c>
      <c r="E4200" s="1"/>
    </row>
    <row r="4201">
      <c r="A4201" s="1"/>
      <c r="B4201" s="3"/>
      <c r="C4201" s="3" t="str">
        <f>IFERROR(__xludf.DUMMYFUNCTION("""COMPUTED_VALUE"""),"")</f>
        <v/>
      </c>
      <c r="D4201" s="3" t="str">
        <f>IFERROR(__xludf.DUMMYFUNCTION("""COMPUTED_VALUE"""),"")</f>
        <v/>
      </c>
      <c r="E4201" s="1"/>
    </row>
    <row r="4202">
      <c r="A4202" s="1"/>
      <c r="B4202" s="3"/>
      <c r="C4202" s="3" t="str">
        <f>IFERROR(__xludf.DUMMYFUNCTION("""COMPUTED_VALUE"""),"")</f>
        <v/>
      </c>
      <c r="D4202" s="3" t="str">
        <f>IFERROR(__xludf.DUMMYFUNCTION("""COMPUTED_VALUE"""),"")</f>
        <v/>
      </c>
      <c r="E4202" s="1"/>
    </row>
    <row r="4203">
      <c r="A4203" s="1"/>
      <c r="B4203" s="3"/>
      <c r="C4203" s="3" t="str">
        <f>IFERROR(__xludf.DUMMYFUNCTION("""COMPUTED_VALUE"""),"")</f>
        <v/>
      </c>
      <c r="D4203" s="3" t="str">
        <f>IFERROR(__xludf.DUMMYFUNCTION("""COMPUTED_VALUE"""),"")</f>
        <v/>
      </c>
      <c r="E4203" s="1"/>
    </row>
    <row r="4204">
      <c r="A4204" s="1"/>
      <c r="B4204" s="3"/>
      <c r="C4204" s="3" t="str">
        <f>IFERROR(__xludf.DUMMYFUNCTION("""COMPUTED_VALUE"""),"")</f>
        <v/>
      </c>
      <c r="D4204" s="3" t="str">
        <f>IFERROR(__xludf.DUMMYFUNCTION("""COMPUTED_VALUE"""),"")</f>
        <v/>
      </c>
      <c r="E4204" s="1"/>
    </row>
    <row r="4205">
      <c r="A4205" s="1"/>
      <c r="B4205" s="3"/>
      <c r="C4205" s="3" t="str">
        <f>IFERROR(__xludf.DUMMYFUNCTION("""COMPUTED_VALUE"""),"")</f>
        <v/>
      </c>
      <c r="D4205" s="3" t="str">
        <f>IFERROR(__xludf.DUMMYFUNCTION("""COMPUTED_VALUE"""),"")</f>
        <v/>
      </c>
      <c r="E4205" s="1"/>
    </row>
    <row r="4206">
      <c r="A4206" s="1"/>
      <c r="B4206" s="3"/>
      <c r="C4206" s="3" t="str">
        <f>IFERROR(__xludf.DUMMYFUNCTION("""COMPUTED_VALUE"""),"")</f>
        <v/>
      </c>
      <c r="D4206" s="3" t="str">
        <f>IFERROR(__xludf.DUMMYFUNCTION("""COMPUTED_VALUE"""),"")</f>
        <v/>
      </c>
      <c r="E4206" s="1"/>
    </row>
    <row r="4207">
      <c r="A4207" s="1"/>
      <c r="B4207" s="3"/>
      <c r="C4207" s="3" t="str">
        <f>IFERROR(__xludf.DUMMYFUNCTION("""COMPUTED_VALUE"""),"")</f>
        <v/>
      </c>
      <c r="D4207" s="3" t="str">
        <f>IFERROR(__xludf.DUMMYFUNCTION("""COMPUTED_VALUE"""),"")</f>
        <v/>
      </c>
      <c r="E4207" s="1"/>
    </row>
    <row r="4208">
      <c r="A4208" s="1"/>
      <c r="B4208" s="3"/>
      <c r="C4208" s="3" t="str">
        <f>IFERROR(__xludf.DUMMYFUNCTION("""COMPUTED_VALUE"""),"")</f>
        <v/>
      </c>
      <c r="D4208" s="3" t="str">
        <f>IFERROR(__xludf.DUMMYFUNCTION("""COMPUTED_VALUE"""),"")</f>
        <v/>
      </c>
      <c r="E4208" s="1"/>
    </row>
    <row r="4209">
      <c r="A4209" s="1"/>
      <c r="B4209" s="3"/>
      <c r="C4209" s="3" t="str">
        <f>IFERROR(__xludf.DUMMYFUNCTION("""COMPUTED_VALUE"""),"")</f>
        <v/>
      </c>
      <c r="D4209" s="3" t="str">
        <f>IFERROR(__xludf.DUMMYFUNCTION("""COMPUTED_VALUE"""),"")</f>
        <v/>
      </c>
      <c r="E4209" s="1"/>
    </row>
    <row r="4210">
      <c r="A4210" s="1"/>
      <c r="B4210" s="3"/>
      <c r="C4210" s="3" t="str">
        <f>IFERROR(__xludf.DUMMYFUNCTION("""COMPUTED_VALUE"""),"")</f>
        <v/>
      </c>
      <c r="D4210" s="3" t="str">
        <f>IFERROR(__xludf.DUMMYFUNCTION("""COMPUTED_VALUE"""),"")</f>
        <v/>
      </c>
      <c r="E4210" s="1"/>
    </row>
    <row r="4211">
      <c r="A4211" s="1"/>
      <c r="B4211" s="3"/>
      <c r="C4211" s="3" t="str">
        <f>IFERROR(__xludf.DUMMYFUNCTION("""COMPUTED_VALUE"""),"")</f>
        <v/>
      </c>
      <c r="D4211" s="3" t="str">
        <f>IFERROR(__xludf.DUMMYFUNCTION("""COMPUTED_VALUE"""),"")</f>
        <v/>
      </c>
      <c r="E4211" s="1"/>
    </row>
    <row r="4212">
      <c r="A4212" s="1"/>
      <c r="B4212" s="3"/>
      <c r="C4212" s="3" t="str">
        <f>IFERROR(__xludf.DUMMYFUNCTION("""COMPUTED_VALUE"""),"")</f>
        <v/>
      </c>
      <c r="D4212" s="3" t="str">
        <f>IFERROR(__xludf.DUMMYFUNCTION("""COMPUTED_VALUE"""),"")</f>
        <v/>
      </c>
      <c r="E4212" s="1"/>
    </row>
    <row r="4213">
      <c r="A4213" s="1"/>
      <c r="B4213" s="3"/>
      <c r="C4213" s="3" t="str">
        <f>IFERROR(__xludf.DUMMYFUNCTION("""COMPUTED_VALUE"""),"")</f>
        <v/>
      </c>
      <c r="D4213" s="3" t="str">
        <f>IFERROR(__xludf.DUMMYFUNCTION("""COMPUTED_VALUE"""),"")</f>
        <v/>
      </c>
      <c r="E4213" s="1"/>
    </row>
    <row r="4214">
      <c r="A4214" s="1"/>
      <c r="B4214" s="3"/>
      <c r="C4214" s="3" t="str">
        <f>IFERROR(__xludf.DUMMYFUNCTION("""COMPUTED_VALUE"""),"")</f>
        <v/>
      </c>
      <c r="D4214" s="3" t="str">
        <f>IFERROR(__xludf.DUMMYFUNCTION("""COMPUTED_VALUE"""),"")</f>
        <v/>
      </c>
      <c r="E4214" s="1"/>
    </row>
    <row r="4215">
      <c r="A4215" s="1"/>
      <c r="B4215" s="3"/>
      <c r="C4215" s="3" t="str">
        <f>IFERROR(__xludf.DUMMYFUNCTION("""COMPUTED_VALUE"""),"")</f>
        <v/>
      </c>
      <c r="D4215" s="3" t="str">
        <f>IFERROR(__xludf.DUMMYFUNCTION("""COMPUTED_VALUE"""),"")</f>
        <v/>
      </c>
      <c r="E4215" s="1"/>
    </row>
    <row r="4216">
      <c r="A4216" s="1"/>
      <c r="B4216" s="3"/>
      <c r="C4216" s="3" t="str">
        <f>IFERROR(__xludf.DUMMYFUNCTION("""COMPUTED_VALUE"""),"")</f>
        <v/>
      </c>
      <c r="D4216" s="3" t="str">
        <f>IFERROR(__xludf.DUMMYFUNCTION("""COMPUTED_VALUE"""),"")</f>
        <v/>
      </c>
      <c r="E4216" s="1"/>
    </row>
    <row r="4217">
      <c r="A4217" s="1"/>
      <c r="B4217" s="3"/>
      <c r="C4217" s="3" t="str">
        <f>IFERROR(__xludf.DUMMYFUNCTION("""COMPUTED_VALUE"""),"")</f>
        <v/>
      </c>
      <c r="D4217" s="3" t="str">
        <f>IFERROR(__xludf.DUMMYFUNCTION("""COMPUTED_VALUE"""),"")</f>
        <v/>
      </c>
      <c r="E4217" s="1"/>
    </row>
    <row r="4218">
      <c r="A4218" s="1"/>
      <c r="B4218" s="3"/>
      <c r="C4218" s="3" t="str">
        <f>IFERROR(__xludf.DUMMYFUNCTION("""COMPUTED_VALUE"""),"")</f>
        <v/>
      </c>
      <c r="D4218" s="3" t="str">
        <f>IFERROR(__xludf.DUMMYFUNCTION("""COMPUTED_VALUE"""),"")</f>
        <v/>
      </c>
      <c r="E4218" s="1"/>
    </row>
    <row r="4219">
      <c r="A4219" s="1"/>
      <c r="B4219" s="3"/>
      <c r="C4219" s="3" t="str">
        <f>IFERROR(__xludf.DUMMYFUNCTION("""COMPUTED_VALUE"""),"")</f>
        <v/>
      </c>
      <c r="D4219" s="3" t="str">
        <f>IFERROR(__xludf.DUMMYFUNCTION("""COMPUTED_VALUE"""),"")</f>
        <v/>
      </c>
      <c r="E4219" s="1"/>
    </row>
    <row r="4220">
      <c r="A4220" s="1"/>
      <c r="B4220" s="3"/>
      <c r="C4220" s="3" t="str">
        <f>IFERROR(__xludf.DUMMYFUNCTION("""COMPUTED_VALUE"""),"")</f>
        <v/>
      </c>
      <c r="D4220" s="3" t="str">
        <f>IFERROR(__xludf.DUMMYFUNCTION("""COMPUTED_VALUE"""),"")</f>
        <v/>
      </c>
      <c r="E4220" s="1"/>
    </row>
    <row r="4221">
      <c r="A4221" s="1"/>
      <c r="B4221" s="3"/>
      <c r="C4221" s="3" t="str">
        <f>IFERROR(__xludf.DUMMYFUNCTION("""COMPUTED_VALUE"""),"")</f>
        <v/>
      </c>
      <c r="D4221" s="3" t="str">
        <f>IFERROR(__xludf.DUMMYFUNCTION("""COMPUTED_VALUE"""),"")</f>
        <v/>
      </c>
      <c r="E4221" s="1"/>
    </row>
    <row r="4222">
      <c r="A4222" s="1"/>
      <c r="B4222" s="3"/>
      <c r="C4222" s="3" t="str">
        <f>IFERROR(__xludf.DUMMYFUNCTION("""COMPUTED_VALUE"""),"")</f>
        <v/>
      </c>
      <c r="D4222" s="3" t="str">
        <f>IFERROR(__xludf.DUMMYFUNCTION("""COMPUTED_VALUE"""),"")</f>
        <v/>
      </c>
      <c r="E4222" s="1"/>
    </row>
    <row r="4223">
      <c r="A4223" s="1"/>
      <c r="B4223" s="3"/>
      <c r="C4223" s="3" t="str">
        <f>IFERROR(__xludf.DUMMYFUNCTION("""COMPUTED_VALUE"""),"")</f>
        <v/>
      </c>
      <c r="D4223" s="3" t="str">
        <f>IFERROR(__xludf.DUMMYFUNCTION("""COMPUTED_VALUE"""),"")</f>
        <v/>
      </c>
      <c r="E4223" s="1"/>
    </row>
    <row r="4224">
      <c r="A4224" s="1"/>
      <c r="B4224" s="3"/>
      <c r="C4224" s="3" t="str">
        <f>IFERROR(__xludf.DUMMYFUNCTION("""COMPUTED_VALUE"""),"")</f>
        <v/>
      </c>
      <c r="D4224" s="3" t="str">
        <f>IFERROR(__xludf.DUMMYFUNCTION("""COMPUTED_VALUE"""),"")</f>
        <v/>
      </c>
      <c r="E4224" s="1"/>
    </row>
    <row r="4225">
      <c r="A4225" s="1"/>
      <c r="B4225" s="3"/>
      <c r="C4225" s="3" t="str">
        <f>IFERROR(__xludf.DUMMYFUNCTION("""COMPUTED_VALUE"""),"")</f>
        <v/>
      </c>
      <c r="D4225" s="3" t="str">
        <f>IFERROR(__xludf.DUMMYFUNCTION("""COMPUTED_VALUE"""),"")</f>
        <v/>
      </c>
      <c r="E4225" s="1"/>
    </row>
    <row r="4226">
      <c r="A4226" s="1"/>
      <c r="B4226" s="3"/>
      <c r="C4226" s="3" t="str">
        <f>IFERROR(__xludf.DUMMYFUNCTION("""COMPUTED_VALUE"""),"")</f>
        <v/>
      </c>
      <c r="D4226" s="3" t="str">
        <f>IFERROR(__xludf.DUMMYFUNCTION("""COMPUTED_VALUE"""),"")</f>
        <v/>
      </c>
      <c r="E4226" s="1"/>
    </row>
    <row r="4227">
      <c r="A4227" s="1"/>
      <c r="B4227" s="3"/>
      <c r="C4227" s="3" t="str">
        <f>IFERROR(__xludf.DUMMYFUNCTION("""COMPUTED_VALUE"""),"")</f>
        <v/>
      </c>
      <c r="D4227" s="3" t="str">
        <f>IFERROR(__xludf.DUMMYFUNCTION("""COMPUTED_VALUE"""),"")</f>
        <v/>
      </c>
      <c r="E4227" s="1"/>
    </row>
    <row r="4228">
      <c r="A4228" s="1"/>
      <c r="B4228" s="3"/>
      <c r="C4228" s="3" t="str">
        <f>IFERROR(__xludf.DUMMYFUNCTION("""COMPUTED_VALUE"""),"")</f>
        <v/>
      </c>
      <c r="D4228" s="3" t="str">
        <f>IFERROR(__xludf.DUMMYFUNCTION("""COMPUTED_VALUE"""),"")</f>
        <v/>
      </c>
      <c r="E4228" s="1"/>
    </row>
    <row r="4229">
      <c r="A4229" s="1"/>
      <c r="B4229" s="3"/>
      <c r="C4229" s="3" t="str">
        <f>IFERROR(__xludf.DUMMYFUNCTION("""COMPUTED_VALUE"""),"")</f>
        <v/>
      </c>
      <c r="D4229" s="3" t="str">
        <f>IFERROR(__xludf.DUMMYFUNCTION("""COMPUTED_VALUE"""),"")</f>
        <v/>
      </c>
      <c r="E4229" s="1"/>
    </row>
    <row r="4230">
      <c r="A4230" s="1"/>
      <c r="B4230" s="3"/>
      <c r="C4230" s="3" t="str">
        <f>IFERROR(__xludf.DUMMYFUNCTION("""COMPUTED_VALUE"""),"")</f>
        <v/>
      </c>
      <c r="D4230" s="3" t="str">
        <f>IFERROR(__xludf.DUMMYFUNCTION("""COMPUTED_VALUE"""),"")</f>
        <v/>
      </c>
      <c r="E4230" s="1"/>
    </row>
    <row r="4231">
      <c r="A4231" s="1"/>
      <c r="B4231" s="3"/>
      <c r="C4231" s="3" t="str">
        <f>IFERROR(__xludf.DUMMYFUNCTION("""COMPUTED_VALUE"""),"")</f>
        <v/>
      </c>
      <c r="D4231" s="3" t="str">
        <f>IFERROR(__xludf.DUMMYFUNCTION("""COMPUTED_VALUE"""),"")</f>
        <v/>
      </c>
      <c r="E4231" s="1"/>
    </row>
    <row r="4232">
      <c r="A4232" s="1"/>
      <c r="B4232" s="3"/>
      <c r="C4232" s="3" t="str">
        <f>IFERROR(__xludf.DUMMYFUNCTION("""COMPUTED_VALUE"""),"")</f>
        <v/>
      </c>
      <c r="D4232" s="3" t="str">
        <f>IFERROR(__xludf.DUMMYFUNCTION("""COMPUTED_VALUE"""),"")</f>
        <v/>
      </c>
      <c r="E4232" s="1"/>
    </row>
    <row r="4233">
      <c r="A4233" s="1"/>
      <c r="B4233" s="3"/>
      <c r="C4233" s="3" t="str">
        <f>IFERROR(__xludf.DUMMYFUNCTION("""COMPUTED_VALUE"""),"")</f>
        <v/>
      </c>
      <c r="D4233" s="3" t="str">
        <f>IFERROR(__xludf.DUMMYFUNCTION("""COMPUTED_VALUE"""),"")</f>
        <v/>
      </c>
      <c r="E4233" s="1"/>
    </row>
    <row r="4234">
      <c r="A4234" s="1"/>
      <c r="B4234" s="3"/>
      <c r="C4234" s="3" t="str">
        <f>IFERROR(__xludf.DUMMYFUNCTION("""COMPUTED_VALUE"""),"")</f>
        <v/>
      </c>
      <c r="D4234" s="3" t="str">
        <f>IFERROR(__xludf.DUMMYFUNCTION("""COMPUTED_VALUE"""),"")</f>
        <v/>
      </c>
      <c r="E4234" s="1"/>
    </row>
    <row r="4235">
      <c r="A4235" s="1"/>
      <c r="B4235" s="3"/>
      <c r="C4235" s="3" t="str">
        <f>IFERROR(__xludf.DUMMYFUNCTION("""COMPUTED_VALUE"""),"")</f>
        <v/>
      </c>
      <c r="D4235" s="3" t="str">
        <f>IFERROR(__xludf.DUMMYFUNCTION("""COMPUTED_VALUE"""),"")</f>
        <v/>
      </c>
      <c r="E4235" s="1"/>
    </row>
    <row r="4236">
      <c r="A4236" s="1"/>
      <c r="B4236" s="3"/>
      <c r="C4236" s="3" t="str">
        <f>IFERROR(__xludf.DUMMYFUNCTION("""COMPUTED_VALUE"""),"")</f>
        <v/>
      </c>
      <c r="D4236" s="3" t="str">
        <f>IFERROR(__xludf.DUMMYFUNCTION("""COMPUTED_VALUE"""),"")</f>
        <v/>
      </c>
      <c r="E4236" s="1"/>
    </row>
    <row r="4237">
      <c r="A4237" s="1"/>
      <c r="B4237" s="3"/>
      <c r="C4237" s="3" t="str">
        <f>IFERROR(__xludf.DUMMYFUNCTION("""COMPUTED_VALUE"""),"")</f>
        <v/>
      </c>
      <c r="D4237" s="3" t="str">
        <f>IFERROR(__xludf.DUMMYFUNCTION("""COMPUTED_VALUE"""),"")</f>
        <v/>
      </c>
      <c r="E4237" s="1"/>
    </row>
    <row r="4238">
      <c r="A4238" s="1"/>
      <c r="B4238" s="3"/>
      <c r="C4238" s="3" t="str">
        <f>IFERROR(__xludf.DUMMYFUNCTION("""COMPUTED_VALUE"""),"")</f>
        <v/>
      </c>
      <c r="D4238" s="3" t="str">
        <f>IFERROR(__xludf.DUMMYFUNCTION("""COMPUTED_VALUE"""),"")</f>
        <v/>
      </c>
      <c r="E4238" s="1"/>
    </row>
    <row r="4239">
      <c r="A4239" s="1"/>
      <c r="B4239" s="3"/>
      <c r="C4239" s="3" t="str">
        <f>IFERROR(__xludf.DUMMYFUNCTION("""COMPUTED_VALUE"""),"")</f>
        <v/>
      </c>
      <c r="D4239" s="3" t="str">
        <f>IFERROR(__xludf.DUMMYFUNCTION("""COMPUTED_VALUE"""),"")</f>
        <v/>
      </c>
      <c r="E4239" s="1"/>
    </row>
    <row r="4240">
      <c r="A4240" s="1"/>
      <c r="B4240" s="3"/>
      <c r="C4240" s="3" t="str">
        <f>IFERROR(__xludf.DUMMYFUNCTION("""COMPUTED_VALUE"""),"")</f>
        <v/>
      </c>
      <c r="D4240" s="3" t="str">
        <f>IFERROR(__xludf.DUMMYFUNCTION("""COMPUTED_VALUE"""),"")</f>
        <v/>
      </c>
      <c r="E4240" s="1"/>
    </row>
    <row r="4241">
      <c r="A4241" s="1"/>
      <c r="B4241" s="3"/>
      <c r="C4241" s="3" t="str">
        <f>IFERROR(__xludf.DUMMYFUNCTION("""COMPUTED_VALUE"""),"")</f>
        <v/>
      </c>
      <c r="D4241" s="3" t="str">
        <f>IFERROR(__xludf.DUMMYFUNCTION("""COMPUTED_VALUE"""),"")</f>
        <v/>
      </c>
      <c r="E4241" s="1"/>
    </row>
    <row r="4242">
      <c r="A4242" s="1"/>
      <c r="B4242" s="3"/>
      <c r="C4242" s="3" t="str">
        <f>IFERROR(__xludf.DUMMYFUNCTION("""COMPUTED_VALUE"""),"")</f>
        <v/>
      </c>
      <c r="D4242" s="3" t="str">
        <f>IFERROR(__xludf.DUMMYFUNCTION("""COMPUTED_VALUE"""),"")</f>
        <v/>
      </c>
      <c r="E4242" s="1"/>
    </row>
    <row r="4243">
      <c r="A4243" s="1"/>
      <c r="B4243" s="3"/>
      <c r="C4243" s="3" t="str">
        <f>IFERROR(__xludf.DUMMYFUNCTION("""COMPUTED_VALUE"""),"")</f>
        <v/>
      </c>
      <c r="D4243" s="3" t="str">
        <f>IFERROR(__xludf.DUMMYFUNCTION("""COMPUTED_VALUE"""),"")</f>
        <v/>
      </c>
      <c r="E4243" s="1"/>
    </row>
    <row r="4244">
      <c r="A4244" s="1"/>
      <c r="B4244" s="3"/>
      <c r="C4244" s="3" t="str">
        <f>IFERROR(__xludf.DUMMYFUNCTION("""COMPUTED_VALUE"""),"")</f>
        <v/>
      </c>
      <c r="D4244" s="3" t="str">
        <f>IFERROR(__xludf.DUMMYFUNCTION("""COMPUTED_VALUE"""),"")</f>
        <v/>
      </c>
      <c r="E4244" s="1"/>
    </row>
    <row r="4245">
      <c r="A4245" s="1"/>
      <c r="B4245" s="3"/>
      <c r="C4245" s="3" t="str">
        <f>IFERROR(__xludf.DUMMYFUNCTION("""COMPUTED_VALUE"""),"")</f>
        <v/>
      </c>
      <c r="D4245" s="3" t="str">
        <f>IFERROR(__xludf.DUMMYFUNCTION("""COMPUTED_VALUE"""),"")</f>
        <v/>
      </c>
      <c r="E4245" s="1"/>
    </row>
    <row r="4246">
      <c r="A4246" s="1"/>
      <c r="B4246" s="3"/>
      <c r="C4246" s="3" t="str">
        <f>IFERROR(__xludf.DUMMYFUNCTION("""COMPUTED_VALUE"""),"")</f>
        <v/>
      </c>
      <c r="D4246" s="3" t="str">
        <f>IFERROR(__xludf.DUMMYFUNCTION("""COMPUTED_VALUE"""),"")</f>
        <v/>
      </c>
      <c r="E4246" s="1"/>
    </row>
    <row r="4247">
      <c r="A4247" s="1"/>
      <c r="B4247" s="3"/>
      <c r="C4247" s="3" t="str">
        <f>IFERROR(__xludf.DUMMYFUNCTION("""COMPUTED_VALUE"""),"")</f>
        <v/>
      </c>
      <c r="D4247" s="3" t="str">
        <f>IFERROR(__xludf.DUMMYFUNCTION("""COMPUTED_VALUE"""),"")</f>
        <v/>
      </c>
      <c r="E4247" s="1"/>
    </row>
    <row r="4248">
      <c r="A4248" s="1"/>
      <c r="B4248" s="3"/>
      <c r="C4248" s="3" t="str">
        <f>IFERROR(__xludf.DUMMYFUNCTION("""COMPUTED_VALUE"""),"")</f>
        <v/>
      </c>
      <c r="D4248" s="3" t="str">
        <f>IFERROR(__xludf.DUMMYFUNCTION("""COMPUTED_VALUE"""),"")</f>
        <v/>
      </c>
      <c r="E4248" s="1"/>
    </row>
    <row r="4249">
      <c r="A4249" s="1"/>
      <c r="B4249" s="3"/>
      <c r="C4249" s="3" t="str">
        <f>IFERROR(__xludf.DUMMYFUNCTION("""COMPUTED_VALUE"""),"")</f>
        <v/>
      </c>
      <c r="D4249" s="3" t="str">
        <f>IFERROR(__xludf.DUMMYFUNCTION("""COMPUTED_VALUE"""),"")</f>
        <v/>
      </c>
      <c r="E4249" s="1"/>
    </row>
    <row r="4250">
      <c r="A4250" s="1"/>
      <c r="B4250" s="3"/>
      <c r="C4250" s="3" t="str">
        <f>IFERROR(__xludf.DUMMYFUNCTION("""COMPUTED_VALUE"""),"")</f>
        <v/>
      </c>
      <c r="D4250" s="3" t="str">
        <f>IFERROR(__xludf.DUMMYFUNCTION("""COMPUTED_VALUE"""),"")</f>
        <v/>
      </c>
      <c r="E4250" s="1"/>
    </row>
    <row r="4251">
      <c r="A4251" s="1"/>
      <c r="B4251" s="3"/>
      <c r="C4251" s="3" t="str">
        <f>IFERROR(__xludf.DUMMYFUNCTION("""COMPUTED_VALUE"""),"")</f>
        <v/>
      </c>
      <c r="D4251" s="3" t="str">
        <f>IFERROR(__xludf.DUMMYFUNCTION("""COMPUTED_VALUE"""),"")</f>
        <v/>
      </c>
      <c r="E4251" s="1"/>
    </row>
    <row r="4252">
      <c r="A4252" s="1"/>
      <c r="B4252" s="3"/>
      <c r="C4252" s="3" t="str">
        <f>IFERROR(__xludf.DUMMYFUNCTION("""COMPUTED_VALUE"""),"")</f>
        <v/>
      </c>
      <c r="D4252" s="3" t="str">
        <f>IFERROR(__xludf.DUMMYFUNCTION("""COMPUTED_VALUE"""),"")</f>
        <v/>
      </c>
      <c r="E4252" s="1"/>
    </row>
    <row r="4253">
      <c r="A4253" s="1"/>
      <c r="B4253" s="3"/>
      <c r="C4253" s="3" t="str">
        <f>IFERROR(__xludf.DUMMYFUNCTION("""COMPUTED_VALUE"""),"")</f>
        <v/>
      </c>
      <c r="D4253" s="3" t="str">
        <f>IFERROR(__xludf.DUMMYFUNCTION("""COMPUTED_VALUE"""),"")</f>
        <v/>
      </c>
      <c r="E4253" s="1"/>
    </row>
    <row r="4254">
      <c r="A4254" s="1"/>
      <c r="B4254" s="3"/>
      <c r="C4254" s="3" t="str">
        <f>IFERROR(__xludf.DUMMYFUNCTION("""COMPUTED_VALUE"""),"")</f>
        <v/>
      </c>
      <c r="D4254" s="3" t="str">
        <f>IFERROR(__xludf.DUMMYFUNCTION("""COMPUTED_VALUE"""),"")</f>
        <v/>
      </c>
      <c r="E4254" s="1"/>
    </row>
    <row r="4255">
      <c r="A4255" s="1"/>
      <c r="B4255" s="3"/>
      <c r="C4255" s="3" t="str">
        <f>IFERROR(__xludf.DUMMYFUNCTION("""COMPUTED_VALUE"""),"")</f>
        <v/>
      </c>
      <c r="D4255" s="3" t="str">
        <f>IFERROR(__xludf.DUMMYFUNCTION("""COMPUTED_VALUE"""),"")</f>
        <v/>
      </c>
      <c r="E4255" s="1"/>
    </row>
    <row r="4256">
      <c r="A4256" s="1"/>
      <c r="B4256" s="3"/>
      <c r="C4256" s="3" t="str">
        <f>IFERROR(__xludf.DUMMYFUNCTION("""COMPUTED_VALUE"""),"")</f>
        <v/>
      </c>
      <c r="D4256" s="3" t="str">
        <f>IFERROR(__xludf.DUMMYFUNCTION("""COMPUTED_VALUE"""),"")</f>
        <v/>
      </c>
      <c r="E4256" s="1"/>
    </row>
    <row r="4257">
      <c r="A4257" s="1"/>
      <c r="B4257" s="3"/>
      <c r="C4257" s="3" t="str">
        <f>IFERROR(__xludf.DUMMYFUNCTION("""COMPUTED_VALUE"""),"")</f>
        <v/>
      </c>
      <c r="D4257" s="3" t="str">
        <f>IFERROR(__xludf.DUMMYFUNCTION("""COMPUTED_VALUE"""),"")</f>
        <v/>
      </c>
      <c r="E4257" s="1"/>
    </row>
    <row r="4258">
      <c r="A4258" s="1"/>
      <c r="B4258" s="3"/>
      <c r="C4258" s="3" t="str">
        <f>IFERROR(__xludf.DUMMYFUNCTION("""COMPUTED_VALUE"""),"")</f>
        <v/>
      </c>
      <c r="D4258" s="3" t="str">
        <f>IFERROR(__xludf.DUMMYFUNCTION("""COMPUTED_VALUE"""),"")</f>
        <v/>
      </c>
      <c r="E4258" s="1"/>
    </row>
    <row r="4259">
      <c r="A4259" s="1"/>
      <c r="B4259" s="3"/>
      <c r="C4259" s="3" t="str">
        <f>IFERROR(__xludf.DUMMYFUNCTION("""COMPUTED_VALUE"""),"")</f>
        <v/>
      </c>
      <c r="D4259" s="3" t="str">
        <f>IFERROR(__xludf.DUMMYFUNCTION("""COMPUTED_VALUE"""),"")</f>
        <v/>
      </c>
      <c r="E4259" s="1"/>
    </row>
    <row r="4260">
      <c r="A4260" s="1"/>
      <c r="B4260" s="3"/>
      <c r="C4260" s="3" t="str">
        <f>IFERROR(__xludf.DUMMYFUNCTION("""COMPUTED_VALUE"""),"")</f>
        <v/>
      </c>
      <c r="D4260" s="3" t="str">
        <f>IFERROR(__xludf.DUMMYFUNCTION("""COMPUTED_VALUE"""),"")</f>
        <v/>
      </c>
      <c r="E4260" s="1"/>
    </row>
    <row r="4261">
      <c r="A4261" s="1"/>
      <c r="B4261" s="3"/>
      <c r="C4261" s="3" t="str">
        <f>IFERROR(__xludf.DUMMYFUNCTION("""COMPUTED_VALUE"""),"")</f>
        <v/>
      </c>
      <c r="D4261" s="3" t="str">
        <f>IFERROR(__xludf.DUMMYFUNCTION("""COMPUTED_VALUE"""),"")</f>
        <v/>
      </c>
      <c r="E4261" s="1"/>
    </row>
    <row r="4262">
      <c r="A4262" s="1"/>
      <c r="B4262" s="3"/>
      <c r="C4262" s="3" t="str">
        <f>IFERROR(__xludf.DUMMYFUNCTION("""COMPUTED_VALUE"""),"")</f>
        <v/>
      </c>
      <c r="D4262" s="3" t="str">
        <f>IFERROR(__xludf.DUMMYFUNCTION("""COMPUTED_VALUE"""),"")</f>
        <v/>
      </c>
      <c r="E4262" s="1"/>
    </row>
    <row r="4263">
      <c r="A4263" s="1"/>
      <c r="B4263" s="3"/>
      <c r="C4263" s="3" t="str">
        <f>IFERROR(__xludf.DUMMYFUNCTION("""COMPUTED_VALUE"""),"")</f>
        <v/>
      </c>
      <c r="D4263" s="3" t="str">
        <f>IFERROR(__xludf.DUMMYFUNCTION("""COMPUTED_VALUE"""),"")</f>
        <v/>
      </c>
      <c r="E4263" s="1"/>
    </row>
    <row r="4264">
      <c r="A4264" s="1"/>
      <c r="B4264" s="3"/>
      <c r="C4264" s="3" t="str">
        <f>IFERROR(__xludf.DUMMYFUNCTION("""COMPUTED_VALUE"""),"")</f>
        <v/>
      </c>
      <c r="D4264" s="3" t="str">
        <f>IFERROR(__xludf.DUMMYFUNCTION("""COMPUTED_VALUE"""),"")</f>
        <v/>
      </c>
      <c r="E4264" s="1"/>
    </row>
    <row r="4265">
      <c r="A4265" s="1"/>
      <c r="B4265" s="3"/>
      <c r="C4265" s="3" t="str">
        <f>IFERROR(__xludf.DUMMYFUNCTION("""COMPUTED_VALUE"""),"")</f>
        <v/>
      </c>
      <c r="D4265" s="3" t="str">
        <f>IFERROR(__xludf.DUMMYFUNCTION("""COMPUTED_VALUE"""),"")</f>
        <v/>
      </c>
      <c r="E4265" s="1"/>
    </row>
    <row r="4266">
      <c r="A4266" s="1"/>
      <c r="B4266" s="3"/>
      <c r="C4266" s="3" t="str">
        <f>IFERROR(__xludf.DUMMYFUNCTION("""COMPUTED_VALUE"""),"")</f>
        <v/>
      </c>
      <c r="D4266" s="3" t="str">
        <f>IFERROR(__xludf.DUMMYFUNCTION("""COMPUTED_VALUE"""),"")</f>
        <v/>
      </c>
      <c r="E4266" s="1"/>
    </row>
    <row r="4267">
      <c r="A4267" s="1"/>
      <c r="B4267" s="3"/>
      <c r="C4267" s="3" t="str">
        <f>IFERROR(__xludf.DUMMYFUNCTION("""COMPUTED_VALUE"""),"")</f>
        <v/>
      </c>
      <c r="D4267" s="3" t="str">
        <f>IFERROR(__xludf.DUMMYFUNCTION("""COMPUTED_VALUE"""),"")</f>
        <v/>
      </c>
      <c r="E4267" s="1"/>
    </row>
    <row r="4268">
      <c r="A4268" s="1"/>
      <c r="B4268" s="3"/>
      <c r="C4268" s="3" t="str">
        <f>IFERROR(__xludf.DUMMYFUNCTION("""COMPUTED_VALUE"""),"")</f>
        <v/>
      </c>
      <c r="D4268" s="3" t="str">
        <f>IFERROR(__xludf.DUMMYFUNCTION("""COMPUTED_VALUE"""),"")</f>
        <v/>
      </c>
      <c r="E4268" s="1"/>
    </row>
    <row r="4269">
      <c r="A4269" s="1"/>
      <c r="B4269" s="3"/>
      <c r="C4269" s="3" t="str">
        <f>IFERROR(__xludf.DUMMYFUNCTION("""COMPUTED_VALUE"""),"")</f>
        <v/>
      </c>
      <c r="D4269" s="3" t="str">
        <f>IFERROR(__xludf.DUMMYFUNCTION("""COMPUTED_VALUE"""),"")</f>
        <v/>
      </c>
      <c r="E4269" s="1"/>
    </row>
    <row r="4270">
      <c r="A4270" s="1"/>
      <c r="B4270" s="3"/>
      <c r="C4270" s="3" t="str">
        <f>IFERROR(__xludf.DUMMYFUNCTION("""COMPUTED_VALUE"""),"")</f>
        <v/>
      </c>
      <c r="D4270" s="3" t="str">
        <f>IFERROR(__xludf.DUMMYFUNCTION("""COMPUTED_VALUE"""),"")</f>
        <v/>
      </c>
      <c r="E4270" s="1"/>
    </row>
    <row r="4271">
      <c r="A4271" s="1"/>
      <c r="B4271" s="3"/>
      <c r="C4271" s="3" t="str">
        <f>IFERROR(__xludf.DUMMYFUNCTION("""COMPUTED_VALUE"""),"")</f>
        <v/>
      </c>
      <c r="D4271" s="3" t="str">
        <f>IFERROR(__xludf.DUMMYFUNCTION("""COMPUTED_VALUE"""),"")</f>
        <v/>
      </c>
      <c r="E4271" s="1"/>
    </row>
    <row r="4272">
      <c r="A4272" s="1"/>
      <c r="B4272" s="3"/>
      <c r="C4272" s="3" t="str">
        <f>IFERROR(__xludf.DUMMYFUNCTION("""COMPUTED_VALUE"""),"")</f>
        <v/>
      </c>
      <c r="D4272" s="3" t="str">
        <f>IFERROR(__xludf.DUMMYFUNCTION("""COMPUTED_VALUE"""),"")</f>
        <v/>
      </c>
      <c r="E4272" s="1"/>
    </row>
    <row r="4273">
      <c r="A4273" s="1"/>
      <c r="B4273" s="3"/>
      <c r="C4273" s="3" t="str">
        <f>IFERROR(__xludf.DUMMYFUNCTION("""COMPUTED_VALUE"""),"")</f>
        <v/>
      </c>
      <c r="D4273" s="3" t="str">
        <f>IFERROR(__xludf.DUMMYFUNCTION("""COMPUTED_VALUE"""),"")</f>
        <v/>
      </c>
      <c r="E4273" s="1"/>
    </row>
    <row r="4274">
      <c r="A4274" s="1"/>
      <c r="B4274" s="3"/>
      <c r="C4274" s="3" t="str">
        <f>IFERROR(__xludf.DUMMYFUNCTION("""COMPUTED_VALUE"""),"")</f>
        <v/>
      </c>
      <c r="D4274" s="3" t="str">
        <f>IFERROR(__xludf.DUMMYFUNCTION("""COMPUTED_VALUE"""),"")</f>
        <v/>
      </c>
      <c r="E4274" s="1"/>
    </row>
    <row r="4275">
      <c r="A4275" s="1"/>
      <c r="B4275" s="3"/>
      <c r="C4275" s="3" t="str">
        <f>IFERROR(__xludf.DUMMYFUNCTION("""COMPUTED_VALUE"""),"")</f>
        <v/>
      </c>
      <c r="D4275" s="3" t="str">
        <f>IFERROR(__xludf.DUMMYFUNCTION("""COMPUTED_VALUE"""),"")</f>
        <v/>
      </c>
      <c r="E4275" s="1"/>
    </row>
    <row r="4276">
      <c r="A4276" s="1"/>
      <c r="B4276" s="3"/>
      <c r="C4276" s="3" t="str">
        <f>IFERROR(__xludf.DUMMYFUNCTION("""COMPUTED_VALUE"""),"")</f>
        <v/>
      </c>
      <c r="D4276" s="3" t="str">
        <f>IFERROR(__xludf.DUMMYFUNCTION("""COMPUTED_VALUE"""),"")</f>
        <v/>
      </c>
      <c r="E4276" s="1"/>
    </row>
    <row r="4277">
      <c r="A4277" s="1"/>
      <c r="B4277" s="3"/>
      <c r="C4277" s="3" t="str">
        <f>IFERROR(__xludf.DUMMYFUNCTION("""COMPUTED_VALUE"""),"")</f>
        <v/>
      </c>
      <c r="D4277" s="3" t="str">
        <f>IFERROR(__xludf.DUMMYFUNCTION("""COMPUTED_VALUE"""),"")</f>
        <v/>
      </c>
      <c r="E4277" s="1"/>
    </row>
    <row r="4278">
      <c r="A4278" s="1"/>
      <c r="B4278" s="3"/>
      <c r="C4278" s="3" t="str">
        <f>IFERROR(__xludf.DUMMYFUNCTION("""COMPUTED_VALUE"""),"")</f>
        <v/>
      </c>
      <c r="D4278" s="3" t="str">
        <f>IFERROR(__xludf.DUMMYFUNCTION("""COMPUTED_VALUE"""),"")</f>
        <v/>
      </c>
      <c r="E4278" s="1"/>
    </row>
    <row r="4279">
      <c r="A4279" s="1"/>
      <c r="B4279" s="3"/>
      <c r="C4279" s="3" t="str">
        <f>IFERROR(__xludf.DUMMYFUNCTION("""COMPUTED_VALUE"""),"")</f>
        <v/>
      </c>
      <c r="D4279" s="3" t="str">
        <f>IFERROR(__xludf.DUMMYFUNCTION("""COMPUTED_VALUE"""),"")</f>
        <v/>
      </c>
      <c r="E4279" s="1"/>
    </row>
    <row r="4280">
      <c r="A4280" s="1"/>
      <c r="B4280" s="3"/>
      <c r="C4280" s="3" t="str">
        <f>IFERROR(__xludf.DUMMYFUNCTION("""COMPUTED_VALUE"""),"")</f>
        <v/>
      </c>
      <c r="D4280" s="3" t="str">
        <f>IFERROR(__xludf.DUMMYFUNCTION("""COMPUTED_VALUE"""),"")</f>
        <v/>
      </c>
      <c r="E4280" s="1"/>
    </row>
    <row r="4281">
      <c r="A4281" s="1"/>
      <c r="B4281" s="3"/>
      <c r="C4281" s="3" t="str">
        <f>IFERROR(__xludf.DUMMYFUNCTION("""COMPUTED_VALUE"""),"")</f>
        <v/>
      </c>
      <c r="D4281" s="3" t="str">
        <f>IFERROR(__xludf.DUMMYFUNCTION("""COMPUTED_VALUE"""),"")</f>
        <v/>
      </c>
      <c r="E4281" s="1"/>
    </row>
    <row r="4282">
      <c r="A4282" s="1"/>
      <c r="B4282" s="3"/>
      <c r="C4282" s="3" t="str">
        <f>IFERROR(__xludf.DUMMYFUNCTION("""COMPUTED_VALUE"""),"")</f>
        <v/>
      </c>
      <c r="D4282" s="3" t="str">
        <f>IFERROR(__xludf.DUMMYFUNCTION("""COMPUTED_VALUE"""),"")</f>
        <v/>
      </c>
      <c r="E4282" s="1"/>
    </row>
    <row r="4283">
      <c r="A4283" s="1"/>
      <c r="B4283" s="3"/>
      <c r="C4283" s="3" t="str">
        <f>IFERROR(__xludf.DUMMYFUNCTION("""COMPUTED_VALUE"""),"")</f>
        <v/>
      </c>
      <c r="D4283" s="3" t="str">
        <f>IFERROR(__xludf.DUMMYFUNCTION("""COMPUTED_VALUE"""),"")</f>
        <v/>
      </c>
      <c r="E4283" s="1"/>
    </row>
    <row r="4284">
      <c r="A4284" s="1"/>
      <c r="B4284" s="3"/>
      <c r="C4284" s="3" t="str">
        <f>IFERROR(__xludf.DUMMYFUNCTION("""COMPUTED_VALUE"""),"")</f>
        <v/>
      </c>
      <c r="D4284" s="3" t="str">
        <f>IFERROR(__xludf.DUMMYFUNCTION("""COMPUTED_VALUE"""),"")</f>
        <v/>
      </c>
      <c r="E4284" s="1"/>
    </row>
    <row r="4285">
      <c r="A4285" s="1"/>
      <c r="B4285" s="3"/>
      <c r="C4285" s="3" t="str">
        <f>IFERROR(__xludf.DUMMYFUNCTION("""COMPUTED_VALUE"""),"")</f>
        <v/>
      </c>
      <c r="D4285" s="3" t="str">
        <f>IFERROR(__xludf.DUMMYFUNCTION("""COMPUTED_VALUE"""),"")</f>
        <v/>
      </c>
      <c r="E4285" s="1"/>
    </row>
    <row r="4286">
      <c r="A4286" s="1"/>
      <c r="B4286" s="3"/>
      <c r="C4286" s="3" t="str">
        <f>IFERROR(__xludf.DUMMYFUNCTION("""COMPUTED_VALUE"""),"")</f>
        <v/>
      </c>
      <c r="D4286" s="3" t="str">
        <f>IFERROR(__xludf.DUMMYFUNCTION("""COMPUTED_VALUE"""),"")</f>
        <v/>
      </c>
      <c r="E4286" s="1"/>
    </row>
    <row r="4287">
      <c r="A4287" s="1"/>
      <c r="B4287" s="3"/>
      <c r="C4287" s="3" t="str">
        <f>IFERROR(__xludf.DUMMYFUNCTION("""COMPUTED_VALUE"""),"")</f>
        <v/>
      </c>
      <c r="D4287" s="3" t="str">
        <f>IFERROR(__xludf.DUMMYFUNCTION("""COMPUTED_VALUE"""),"")</f>
        <v/>
      </c>
      <c r="E4287" s="1"/>
    </row>
    <row r="4288">
      <c r="A4288" s="1"/>
      <c r="B4288" s="3"/>
      <c r="C4288" s="3" t="str">
        <f>IFERROR(__xludf.DUMMYFUNCTION("""COMPUTED_VALUE"""),"")</f>
        <v/>
      </c>
      <c r="D4288" s="3" t="str">
        <f>IFERROR(__xludf.DUMMYFUNCTION("""COMPUTED_VALUE"""),"")</f>
        <v/>
      </c>
      <c r="E4288" s="1"/>
    </row>
    <row r="4289">
      <c r="A4289" s="1"/>
      <c r="B4289" s="3"/>
      <c r="C4289" s="3" t="str">
        <f>IFERROR(__xludf.DUMMYFUNCTION("""COMPUTED_VALUE"""),"")</f>
        <v/>
      </c>
      <c r="D4289" s="3" t="str">
        <f>IFERROR(__xludf.DUMMYFUNCTION("""COMPUTED_VALUE"""),"")</f>
        <v/>
      </c>
      <c r="E4289" s="1"/>
    </row>
    <row r="4290">
      <c r="A4290" s="1"/>
      <c r="B4290" s="3"/>
      <c r="C4290" s="3" t="str">
        <f>IFERROR(__xludf.DUMMYFUNCTION("""COMPUTED_VALUE"""),"")</f>
        <v/>
      </c>
      <c r="D4290" s="3" t="str">
        <f>IFERROR(__xludf.DUMMYFUNCTION("""COMPUTED_VALUE"""),"")</f>
        <v/>
      </c>
      <c r="E4290" s="1"/>
    </row>
    <row r="4291">
      <c r="A4291" s="1"/>
      <c r="B4291" s="3"/>
      <c r="C4291" s="3" t="str">
        <f>IFERROR(__xludf.DUMMYFUNCTION("""COMPUTED_VALUE"""),"")</f>
        <v/>
      </c>
      <c r="D4291" s="3" t="str">
        <f>IFERROR(__xludf.DUMMYFUNCTION("""COMPUTED_VALUE"""),"")</f>
        <v/>
      </c>
      <c r="E4291" s="1"/>
    </row>
    <row r="4292">
      <c r="A4292" s="1"/>
      <c r="B4292" s="3"/>
      <c r="C4292" s="3" t="str">
        <f>IFERROR(__xludf.DUMMYFUNCTION("""COMPUTED_VALUE"""),"")</f>
        <v/>
      </c>
      <c r="D4292" s="3" t="str">
        <f>IFERROR(__xludf.DUMMYFUNCTION("""COMPUTED_VALUE"""),"")</f>
        <v/>
      </c>
      <c r="E4292" s="1"/>
    </row>
    <row r="4293">
      <c r="A4293" s="1"/>
      <c r="B4293" s="3"/>
      <c r="C4293" s="3" t="str">
        <f>IFERROR(__xludf.DUMMYFUNCTION("""COMPUTED_VALUE"""),"")</f>
        <v/>
      </c>
      <c r="D4293" s="3" t="str">
        <f>IFERROR(__xludf.DUMMYFUNCTION("""COMPUTED_VALUE"""),"")</f>
        <v/>
      </c>
      <c r="E4293" s="1"/>
    </row>
    <row r="4294">
      <c r="A4294" s="1"/>
      <c r="B4294" s="3"/>
      <c r="C4294" s="3" t="str">
        <f>IFERROR(__xludf.DUMMYFUNCTION("""COMPUTED_VALUE"""),"")</f>
        <v/>
      </c>
      <c r="D4294" s="3" t="str">
        <f>IFERROR(__xludf.DUMMYFUNCTION("""COMPUTED_VALUE"""),"")</f>
        <v/>
      </c>
      <c r="E4294" s="1"/>
    </row>
    <row r="4295">
      <c r="A4295" s="1"/>
      <c r="B4295" s="3"/>
      <c r="C4295" s="3" t="str">
        <f>IFERROR(__xludf.DUMMYFUNCTION("""COMPUTED_VALUE"""),"")</f>
        <v/>
      </c>
      <c r="D4295" s="3" t="str">
        <f>IFERROR(__xludf.DUMMYFUNCTION("""COMPUTED_VALUE"""),"")</f>
        <v/>
      </c>
      <c r="E4295" s="1"/>
    </row>
    <row r="4296">
      <c r="A4296" s="1"/>
      <c r="B4296" s="3"/>
      <c r="C4296" s="3" t="str">
        <f>IFERROR(__xludf.DUMMYFUNCTION("""COMPUTED_VALUE"""),"")</f>
        <v/>
      </c>
      <c r="D4296" s="3" t="str">
        <f>IFERROR(__xludf.DUMMYFUNCTION("""COMPUTED_VALUE"""),"")</f>
        <v/>
      </c>
      <c r="E4296" s="1"/>
    </row>
    <row r="4297">
      <c r="A4297" s="1"/>
      <c r="B4297" s="3"/>
      <c r="C4297" s="3" t="str">
        <f>IFERROR(__xludf.DUMMYFUNCTION("""COMPUTED_VALUE"""),"")</f>
        <v/>
      </c>
      <c r="D4297" s="3" t="str">
        <f>IFERROR(__xludf.DUMMYFUNCTION("""COMPUTED_VALUE"""),"")</f>
        <v/>
      </c>
      <c r="E4297" s="1"/>
    </row>
    <row r="4298">
      <c r="A4298" s="1"/>
      <c r="B4298" s="3"/>
      <c r="C4298" s="3" t="str">
        <f>IFERROR(__xludf.DUMMYFUNCTION("""COMPUTED_VALUE"""),"")</f>
        <v/>
      </c>
      <c r="D4298" s="3" t="str">
        <f>IFERROR(__xludf.DUMMYFUNCTION("""COMPUTED_VALUE"""),"")</f>
        <v/>
      </c>
      <c r="E4298" s="1"/>
    </row>
    <row r="4299">
      <c r="A4299" s="1"/>
      <c r="B4299" s="3"/>
      <c r="C4299" s="3" t="str">
        <f>IFERROR(__xludf.DUMMYFUNCTION("""COMPUTED_VALUE"""),"")</f>
        <v/>
      </c>
      <c r="D4299" s="3" t="str">
        <f>IFERROR(__xludf.DUMMYFUNCTION("""COMPUTED_VALUE"""),"")</f>
        <v/>
      </c>
      <c r="E4299" s="1"/>
    </row>
    <row r="4300">
      <c r="A4300" s="1"/>
      <c r="B4300" s="3"/>
      <c r="C4300" s="3" t="str">
        <f>IFERROR(__xludf.DUMMYFUNCTION("""COMPUTED_VALUE"""),"")</f>
        <v/>
      </c>
      <c r="D4300" s="3" t="str">
        <f>IFERROR(__xludf.DUMMYFUNCTION("""COMPUTED_VALUE"""),"")</f>
        <v/>
      </c>
      <c r="E4300" s="1"/>
    </row>
    <row r="4301">
      <c r="A4301" s="1"/>
      <c r="B4301" s="3"/>
      <c r="C4301" s="3" t="str">
        <f>IFERROR(__xludf.DUMMYFUNCTION("""COMPUTED_VALUE"""),"")</f>
        <v/>
      </c>
      <c r="D4301" s="3" t="str">
        <f>IFERROR(__xludf.DUMMYFUNCTION("""COMPUTED_VALUE"""),"")</f>
        <v/>
      </c>
      <c r="E4301" s="1"/>
    </row>
    <row r="4302">
      <c r="A4302" s="1"/>
      <c r="B4302" s="3"/>
      <c r="C4302" s="3" t="str">
        <f>IFERROR(__xludf.DUMMYFUNCTION("""COMPUTED_VALUE"""),"")</f>
        <v/>
      </c>
      <c r="D4302" s="3" t="str">
        <f>IFERROR(__xludf.DUMMYFUNCTION("""COMPUTED_VALUE"""),"")</f>
        <v/>
      </c>
      <c r="E4302" s="1"/>
    </row>
    <row r="4303">
      <c r="A4303" s="1"/>
      <c r="B4303" s="3"/>
      <c r="C4303" s="3" t="str">
        <f>IFERROR(__xludf.DUMMYFUNCTION("""COMPUTED_VALUE"""),"")</f>
        <v/>
      </c>
      <c r="D4303" s="3" t="str">
        <f>IFERROR(__xludf.DUMMYFUNCTION("""COMPUTED_VALUE"""),"")</f>
        <v/>
      </c>
      <c r="E4303" s="1"/>
    </row>
    <row r="4304">
      <c r="A4304" s="1"/>
      <c r="B4304" s="3"/>
      <c r="C4304" s="3" t="str">
        <f>IFERROR(__xludf.DUMMYFUNCTION("""COMPUTED_VALUE"""),"")</f>
        <v/>
      </c>
      <c r="D4304" s="3" t="str">
        <f>IFERROR(__xludf.DUMMYFUNCTION("""COMPUTED_VALUE"""),"")</f>
        <v/>
      </c>
      <c r="E4304" s="1"/>
    </row>
    <row r="4305">
      <c r="A4305" s="1"/>
      <c r="B4305" s="3"/>
      <c r="C4305" s="3" t="str">
        <f>IFERROR(__xludf.DUMMYFUNCTION("""COMPUTED_VALUE"""),"")</f>
        <v/>
      </c>
      <c r="D4305" s="3" t="str">
        <f>IFERROR(__xludf.DUMMYFUNCTION("""COMPUTED_VALUE"""),"")</f>
        <v/>
      </c>
      <c r="E4305" s="1"/>
    </row>
    <row r="4306">
      <c r="A4306" s="1"/>
      <c r="B4306" s="3"/>
      <c r="C4306" s="3" t="str">
        <f>IFERROR(__xludf.DUMMYFUNCTION("""COMPUTED_VALUE"""),"")</f>
        <v/>
      </c>
      <c r="D4306" s="3" t="str">
        <f>IFERROR(__xludf.DUMMYFUNCTION("""COMPUTED_VALUE"""),"")</f>
        <v/>
      </c>
      <c r="E4306" s="1"/>
    </row>
    <row r="4307">
      <c r="A4307" s="1"/>
      <c r="B4307" s="3"/>
      <c r="C4307" s="3" t="str">
        <f>IFERROR(__xludf.DUMMYFUNCTION("""COMPUTED_VALUE"""),"")</f>
        <v/>
      </c>
      <c r="D4307" s="3" t="str">
        <f>IFERROR(__xludf.DUMMYFUNCTION("""COMPUTED_VALUE"""),"")</f>
        <v/>
      </c>
      <c r="E4307" s="1"/>
    </row>
    <row r="4308">
      <c r="A4308" s="1"/>
      <c r="B4308" s="3"/>
      <c r="C4308" s="3" t="str">
        <f>IFERROR(__xludf.DUMMYFUNCTION("""COMPUTED_VALUE"""),"")</f>
        <v/>
      </c>
      <c r="D4308" s="3" t="str">
        <f>IFERROR(__xludf.DUMMYFUNCTION("""COMPUTED_VALUE"""),"")</f>
        <v/>
      </c>
      <c r="E4308" s="1"/>
    </row>
    <row r="4309">
      <c r="A4309" s="1"/>
      <c r="B4309" s="3"/>
      <c r="C4309" s="3" t="str">
        <f>IFERROR(__xludf.DUMMYFUNCTION("""COMPUTED_VALUE"""),"")</f>
        <v/>
      </c>
      <c r="D4309" s="3" t="str">
        <f>IFERROR(__xludf.DUMMYFUNCTION("""COMPUTED_VALUE"""),"")</f>
        <v/>
      </c>
      <c r="E4309" s="1"/>
    </row>
    <row r="4310">
      <c r="A4310" s="1"/>
      <c r="B4310" s="3"/>
      <c r="C4310" s="3" t="str">
        <f>IFERROR(__xludf.DUMMYFUNCTION("""COMPUTED_VALUE"""),"")</f>
        <v/>
      </c>
      <c r="D4310" s="3" t="str">
        <f>IFERROR(__xludf.DUMMYFUNCTION("""COMPUTED_VALUE"""),"")</f>
        <v/>
      </c>
      <c r="E4310" s="1"/>
    </row>
    <row r="4311">
      <c r="A4311" s="1"/>
      <c r="B4311" s="3"/>
      <c r="C4311" s="3" t="str">
        <f>IFERROR(__xludf.DUMMYFUNCTION("""COMPUTED_VALUE"""),"")</f>
        <v/>
      </c>
      <c r="D4311" s="3" t="str">
        <f>IFERROR(__xludf.DUMMYFUNCTION("""COMPUTED_VALUE"""),"")</f>
        <v/>
      </c>
      <c r="E4311" s="1"/>
    </row>
    <row r="4312">
      <c r="A4312" s="1"/>
      <c r="B4312" s="3"/>
      <c r="C4312" s="3" t="str">
        <f>IFERROR(__xludf.DUMMYFUNCTION("""COMPUTED_VALUE"""),"")</f>
        <v/>
      </c>
      <c r="D4312" s="3" t="str">
        <f>IFERROR(__xludf.DUMMYFUNCTION("""COMPUTED_VALUE"""),"")</f>
        <v/>
      </c>
      <c r="E4312" s="1"/>
    </row>
    <row r="4313">
      <c r="A4313" s="1"/>
      <c r="B4313" s="3"/>
      <c r="C4313" s="3" t="str">
        <f>IFERROR(__xludf.DUMMYFUNCTION("""COMPUTED_VALUE"""),"")</f>
        <v/>
      </c>
      <c r="D4313" s="3" t="str">
        <f>IFERROR(__xludf.DUMMYFUNCTION("""COMPUTED_VALUE"""),"")</f>
        <v/>
      </c>
      <c r="E4313" s="1"/>
    </row>
    <row r="4314">
      <c r="A4314" s="1"/>
      <c r="B4314" s="3"/>
      <c r="C4314" s="3" t="str">
        <f>IFERROR(__xludf.DUMMYFUNCTION("""COMPUTED_VALUE"""),"")</f>
        <v/>
      </c>
      <c r="D4314" s="3" t="str">
        <f>IFERROR(__xludf.DUMMYFUNCTION("""COMPUTED_VALUE"""),"")</f>
        <v/>
      </c>
      <c r="E4314" s="1"/>
    </row>
    <row r="4315">
      <c r="A4315" s="1"/>
      <c r="B4315" s="3"/>
      <c r="C4315" s="3" t="str">
        <f>IFERROR(__xludf.DUMMYFUNCTION("""COMPUTED_VALUE"""),"")</f>
        <v/>
      </c>
      <c r="D4315" s="3" t="str">
        <f>IFERROR(__xludf.DUMMYFUNCTION("""COMPUTED_VALUE"""),"")</f>
        <v/>
      </c>
      <c r="E4315" s="1"/>
    </row>
    <row r="4316">
      <c r="A4316" s="1"/>
      <c r="B4316" s="3"/>
      <c r="C4316" s="3" t="str">
        <f>IFERROR(__xludf.DUMMYFUNCTION("""COMPUTED_VALUE"""),"")</f>
        <v/>
      </c>
      <c r="D4316" s="3" t="str">
        <f>IFERROR(__xludf.DUMMYFUNCTION("""COMPUTED_VALUE"""),"")</f>
        <v/>
      </c>
      <c r="E4316" s="1"/>
    </row>
    <row r="4317">
      <c r="A4317" s="1"/>
      <c r="B4317" s="3"/>
      <c r="C4317" s="3" t="str">
        <f>IFERROR(__xludf.DUMMYFUNCTION("""COMPUTED_VALUE"""),"")</f>
        <v/>
      </c>
      <c r="D4317" s="3" t="str">
        <f>IFERROR(__xludf.DUMMYFUNCTION("""COMPUTED_VALUE"""),"")</f>
        <v/>
      </c>
      <c r="E4317" s="1"/>
    </row>
    <row r="4318">
      <c r="A4318" s="1"/>
      <c r="B4318" s="3"/>
      <c r="C4318" s="3" t="str">
        <f>IFERROR(__xludf.DUMMYFUNCTION("""COMPUTED_VALUE"""),"")</f>
        <v/>
      </c>
      <c r="D4318" s="3" t="str">
        <f>IFERROR(__xludf.DUMMYFUNCTION("""COMPUTED_VALUE"""),"")</f>
        <v/>
      </c>
      <c r="E4318" s="1"/>
    </row>
    <row r="4319">
      <c r="A4319" s="1"/>
      <c r="B4319" s="3"/>
      <c r="C4319" s="3" t="str">
        <f>IFERROR(__xludf.DUMMYFUNCTION("""COMPUTED_VALUE"""),"")</f>
        <v/>
      </c>
      <c r="D4319" s="3" t="str">
        <f>IFERROR(__xludf.DUMMYFUNCTION("""COMPUTED_VALUE"""),"")</f>
        <v/>
      </c>
      <c r="E4319" s="1"/>
    </row>
    <row r="4320">
      <c r="A4320" s="1"/>
      <c r="B4320" s="3"/>
      <c r="C4320" s="3" t="str">
        <f>IFERROR(__xludf.DUMMYFUNCTION("""COMPUTED_VALUE"""),"")</f>
        <v/>
      </c>
      <c r="D4320" s="3" t="str">
        <f>IFERROR(__xludf.DUMMYFUNCTION("""COMPUTED_VALUE"""),"")</f>
        <v/>
      </c>
      <c r="E4320" s="1"/>
    </row>
    <row r="4321">
      <c r="A4321" s="1"/>
      <c r="B4321" s="3"/>
      <c r="C4321" s="3" t="str">
        <f>IFERROR(__xludf.DUMMYFUNCTION("""COMPUTED_VALUE"""),"")</f>
        <v/>
      </c>
      <c r="D4321" s="3" t="str">
        <f>IFERROR(__xludf.DUMMYFUNCTION("""COMPUTED_VALUE"""),"")</f>
        <v/>
      </c>
      <c r="E4321" s="1"/>
    </row>
    <row r="4322">
      <c r="A4322" s="1"/>
      <c r="B4322" s="3"/>
      <c r="C4322" s="3" t="str">
        <f>IFERROR(__xludf.DUMMYFUNCTION("""COMPUTED_VALUE"""),"")</f>
        <v/>
      </c>
      <c r="D4322" s="3" t="str">
        <f>IFERROR(__xludf.DUMMYFUNCTION("""COMPUTED_VALUE"""),"")</f>
        <v/>
      </c>
      <c r="E4322" s="1"/>
    </row>
    <row r="4323">
      <c r="A4323" s="1"/>
      <c r="B4323" s="3"/>
      <c r="C4323" s="3" t="str">
        <f>IFERROR(__xludf.DUMMYFUNCTION("""COMPUTED_VALUE"""),"")</f>
        <v/>
      </c>
      <c r="D4323" s="3" t="str">
        <f>IFERROR(__xludf.DUMMYFUNCTION("""COMPUTED_VALUE"""),"")</f>
        <v/>
      </c>
      <c r="E4323" s="1"/>
    </row>
    <row r="4324">
      <c r="A4324" s="1"/>
      <c r="B4324" s="3"/>
      <c r="C4324" s="3" t="str">
        <f>IFERROR(__xludf.DUMMYFUNCTION("""COMPUTED_VALUE"""),"")</f>
        <v/>
      </c>
      <c r="D4324" s="3" t="str">
        <f>IFERROR(__xludf.DUMMYFUNCTION("""COMPUTED_VALUE"""),"")</f>
        <v/>
      </c>
      <c r="E4324" s="1"/>
    </row>
    <row r="4325">
      <c r="A4325" s="1"/>
      <c r="B4325" s="3"/>
      <c r="C4325" s="3" t="str">
        <f>IFERROR(__xludf.DUMMYFUNCTION("""COMPUTED_VALUE"""),"")</f>
        <v/>
      </c>
      <c r="D4325" s="3" t="str">
        <f>IFERROR(__xludf.DUMMYFUNCTION("""COMPUTED_VALUE"""),"")</f>
        <v/>
      </c>
      <c r="E4325" s="1"/>
    </row>
    <row r="4326">
      <c r="A4326" s="1"/>
      <c r="B4326" s="3"/>
      <c r="C4326" s="3" t="str">
        <f>IFERROR(__xludf.DUMMYFUNCTION("""COMPUTED_VALUE"""),"")</f>
        <v/>
      </c>
      <c r="D4326" s="3" t="str">
        <f>IFERROR(__xludf.DUMMYFUNCTION("""COMPUTED_VALUE"""),"")</f>
        <v/>
      </c>
      <c r="E4326" s="1"/>
    </row>
    <row r="4327">
      <c r="A4327" s="1"/>
      <c r="B4327" s="3"/>
      <c r="C4327" s="3" t="str">
        <f>IFERROR(__xludf.DUMMYFUNCTION("""COMPUTED_VALUE"""),"")</f>
        <v/>
      </c>
      <c r="D4327" s="3" t="str">
        <f>IFERROR(__xludf.DUMMYFUNCTION("""COMPUTED_VALUE"""),"")</f>
        <v/>
      </c>
      <c r="E4327" s="1"/>
    </row>
    <row r="4328">
      <c r="A4328" s="1"/>
      <c r="B4328" s="3"/>
      <c r="C4328" s="3" t="str">
        <f>IFERROR(__xludf.DUMMYFUNCTION("""COMPUTED_VALUE"""),"")</f>
        <v/>
      </c>
      <c r="D4328" s="3" t="str">
        <f>IFERROR(__xludf.DUMMYFUNCTION("""COMPUTED_VALUE"""),"")</f>
        <v/>
      </c>
      <c r="E4328" s="1"/>
    </row>
    <row r="4329">
      <c r="A4329" s="1"/>
      <c r="B4329" s="3"/>
      <c r="C4329" s="3" t="str">
        <f>IFERROR(__xludf.DUMMYFUNCTION("""COMPUTED_VALUE"""),"")</f>
        <v/>
      </c>
      <c r="D4329" s="3" t="str">
        <f>IFERROR(__xludf.DUMMYFUNCTION("""COMPUTED_VALUE"""),"")</f>
        <v/>
      </c>
      <c r="E4329" s="1"/>
    </row>
    <row r="4330">
      <c r="A4330" s="1"/>
      <c r="B4330" s="3"/>
      <c r="C4330" s="3" t="str">
        <f>IFERROR(__xludf.DUMMYFUNCTION("""COMPUTED_VALUE"""),"")</f>
        <v/>
      </c>
      <c r="D4330" s="3" t="str">
        <f>IFERROR(__xludf.DUMMYFUNCTION("""COMPUTED_VALUE"""),"")</f>
        <v/>
      </c>
      <c r="E4330" s="1"/>
    </row>
    <row r="4331">
      <c r="A4331" s="1"/>
      <c r="B4331" s="3"/>
      <c r="C4331" s="3" t="str">
        <f>IFERROR(__xludf.DUMMYFUNCTION("""COMPUTED_VALUE"""),"")</f>
        <v/>
      </c>
      <c r="D4331" s="3" t="str">
        <f>IFERROR(__xludf.DUMMYFUNCTION("""COMPUTED_VALUE"""),"")</f>
        <v/>
      </c>
      <c r="E4331" s="1"/>
    </row>
    <row r="4332">
      <c r="A4332" s="1"/>
      <c r="B4332" s="3"/>
      <c r="C4332" s="3" t="str">
        <f>IFERROR(__xludf.DUMMYFUNCTION("""COMPUTED_VALUE"""),"")</f>
        <v/>
      </c>
      <c r="D4332" s="3" t="str">
        <f>IFERROR(__xludf.DUMMYFUNCTION("""COMPUTED_VALUE"""),"")</f>
        <v/>
      </c>
      <c r="E4332" s="1"/>
    </row>
    <row r="4333">
      <c r="A4333" s="1"/>
      <c r="B4333" s="3"/>
      <c r="C4333" s="3" t="str">
        <f>IFERROR(__xludf.DUMMYFUNCTION("""COMPUTED_VALUE"""),"")</f>
        <v/>
      </c>
      <c r="D4333" s="3" t="str">
        <f>IFERROR(__xludf.DUMMYFUNCTION("""COMPUTED_VALUE"""),"")</f>
        <v/>
      </c>
      <c r="E4333" s="1"/>
    </row>
    <row r="4334">
      <c r="A4334" s="1"/>
      <c r="B4334" s="3"/>
      <c r="C4334" s="3" t="str">
        <f>IFERROR(__xludf.DUMMYFUNCTION("""COMPUTED_VALUE"""),"")</f>
        <v/>
      </c>
      <c r="D4334" s="3" t="str">
        <f>IFERROR(__xludf.DUMMYFUNCTION("""COMPUTED_VALUE"""),"")</f>
        <v/>
      </c>
      <c r="E4334" s="1"/>
    </row>
    <row r="4335">
      <c r="A4335" s="1"/>
      <c r="B4335" s="3"/>
      <c r="C4335" s="3" t="str">
        <f>IFERROR(__xludf.DUMMYFUNCTION("""COMPUTED_VALUE"""),"")</f>
        <v/>
      </c>
      <c r="D4335" s="3" t="str">
        <f>IFERROR(__xludf.DUMMYFUNCTION("""COMPUTED_VALUE"""),"")</f>
        <v/>
      </c>
      <c r="E4335" s="1"/>
    </row>
    <row r="4336">
      <c r="A4336" s="1"/>
      <c r="B4336" s="3"/>
      <c r="C4336" s="3" t="str">
        <f>IFERROR(__xludf.DUMMYFUNCTION("""COMPUTED_VALUE"""),"")</f>
        <v/>
      </c>
      <c r="D4336" s="3" t="str">
        <f>IFERROR(__xludf.DUMMYFUNCTION("""COMPUTED_VALUE"""),"")</f>
        <v/>
      </c>
      <c r="E4336" s="1"/>
    </row>
    <row r="4337">
      <c r="A4337" s="1"/>
      <c r="B4337" s="3"/>
      <c r="C4337" s="3" t="str">
        <f>IFERROR(__xludf.DUMMYFUNCTION("""COMPUTED_VALUE"""),"")</f>
        <v/>
      </c>
      <c r="D4337" s="3" t="str">
        <f>IFERROR(__xludf.DUMMYFUNCTION("""COMPUTED_VALUE"""),"")</f>
        <v/>
      </c>
      <c r="E4337" s="1"/>
    </row>
    <row r="4338">
      <c r="A4338" s="1"/>
      <c r="B4338" s="3"/>
      <c r="C4338" s="3" t="str">
        <f>IFERROR(__xludf.DUMMYFUNCTION("""COMPUTED_VALUE"""),"")</f>
        <v/>
      </c>
      <c r="D4338" s="3" t="str">
        <f>IFERROR(__xludf.DUMMYFUNCTION("""COMPUTED_VALUE"""),"")</f>
        <v/>
      </c>
      <c r="E4338" s="1"/>
    </row>
    <row r="4339">
      <c r="A4339" s="1"/>
      <c r="B4339" s="3"/>
      <c r="C4339" s="3" t="str">
        <f>IFERROR(__xludf.DUMMYFUNCTION("""COMPUTED_VALUE"""),"")</f>
        <v/>
      </c>
      <c r="D4339" s="3" t="str">
        <f>IFERROR(__xludf.DUMMYFUNCTION("""COMPUTED_VALUE"""),"")</f>
        <v/>
      </c>
      <c r="E4339" s="1"/>
    </row>
    <row r="4340">
      <c r="A4340" s="1"/>
      <c r="B4340" s="3"/>
      <c r="C4340" s="3" t="str">
        <f>IFERROR(__xludf.DUMMYFUNCTION("""COMPUTED_VALUE"""),"")</f>
        <v/>
      </c>
      <c r="D4340" s="3" t="str">
        <f>IFERROR(__xludf.DUMMYFUNCTION("""COMPUTED_VALUE"""),"")</f>
        <v/>
      </c>
      <c r="E4340" s="1"/>
    </row>
    <row r="4341">
      <c r="A4341" s="1"/>
      <c r="B4341" s="3"/>
      <c r="C4341" s="3" t="str">
        <f>IFERROR(__xludf.DUMMYFUNCTION("""COMPUTED_VALUE"""),"")</f>
        <v/>
      </c>
      <c r="D4341" s="3" t="str">
        <f>IFERROR(__xludf.DUMMYFUNCTION("""COMPUTED_VALUE"""),"")</f>
        <v/>
      </c>
      <c r="E4341" s="1"/>
    </row>
    <row r="4342">
      <c r="A4342" s="1"/>
      <c r="B4342" s="3"/>
      <c r="C4342" s="3" t="str">
        <f>IFERROR(__xludf.DUMMYFUNCTION("""COMPUTED_VALUE"""),"")</f>
        <v/>
      </c>
      <c r="D4342" s="3" t="str">
        <f>IFERROR(__xludf.DUMMYFUNCTION("""COMPUTED_VALUE"""),"")</f>
        <v/>
      </c>
      <c r="E4342" s="1"/>
    </row>
    <row r="4343">
      <c r="A4343" s="1"/>
      <c r="B4343" s="3"/>
      <c r="C4343" s="3" t="str">
        <f>IFERROR(__xludf.DUMMYFUNCTION("""COMPUTED_VALUE"""),"")</f>
        <v/>
      </c>
      <c r="D4343" s="3" t="str">
        <f>IFERROR(__xludf.DUMMYFUNCTION("""COMPUTED_VALUE"""),"")</f>
        <v/>
      </c>
      <c r="E4343" s="1"/>
    </row>
    <row r="4344">
      <c r="A4344" s="1"/>
      <c r="B4344" s="3"/>
      <c r="C4344" s="3" t="str">
        <f>IFERROR(__xludf.DUMMYFUNCTION("""COMPUTED_VALUE"""),"")</f>
        <v/>
      </c>
      <c r="D4344" s="3" t="str">
        <f>IFERROR(__xludf.DUMMYFUNCTION("""COMPUTED_VALUE"""),"")</f>
        <v/>
      </c>
      <c r="E4344" s="1"/>
    </row>
    <row r="4345">
      <c r="A4345" s="1"/>
      <c r="B4345" s="3"/>
      <c r="C4345" s="3" t="str">
        <f>IFERROR(__xludf.DUMMYFUNCTION("""COMPUTED_VALUE"""),"")</f>
        <v/>
      </c>
      <c r="D4345" s="3" t="str">
        <f>IFERROR(__xludf.DUMMYFUNCTION("""COMPUTED_VALUE"""),"")</f>
        <v/>
      </c>
      <c r="E4345" s="1"/>
    </row>
    <row r="4346">
      <c r="A4346" s="1"/>
      <c r="B4346" s="3"/>
      <c r="C4346" s="3" t="str">
        <f>IFERROR(__xludf.DUMMYFUNCTION("""COMPUTED_VALUE"""),"")</f>
        <v/>
      </c>
      <c r="D4346" s="3" t="str">
        <f>IFERROR(__xludf.DUMMYFUNCTION("""COMPUTED_VALUE"""),"")</f>
        <v/>
      </c>
      <c r="E4346" s="1"/>
    </row>
    <row r="4347">
      <c r="A4347" s="1"/>
      <c r="B4347" s="3"/>
      <c r="C4347" s="3" t="str">
        <f>IFERROR(__xludf.DUMMYFUNCTION("""COMPUTED_VALUE"""),"")</f>
        <v/>
      </c>
      <c r="D4347" s="3" t="str">
        <f>IFERROR(__xludf.DUMMYFUNCTION("""COMPUTED_VALUE"""),"")</f>
        <v/>
      </c>
      <c r="E4347" s="1"/>
    </row>
    <row r="4348">
      <c r="A4348" s="1"/>
      <c r="B4348" s="3"/>
      <c r="C4348" s="3" t="str">
        <f>IFERROR(__xludf.DUMMYFUNCTION("""COMPUTED_VALUE"""),"")</f>
        <v/>
      </c>
      <c r="D4348" s="3" t="str">
        <f>IFERROR(__xludf.DUMMYFUNCTION("""COMPUTED_VALUE"""),"")</f>
        <v/>
      </c>
      <c r="E4348" s="1"/>
    </row>
    <row r="4349">
      <c r="A4349" s="1"/>
      <c r="B4349" s="3"/>
      <c r="C4349" s="3" t="str">
        <f>IFERROR(__xludf.DUMMYFUNCTION("""COMPUTED_VALUE"""),"")</f>
        <v/>
      </c>
      <c r="D4349" s="3" t="str">
        <f>IFERROR(__xludf.DUMMYFUNCTION("""COMPUTED_VALUE"""),"")</f>
        <v/>
      </c>
      <c r="E4349" s="1"/>
    </row>
    <row r="4350">
      <c r="A4350" s="1"/>
      <c r="B4350" s="3"/>
      <c r="C4350" s="3" t="str">
        <f>IFERROR(__xludf.DUMMYFUNCTION("""COMPUTED_VALUE"""),"")</f>
        <v/>
      </c>
      <c r="D4350" s="3" t="str">
        <f>IFERROR(__xludf.DUMMYFUNCTION("""COMPUTED_VALUE"""),"")</f>
        <v/>
      </c>
      <c r="E4350" s="1"/>
    </row>
    <row r="4351">
      <c r="A4351" s="1"/>
      <c r="B4351" s="3"/>
      <c r="C4351" s="3" t="str">
        <f>IFERROR(__xludf.DUMMYFUNCTION("""COMPUTED_VALUE"""),"")</f>
        <v/>
      </c>
      <c r="D4351" s="3" t="str">
        <f>IFERROR(__xludf.DUMMYFUNCTION("""COMPUTED_VALUE"""),"")</f>
        <v/>
      </c>
      <c r="E4351" s="1"/>
    </row>
    <row r="4352">
      <c r="A4352" s="1"/>
      <c r="B4352" s="3"/>
      <c r="C4352" s="3" t="str">
        <f>IFERROR(__xludf.DUMMYFUNCTION("""COMPUTED_VALUE"""),"")</f>
        <v/>
      </c>
      <c r="D4352" s="3" t="str">
        <f>IFERROR(__xludf.DUMMYFUNCTION("""COMPUTED_VALUE"""),"")</f>
        <v/>
      </c>
      <c r="E4352" s="1"/>
    </row>
    <row r="4353">
      <c r="A4353" s="1"/>
      <c r="B4353" s="3"/>
      <c r="C4353" s="3" t="str">
        <f>IFERROR(__xludf.DUMMYFUNCTION("""COMPUTED_VALUE"""),"")</f>
        <v/>
      </c>
      <c r="D4353" s="3" t="str">
        <f>IFERROR(__xludf.DUMMYFUNCTION("""COMPUTED_VALUE"""),"")</f>
        <v/>
      </c>
      <c r="E4353" s="1"/>
    </row>
    <row r="4354">
      <c r="A4354" s="1"/>
      <c r="B4354" s="3"/>
      <c r="C4354" s="3" t="str">
        <f>IFERROR(__xludf.DUMMYFUNCTION("""COMPUTED_VALUE"""),"")</f>
        <v/>
      </c>
      <c r="D4354" s="3" t="str">
        <f>IFERROR(__xludf.DUMMYFUNCTION("""COMPUTED_VALUE"""),"")</f>
        <v/>
      </c>
      <c r="E4354" s="1"/>
    </row>
    <row r="4355">
      <c r="A4355" s="1"/>
      <c r="B4355" s="3"/>
      <c r="C4355" s="3" t="str">
        <f>IFERROR(__xludf.DUMMYFUNCTION("""COMPUTED_VALUE"""),"")</f>
        <v/>
      </c>
      <c r="D4355" s="3" t="str">
        <f>IFERROR(__xludf.DUMMYFUNCTION("""COMPUTED_VALUE"""),"")</f>
        <v/>
      </c>
      <c r="E4355" s="1"/>
    </row>
    <row r="4356">
      <c r="A4356" s="1"/>
      <c r="B4356" s="3"/>
      <c r="C4356" s="3" t="str">
        <f>IFERROR(__xludf.DUMMYFUNCTION("""COMPUTED_VALUE"""),"")</f>
        <v/>
      </c>
      <c r="D4356" s="3" t="str">
        <f>IFERROR(__xludf.DUMMYFUNCTION("""COMPUTED_VALUE"""),"")</f>
        <v/>
      </c>
      <c r="E4356" s="1"/>
    </row>
    <row r="4357">
      <c r="A4357" s="1"/>
      <c r="B4357" s="3"/>
      <c r="C4357" s="3" t="str">
        <f>IFERROR(__xludf.DUMMYFUNCTION("""COMPUTED_VALUE"""),"")</f>
        <v/>
      </c>
      <c r="D4357" s="3" t="str">
        <f>IFERROR(__xludf.DUMMYFUNCTION("""COMPUTED_VALUE"""),"")</f>
        <v/>
      </c>
      <c r="E4357" s="1"/>
    </row>
    <row r="4358">
      <c r="A4358" s="1"/>
      <c r="B4358" s="3"/>
      <c r="C4358" s="3" t="str">
        <f>IFERROR(__xludf.DUMMYFUNCTION("""COMPUTED_VALUE"""),"")</f>
        <v/>
      </c>
      <c r="D4358" s="3" t="str">
        <f>IFERROR(__xludf.DUMMYFUNCTION("""COMPUTED_VALUE"""),"")</f>
        <v/>
      </c>
      <c r="E4358" s="1"/>
    </row>
    <row r="4359">
      <c r="A4359" s="1"/>
      <c r="B4359" s="3"/>
      <c r="C4359" s="3" t="str">
        <f>IFERROR(__xludf.DUMMYFUNCTION("""COMPUTED_VALUE"""),"")</f>
        <v/>
      </c>
      <c r="D4359" s="3" t="str">
        <f>IFERROR(__xludf.DUMMYFUNCTION("""COMPUTED_VALUE"""),"")</f>
        <v/>
      </c>
      <c r="E4359" s="1"/>
    </row>
    <row r="4360">
      <c r="A4360" s="1"/>
      <c r="B4360" s="3"/>
      <c r="C4360" s="3" t="str">
        <f>IFERROR(__xludf.DUMMYFUNCTION("""COMPUTED_VALUE"""),"")</f>
        <v/>
      </c>
      <c r="D4360" s="3" t="str">
        <f>IFERROR(__xludf.DUMMYFUNCTION("""COMPUTED_VALUE"""),"")</f>
        <v/>
      </c>
      <c r="E4360" s="1"/>
    </row>
    <row r="4361">
      <c r="A4361" s="1"/>
      <c r="B4361" s="3"/>
      <c r="C4361" s="3" t="str">
        <f>IFERROR(__xludf.DUMMYFUNCTION("""COMPUTED_VALUE"""),"")</f>
        <v/>
      </c>
      <c r="D4361" s="3" t="str">
        <f>IFERROR(__xludf.DUMMYFUNCTION("""COMPUTED_VALUE"""),"")</f>
        <v/>
      </c>
      <c r="E4361" s="1"/>
    </row>
    <row r="4362">
      <c r="A4362" s="1"/>
      <c r="B4362" s="3"/>
      <c r="C4362" s="3" t="str">
        <f>IFERROR(__xludf.DUMMYFUNCTION("""COMPUTED_VALUE"""),"")</f>
        <v/>
      </c>
      <c r="D4362" s="3" t="str">
        <f>IFERROR(__xludf.DUMMYFUNCTION("""COMPUTED_VALUE"""),"")</f>
        <v/>
      </c>
      <c r="E4362" s="1"/>
    </row>
    <row r="4363">
      <c r="A4363" s="1"/>
      <c r="B4363" s="3"/>
      <c r="C4363" s="3" t="str">
        <f>IFERROR(__xludf.DUMMYFUNCTION("""COMPUTED_VALUE"""),"")</f>
        <v/>
      </c>
      <c r="D4363" s="3" t="str">
        <f>IFERROR(__xludf.DUMMYFUNCTION("""COMPUTED_VALUE"""),"")</f>
        <v/>
      </c>
      <c r="E4363" s="1"/>
    </row>
    <row r="4364">
      <c r="A4364" s="1"/>
      <c r="B4364" s="3"/>
      <c r="C4364" s="3" t="str">
        <f>IFERROR(__xludf.DUMMYFUNCTION("""COMPUTED_VALUE"""),"")</f>
        <v/>
      </c>
      <c r="D4364" s="3" t="str">
        <f>IFERROR(__xludf.DUMMYFUNCTION("""COMPUTED_VALUE"""),"")</f>
        <v/>
      </c>
      <c r="E4364" s="1"/>
    </row>
    <row r="4365">
      <c r="A4365" s="1"/>
      <c r="B4365" s="3"/>
      <c r="C4365" s="3" t="str">
        <f>IFERROR(__xludf.DUMMYFUNCTION("""COMPUTED_VALUE"""),"")</f>
        <v/>
      </c>
      <c r="D4365" s="3" t="str">
        <f>IFERROR(__xludf.DUMMYFUNCTION("""COMPUTED_VALUE"""),"")</f>
        <v/>
      </c>
      <c r="E4365" s="1"/>
    </row>
    <row r="4366">
      <c r="A4366" s="1"/>
      <c r="B4366" s="3"/>
      <c r="C4366" s="3" t="str">
        <f>IFERROR(__xludf.DUMMYFUNCTION("""COMPUTED_VALUE"""),"")</f>
        <v/>
      </c>
      <c r="D4366" s="3" t="str">
        <f>IFERROR(__xludf.DUMMYFUNCTION("""COMPUTED_VALUE"""),"")</f>
        <v/>
      </c>
      <c r="E4366" s="1"/>
    </row>
    <row r="4367">
      <c r="A4367" s="1"/>
      <c r="B4367" s="3"/>
      <c r="C4367" s="3" t="str">
        <f>IFERROR(__xludf.DUMMYFUNCTION("""COMPUTED_VALUE"""),"")</f>
        <v/>
      </c>
      <c r="D4367" s="3" t="str">
        <f>IFERROR(__xludf.DUMMYFUNCTION("""COMPUTED_VALUE"""),"")</f>
        <v/>
      </c>
      <c r="E4367" s="1"/>
    </row>
    <row r="4368">
      <c r="A4368" s="1"/>
      <c r="B4368" s="3"/>
      <c r="C4368" s="3" t="str">
        <f>IFERROR(__xludf.DUMMYFUNCTION("""COMPUTED_VALUE"""),"")</f>
        <v/>
      </c>
      <c r="D4368" s="3" t="str">
        <f>IFERROR(__xludf.DUMMYFUNCTION("""COMPUTED_VALUE"""),"")</f>
        <v/>
      </c>
      <c r="E4368" s="1"/>
    </row>
    <row r="4369">
      <c r="A4369" s="1"/>
      <c r="B4369" s="3"/>
      <c r="C4369" s="3" t="str">
        <f>IFERROR(__xludf.DUMMYFUNCTION("""COMPUTED_VALUE"""),"")</f>
        <v/>
      </c>
      <c r="D4369" s="3" t="str">
        <f>IFERROR(__xludf.DUMMYFUNCTION("""COMPUTED_VALUE"""),"")</f>
        <v/>
      </c>
      <c r="E4369" s="1"/>
    </row>
    <row r="4370">
      <c r="A4370" s="1"/>
      <c r="B4370" s="3"/>
      <c r="C4370" s="3" t="str">
        <f>IFERROR(__xludf.DUMMYFUNCTION("""COMPUTED_VALUE"""),"")</f>
        <v/>
      </c>
      <c r="D4370" s="3" t="str">
        <f>IFERROR(__xludf.DUMMYFUNCTION("""COMPUTED_VALUE"""),"")</f>
        <v/>
      </c>
      <c r="E4370" s="1"/>
    </row>
    <row r="4371">
      <c r="A4371" s="1"/>
      <c r="B4371" s="3"/>
      <c r="C4371" s="3" t="str">
        <f>IFERROR(__xludf.DUMMYFUNCTION("""COMPUTED_VALUE"""),"")</f>
        <v/>
      </c>
      <c r="D4371" s="3" t="str">
        <f>IFERROR(__xludf.DUMMYFUNCTION("""COMPUTED_VALUE"""),"")</f>
        <v/>
      </c>
      <c r="E4371" s="1"/>
    </row>
    <row r="4372">
      <c r="A4372" s="1"/>
      <c r="B4372" s="3"/>
      <c r="C4372" s="3" t="str">
        <f>IFERROR(__xludf.DUMMYFUNCTION("""COMPUTED_VALUE"""),"")</f>
        <v/>
      </c>
      <c r="D4372" s="3" t="str">
        <f>IFERROR(__xludf.DUMMYFUNCTION("""COMPUTED_VALUE"""),"")</f>
        <v/>
      </c>
      <c r="E4372" s="1"/>
    </row>
    <row r="4373">
      <c r="A4373" s="1"/>
      <c r="B4373" s="3"/>
      <c r="C4373" s="3" t="str">
        <f>IFERROR(__xludf.DUMMYFUNCTION("""COMPUTED_VALUE"""),"")</f>
        <v/>
      </c>
      <c r="D4373" s="3" t="str">
        <f>IFERROR(__xludf.DUMMYFUNCTION("""COMPUTED_VALUE"""),"")</f>
        <v/>
      </c>
      <c r="E4373" s="1"/>
    </row>
    <row r="4374">
      <c r="A4374" s="1"/>
      <c r="B4374" s="3"/>
      <c r="C4374" s="3" t="str">
        <f>IFERROR(__xludf.DUMMYFUNCTION("""COMPUTED_VALUE"""),"")</f>
        <v/>
      </c>
      <c r="D4374" s="3" t="str">
        <f>IFERROR(__xludf.DUMMYFUNCTION("""COMPUTED_VALUE"""),"")</f>
        <v/>
      </c>
      <c r="E4374" s="1"/>
    </row>
    <row r="4375">
      <c r="A4375" s="1"/>
      <c r="B4375" s="3"/>
      <c r="C4375" s="3" t="str">
        <f>IFERROR(__xludf.DUMMYFUNCTION("""COMPUTED_VALUE"""),"")</f>
        <v/>
      </c>
      <c r="D4375" s="3" t="str">
        <f>IFERROR(__xludf.DUMMYFUNCTION("""COMPUTED_VALUE"""),"")</f>
        <v/>
      </c>
      <c r="E4375" s="1"/>
    </row>
    <row r="4376">
      <c r="A4376" s="1"/>
      <c r="B4376" s="3"/>
      <c r="C4376" s="3" t="str">
        <f>IFERROR(__xludf.DUMMYFUNCTION("""COMPUTED_VALUE"""),"")</f>
        <v/>
      </c>
      <c r="D4376" s="3" t="str">
        <f>IFERROR(__xludf.DUMMYFUNCTION("""COMPUTED_VALUE"""),"")</f>
        <v/>
      </c>
      <c r="E4376" s="1"/>
    </row>
    <row r="4377">
      <c r="A4377" s="1"/>
      <c r="B4377" s="3"/>
      <c r="C4377" s="3" t="str">
        <f>IFERROR(__xludf.DUMMYFUNCTION("""COMPUTED_VALUE"""),"")</f>
        <v/>
      </c>
      <c r="D4377" s="3" t="str">
        <f>IFERROR(__xludf.DUMMYFUNCTION("""COMPUTED_VALUE"""),"")</f>
        <v/>
      </c>
      <c r="E4377" s="1"/>
    </row>
    <row r="4378">
      <c r="A4378" s="1"/>
      <c r="B4378" s="3"/>
      <c r="C4378" s="3" t="str">
        <f>IFERROR(__xludf.DUMMYFUNCTION("""COMPUTED_VALUE"""),"")</f>
        <v/>
      </c>
      <c r="D4378" s="3" t="str">
        <f>IFERROR(__xludf.DUMMYFUNCTION("""COMPUTED_VALUE"""),"")</f>
        <v/>
      </c>
      <c r="E4378" s="1"/>
    </row>
    <row r="4379">
      <c r="A4379" s="1"/>
      <c r="B4379" s="3"/>
      <c r="C4379" s="3" t="str">
        <f>IFERROR(__xludf.DUMMYFUNCTION("""COMPUTED_VALUE"""),"")</f>
        <v/>
      </c>
      <c r="D4379" s="3" t="str">
        <f>IFERROR(__xludf.DUMMYFUNCTION("""COMPUTED_VALUE"""),"")</f>
        <v/>
      </c>
      <c r="E4379" s="1"/>
    </row>
    <row r="4380">
      <c r="A4380" s="1"/>
      <c r="B4380" s="3"/>
      <c r="C4380" s="3" t="str">
        <f>IFERROR(__xludf.DUMMYFUNCTION("""COMPUTED_VALUE"""),"")</f>
        <v/>
      </c>
      <c r="D4380" s="3" t="str">
        <f>IFERROR(__xludf.DUMMYFUNCTION("""COMPUTED_VALUE"""),"")</f>
        <v/>
      </c>
      <c r="E4380" s="1"/>
    </row>
    <row r="4381">
      <c r="A4381" s="1"/>
      <c r="B4381" s="3"/>
      <c r="C4381" s="3" t="str">
        <f>IFERROR(__xludf.DUMMYFUNCTION("""COMPUTED_VALUE"""),"")</f>
        <v/>
      </c>
      <c r="D4381" s="3" t="str">
        <f>IFERROR(__xludf.DUMMYFUNCTION("""COMPUTED_VALUE"""),"")</f>
        <v/>
      </c>
      <c r="E4381" s="1"/>
    </row>
    <row r="4382">
      <c r="A4382" s="1"/>
      <c r="B4382" s="3"/>
      <c r="C4382" s="3" t="str">
        <f>IFERROR(__xludf.DUMMYFUNCTION("""COMPUTED_VALUE"""),"")</f>
        <v/>
      </c>
      <c r="D4382" s="3" t="str">
        <f>IFERROR(__xludf.DUMMYFUNCTION("""COMPUTED_VALUE"""),"")</f>
        <v/>
      </c>
      <c r="E4382" s="1"/>
    </row>
    <row r="4383">
      <c r="A4383" s="1"/>
      <c r="B4383" s="3"/>
      <c r="C4383" s="3" t="str">
        <f>IFERROR(__xludf.DUMMYFUNCTION("""COMPUTED_VALUE"""),"")</f>
        <v/>
      </c>
      <c r="D4383" s="3" t="str">
        <f>IFERROR(__xludf.DUMMYFUNCTION("""COMPUTED_VALUE"""),"")</f>
        <v/>
      </c>
      <c r="E4383" s="1"/>
    </row>
    <row r="4384">
      <c r="A4384" s="1"/>
      <c r="B4384" s="3"/>
      <c r="C4384" s="3" t="str">
        <f>IFERROR(__xludf.DUMMYFUNCTION("""COMPUTED_VALUE"""),"")</f>
        <v/>
      </c>
      <c r="D4384" s="3" t="str">
        <f>IFERROR(__xludf.DUMMYFUNCTION("""COMPUTED_VALUE"""),"")</f>
        <v/>
      </c>
      <c r="E4384" s="1"/>
    </row>
    <row r="4385">
      <c r="A4385" s="1"/>
      <c r="B4385" s="3"/>
      <c r="C4385" s="3" t="str">
        <f>IFERROR(__xludf.DUMMYFUNCTION("""COMPUTED_VALUE"""),"")</f>
        <v/>
      </c>
      <c r="D4385" s="3" t="str">
        <f>IFERROR(__xludf.DUMMYFUNCTION("""COMPUTED_VALUE"""),"")</f>
        <v/>
      </c>
      <c r="E4385" s="1"/>
    </row>
    <row r="4386">
      <c r="A4386" s="1"/>
      <c r="B4386" s="3"/>
      <c r="C4386" s="3" t="str">
        <f>IFERROR(__xludf.DUMMYFUNCTION("""COMPUTED_VALUE"""),"")</f>
        <v/>
      </c>
      <c r="D4386" s="3" t="str">
        <f>IFERROR(__xludf.DUMMYFUNCTION("""COMPUTED_VALUE"""),"")</f>
        <v/>
      </c>
      <c r="E4386" s="1"/>
    </row>
    <row r="4387">
      <c r="A4387" s="1"/>
      <c r="B4387" s="3"/>
      <c r="C4387" s="3" t="str">
        <f>IFERROR(__xludf.DUMMYFUNCTION("""COMPUTED_VALUE"""),"")</f>
        <v/>
      </c>
      <c r="D4387" s="3" t="str">
        <f>IFERROR(__xludf.DUMMYFUNCTION("""COMPUTED_VALUE"""),"")</f>
        <v/>
      </c>
      <c r="E4387" s="1"/>
    </row>
    <row r="4388">
      <c r="A4388" s="1"/>
      <c r="B4388" s="3"/>
      <c r="C4388" s="3" t="str">
        <f>IFERROR(__xludf.DUMMYFUNCTION("""COMPUTED_VALUE"""),"")</f>
        <v/>
      </c>
      <c r="D4388" s="3" t="str">
        <f>IFERROR(__xludf.DUMMYFUNCTION("""COMPUTED_VALUE"""),"")</f>
        <v/>
      </c>
      <c r="E4388" s="1"/>
    </row>
    <row r="4389">
      <c r="A4389" s="1"/>
      <c r="B4389" s="3"/>
      <c r="C4389" s="3" t="str">
        <f>IFERROR(__xludf.DUMMYFUNCTION("""COMPUTED_VALUE"""),"")</f>
        <v/>
      </c>
      <c r="D4389" s="3" t="str">
        <f>IFERROR(__xludf.DUMMYFUNCTION("""COMPUTED_VALUE"""),"")</f>
        <v/>
      </c>
      <c r="E4389" s="1"/>
    </row>
    <row r="4390">
      <c r="A4390" s="1"/>
      <c r="B4390" s="3"/>
      <c r="C4390" s="3" t="str">
        <f>IFERROR(__xludf.DUMMYFUNCTION("""COMPUTED_VALUE"""),"")</f>
        <v/>
      </c>
      <c r="D4390" s="3" t="str">
        <f>IFERROR(__xludf.DUMMYFUNCTION("""COMPUTED_VALUE"""),"")</f>
        <v/>
      </c>
      <c r="E4390" s="1"/>
    </row>
    <row r="4391">
      <c r="A4391" s="1"/>
      <c r="B4391" s="3"/>
      <c r="C4391" s="3" t="str">
        <f>IFERROR(__xludf.DUMMYFUNCTION("""COMPUTED_VALUE"""),"")</f>
        <v/>
      </c>
      <c r="D4391" s="3" t="str">
        <f>IFERROR(__xludf.DUMMYFUNCTION("""COMPUTED_VALUE"""),"")</f>
        <v/>
      </c>
      <c r="E4391" s="1"/>
    </row>
    <row r="4392">
      <c r="A4392" s="1"/>
      <c r="B4392" s="3"/>
      <c r="C4392" s="3" t="str">
        <f>IFERROR(__xludf.DUMMYFUNCTION("""COMPUTED_VALUE"""),"")</f>
        <v/>
      </c>
      <c r="D4392" s="3" t="str">
        <f>IFERROR(__xludf.DUMMYFUNCTION("""COMPUTED_VALUE"""),"")</f>
        <v/>
      </c>
      <c r="E4392" s="1"/>
    </row>
    <row r="4393">
      <c r="A4393" s="1"/>
      <c r="B4393" s="3"/>
      <c r="C4393" s="3" t="str">
        <f>IFERROR(__xludf.DUMMYFUNCTION("""COMPUTED_VALUE"""),"")</f>
        <v/>
      </c>
      <c r="D4393" s="3" t="str">
        <f>IFERROR(__xludf.DUMMYFUNCTION("""COMPUTED_VALUE"""),"")</f>
        <v/>
      </c>
      <c r="E4393" s="1"/>
    </row>
    <row r="4394">
      <c r="A4394" s="1"/>
      <c r="B4394" s="3"/>
      <c r="C4394" s="3" t="str">
        <f>IFERROR(__xludf.DUMMYFUNCTION("""COMPUTED_VALUE"""),"")</f>
        <v/>
      </c>
      <c r="D4394" s="3" t="str">
        <f>IFERROR(__xludf.DUMMYFUNCTION("""COMPUTED_VALUE"""),"")</f>
        <v/>
      </c>
      <c r="E4394" s="1"/>
    </row>
    <row r="4395">
      <c r="A4395" s="1"/>
      <c r="B4395" s="3"/>
      <c r="C4395" s="3" t="str">
        <f>IFERROR(__xludf.DUMMYFUNCTION("""COMPUTED_VALUE"""),"")</f>
        <v/>
      </c>
      <c r="D4395" s="3" t="str">
        <f>IFERROR(__xludf.DUMMYFUNCTION("""COMPUTED_VALUE"""),"")</f>
        <v/>
      </c>
      <c r="E4395" s="1"/>
    </row>
    <row r="4396">
      <c r="A4396" s="1"/>
      <c r="B4396" s="3"/>
      <c r="C4396" s="3" t="str">
        <f>IFERROR(__xludf.DUMMYFUNCTION("""COMPUTED_VALUE"""),"")</f>
        <v/>
      </c>
      <c r="D4396" s="3" t="str">
        <f>IFERROR(__xludf.DUMMYFUNCTION("""COMPUTED_VALUE"""),"")</f>
        <v/>
      </c>
      <c r="E4396" s="1"/>
    </row>
    <row r="4397">
      <c r="A4397" s="1"/>
      <c r="B4397" s="3"/>
      <c r="C4397" s="3" t="str">
        <f>IFERROR(__xludf.DUMMYFUNCTION("""COMPUTED_VALUE"""),"")</f>
        <v/>
      </c>
      <c r="D4397" s="3" t="str">
        <f>IFERROR(__xludf.DUMMYFUNCTION("""COMPUTED_VALUE"""),"")</f>
        <v/>
      </c>
      <c r="E4397" s="1"/>
    </row>
    <row r="4398">
      <c r="A4398" s="1"/>
      <c r="B4398" s="3"/>
      <c r="C4398" s="3" t="str">
        <f>IFERROR(__xludf.DUMMYFUNCTION("""COMPUTED_VALUE"""),"")</f>
        <v/>
      </c>
      <c r="D4398" s="3" t="str">
        <f>IFERROR(__xludf.DUMMYFUNCTION("""COMPUTED_VALUE"""),"")</f>
        <v/>
      </c>
      <c r="E4398" s="1"/>
    </row>
    <row r="4399">
      <c r="A4399" s="1"/>
      <c r="B4399" s="3"/>
      <c r="C4399" s="3" t="str">
        <f>IFERROR(__xludf.DUMMYFUNCTION("""COMPUTED_VALUE"""),"")</f>
        <v/>
      </c>
      <c r="D4399" s="3" t="str">
        <f>IFERROR(__xludf.DUMMYFUNCTION("""COMPUTED_VALUE"""),"")</f>
        <v/>
      </c>
      <c r="E4399" s="1"/>
    </row>
    <row r="4400">
      <c r="A4400" s="1"/>
      <c r="B4400" s="3"/>
      <c r="C4400" s="3" t="str">
        <f>IFERROR(__xludf.DUMMYFUNCTION("""COMPUTED_VALUE"""),"")</f>
        <v/>
      </c>
      <c r="D4400" s="3" t="str">
        <f>IFERROR(__xludf.DUMMYFUNCTION("""COMPUTED_VALUE"""),"")</f>
        <v/>
      </c>
      <c r="E4400" s="1"/>
    </row>
    <row r="4401">
      <c r="A4401" s="1"/>
      <c r="B4401" s="3"/>
      <c r="C4401" s="3" t="str">
        <f>IFERROR(__xludf.DUMMYFUNCTION("""COMPUTED_VALUE"""),"")</f>
        <v/>
      </c>
      <c r="D4401" s="3" t="str">
        <f>IFERROR(__xludf.DUMMYFUNCTION("""COMPUTED_VALUE"""),"")</f>
        <v/>
      </c>
      <c r="E4401" s="1"/>
    </row>
    <row r="4402">
      <c r="A4402" s="1"/>
      <c r="B4402" s="3"/>
      <c r="C4402" s="3" t="str">
        <f>IFERROR(__xludf.DUMMYFUNCTION("""COMPUTED_VALUE"""),"")</f>
        <v/>
      </c>
      <c r="D4402" s="3" t="str">
        <f>IFERROR(__xludf.DUMMYFUNCTION("""COMPUTED_VALUE"""),"")</f>
        <v/>
      </c>
      <c r="E4402" s="1"/>
    </row>
    <row r="4403">
      <c r="A4403" s="1"/>
      <c r="B4403" s="3"/>
      <c r="C4403" s="3" t="str">
        <f>IFERROR(__xludf.DUMMYFUNCTION("""COMPUTED_VALUE"""),"")</f>
        <v/>
      </c>
      <c r="D4403" s="3" t="str">
        <f>IFERROR(__xludf.DUMMYFUNCTION("""COMPUTED_VALUE"""),"")</f>
        <v/>
      </c>
      <c r="E4403" s="1"/>
    </row>
    <row r="4404">
      <c r="A4404" s="1"/>
      <c r="B4404" s="3"/>
      <c r="C4404" s="3" t="str">
        <f>IFERROR(__xludf.DUMMYFUNCTION("""COMPUTED_VALUE"""),"")</f>
        <v/>
      </c>
      <c r="D4404" s="3" t="str">
        <f>IFERROR(__xludf.DUMMYFUNCTION("""COMPUTED_VALUE"""),"")</f>
        <v/>
      </c>
      <c r="E4404" s="1"/>
    </row>
    <row r="4405">
      <c r="A4405" s="1"/>
      <c r="B4405" s="3"/>
      <c r="C4405" s="3" t="str">
        <f>IFERROR(__xludf.DUMMYFUNCTION("""COMPUTED_VALUE"""),"")</f>
        <v/>
      </c>
      <c r="D4405" s="3" t="str">
        <f>IFERROR(__xludf.DUMMYFUNCTION("""COMPUTED_VALUE"""),"")</f>
        <v/>
      </c>
      <c r="E4405" s="1"/>
    </row>
    <row r="4406">
      <c r="A4406" s="1"/>
      <c r="B4406" s="3"/>
      <c r="C4406" s="3" t="str">
        <f>IFERROR(__xludf.DUMMYFUNCTION("""COMPUTED_VALUE"""),"")</f>
        <v/>
      </c>
      <c r="D4406" s="3" t="str">
        <f>IFERROR(__xludf.DUMMYFUNCTION("""COMPUTED_VALUE"""),"")</f>
        <v/>
      </c>
      <c r="E4406" s="1"/>
    </row>
    <row r="4407">
      <c r="A4407" s="1"/>
      <c r="B4407" s="3"/>
      <c r="C4407" s="3" t="str">
        <f>IFERROR(__xludf.DUMMYFUNCTION("""COMPUTED_VALUE"""),"")</f>
        <v/>
      </c>
      <c r="D4407" s="3" t="str">
        <f>IFERROR(__xludf.DUMMYFUNCTION("""COMPUTED_VALUE"""),"")</f>
        <v/>
      </c>
      <c r="E4407" s="1"/>
    </row>
    <row r="4408">
      <c r="A4408" s="1"/>
      <c r="B4408" s="3"/>
      <c r="C4408" s="3" t="str">
        <f>IFERROR(__xludf.DUMMYFUNCTION("""COMPUTED_VALUE"""),"")</f>
        <v/>
      </c>
      <c r="D4408" s="3" t="str">
        <f>IFERROR(__xludf.DUMMYFUNCTION("""COMPUTED_VALUE"""),"")</f>
        <v/>
      </c>
      <c r="E4408" s="1"/>
    </row>
    <row r="4409">
      <c r="A4409" s="1"/>
      <c r="B4409" s="3"/>
      <c r="C4409" s="3" t="str">
        <f>IFERROR(__xludf.DUMMYFUNCTION("""COMPUTED_VALUE"""),"")</f>
        <v/>
      </c>
      <c r="D4409" s="3" t="str">
        <f>IFERROR(__xludf.DUMMYFUNCTION("""COMPUTED_VALUE"""),"")</f>
        <v/>
      </c>
      <c r="E4409" s="1"/>
    </row>
    <row r="4410">
      <c r="A4410" s="1"/>
      <c r="B4410" s="3"/>
      <c r="C4410" s="3" t="str">
        <f>IFERROR(__xludf.DUMMYFUNCTION("""COMPUTED_VALUE"""),"")</f>
        <v/>
      </c>
      <c r="D4410" s="3" t="str">
        <f>IFERROR(__xludf.DUMMYFUNCTION("""COMPUTED_VALUE"""),"")</f>
        <v/>
      </c>
      <c r="E4410" s="1"/>
    </row>
    <row r="4411">
      <c r="A4411" s="1"/>
      <c r="B4411" s="3"/>
      <c r="C4411" s="3" t="str">
        <f>IFERROR(__xludf.DUMMYFUNCTION("""COMPUTED_VALUE"""),"")</f>
        <v/>
      </c>
      <c r="D4411" s="3" t="str">
        <f>IFERROR(__xludf.DUMMYFUNCTION("""COMPUTED_VALUE"""),"")</f>
        <v/>
      </c>
      <c r="E4411" s="1"/>
    </row>
    <row r="4412">
      <c r="A4412" s="1"/>
      <c r="B4412" s="3"/>
      <c r="C4412" s="3" t="str">
        <f>IFERROR(__xludf.DUMMYFUNCTION("""COMPUTED_VALUE"""),"")</f>
        <v/>
      </c>
      <c r="D4412" s="3" t="str">
        <f>IFERROR(__xludf.DUMMYFUNCTION("""COMPUTED_VALUE"""),"")</f>
        <v/>
      </c>
      <c r="E4412" s="1"/>
    </row>
    <row r="4413">
      <c r="A4413" s="1"/>
      <c r="B4413" s="3"/>
      <c r="C4413" s="3" t="str">
        <f>IFERROR(__xludf.DUMMYFUNCTION("""COMPUTED_VALUE"""),"")</f>
        <v/>
      </c>
      <c r="D4413" s="3" t="str">
        <f>IFERROR(__xludf.DUMMYFUNCTION("""COMPUTED_VALUE"""),"")</f>
        <v/>
      </c>
      <c r="E4413" s="1"/>
    </row>
    <row r="4414">
      <c r="A4414" s="1"/>
      <c r="B4414" s="3"/>
      <c r="C4414" s="3" t="str">
        <f>IFERROR(__xludf.DUMMYFUNCTION("""COMPUTED_VALUE"""),"")</f>
        <v/>
      </c>
      <c r="D4414" s="3" t="str">
        <f>IFERROR(__xludf.DUMMYFUNCTION("""COMPUTED_VALUE"""),"")</f>
        <v/>
      </c>
      <c r="E4414" s="1"/>
    </row>
    <row r="4415">
      <c r="A4415" s="1"/>
      <c r="B4415" s="3"/>
      <c r="C4415" s="3" t="str">
        <f>IFERROR(__xludf.DUMMYFUNCTION("""COMPUTED_VALUE"""),"")</f>
        <v/>
      </c>
      <c r="D4415" s="3" t="str">
        <f>IFERROR(__xludf.DUMMYFUNCTION("""COMPUTED_VALUE"""),"")</f>
        <v/>
      </c>
      <c r="E4415" s="1"/>
    </row>
    <row r="4416">
      <c r="A4416" s="1"/>
      <c r="B4416" s="3"/>
      <c r="C4416" s="3" t="str">
        <f>IFERROR(__xludf.DUMMYFUNCTION("""COMPUTED_VALUE"""),"")</f>
        <v/>
      </c>
      <c r="D4416" s="3" t="str">
        <f>IFERROR(__xludf.DUMMYFUNCTION("""COMPUTED_VALUE"""),"")</f>
        <v/>
      </c>
      <c r="E4416" s="1"/>
    </row>
    <row r="4417">
      <c r="A4417" s="1"/>
      <c r="B4417" s="3"/>
      <c r="C4417" s="3" t="str">
        <f>IFERROR(__xludf.DUMMYFUNCTION("""COMPUTED_VALUE"""),"")</f>
        <v/>
      </c>
      <c r="D4417" s="3" t="str">
        <f>IFERROR(__xludf.DUMMYFUNCTION("""COMPUTED_VALUE"""),"")</f>
        <v/>
      </c>
      <c r="E4417" s="1"/>
    </row>
    <row r="4418">
      <c r="A4418" s="1"/>
      <c r="B4418" s="3"/>
      <c r="C4418" s="3" t="str">
        <f>IFERROR(__xludf.DUMMYFUNCTION("""COMPUTED_VALUE"""),"")</f>
        <v/>
      </c>
      <c r="D4418" s="3" t="str">
        <f>IFERROR(__xludf.DUMMYFUNCTION("""COMPUTED_VALUE"""),"")</f>
        <v/>
      </c>
      <c r="E4418" s="1"/>
    </row>
    <row r="4419">
      <c r="A4419" s="1"/>
      <c r="B4419" s="3"/>
      <c r="C4419" s="3" t="str">
        <f>IFERROR(__xludf.DUMMYFUNCTION("""COMPUTED_VALUE"""),"")</f>
        <v/>
      </c>
      <c r="D4419" s="3" t="str">
        <f>IFERROR(__xludf.DUMMYFUNCTION("""COMPUTED_VALUE"""),"")</f>
        <v/>
      </c>
      <c r="E4419" s="1"/>
    </row>
    <row r="4420">
      <c r="A4420" s="1"/>
      <c r="B4420" s="3"/>
      <c r="C4420" s="3" t="str">
        <f>IFERROR(__xludf.DUMMYFUNCTION("""COMPUTED_VALUE"""),"")</f>
        <v/>
      </c>
      <c r="D4420" s="3" t="str">
        <f>IFERROR(__xludf.DUMMYFUNCTION("""COMPUTED_VALUE"""),"")</f>
        <v/>
      </c>
      <c r="E4420" s="1"/>
    </row>
    <row r="4421">
      <c r="A4421" s="1"/>
      <c r="B4421" s="3"/>
      <c r="C4421" s="3" t="str">
        <f>IFERROR(__xludf.DUMMYFUNCTION("""COMPUTED_VALUE"""),"")</f>
        <v/>
      </c>
      <c r="D4421" s="3" t="str">
        <f>IFERROR(__xludf.DUMMYFUNCTION("""COMPUTED_VALUE"""),"")</f>
        <v/>
      </c>
      <c r="E4421" s="1"/>
    </row>
    <row r="4422">
      <c r="A4422" s="1"/>
      <c r="B4422" s="3"/>
      <c r="C4422" s="3" t="str">
        <f>IFERROR(__xludf.DUMMYFUNCTION("""COMPUTED_VALUE"""),"")</f>
        <v/>
      </c>
      <c r="D4422" s="3" t="str">
        <f>IFERROR(__xludf.DUMMYFUNCTION("""COMPUTED_VALUE"""),"")</f>
        <v/>
      </c>
      <c r="E4422" s="1"/>
    </row>
    <row r="4423">
      <c r="A4423" s="1"/>
      <c r="B4423" s="3"/>
      <c r="C4423" s="3" t="str">
        <f>IFERROR(__xludf.DUMMYFUNCTION("""COMPUTED_VALUE"""),"")</f>
        <v/>
      </c>
      <c r="D4423" s="3" t="str">
        <f>IFERROR(__xludf.DUMMYFUNCTION("""COMPUTED_VALUE"""),"")</f>
        <v/>
      </c>
      <c r="E4423" s="1"/>
    </row>
    <row r="4424">
      <c r="A4424" s="1"/>
      <c r="B4424" s="3"/>
      <c r="C4424" s="3" t="str">
        <f>IFERROR(__xludf.DUMMYFUNCTION("""COMPUTED_VALUE"""),"")</f>
        <v/>
      </c>
      <c r="D4424" s="3" t="str">
        <f>IFERROR(__xludf.DUMMYFUNCTION("""COMPUTED_VALUE"""),"")</f>
        <v/>
      </c>
      <c r="E4424" s="1"/>
    </row>
    <row r="4425">
      <c r="A4425" s="1"/>
      <c r="B4425" s="3"/>
      <c r="C4425" s="3" t="str">
        <f>IFERROR(__xludf.DUMMYFUNCTION("""COMPUTED_VALUE"""),"")</f>
        <v/>
      </c>
      <c r="D4425" s="3" t="str">
        <f>IFERROR(__xludf.DUMMYFUNCTION("""COMPUTED_VALUE"""),"")</f>
        <v/>
      </c>
      <c r="E4425" s="1"/>
    </row>
    <row r="4426">
      <c r="A4426" s="1"/>
      <c r="B4426" s="3"/>
      <c r="C4426" s="3" t="str">
        <f>IFERROR(__xludf.DUMMYFUNCTION("""COMPUTED_VALUE"""),"")</f>
        <v/>
      </c>
      <c r="D4426" s="3" t="str">
        <f>IFERROR(__xludf.DUMMYFUNCTION("""COMPUTED_VALUE"""),"")</f>
        <v/>
      </c>
      <c r="E4426" s="1"/>
    </row>
    <row r="4427">
      <c r="A4427" s="1"/>
      <c r="B4427" s="3"/>
      <c r="C4427" s="3" t="str">
        <f>IFERROR(__xludf.DUMMYFUNCTION("""COMPUTED_VALUE"""),"")</f>
        <v/>
      </c>
      <c r="D4427" s="3" t="str">
        <f>IFERROR(__xludf.DUMMYFUNCTION("""COMPUTED_VALUE"""),"")</f>
        <v/>
      </c>
      <c r="E4427" s="1"/>
    </row>
    <row r="4428">
      <c r="A4428" s="1"/>
      <c r="B4428" s="3"/>
      <c r="C4428" s="3" t="str">
        <f>IFERROR(__xludf.DUMMYFUNCTION("""COMPUTED_VALUE"""),"")</f>
        <v/>
      </c>
      <c r="D4428" s="3" t="str">
        <f>IFERROR(__xludf.DUMMYFUNCTION("""COMPUTED_VALUE"""),"")</f>
        <v/>
      </c>
      <c r="E4428" s="1"/>
    </row>
    <row r="4429">
      <c r="A4429" s="1"/>
      <c r="B4429" s="3"/>
      <c r="C4429" s="3" t="str">
        <f>IFERROR(__xludf.DUMMYFUNCTION("""COMPUTED_VALUE"""),"")</f>
        <v/>
      </c>
      <c r="D4429" s="3" t="str">
        <f>IFERROR(__xludf.DUMMYFUNCTION("""COMPUTED_VALUE"""),"")</f>
        <v/>
      </c>
      <c r="E4429" s="1"/>
    </row>
    <row r="4430">
      <c r="A4430" s="1"/>
      <c r="B4430" s="3"/>
      <c r="C4430" s="3" t="str">
        <f>IFERROR(__xludf.DUMMYFUNCTION("""COMPUTED_VALUE"""),"")</f>
        <v/>
      </c>
      <c r="D4430" s="3" t="str">
        <f>IFERROR(__xludf.DUMMYFUNCTION("""COMPUTED_VALUE"""),"")</f>
        <v/>
      </c>
      <c r="E4430" s="1"/>
    </row>
    <row r="4431">
      <c r="A4431" s="1"/>
      <c r="B4431" s="3"/>
      <c r="C4431" s="3" t="str">
        <f>IFERROR(__xludf.DUMMYFUNCTION("""COMPUTED_VALUE"""),"")</f>
        <v/>
      </c>
      <c r="D4431" s="3" t="str">
        <f>IFERROR(__xludf.DUMMYFUNCTION("""COMPUTED_VALUE"""),"")</f>
        <v/>
      </c>
      <c r="E4431" s="1"/>
    </row>
    <row r="4432">
      <c r="A4432" s="1"/>
      <c r="B4432" s="3"/>
      <c r="C4432" s="3" t="str">
        <f>IFERROR(__xludf.DUMMYFUNCTION("""COMPUTED_VALUE"""),"")</f>
        <v/>
      </c>
      <c r="D4432" s="3" t="str">
        <f>IFERROR(__xludf.DUMMYFUNCTION("""COMPUTED_VALUE"""),"")</f>
        <v/>
      </c>
      <c r="E4432" s="1"/>
    </row>
    <row r="4433">
      <c r="A4433" s="1"/>
      <c r="B4433" s="3"/>
      <c r="C4433" s="3" t="str">
        <f>IFERROR(__xludf.DUMMYFUNCTION("""COMPUTED_VALUE"""),"")</f>
        <v/>
      </c>
      <c r="D4433" s="3" t="str">
        <f>IFERROR(__xludf.DUMMYFUNCTION("""COMPUTED_VALUE"""),"")</f>
        <v/>
      </c>
      <c r="E4433" s="1"/>
    </row>
    <row r="4434">
      <c r="A4434" s="1"/>
      <c r="B4434" s="3"/>
      <c r="C4434" s="3" t="str">
        <f>IFERROR(__xludf.DUMMYFUNCTION("""COMPUTED_VALUE"""),"")</f>
        <v/>
      </c>
      <c r="D4434" s="3" t="str">
        <f>IFERROR(__xludf.DUMMYFUNCTION("""COMPUTED_VALUE"""),"")</f>
        <v/>
      </c>
      <c r="E4434" s="1"/>
    </row>
    <row r="4435">
      <c r="A4435" s="1"/>
      <c r="B4435" s="3"/>
      <c r="C4435" s="3" t="str">
        <f>IFERROR(__xludf.DUMMYFUNCTION("""COMPUTED_VALUE"""),"")</f>
        <v/>
      </c>
      <c r="D4435" s="3" t="str">
        <f>IFERROR(__xludf.DUMMYFUNCTION("""COMPUTED_VALUE"""),"")</f>
        <v/>
      </c>
      <c r="E4435" s="1"/>
    </row>
    <row r="4436">
      <c r="A4436" s="1"/>
      <c r="B4436" s="3"/>
      <c r="C4436" s="3" t="str">
        <f>IFERROR(__xludf.DUMMYFUNCTION("""COMPUTED_VALUE"""),"")</f>
        <v/>
      </c>
      <c r="D4436" s="3" t="str">
        <f>IFERROR(__xludf.DUMMYFUNCTION("""COMPUTED_VALUE"""),"")</f>
        <v/>
      </c>
      <c r="E4436" s="1"/>
    </row>
    <row r="4437">
      <c r="A4437" s="1"/>
      <c r="B4437" s="3"/>
      <c r="C4437" s="3" t="str">
        <f>IFERROR(__xludf.DUMMYFUNCTION("""COMPUTED_VALUE"""),"")</f>
        <v/>
      </c>
      <c r="D4437" s="3" t="str">
        <f>IFERROR(__xludf.DUMMYFUNCTION("""COMPUTED_VALUE"""),"")</f>
        <v/>
      </c>
      <c r="E4437" s="1"/>
    </row>
    <row r="4438">
      <c r="A4438" s="1"/>
      <c r="B4438" s="3"/>
      <c r="C4438" s="3" t="str">
        <f>IFERROR(__xludf.DUMMYFUNCTION("""COMPUTED_VALUE"""),"")</f>
        <v/>
      </c>
      <c r="D4438" s="3" t="str">
        <f>IFERROR(__xludf.DUMMYFUNCTION("""COMPUTED_VALUE"""),"")</f>
        <v/>
      </c>
      <c r="E4438" s="1"/>
    </row>
    <row r="4439">
      <c r="A4439" s="1"/>
      <c r="B4439" s="3"/>
      <c r="C4439" s="3" t="str">
        <f>IFERROR(__xludf.DUMMYFUNCTION("""COMPUTED_VALUE"""),"")</f>
        <v/>
      </c>
      <c r="D4439" s="3" t="str">
        <f>IFERROR(__xludf.DUMMYFUNCTION("""COMPUTED_VALUE"""),"")</f>
        <v/>
      </c>
      <c r="E4439" s="1"/>
    </row>
    <row r="4440">
      <c r="A4440" s="1"/>
      <c r="B4440" s="3"/>
      <c r="C4440" s="3" t="str">
        <f>IFERROR(__xludf.DUMMYFUNCTION("""COMPUTED_VALUE"""),"")</f>
        <v/>
      </c>
      <c r="D4440" s="3" t="str">
        <f>IFERROR(__xludf.DUMMYFUNCTION("""COMPUTED_VALUE"""),"")</f>
        <v/>
      </c>
      <c r="E4440" s="1"/>
    </row>
    <row r="4441">
      <c r="A4441" s="1"/>
      <c r="B4441" s="3"/>
      <c r="C4441" s="3" t="str">
        <f>IFERROR(__xludf.DUMMYFUNCTION("""COMPUTED_VALUE"""),"")</f>
        <v/>
      </c>
      <c r="D4441" s="3" t="str">
        <f>IFERROR(__xludf.DUMMYFUNCTION("""COMPUTED_VALUE"""),"")</f>
        <v/>
      </c>
      <c r="E4441" s="1"/>
    </row>
    <row r="4442">
      <c r="A4442" s="1"/>
      <c r="B4442" s="3"/>
      <c r="C4442" s="3" t="str">
        <f>IFERROR(__xludf.DUMMYFUNCTION("""COMPUTED_VALUE"""),"")</f>
        <v/>
      </c>
      <c r="D4442" s="3" t="str">
        <f>IFERROR(__xludf.DUMMYFUNCTION("""COMPUTED_VALUE"""),"")</f>
        <v/>
      </c>
      <c r="E4442" s="1"/>
    </row>
    <row r="4443">
      <c r="A4443" s="1"/>
      <c r="B4443" s="3"/>
      <c r="C4443" s="3" t="str">
        <f>IFERROR(__xludf.DUMMYFUNCTION("""COMPUTED_VALUE"""),"")</f>
        <v/>
      </c>
      <c r="D4443" s="3" t="str">
        <f>IFERROR(__xludf.DUMMYFUNCTION("""COMPUTED_VALUE"""),"")</f>
        <v/>
      </c>
      <c r="E4443" s="1"/>
    </row>
    <row r="4444">
      <c r="A4444" s="1"/>
      <c r="B4444" s="3"/>
      <c r="C4444" s="3" t="str">
        <f>IFERROR(__xludf.DUMMYFUNCTION("""COMPUTED_VALUE"""),"")</f>
        <v/>
      </c>
      <c r="D4444" s="3" t="str">
        <f>IFERROR(__xludf.DUMMYFUNCTION("""COMPUTED_VALUE"""),"")</f>
        <v/>
      </c>
      <c r="E4444" s="1"/>
    </row>
    <row r="4445">
      <c r="A4445" s="1"/>
      <c r="B4445" s="3"/>
      <c r="C4445" s="3" t="str">
        <f>IFERROR(__xludf.DUMMYFUNCTION("""COMPUTED_VALUE"""),"")</f>
        <v/>
      </c>
      <c r="D4445" s="3" t="str">
        <f>IFERROR(__xludf.DUMMYFUNCTION("""COMPUTED_VALUE"""),"")</f>
        <v/>
      </c>
      <c r="E4445" s="1"/>
    </row>
    <row r="4446">
      <c r="A4446" s="1"/>
      <c r="B4446" s="3"/>
      <c r="C4446" s="3" t="str">
        <f>IFERROR(__xludf.DUMMYFUNCTION("""COMPUTED_VALUE"""),"")</f>
        <v/>
      </c>
      <c r="D4446" s="3" t="str">
        <f>IFERROR(__xludf.DUMMYFUNCTION("""COMPUTED_VALUE"""),"")</f>
        <v/>
      </c>
      <c r="E4446" s="1"/>
    </row>
    <row r="4447">
      <c r="A4447" s="1"/>
      <c r="B4447" s="3"/>
      <c r="C4447" s="3" t="str">
        <f>IFERROR(__xludf.DUMMYFUNCTION("""COMPUTED_VALUE"""),"")</f>
        <v/>
      </c>
      <c r="D4447" s="3" t="str">
        <f>IFERROR(__xludf.DUMMYFUNCTION("""COMPUTED_VALUE"""),"")</f>
        <v/>
      </c>
      <c r="E4447" s="1"/>
    </row>
    <row r="4448">
      <c r="A4448" s="1"/>
      <c r="B4448" s="3"/>
      <c r="C4448" s="3" t="str">
        <f>IFERROR(__xludf.DUMMYFUNCTION("""COMPUTED_VALUE"""),"")</f>
        <v/>
      </c>
      <c r="D4448" s="3" t="str">
        <f>IFERROR(__xludf.DUMMYFUNCTION("""COMPUTED_VALUE"""),"")</f>
        <v/>
      </c>
      <c r="E4448" s="1"/>
    </row>
    <row r="4449">
      <c r="A4449" s="1"/>
      <c r="B4449" s="3"/>
      <c r="C4449" s="3" t="str">
        <f>IFERROR(__xludf.DUMMYFUNCTION("""COMPUTED_VALUE"""),"")</f>
        <v/>
      </c>
      <c r="D4449" s="3" t="str">
        <f>IFERROR(__xludf.DUMMYFUNCTION("""COMPUTED_VALUE"""),"")</f>
        <v/>
      </c>
      <c r="E4449" s="1"/>
    </row>
    <row r="4450">
      <c r="A4450" s="1"/>
      <c r="B4450" s="3"/>
      <c r="C4450" s="3" t="str">
        <f>IFERROR(__xludf.DUMMYFUNCTION("""COMPUTED_VALUE"""),"")</f>
        <v/>
      </c>
      <c r="D4450" s="3" t="str">
        <f>IFERROR(__xludf.DUMMYFUNCTION("""COMPUTED_VALUE"""),"")</f>
        <v/>
      </c>
      <c r="E4450" s="1"/>
    </row>
    <row r="4451">
      <c r="A4451" s="1"/>
      <c r="B4451" s="3"/>
      <c r="C4451" s="3" t="str">
        <f>IFERROR(__xludf.DUMMYFUNCTION("""COMPUTED_VALUE"""),"")</f>
        <v/>
      </c>
      <c r="D4451" s="3" t="str">
        <f>IFERROR(__xludf.DUMMYFUNCTION("""COMPUTED_VALUE"""),"")</f>
        <v/>
      </c>
      <c r="E4451" s="1"/>
    </row>
    <row r="4452">
      <c r="A4452" s="1"/>
      <c r="B4452" s="3"/>
      <c r="C4452" s="3" t="str">
        <f>IFERROR(__xludf.DUMMYFUNCTION("""COMPUTED_VALUE"""),"")</f>
        <v/>
      </c>
      <c r="D4452" s="3" t="str">
        <f>IFERROR(__xludf.DUMMYFUNCTION("""COMPUTED_VALUE"""),"")</f>
        <v/>
      </c>
      <c r="E4452" s="1"/>
    </row>
    <row r="4453">
      <c r="A4453" s="1"/>
      <c r="B4453" s="3"/>
      <c r="C4453" s="3" t="str">
        <f>IFERROR(__xludf.DUMMYFUNCTION("""COMPUTED_VALUE"""),"")</f>
        <v/>
      </c>
      <c r="D4453" s="3" t="str">
        <f>IFERROR(__xludf.DUMMYFUNCTION("""COMPUTED_VALUE"""),"")</f>
        <v/>
      </c>
      <c r="E4453" s="1"/>
    </row>
    <row r="4454">
      <c r="A4454" s="1"/>
      <c r="B4454" s="3"/>
      <c r="C4454" s="3" t="str">
        <f>IFERROR(__xludf.DUMMYFUNCTION("""COMPUTED_VALUE"""),"")</f>
        <v/>
      </c>
      <c r="D4454" s="3" t="str">
        <f>IFERROR(__xludf.DUMMYFUNCTION("""COMPUTED_VALUE"""),"")</f>
        <v/>
      </c>
      <c r="E4454" s="1"/>
    </row>
    <row r="4455">
      <c r="A4455" s="1"/>
      <c r="B4455" s="3"/>
      <c r="C4455" s="3" t="str">
        <f>IFERROR(__xludf.DUMMYFUNCTION("""COMPUTED_VALUE"""),"")</f>
        <v/>
      </c>
      <c r="D4455" s="3" t="str">
        <f>IFERROR(__xludf.DUMMYFUNCTION("""COMPUTED_VALUE"""),"")</f>
        <v/>
      </c>
      <c r="E4455" s="1"/>
    </row>
    <row r="4456">
      <c r="A4456" s="1"/>
      <c r="B4456" s="3"/>
      <c r="C4456" s="3" t="str">
        <f>IFERROR(__xludf.DUMMYFUNCTION("""COMPUTED_VALUE"""),"")</f>
        <v/>
      </c>
      <c r="D4456" s="3" t="str">
        <f>IFERROR(__xludf.DUMMYFUNCTION("""COMPUTED_VALUE"""),"")</f>
        <v/>
      </c>
      <c r="E4456" s="1"/>
    </row>
    <row r="4457">
      <c r="A4457" s="1"/>
      <c r="B4457" s="3"/>
      <c r="C4457" s="3" t="str">
        <f>IFERROR(__xludf.DUMMYFUNCTION("""COMPUTED_VALUE"""),"")</f>
        <v/>
      </c>
      <c r="D4457" s="3" t="str">
        <f>IFERROR(__xludf.DUMMYFUNCTION("""COMPUTED_VALUE"""),"")</f>
        <v/>
      </c>
      <c r="E4457" s="1"/>
    </row>
    <row r="4458">
      <c r="A4458" s="1"/>
      <c r="B4458" s="3"/>
      <c r="C4458" s="3" t="str">
        <f>IFERROR(__xludf.DUMMYFUNCTION("""COMPUTED_VALUE"""),"")</f>
        <v/>
      </c>
      <c r="D4458" s="3" t="str">
        <f>IFERROR(__xludf.DUMMYFUNCTION("""COMPUTED_VALUE"""),"")</f>
        <v/>
      </c>
      <c r="E4458" s="1"/>
    </row>
    <row r="4459">
      <c r="A4459" s="1"/>
      <c r="B4459" s="3"/>
      <c r="C4459" s="3" t="str">
        <f>IFERROR(__xludf.DUMMYFUNCTION("""COMPUTED_VALUE"""),"")</f>
        <v/>
      </c>
      <c r="D4459" s="3" t="str">
        <f>IFERROR(__xludf.DUMMYFUNCTION("""COMPUTED_VALUE"""),"")</f>
        <v/>
      </c>
      <c r="E4459" s="1"/>
    </row>
    <row r="4460">
      <c r="A4460" s="1"/>
      <c r="B4460" s="3"/>
      <c r="C4460" s="3" t="str">
        <f>IFERROR(__xludf.DUMMYFUNCTION("""COMPUTED_VALUE"""),"")</f>
        <v/>
      </c>
      <c r="D4460" s="3" t="str">
        <f>IFERROR(__xludf.DUMMYFUNCTION("""COMPUTED_VALUE"""),"")</f>
        <v/>
      </c>
      <c r="E4460" s="1"/>
    </row>
    <row r="4461">
      <c r="A4461" s="1"/>
      <c r="B4461" s="3"/>
      <c r="C4461" s="3" t="str">
        <f>IFERROR(__xludf.DUMMYFUNCTION("""COMPUTED_VALUE"""),"")</f>
        <v/>
      </c>
      <c r="D4461" s="3" t="str">
        <f>IFERROR(__xludf.DUMMYFUNCTION("""COMPUTED_VALUE"""),"")</f>
        <v/>
      </c>
      <c r="E4461" s="1"/>
    </row>
    <row r="4462">
      <c r="A4462" s="1"/>
      <c r="B4462" s="3"/>
      <c r="C4462" s="3" t="str">
        <f>IFERROR(__xludf.DUMMYFUNCTION("""COMPUTED_VALUE"""),"")</f>
        <v/>
      </c>
      <c r="D4462" s="3" t="str">
        <f>IFERROR(__xludf.DUMMYFUNCTION("""COMPUTED_VALUE"""),"")</f>
        <v/>
      </c>
      <c r="E4462" s="1"/>
    </row>
    <row r="4463">
      <c r="A4463" s="1"/>
      <c r="B4463" s="3"/>
      <c r="C4463" s="3" t="str">
        <f>IFERROR(__xludf.DUMMYFUNCTION("""COMPUTED_VALUE"""),"")</f>
        <v/>
      </c>
      <c r="D4463" s="3" t="str">
        <f>IFERROR(__xludf.DUMMYFUNCTION("""COMPUTED_VALUE"""),"")</f>
        <v/>
      </c>
      <c r="E4463" s="1"/>
    </row>
    <row r="4464">
      <c r="A4464" s="1"/>
      <c r="B4464" s="3"/>
      <c r="C4464" s="3" t="str">
        <f>IFERROR(__xludf.DUMMYFUNCTION("""COMPUTED_VALUE"""),"")</f>
        <v/>
      </c>
      <c r="D4464" s="3" t="str">
        <f>IFERROR(__xludf.DUMMYFUNCTION("""COMPUTED_VALUE"""),"")</f>
        <v/>
      </c>
      <c r="E4464" s="1"/>
    </row>
    <row r="4465">
      <c r="A4465" s="1"/>
      <c r="B4465" s="3"/>
      <c r="C4465" s="3" t="str">
        <f>IFERROR(__xludf.DUMMYFUNCTION("""COMPUTED_VALUE"""),"")</f>
        <v/>
      </c>
      <c r="D4465" s="3" t="str">
        <f>IFERROR(__xludf.DUMMYFUNCTION("""COMPUTED_VALUE"""),"")</f>
        <v/>
      </c>
      <c r="E4465" s="1"/>
    </row>
    <row r="4466">
      <c r="A4466" s="1"/>
      <c r="B4466" s="3"/>
      <c r="C4466" s="3" t="str">
        <f>IFERROR(__xludf.DUMMYFUNCTION("""COMPUTED_VALUE"""),"")</f>
        <v/>
      </c>
      <c r="D4466" s="3" t="str">
        <f>IFERROR(__xludf.DUMMYFUNCTION("""COMPUTED_VALUE"""),"")</f>
        <v/>
      </c>
      <c r="E4466" s="1"/>
    </row>
    <row r="4467">
      <c r="A4467" s="1"/>
      <c r="B4467" s="3"/>
      <c r="C4467" s="3" t="str">
        <f>IFERROR(__xludf.DUMMYFUNCTION("""COMPUTED_VALUE"""),"")</f>
        <v/>
      </c>
      <c r="D4467" s="3" t="str">
        <f>IFERROR(__xludf.DUMMYFUNCTION("""COMPUTED_VALUE"""),"")</f>
        <v/>
      </c>
      <c r="E4467" s="1"/>
    </row>
    <row r="4468">
      <c r="A4468" s="1"/>
      <c r="B4468" s="3"/>
      <c r="C4468" s="3" t="str">
        <f>IFERROR(__xludf.DUMMYFUNCTION("""COMPUTED_VALUE"""),"")</f>
        <v/>
      </c>
      <c r="D4468" s="3" t="str">
        <f>IFERROR(__xludf.DUMMYFUNCTION("""COMPUTED_VALUE"""),"")</f>
        <v/>
      </c>
      <c r="E4468" s="1"/>
    </row>
    <row r="4469">
      <c r="A4469" s="1"/>
      <c r="B4469" s="3"/>
      <c r="C4469" s="3" t="str">
        <f>IFERROR(__xludf.DUMMYFUNCTION("""COMPUTED_VALUE"""),"")</f>
        <v/>
      </c>
      <c r="D4469" s="3" t="str">
        <f>IFERROR(__xludf.DUMMYFUNCTION("""COMPUTED_VALUE"""),"")</f>
        <v/>
      </c>
      <c r="E4469" s="1"/>
    </row>
    <row r="4470">
      <c r="A4470" s="1"/>
      <c r="B4470" s="3"/>
      <c r="C4470" s="3" t="str">
        <f>IFERROR(__xludf.DUMMYFUNCTION("""COMPUTED_VALUE"""),"")</f>
        <v/>
      </c>
      <c r="D4470" s="3" t="str">
        <f>IFERROR(__xludf.DUMMYFUNCTION("""COMPUTED_VALUE"""),"")</f>
        <v/>
      </c>
      <c r="E4470" s="1"/>
    </row>
    <row r="4471">
      <c r="A4471" s="1"/>
      <c r="B4471" s="3"/>
      <c r="C4471" s="3" t="str">
        <f>IFERROR(__xludf.DUMMYFUNCTION("""COMPUTED_VALUE"""),"")</f>
        <v/>
      </c>
      <c r="D4471" s="3" t="str">
        <f>IFERROR(__xludf.DUMMYFUNCTION("""COMPUTED_VALUE"""),"")</f>
        <v/>
      </c>
      <c r="E4471" s="1"/>
    </row>
    <row r="4472">
      <c r="A4472" s="1"/>
      <c r="B4472" s="3"/>
      <c r="C4472" s="3" t="str">
        <f>IFERROR(__xludf.DUMMYFUNCTION("""COMPUTED_VALUE"""),"")</f>
        <v/>
      </c>
      <c r="D4472" s="3" t="str">
        <f>IFERROR(__xludf.DUMMYFUNCTION("""COMPUTED_VALUE"""),"")</f>
        <v/>
      </c>
      <c r="E4472" s="1"/>
    </row>
    <row r="4473">
      <c r="A4473" s="1"/>
      <c r="B4473" s="3"/>
      <c r="C4473" s="3" t="str">
        <f>IFERROR(__xludf.DUMMYFUNCTION("""COMPUTED_VALUE"""),"")</f>
        <v/>
      </c>
      <c r="D4473" s="3" t="str">
        <f>IFERROR(__xludf.DUMMYFUNCTION("""COMPUTED_VALUE"""),"")</f>
        <v/>
      </c>
      <c r="E4473" s="1"/>
    </row>
    <row r="4474">
      <c r="A4474" s="1"/>
      <c r="B4474" s="3"/>
      <c r="C4474" s="3" t="str">
        <f>IFERROR(__xludf.DUMMYFUNCTION("""COMPUTED_VALUE"""),"")</f>
        <v/>
      </c>
      <c r="D4474" s="3" t="str">
        <f>IFERROR(__xludf.DUMMYFUNCTION("""COMPUTED_VALUE"""),"")</f>
        <v/>
      </c>
      <c r="E4474" s="1"/>
    </row>
    <row r="4475">
      <c r="A4475" s="1"/>
      <c r="B4475" s="3"/>
      <c r="C4475" s="3" t="str">
        <f>IFERROR(__xludf.DUMMYFUNCTION("""COMPUTED_VALUE"""),"")</f>
        <v/>
      </c>
      <c r="D4475" s="3" t="str">
        <f>IFERROR(__xludf.DUMMYFUNCTION("""COMPUTED_VALUE"""),"")</f>
        <v/>
      </c>
      <c r="E4475" s="1"/>
    </row>
    <row r="4476">
      <c r="A4476" s="1"/>
      <c r="B4476" s="3"/>
      <c r="C4476" s="3" t="str">
        <f>IFERROR(__xludf.DUMMYFUNCTION("""COMPUTED_VALUE"""),"")</f>
        <v/>
      </c>
      <c r="D4476" s="3" t="str">
        <f>IFERROR(__xludf.DUMMYFUNCTION("""COMPUTED_VALUE"""),"")</f>
        <v/>
      </c>
      <c r="E4476" s="1"/>
    </row>
    <row r="4477">
      <c r="A4477" s="1"/>
      <c r="B4477" s="3"/>
      <c r="C4477" s="3" t="str">
        <f>IFERROR(__xludf.DUMMYFUNCTION("""COMPUTED_VALUE"""),"")</f>
        <v/>
      </c>
      <c r="D4477" s="3" t="str">
        <f>IFERROR(__xludf.DUMMYFUNCTION("""COMPUTED_VALUE"""),"")</f>
        <v/>
      </c>
      <c r="E4477" s="1"/>
    </row>
    <row r="4478">
      <c r="A4478" s="1"/>
      <c r="B4478" s="3"/>
      <c r="C4478" s="3" t="str">
        <f>IFERROR(__xludf.DUMMYFUNCTION("""COMPUTED_VALUE"""),"")</f>
        <v/>
      </c>
      <c r="D4478" s="3" t="str">
        <f>IFERROR(__xludf.DUMMYFUNCTION("""COMPUTED_VALUE"""),"")</f>
        <v/>
      </c>
      <c r="E4478" s="1"/>
    </row>
    <row r="4479">
      <c r="A4479" s="1"/>
      <c r="B4479" s="3"/>
      <c r="C4479" s="3" t="str">
        <f>IFERROR(__xludf.DUMMYFUNCTION("""COMPUTED_VALUE"""),"")</f>
        <v/>
      </c>
      <c r="D4479" s="3" t="str">
        <f>IFERROR(__xludf.DUMMYFUNCTION("""COMPUTED_VALUE"""),"")</f>
        <v/>
      </c>
      <c r="E4479" s="1"/>
    </row>
    <row r="4480">
      <c r="A4480" s="1"/>
      <c r="B4480" s="3"/>
      <c r="C4480" s="3" t="str">
        <f>IFERROR(__xludf.DUMMYFUNCTION("""COMPUTED_VALUE"""),"")</f>
        <v/>
      </c>
      <c r="D4480" s="3" t="str">
        <f>IFERROR(__xludf.DUMMYFUNCTION("""COMPUTED_VALUE"""),"")</f>
        <v/>
      </c>
      <c r="E4480" s="1"/>
    </row>
    <row r="4481">
      <c r="A4481" s="1"/>
      <c r="B4481" s="3"/>
      <c r="C4481" s="3" t="str">
        <f>IFERROR(__xludf.DUMMYFUNCTION("""COMPUTED_VALUE"""),"")</f>
        <v/>
      </c>
      <c r="D4481" s="3" t="str">
        <f>IFERROR(__xludf.DUMMYFUNCTION("""COMPUTED_VALUE"""),"")</f>
        <v/>
      </c>
      <c r="E4481" s="1"/>
    </row>
    <row r="4482">
      <c r="A4482" s="1"/>
      <c r="B4482" s="3"/>
      <c r="C4482" s="3" t="str">
        <f>IFERROR(__xludf.DUMMYFUNCTION("""COMPUTED_VALUE"""),"")</f>
        <v/>
      </c>
      <c r="D4482" s="3" t="str">
        <f>IFERROR(__xludf.DUMMYFUNCTION("""COMPUTED_VALUE"""),"")</f>
        <v/>
      </c>
      <c r="E4482" s="1"/>
    </row>
    <row r="4483">
      <c r="A4483" s="1"/>
      <c r="B4483" s="3"/>
      <c r="C4483" s="3" t="str">
        <f>IFERROR(__xludf.DUMMYFUNCTION("""COMPUTED_VALUE"""),"")</f>
        <v/>
      </c>
      <c r="D4483" s="3" t="str">
        <f>IFERROR(__xludf.DUMMYFUNCTION("""COMPUTED_VALUE"""),"")</f>
        <v/>
      </c>
      <c r="E4483" s="1"/>
    </row>
    <row r="4484">
      <c r="A4484" s="1"/>
      <c r="B4484" s="3"/>
      <c r="C4484" s="3" t="str">
        <f>IFERROR(__xludf.DUMMYFUNCTION("""COMPUTED_VALUE"""),"")</f>
        <v/>
      </c>
      <c r="D4484" s="3" t="str">
        <f>IFERROR(__xludf.DUMMYFUNCTION("""COMPUTED_VALUE"""),"")</f>
        <v/>
      </c>
      <c r="E4484" s="1"/>
    </row>
    <row r="4485">
      <c r="A4485" s="1"/>
      <c r="B4485" s="3"/>
      <c r="C4485" s="3" t="str">
        <f>IFERROR(__xludf.DUMMYFUNCTION("""COMPUTED_VALUE"""),"")</f>
        <v/>
      </c>
      <c r="D4485" s="3" t="str">
        <f>IFERROR(__xludf.DUMMYFUNCTION("""COMPUTED_VALUE"""),"")</f>
        <v/>
      </c>
      <c r="E4485" s="1"/>
    </row>
    <row r="4486">
      <c r="A4486" s="1"/>
      <c r="B4486" s="3"/>
      <c r="C4486" s="3" t="str">
        <f>IFERROR(__xludf.DUMMYFUNCTION("""COMPUTED_VALUE"""),"")</f>
        <v/>
      </c>
      <c r="D4486" s="3" t="str">
        <f>IFERROR(__xludf.DUMMYFUNCTION("""COMPUTED_VALUE"""),"")</f>
        <v/>
      </c>
      <c r="E4486" s="1"/>
    </row>
    <row r="4487">
      <c r="A4487" s="1"/>
      <c r="B4487" s="3"/>
      <c r="C4487" s="3" t="str">
        <f>IFERROR(__xludf.DUMMYFUNCTION("""COMPUTED_VALUE"""),"")</f>
        <v/>
      </c>
      <c r="D4487" s="3" t="str">
        <f>IFERROR(__xludf.DUMMYFUNCTION("""COMPUTED_VALUE"""),"")</f>
        <v/>
      </c>
      <c r="E4487" s="1"/>
    </row>
    <row r="4488">
      <c r="A4488" s="1"/>
      <c r="B4488" s="3"/>
      <c r="C4488" s="3" t="str">
        <f>IFERROR(__xludf.DUMMYFUNCTION("""COMPUTED_VALUE"""),"")</f>
        <v/>
      </c>
      <c r="D4488" s="3" t="str">
        <f>IFERROR(__xludf.DUMMYFUNCTION("""COMPUTED_VALUE"""),"")</f>
        <v/>
      </c>
      <c r="E4488" s="1"/>
    </row>
    <row r="4489">
      <c r="A4489" s="1"/>
      <c r="B4489" s="3"/>
      <c r="C4489" s="3" t="str">
        <f>IFERROR(__xludf.DUMMYFUNCTION("""COMPUTED_VALUE"""),"")</f>
        <v/>
      </c>
      <c r="D4489" s="3" t="str">
        <f>IFERROR(__xludf.DUMMYFUNCTION("""COMPUTED_VALUE"""),"")</f>
        <v/>
      </c>
      <c r="E4489" s="1"/>
    </row>
    <row r="4490">
      <c r="A4490" s="1"/>
      <c r="B4490" s="3"/>
      <c r="C4490" s="3" t="str">
        <f>IFERROR(__xludf.DUMMYFUNCTION("""COMPUTED_VALUE"""),"")</f>
        <v/>
      </c>
      <c r="D4490" s="3" t="str">
        <f>IFERROR(__xludf.DUMMYFUNCTION("""COMPUTED_VALUE"""),"")</f>
        <v/>
      </c>
      <c r="E4490" s="1"/>
    </row>
    <row r="4491">
      <c r="A4491" s="1"/>
      <c r="B4491" s="3"/>
      <c r="C4491" s="3" t="str">
        <f>IFERROR(__xludf.DUMMYFUNCTION("""COMPUTED_VALUE"""),"")</f>
        <v/>
      </c>
      <c r="D4491" s="3" t="str">
        <f>IFERROR(__xludf.DUMMYFUNCTION("""COMPUTED_VALUE"""),"")</f>
        <v/>
      </c>
      <c r="E4491" s="1"/>
    </row>
    <row r="4492">
      <c r="A4492" s="1"/>
      <c r="B4492" s="3"/>
      <c r="C4492" s="3" t="str">
        <f>IFERROR(__xludf.DUMMYFUNCTION("""COMPUTED_VALUE"""),"")</f>
        <v/>
      </c>
      <c r="D4492" s="3" t="str">
        <f>IFERROR(__xludf.DUMMYFUNCTION("""COMPUTED_VALUE"""),"")</f>
        <v/>
      </c>
      <c r="E4492" s="1"/>
    </row>
    <row r="4493">
      <c r="A4493" s="1"/>
      <c r="B4493" s="3"/>
      <c r="C4493" s="3" t="str">
        <f>IFERROR(__xludf.DUMMYFUNCTION("""COMPUTED_VALUE"""),"")</f>
        <v/>
      </c>
      <c r="D4493" s="3" t="str">
        <f>IFERROR(__xludf.DUMMYFUNCTION("""COMPUTED_VALUE"""),"")</f>
        <v/>
      </c>
      <c r="E4493" s="1"/>
    </row>
    <row r="4494">
      <c r="A4494" s="1"/>
      <c r="B4494" s="3"/>
      <c r="C4494" s="3" t="str">
        <f>IFERROR(__xludf.DUMMYFUNCTION("""COMPUTED_VALUE"""),"")</f>
        <v/>
      </c>
      <c r="D4494" s="3" t="str">
        <f>IFERROR(__xludf.DUMMYFUNCTION("""COMPUTED_VALUE"""),"")</f>
        <v/>
      </c>
      <c r="E4494" s="1"/>
    </row>
    <row r="4495">
      <c r="A4495" s="1"/>
      <c r="B4495" s="3"/>
      <c r="C4495" s="3" t="str">
        <f>IFERROR(__xludf.DUMMYFUNCTION("""COMPUTED_VALUE"""),"")</f>
        <v/>
      </c>
      <c r="D4495" s="3" t="str">
        <f>IFERROR(__xludf.DUMMYFUNCTION("""COMPUTED_VALUE"""),"")</f>
        <v/>
      </c>
      <c r="E4495" s="1"/>
    </row>
    <row r="4496">
      <c r="A4496" s="1"/>
      <c r="B4496" s="3"/>
      <c r="C4496" s="3" t="str">
        <f>IFERROR(__xludf.DUMMYFUNCTION("""COMPUTED_VALUE"""),"")</f>
        <v/>
      </c>
      <c r="D4496" s="3" t="str">
        <f>IFERROR(__xludf.DUMMYFUNCTION("""COMPUTED_VALUE"""),"")</f>
        <v/>
      </c>
      <c r="E4496" s="1"/>
    </row>
    <row r="4497">
      <c r="A4497" s="1"/>
      <c r="B4497" s="3"/>
      <c r="C4497" s="3" t="str">
        <f>IFERROR(__xludf.DUMMYFUNCTION("""COMPUTED_VALUE"""),"")</f>
        <v/>
      </c>
      <c r="D4497" s="3" t="str">
        <f>IFERROR(__xludf.DUMMYFUNCTION("""COMPUTED_VALUE"""),"")</f>
        <v/>
      </c>
      <c r="E4497" s="1"/>
    </row>
    <row r="4498">
      <c r="A4498" s="1"/>
      <c r="B4498" s="3"/>
      <c r="C4498" s="3" t="str">
        <f>IFERROR(__xludf.DUMMYFUNCTION("""COMPUTED_VALUE"""),"")</f>
        <v/>
      </c>
      <c r="D4498" s="3" t="str">
        <f>IFERROR(__xludf.DUMMYFUNCTION("""COMPUTED_VALUE"""),"")</f>
        <v/>
      </c>
      <c r="E4498" s="1"/>
    </row>
    <row r="4499">
      <c r="A4499" s="1"/>
      <c r="B4499" s="3"/>
      <c r="C4499" s="3" t="str">
        <f>IFERROR(__xludf.DUMMYFUNCTION("""COMPUTED_VALUE"""),"")</f>
        <v/>
      </c>
      <c r="D4499" s="3" t="str">
        <f>IFERROR(__xludf.DUMMYFUNCTION("""COMPUTED_VALUE"""),"")</f>
        <v/>
      </c>
      <c r="E4499" s="1"/>
    </row>
    <row r="4500">
      <c r="A4500" s="1"/>
      <c r="B4500" s="3"/>
      <c r="C4500" s="3" t="str">
        <f>IFERROR(__xludf.DUMMYFUNCTION("""COMPUTED_VALUE"""),"")</f>
        <v/>
      </c>
      <c r="D4500" s="3" t="str">
        <f>IFERROR(__xludf.DUMMYFUNCTION("""COMPUTED_VALUE"""),"")</f>
        <v/>
      </c>
      <c r="E4500" s="1"/>
    </row>
    <row r="4501">
      <c r="A4501" s="1"/>
      <c r="B4501" s="3"/>
      <c r="C4501" s="3" t="str">
        <f>IFERROR(__xludf.DUMMYFUNCTION("""COMPUTED_VALUE"""),"")</f>
        <v/>
      </c>
      <c r="D4501" s="3" t="str">
        <f>IFERROR(__xludf.DUMMYFUNCTION("""COMPUTED_VALUE"""),"")</f>
        <v/>
      </c>
      <c r="E4501" s="1"/>
    </row>
    <row r="4502">
      <c r="A4502" s="1"/>
      <c r="B4502" s="3"/>
      <c r="C4502" s="3" t="str">
        <f>IFERROR(__xludf.DUMMYFUNCTION("""COMPUTED_VALUE"""),"")</f>
        <v/>
      </c>
      <c r="D4502" s="3" t="str">
        <f>IFERROR(__xludf.DUMMYFUNCTION("""COMPUTED_VALUE"""),"")</f>
        <v/>
      </c>
      <c r="E4502" s="1"/>
    </row>
    <row r="4503">
      <c r="A4503" s="1"/>
      <c r="B4503" s="3"/>
      <c r="C4503" s="3" t="str">
        <f>IFERROR(__xludf.DUMMYFUNCTION("""COMPUTED_VALUE"""),"")</f>
        <v/>
      </c>
      <c r="D4503" s="3" t="str">
        <f>IFERROR(__xludf.DUMMYFUNCTION("""COMPUTED_VALUE"""),"")</f>
        <v/>
      </c>
      <c r="E4503" s="1"/>
    </row>
    <row r="4504">
      <c r="A4504" s="1"/>
      <c r="B4504" s="3"/>
      <c r="C4504" s="3" t="str">
        <f>IFERROR(__xludf.DUMMYFUNCTION("""COMPUTED_VALUE"""),"")</f>
        <v/>
      </c>
      <c r="D4504" s="3" t="str">
        <f>IFERROR(__xludf.DUMMYFUNCTION("""COMPUTED_VALUE"""),"")</f>
        <v/>
      </c>
      <c r="E4504" s="1"/>
    </row>
    <row r="4505">
      <c r="A4505" s="1"/>
      <c r="B4505" s="3"/>
      <c r="C4505" s="3" t="str">
        <f>IFERROR(__xludf.DUMMYFUNCTION("""COMPUTED_VALUE"""),"")</f>
        <v/>
      </c>
      <c r="D4505" s="3" t="str">
        <f>IFERROR(__xludf.DUMMYFUNCTION("""COMPUTED_VALUE"""),"")</f>
        <v/>
      </c>
      <c r="E4505" s="1"/>
    </row>
    <row r="4506">
      <c r="A4506" s="1"/>
      <c r="B4506" s="3"/>
      <c r="C4506" s="3" t="str">
        <f>IFERROR(__xludf.DUMMYFUNCTION("""COMPUTED_VALUE"""),"")</f>
        <v/>
      </c>
      <c r="D4506" s="3" t="str">
        <f>IFERROR(__xludf.DUMMYFUNCTION("""COMPUTED_VALUE"""),"")</f>
        <v/>
      </c>
      <c r="E4506" s="1"/>
    </row>
    <row r="4507">
      <c r="A4507" s="1"/>
      <c r="B4507" s="3"/>
      <c r="C4507" s="3" t="str">
        <f>IFERROR(__xludf.DUMMYFUNCTION("""COMPUTED_VALUE"""),"")</f>
        <v/>
      </c>
      <c r="D4507" s="3" t="str">
        <f>IFERROR(__xludf.DUMMYFUNCTION("""COMPUTED_VALUE"""),"")</f>
        <v/>
      </c>
      <c r="E4507" s="1"/>
    </row>
    <row r="4508">
      <c r="A4508" s="1"/>
      <c r="B4508" s="3"/>
      <c r="C4508" s="3" t="str">
        <f>IFERROR(__xludf.DUMMYFUNCTION("""COMPUTED_VALUE"""),"")</f>
        <v/>
      </c>
      <c r="D4508" s="3" t="str">
        <f>IFERROR(__xludf.DUMMYFUNCTION("""COMPUTED_VALUE"""),"")</f>
        <v/>
      </c>
      <c r="E4508" s="1"/>
    </row>
    <row r="4509">
      <c r="A4509" s="1"/>
      <c r="B4509" s="3"/>
      <c r="C4509" s="3" t="str">
        <f>IFERROR(__xludf.DUMMYFUNCTION("""COMPUTED_VALUE"""),"")</f>
        <v/>
      </c>
      <c r="D4509" s="3" t="str">
        <f>IFERROR(__xludf.DUMMYFUNCTION("""COMPUTED_VALUE"""),"")</f>
        <v/>
      </c>
      <c r="E4509" s="1"/>
    </row>
    <row r="4510">
      <c r="A4510" s="1"/>
      <c r="B4510" s="3"/>
      <c r="C4510" s="3" t="str">
        <f>IFERROR(__xludf.DUMMYFUNCTION("""COMPUTED_VALUE"""),"")</f>
        <v/>
      </c>
      <c r="D4510" s="3" t="str">
        <f>IFERROR(__xludf.DUMMYFUNCTION("""COMPUTED_VALUE"""),"")</f>
        <v/>
      </c>
      <c r="E4510" s="1"/>
    </row>
    <row r="4511">
      <c r="A4511" s="1"/>
      <c r="B4511" s="3"/>
      <c r="C4511" s="3" t="str">
        <f>IFERROR(__xludf.DUMMYFUNCTION("""COMPUTED_VALUE"""),"")</f>
        <v/>
      </c>
      <c r="D4511" s="3" t="str">
        <f>IFERROR(__xludf.DUMMYFUNCTION("""COMPUTED_VALUE"""),"")</f>
        <v/>
      </c>
      <c r="E4511" s="1"/>
    </row>
    <row r="4512">
      <c r="A4512" s="1"/>
      <c r="B4512" s="3"/>
      <c r="C4512" s="3" t="str">
        <f>IFERROR(__xludf.DUMMYFUNCTION("""COMPUTED_VALUE"""),"")</f>
        <v/>
      </c>
      <c r="D4512" s="3" t="str">
        <f>IFERROR(__xludf.DUMMYFUNCTION("""COMPUTED_VALUE"""),"")</f>
        <v/>
      </c>
      <c r="E4512" s="1"/>
    </row>
    <row r="4513">
      <c r="A4513" s="1"/>
      <c r="B4513" s="3"/>
      <c r="C4513" s="3" t="str">
        <f>IFERROR(__xludf.DUMMYFUNCTION("""COMPUTED_VALUE"""),"")</f>
        <v/>
      </c>
      <c r="D4513" s="3" t="str">
        <f>IFERROR(__xludf.DUMMYFUNCTION("""COMPUTED_VALUE"""),"")</f>
        <v/>
      </c>
      <c r="E4513" s="1"/>
    </row>
    <row r="4514">
      <c r="A4514" s="1"/>
      <c r="B4514" s="3"/>
      <c r="C4514" s="3" t="str">
        <f>IFERROR(__xludf.DUMMYFUNCTION("""COMPUTED_VALUE"""),"")</f>
        <v/>
      </c>
      <c r="D4514" s="3" t="str">
        <f>IFERROR(__xludf.DUMMYFUNCTION("""COMPUTED_VALUE"""),"")</f>
        <v/>
      </c>
      <c r="E4514" s="1"/>
    </row>
    <row r="4515">
      <c r="A4515" s="1"/>
      <c r="B4515" s="3"/>
      <c r="C4515" s="3" t="str">
        <f>IFERROR(__xludf.DUMMYFUNCTION("""COMPUTED_VALUE"""),"")</f>
        <v/>
      </c>
      <c r="D4515" s="3" t="str">
        <f>IFERROR(__xludf.DUMMYFUNCTION("""COMPUTED_VALUE"""),"")</f>
        <v/>
      </c>
      <c r="E4515" s="1"/>
    </row>
    <row r="4516">
      <c r="A4516" s="1"/>
      <c r="B4516" s="3"/>
      <c r="C4516" s="3" t="str">
        <f>IFERROR(__xludf.DUMMYFUNCTION("""COMPUTED_VALUE"""),"")</f>
        <v/>
      </c>
      <c r="D4516" s="3" t="str">
        <f>IFERROR(__xludf.DUMMYFUNCTION("""COMPUTED_VALUE"""),"")</f>
        <v/>
      </c>
      <c r="E4516" s="1"/>
    </row>
    <row r="4517">
      <c r="A4517" s="1"/>
      <c r="B4517" s="3"/>
      <c r="C4517" s="3" t="str">
        <f>IFERROR(__xludf.DUMMYFUNCTION("""COMPUTED_VALUE"""),"")</f>
        <v/>
      </c>
      <c r="D4517" s="3" t="str">
        <f>IFERROR(__xludf.DUMMYFUNCTION("""COMPUTED_VALUE"""),"")</f>
        <v/>
      </c>
      <c r="E4517" s="1"/>
    </row>
    <row r="4518">
      <c r="A4518" s="1"/>
      <c r="B4518" s="3"/>
      <c r="C4518" s="3" t="str">
        <f>IFERROR(__xludf.DUMMYFUNCTION("""COMPUTED_VALUE"""),"")</f>
        <v/>
      </c>
      <c r="D4518" s="3" t="str">
        <f>IFERROR(__xludf.DUMMYFUNCTION("""COMPUTED_VALUE"""),"")</f>
        <v/>
      </c>
      <c r="E4518" s="1"/>
    </row>
    <row r="4519">
      <c r="A4519" s="1"/>
      <c r="B4519" s="3"/>
      <c r="C4519" s="3" t="str">
        <f>IFERROR(__xludf.DUMMYFUNCTION("""COMPUTED_VALUE"""),"")</f>
        <v/>
      </c>
      <c r="D4519" s="3" t="str">
        <f>IFERROR(__xludf.DUMMYFUNCTION("""COMPUTED_VALUE"""),"")</f>
        <v/>
      </c>
      <c r="E4519" s="1"/>
    </row>
    <row r="4520">
      <c r="A4520" s="1"/>
      <c r="B4520" s="3"/>
      <c r="C4520" s="3" t="str">
        <f>IFERROR(__xludf.DUMMYFUNCTION("""COMPUTED_VALUE"""),"")</f>
        <v/>
      </c>
      <c r="D4520" s="3" t="str">
        <f>IFERROR(__xludf.DUMMYFUNCTION("""COMPUTED_VALUE"""),"")</f>
        <v/>
      </c>
      <c r="E4520" s="1"/>
    </row>
    <row r="4521">
      <c r="A4521" s="1"/>
      <c r="B4521" s="3"/>
      <c r="C4521" s="3" t="str">
        <f>IFERROR(__xludf.DUMMYFUNCTION("""COMPUTED_VALUE"""),"")</f>
        <v/>
      </c>
      <c r="D4521" s="3" t="str">
        <f>IFERROR(__xludf.DUMMYFUNCTION("""COMPUTED_VALUE"""),"")</f>
        <v/>
      </c>
      <c r="E4521" s="1"/>
    </row>
    <row r="4522">
      <c r="A4522" s="1"/>
      <c r="B4522" s="3"/>
      <c r="C4522" s="3" t="str">
        <f>IFERROR(__xludf.DUMMYFUNCTION("""COMPUTED_VALUE"""),"")</f>
        <v/>
      </c>
      <c r="D4522" s="3" t="str">
        <f>IFERROR(__xludf.DUMMYFUNCTION("""COMPUTED_VALUE"""),"")</f>
        <v/>
      </c>
      <c r="E4522" s="1"/>
    </row>
    <row r="4523">
      <c r="A4523" s="1"/>
      <c r="B4523" s="3"/>
      <c r="C4523" s="3" t="str">
        <f>IFERROR(__xludf.DUMMYFUNCTION("""COMPUTED_VALUE"""),"")</f>
        <v/>
      </c>
      <c r="D4523" s="3" t="str">
        <f>IFERROR(__xludf.DUMMYFUNCTION("""COMPUTED_VALUE"""),"")</f>
        <v/>
      </c>
      <c r="E4523" s="1"/>
    </row>
    <row r="4524">
      <c r="A4524" s="1"/>
      <c r="B4524" s="3"/>
      <c r="C4524" s="3" t="str">
        <f>IFERROR(__xludf.DUMMYFUNCTION("""COMPUTED_VALUE"""),"")</f>
        <v/>
      </c>
      <c r="D4524" s="3" t="str">
        <f>IFERROR(__xludf.DUMMYFUNCTION("""COMPUTED_VALUE"""),"")</f>
        <v/>
      </c>
      <c r="E4524" s="1"/>
    </row>
    <row r="4525">
      <c r="A4525" s="1"/>
      <c r="B4525" s="3"/>
      <c r="C4525" s="3" t="str">
        <f>IFERROR(__xludf.DUMMYFUNCTION("""COMPUTED_VALUE"""),"")</f>
        <v/>
      </c>
      <c r="D4525" s="3" t="str">
        <f>IFERROR(__xludf.DUMMYFUNCTION("""COMPUTED_VALUE"""),"")</f>
        <v/>
      </c>
      <c r="E4525" s="1"/>
    </row>
    <row r="4526">
      <c r="A4526" s="1"/>
      <c r="B4526" s="3"/>
      <c r="C4526" s="3" t="str">
        <f>IFERROR(__xludf.DUMMYFUNCTION("""COMPUTED_VALUE"""),"")</f>
        <v/>
      </c>
      <c r="D4526" s="3" t="str">
        <f>IFERROR(__xludf.DUMMYFUNCTION("""COMPUTED_VALUE"""),"")</f>
        <v/>
      </c>
      <c r="E4526" s="1"/>
    </row>
    <row r="4527">
      <c r="A4527" s="1"/>
      <c r="B4527" s="3"/>
      <c r="C4527" s="3" t="str">
        <f>IFERROR(__xludf.DUMMYFUNCTION("""COMPUTED_VALUE"""),"")</f>
        <v/>
      </c>
      <c r="D4527" s="3" t="str">
        <f>IFERROR(__xludf.DUMMYFUNCTION("""COMPUTED_VALUE"""),"")</f>
        <v/>
      </c>
      <c r="E4527" s="1"/>
    </row>
    <row r="4528">
      <c r="A4528" s="1"/>
      <c r="B4528" s="3"/>
      <c r="C4528" s="3" t="str">
        <f>IFERROR(__xludf.DUMMYFUNCTION("""COMPUTED_VALUE"""),"")</f>
        <v/>
      </c>
      <c r="D4528" s="3" t="str">
        <f>IFERROR(__xludf.DUMMYFUNCTION("""COMPUTED_VALUE"""),"")</f>
        <v/>
      </c>
      <c r="E4528" s="1"/>
    </row>
    <row r="4529">
      <c r="A4529" s="1"/>
      <c r="B4529" s="3"/>
      <c r="C4529" s="3" t="str">
        <f>IFERROR(__xludf.DUMMYFUNCTION("""COMPUTED_VALUE"""),"")</f>
        <v/>
      </c>
      <c r="D4529" s="3" t="str">
        <f>IFERROR(__xludf.DUMMYFUNCTION("""COMPUTED_VALUE"""),"")</f>
        <v/>
      </c>
      <c r="E4529" s="1"/>
    </row>
    <row r="4530">
      <c r="A4530" s="1"/>
      <c r="B4530" s="3"/>
      <c r="C4530" s="3" t="str">
        <f>IFERROR(__xludf.DUMMYFUNCTION("""COMPUTED_VALUE"""),"")</f>
        <v/>
      </c>
      <c r="D4530" s="3" t="str">
        <f>IFERROR(__xludf.DUMMYFUNCTION("""COMPUTED_VALUE"""),"")</f>
        <v/>
      </c>
      <c r="E4530" s="1"/>
    </row>
    <row r="4531">
      <c r="A4531" s="1"/>
      <c r="B4531" s="3"/>
      <c r="C4531" s="3" t="str">
        <f>IFERROR(__xludf.DUMMYFUNCTION("""COMPUTED_VALUE"""),"")</f>
        <v/>
      </c>
      <c r="D4531" s="3" t="str">
        <f>IFERROR(__xludf.DUMMYFUNCTION("""COMPUTED_VALUE"""),"")</f>
        <v/>
      </c>
      <c r="E4531" s="1"/>
    </row>
    <row r="4532">
      <c r="A4532" s="1"/>
      <c r="B4532" s="3"/>
      <c r="C4532" s="3" t="str">
        <f>IFERROR(__xludf.DUMMYFUNCTION("""COMPUTED_VALUE"""),"")</f>
        <v/>
      </c>
      <c r="D4532" s="3" t="str">
        <f>IFERROR(__xludf.DUMMYFUNCTION("""COMPUTED_VALUE"""),"")</f>
        <v/>
      </c>
      <c r="E4532" s="1"/>
    </row>
    <row r="4533">
      <c r="A4533" s="1"/>
      <c r="B4533" s="3"/>
      <c r="C4533" s="3" t="str">
        <f>IFERROR(__xludf.DUMMYFUNCTION("""COMPUTED_VALUE"""),"")</f>
        <v/>
      </c>
      <c r="D4533" s="3" t="str">
        <f>IFERROR(__xludf.DUMMYFUNCTION("""COMPUTED_VALUE"""),"")</f>
        <v/>
      </c>
      <c r="E4533" s="1"/>
    </row>
    <row r="4534">
      <c r="A4534" s="1"/>
      <c r="B4534" s="3"/>
      <c r="C4534" s="3" t="str">
        <f>IFERROR(__xludf.DUMMYFUNCTION("""COMPUTED_VALUE"""),"")</f>
        <v/>
      </c>
      <c r="D4534" s="3" t="str">
        <f>IFERROR(__xludf.DUMMYFUNCTION("""COMPUTED_VALUE"""),"")</f>
        <v/>
      </c>
      <c r="E4534" s="1"/>
    </row>
    <row r="4535">
      <c r="A4535" s="1"/>
      <c r="B4535" s="3"/>
      <c r="C4535" s="3" t="str">
        <f>IFERROR(__xludf.DUMMYFUNCTION("""COMPUTED_VALUE"""),"")</f>
        <v/>
      </c>
      <c r="D4535" s="3" t="str">
        <f>IFERROR(__xludf.DUMMYFUNCTION("""COMPUTED_VALUE"""),"")</f>
        <v/>
      </c>
      <c r="E4535" s="1"/>
    </row>
    <row r="4536">
      <c r="A4536" s="1"/>
      <c r="B4536" s="3"/>
      <c r="C4536" s="3" t="str">
        <f>IFERROR(__xludf.DUMMYFUNCTION("""COMPUTED_VALUE"""),"")</f>
        <v/>
      </c>
      <c r="D4536" s="3" t="str">
        <f>IFERROR(__xludf.DUMMYFUNCTION("""COMPUTED_VALUE"""),"")</f>
        <v/>
      </c>
      <c r="E4536" s="1"/>
    </row>
    <row r="4537">
      <c r="A4537" s="1"/>
      <c r="B4537" s="3"/>
      <c r="C4537" s="3" t="str">
        <f>IFERROR(__xludf.DUMMYFUNCTION("""COMPUTED_VALUE"""),"")</f>
        <v/>
      </c>
      <c r="D4537" s="3" t="str">
        <f>IFERROR(__xludf.DUMMYFUNCTION("""COMPUTED_VALUE"""),"")</f>
        <v/>
      </c>
      <c r="E4537" s="1"/>
    </row>
    <row r="4538">
      <c r="A4538" s="1"/>
      <c r="B4538" s="3"/>
      <c r="C4538" s="3" t="str">
        <f>IFERROR(__xludf.DUMMYFUNCTION("""COMPUTED_VALUE"""),"")</f>
        <v/>
      </c>
      <c r="D4538" s="3" t="str">
        <f>IFERROR(__xludf.DUMMYFUNCTION("""COMPUTED_VALUE"""),"")</f>
        <v/>
      </c>
      <c r="E4538" s="1"/>
    </row>
    <row r="4539">
      <c r="A4539" s="1"/>
      <c r="B4539" s="3"/>
      <c r="C4539" s="3" t="str">
        <f>IFERROR(__xludf.DUMMYFUNCTION("""COMPUTED_VALUE"""),"")</f>
        <v/>
      </c>
      <c r="D4539" s="3" t="str">
        <f>IFERROR(__xludf.DUMMYFUNCTION("""COMPUTED_VALUE"""),"")</f>
        <v/>
      </c>
      <c r="E4539" s="1"/>
    </row>
    <row r="4540">
      <c r="A4540" s="1"/>
      <c r="B4540" s="3"/>
      <c r="C4540" s="3" t="str">
        <f>IFERROR(__xludf.DUMMYFUNCTION("""COMPUTED_VALUE"""),"")</f>
        <v/>
      </c>
      <c r="D4540" s="3" t="str">
        <f>IFERROR(__xludf.DUMMYFUNCTION("""COMPUTED_VALUE"""),"")</f>
        <v/>
      </c>
      <c r="E4540" s="1"/>
    </row>
    <row r="4541">
      <c r="A4541" s="1"/>
      <c r="B4541" s="3"/>
      <c r="C4541" s="3" t="str">
        <f>IFERROR(__xludf.DUMMYFUNCTION("""COMPUTED_VALUE"""),"")</f>
        <v/>
      </c>
      <c r="D4541" s="3" t="str">
        <f>IFERROR(__xludf.DUMMYFUNCTION("""COMPUTED_VALUE"""),"")</f>
        <v/>
      </c>
      <c r="E4541" s="1"/>
    </row>
    <row r="4542">
      <c r="A4542" s="1"/>
      <c r="B4542" s="3"/>
      <c r="C4542" s="3" t="str">
        <f>IFERROR(__xludf.DUMMYFUNCTION("""COMPUTED_VALUE"""),"")</f>
        <v/>
      </c>
      <c r="D4542" s="3" t="str">
        <f>IFERROR(__xludf.DUMMYFUNCTION("""COMPUTED_VALUE"""),"")</f>
        <v/>
      </c>
      <c r="E4542" s="1"/>
    </row>
    <row r="4543">
      <c r="A4543" s="1"/>
      <c r="B4543" s="3"/>
      <c r="C4543" s="3" t="str">
        <f>IFERROR(__xludf.DUMMYFUNCTION("""COMPUTED_VALUE"""),"")</f>
        <v/>
      </c>
      <c r="D4543" s="3" t="str">
        <f>IFERROR(__xludf.DUMMYFUNCTION("""COMPUTED_VALUE"""),"")</f>
        <v/>
      </c>
      <c r="E4543" s="1"/>
    </row>
    <row r="4544">
      <c r="A4544" s="1"/>
      <c r="B4544" s="3"/>
      <c r="C4544" s="3" t="str">
        <f>IFERROR(__xludf.DUMMYFUNCTION("""COMPUTED_VALUE"""),"")</f>
        <v/>
      </c>
      <c r="D4544" s="3" t="str">
        <f>IFERROR(__xludf.DUMMYFUNCTION("""COMPUTED_VALUE"""),"")</f>
        <v/>
      </c>
      <c r="E4544" s="1"/>
    </row>
    <row r="4545">
      <c r="A4545" s="1"/>
      <c r="B4545" s="3"/>
      <c r="C4545" s="3" t="str">
        <f>IFERROR(__xludf.DUMMYFUNCTION("""COMPUTED_VALUE"""),"")</f>
        <v/>
      </c>
      <c r="D4545" s="3" t="str">
        <f>IFERROR(__xludf.DUMMYFUNCTION("""COMPUTED_VALUE"""),"")</f>
        <v/>
      </c>
      <c r="E4545" s="1"/>
    </row>
    <row r="4546">
      <c r="A4546" s="1"/>
      <c r="B4546" s="3"/>
      <c r="C4546" s="3" t="str">
        <f>IFERROR(__xludf.DUMMYFUNCTION("""COMPUTED_VALUE"""),"")</f>
        <v/>
      </c>
      <c r="D4546" s="3" t="str">
        <f>IFERROR(__xludf.DUMMYFUNCTION("""COMPUTED_VALUE"""),"")</f>
        <v/>
      </c>
      <c r="E4546" s="1"/>
    </row>
    <row r="4547">
      <c r="A4547" s="1"/>
      <c r="B4547" s="3"/>
      <c r="C4547" s="3" t="str">
        <f>IFERROR(__xludf.DUMMYFUNCTION("""COMPUTED_VALUE"""),"")</f>
        <v/>
      </c>
      <c r="D4547" s="3" t="str">
        <f>IFERROR(__xludf.DUMMYFUNCTION("""COMPUTED_VALUE"""),"")</f>
        <v/>
      </c>
      <c r="E4547" s="1"/>
    </row>
    <row r="4548">
      <c r="A4548" s="1"/>
      <c r="B4548" s="3"/>
      <c r="C4548" s="3" t="str">
        <f>IFERROR(__xludf.DUMMYFUNCTION("""COMPUTED_VALUE"""),"")</f>
        <v/>
      </c>
      <c r="D4548" s="3" t="str">
        <f>IFERROR(__xludf.DUMMYFUNCTION("""COMPUTED_VALUE"""),"")</f>
        <v/>
      </c>
      <c r="E4548" s="1"/>
    </row>
    <row r="4549">
      <c r="A4549" s="1"/>
      <c r="B4549" s="3"/>
      <c r="C4549" s="3" t="str">
        <f>IFERROR(__xludf.DUMMYFUNCTION("""COMPUTED_VALUE"""),"")</f>
        <v/>
      </c>
      <c r="D4549" s="3" t="str">
        <f>IFERROR(__xludf.DUMMYFUNCTION("""COMPUTED_VALUE"""),"")</f>
        <v/>
      </c>
      <c r="E4549" s="1"/>
    </row>
    <row r="4550">
      <c r="A4550" s="1"/>
      <c r="B4550" s="3"/>
      <c r="C4550" s="3" t="str">
        <f>IFERROR(__xludf.DUMMYFUNCTION("""COMPUTED_VALUE"""),"")</f>
        <v/>
      </c>
      <c r="D4550" s="3" t="str">
        <f>IFERROR(__xludf.DUMMYFUNCTION("""COMPUTED_VALUE"""),"")</f>
        <v/>
      </c>
      <c r="E4550" s="1"/>
    </row>
    <row r="4551">
      <c r="A4551" s="1"/>
      <c r="B4551" s="3"/>
      <c r="C4551" s="3" t="str">
        <f>IFERROR(__xludf.DUMMYFUNCTION("""COMPUTED_VALUE"""),"")</f>
        <v/>
      </c>
      <c r="D4551" s="3" t="str">
        <f>IFERROR(__xludf.DUMMYFUNCTION("""COMPUTED_VALUE"""),"")</f>
        <v/>
      </c>
      <c r="E4551" s="1"/>
    </row>
    <row r="4552">
      <c r="A4552" s="1"/>
      <c r="B4552" s="3"/>
      <c r="C4552" s="3" t="str">
        <f>IFERROR(__xludf.DUMMYFUNCTION("""COMPUTED_VALUE"""),"")</f>
        <v/>
      </c>
      <c r="D4552" s="3" t="str">
        <f>IFERROR(__xludf.DUMMYFUNCTION("""COMPUTED_VALUE"""),"")</f>
        <v/>
      </c>
      <c r="E4552" s="1"/>
    </row>
    <row r="4553">
      <c r="A4553" s="1"/>
      <c r="B4553" s="3"/>
      <c r="C4553" s="3" t="str">
        <f>IFERROR(__xludf.DUMMYFUNCTION("""COMPUTED_VALUE"""),"")</f>
        <v/>
      </c>
      <c r="D4553" s="3" t="str">
        <f>IFERROR(__xludf.DUMMYFUNCTION("""COMPUTED_VALUE"""),"")</f>
        <v/>
      </c>
      <c r="E4553" s="1"/>
    </row>
    <row r="4554">
      <c r="A4554" s="1"/>
      <c r="B4554" s="3"/>
      <c r="C4554" s="3" t="str">
        <f>IFERROR(__xludf.DUMMYFUNCTION("""COMPUTED_VALUE"""),"")</f>
        <v/>
      </c>
      <c r="D4554" s="3" t="str">
        <f>IFERROR(__xludf.DUMMYFUNCTION("""COMPUTED_VALUE"""),"")</f>
        <v/>
      </c>
      <c r="E4554" s="1"/>
    </row>
    <row r="4555">
      <c r="A4555" s="1"/>
      <c r="B4555" s="3"/>
      <c r="C4555" s="3" t="str">
        <f>IFERROR(__xludf.DUMMYFUNCTION("""COMPUTED_VALUE"""),"")</f>
        <v/>
      </c>
      <c r="D4555" s="3" t="str">
        <f>IFERROR(__xludf.DUMMYFUNCTION("""COMPUTED_VALUE"""),"")</f>
        <v/>
      </c>
      <c r="E4555" s="1"/>
    </row>
    <row r="4556">
      <c r="A4556" s="1"/>
      <c r="B4556" s="3"/>
      <c r="C4556" s="3" t="str">
        <f>IFERROR(__xludf.DUMMYFUNCTION("""COMPUTED_VALUE"""),"")</f>
        <v/>
      </c>
      <c r="D4556" s="3" t="str">
        <f>IFERROR(__xludf.DUMMYFUNCTION("""COMPUTED_VALUE"""),"")</f>
        <v/>
      </c>
      <c r="E4556" s="1"/>
    </row>
    <row r="4557">
      <c r="A4557" s="1"/>
      <c r="B4557" s="3"/>
      <c r="C4557" s="3" t="str">
        <f>IFERROR(__xludf.DUMMYFUNCTION("""COMPUTED_VALUE"""),"")</f>
        <v/>
      </c>
      <c r="D4557" s="3" t="str">
        <f>IFERROR(__xludf.DUMMYFUNCTION("""COMPUTED_VALUE"""),"")</f>
        <v/>
      </c>
      <c r="E4557" s="1"/>
    </row>
    <row r="4558">
      <c r="A4558" s="1"/>
      <c r="B4558" s="3"/>
      <c r="C4558" s="3" t="str">
        <f>IFERROR(__xludf.DUMMYFUNCTION("""COMPUTED_VALUE"""),"")</f>
        <v/>
      </c>
      <c r="D4558" s="3" t="str">
        <f>IFERROR(__xludf.DUMMYFUNCTION("""COMPUTED_VALUE"""),"")</f>
        <v/>
      </c>
      <c r="E4558" s="1"/>
    </row>
    <row r="4559">
      <c r="A4559" s="1"/>
      <c r="B4559" s="3"/>
      <c r="C4559" s="3" t="str">
        <f>IFERROR(__xludf.DUMMYFUNCTION("""COMPUTED_VALUE"""),"")</f>
        <v/>
      </c>
      <c r="D4559" s="3" t="str">
        <f>IFERROR(__xludf.DUMMYFUNCTION("""COMPUTED_VALUE"""),"")</f>
        <v/>
      </c>
      <c r="E4559" s="1"/>
    </row>
    <row r="4560">
      <c r="A4560" s="1"/>
      <c r="B4560" s="3"/>
      <c r="C4560" s="3" t="str">
        <f>IFERROR(__xludf.DUMMYFUNCTION("""COMPUTED_VALUE"""),"")</f>
        <v/>
      </c>
      <c r="D4560" s="3" t="str">
        <f>IFERROR(__xludf.DUMMYFUNCTION("""COMPUTED_VALUE"""),"")</f>
        <v/>
      </c>
      <c r="E4560" s="1"/>
    </row>
    <row r="4561">
      <c r="A4561" s="1"/>
      <c r="B4561" s="3"/>
      <c r="C4561" s="3" t="str">
        <f>IFERROR(__xludf.DUMMYFUNCTION("""COMPUTED_VALUE"""),"")</f>
        <v/>
      </c>
      <c r="D4561" s="3" t="str">
        <f>IFERROR(__xludf.DUMMYFUNCTION("""COMPUTED_VALUE"""),"")</f>
        <v/>
      </c>
      <c r="E4561" s="1"/>
    </row>
    <row r="4562">
      <c r="A4562" s="1"/>
      <c r="B4562" s="3"/>
      <c r="C4562" s="3" t="str">
        <f>IFERROR(__xludf.DUMMYFUNCTION("""COMPUTED_VALUE"""),"")</f>
        <v/>
      </c>
      <c r="D4562" s="3" t="str">
        <f>IFERROR(__xludf.DUMMYFUNCTION("""COMPUTED_VALUE"""),"")</f>
        <v/>
      </c>
      <c r="E4562" s="1"/>
    </row>
    <row r="4563">
      <c r="A4563" s="1"/>
      <c r="B4563" s="3"/>
      <c r="C4563" s="3" t="str">
        <f>IFERROR(__xludf.DUMMYFUNCTION("""COMPUTED_VALUE"""),"")</f>
        <v/>
      </c>
      <c r="D4563" s="3" t="str">
        <f>IFERROR(__xludf.DUMMYFUNCTION("""COMPUTED_VALUE"""),"")</f>
        <v/>
      </c>
      <c r="E4563" s="1"/>
    </row>
    <row r="4564">
      <c r="A4564" s="1"/>
      <c r="B4564" s="3"/>
      <c r="C4564" s="3" t="str">
        <f>IFERROR(__xludf.DUMMYFUNCTION("""COMPUTED_VALUE"""),"")</f>
        <v/>
      </c>
      <c r="D4564" s="3" t="str">
        <f>IFERROR(__xludf.DUMMYFUNCTION("""COMPUTED_VALUE"""),"")</f>
        <v/>
      </c>
      <c r="E4564" s="1"/>
    </row>
    <row r="4565">
      <c r="A4565" s="1"/>
      <c r="B4565" s="3"/>
      <c r="C4565" s="3" t="str">
        <f>IFERROR(__xludf.DUMMYFUNCTION("""COMPUTED_VALUE"""),"")</f>
        <v/>
      </c>
      <c r="D4565" s="3" t="str">
        <f>IFERROR(__xludf.DUMMYFUNCTION("""COMPUTED_VALUE"""),"")</f>
        <v/>
      </c>
      <c r="E4565" s="1"/>
    </row>
    <row r="4566">
      <c r="A4566" s="1"/>
      <c r="B4566" s="3"/>
      <c r="C4566" s="3" t="str">
        <f>IFERROR(__xludf.DUMMYFUNCTION("""COMPUTED_VALUE"""),"")</f>
        <v/>
      </c>
      <c r="D4566" s="3" t="str">
        <f>IFERROR(__xludf.DUMMYFUNCTION("""COMPUTED_VALUE"""),"")</f>
        <v/>
      </c>
      <c r="E4566" s="1"/>
    </row>
    <row r="4567">
      <c r="A4567" s="1"/>
      <c r="B4567" s="3"/>
      <c r="C4567" s="3"/>
      <c r="D4567" s="3"/>
      <c r="E4567" s="1"/>
    </row>
    <row r="4568">
      <c r="A4568" s="1"/>
      <c r="B4568" s="3"/>
      <c r="C4568" s="3"/>
      <c r="D4568" s="3"/>
      <c r="E4568" s="1"/>
    </row>
    <row r="4569">
      <c r="A4569" s="1"/>
      <c r="B4569" s="3"/>
      <c r="C4569" s="3"/>
      <c r="D4569" s="3"/>
      <c r="E4569" s="1"/>
    </row>
    <row r="4570">
      <c r="A4570" s="1"/>
      <c r="B4570" s="3"/>
      <c r="C4570" s="3"/>
      <c r="D4570" s="3"/>
      <c r="E4570" s="1"/>
    </row>
    <row r="4571">
      <c r="A4571" s="1"/>
      <c r="B4571" s="3"/>
      <c r="C4571" s="3"/>
      <c r="D4571" s="3"/>
      <c r="E4571" s="1"/>
    </row>
    <row r="4572">
      <c r="A4572" s="1"/>
      <c r="B4572" s="3"/>
      <c r="C4572" s="3"/>
      <c r="D4572" s="3"/>
      <c r="E4572" s="1"/>
    </row>
    <row r="4573">
      <c r="A4573" s="1"/>
      <c r="B4573" s="3"/>
      <c r="C4573" s="3"/>
      <c r="D4573" s="3"/>
      <c r="E4573" s="1"/>
    </row>
    <row r="4574">
      <c r="A4574" s="1"/>
      <c r="B4574" s="3"/>
      <c r="C4574" s="3"/>
      <c r="D4574" s="3"/>
      <c r="E4574" s="1"/>
    </row>
    <row r="4575">
      <c r="A4575" s="1"/>
      <c r="B4575" s="3"/>
      <c r="C4575" s="3"/>
      <c r="D4575" s="3"/>
      <c r="E4575" s="1"/>
    </row>
    <row r="4576">
      <c r="A4576" s="1"/>
      <c r="B4576" s="3"/>
      <c r="C4576" s="3"/>
      <c r="D4576" s="3"/>
      <c r="E4576" s="1"/>
    </row>
    <row r="4577">
      <c r="A4577" s="1"/>
      <c r="B4577" s="3"/>
      <c r="C4577" s="3"/>
      <c r="D4577" s="3"/>
      <c r="E4577" s="1"/>
    </row>
    <row r="4578">
      <c r="A4578" s="1"/>
      <c r="B4578" s="3"/>
      <c r="C4578" s="3"/>
      <c r="D4578" s="3"/>
      <c r="E4578" s="1"/>
    </row>
    <row r="4579">
      <c r="A4579" s="1"/>
      <c r="B4579" s="3"/>
      <c r="C4579" s="3"/>
      <c r="D4579" s="3"/>
      <c r="E4579" s="1"/>
    </row>
    <row r="4580">
      <c r="A4580" s="1"/>
      <c r="B4580" s="3"/>
      <c r="C4580" s="3"/>
      <c r="D4580" s="3"/>
      <c r="E4580" s="1"/>
    </row>
    <row r="4581">
      <c r="A4581" s="1"/>
      <c r="B4581" s="3"/>
      <c r="C4581" s="3"/>
      <c r="D4581" s="3"/>
      <c r="E4581" s="1"/>
    </row>
    <row r="4582">
      <c r="A4582" s="1"/>
      <c r="B4582" s="3"/>
      <c r="C4582" s="3"/>
      <c r="D4582" s="3"/>
      <c r="E4582" s="1"/>
    </row>
    <row r="4583">
      <c r="A4583" s="1"/>
      <c r="B4583" s="3"/>
      <c r="C4583" s="3"/>
      <c r="D4583" s="3"/>
      <c r="E4583" s="1"/>
    </row>
    <row r="4584">
      <c r="A4584" s="1"/>
      <c r="B4584" s="3"/>
      <c r="C4584" s="3"/>
      <c r="D4584" s="3"/>
      <c r="E4584" s="1"/>
    </row>
    <row r="4585">
      <c r="A4585" s="1"/>
      <c r="B4585" s="3"/>
      <c r="C4585" s="3"/>
      <c r="D4585" s="3"/>
      <c r="E4585" s="1"/>
    </row>
    <row r="4586">
      <c r="A4586" s="1"/>
      <c r="B4586" s="3"/>
      <c r="C4586" s="3"/>
      <c r="D4586" s="3"/>
      <c r="E4586" s="1"/>
    </row>
    <row r="4587">
      <c r="A4587" s="1"/>
      <c r="B4587" s="3"/>
      <c r="C4587" s="3"/>
      <c r="D4587" s="3"/>
      <c r="E4587" s="1"/>
    </row>
    <row r="4588">
      <c r="A4588" s="1"/>
      <c r="B4588" s="3"/>
      <c r="C4588" s="3"/>
      <c r="D4588" s="3"/>
      <c r="E4588" s="1"/>
    </row>
    <row r="4589">
      <c r="A4589" s="1"/>
      <c r="B4589" s="3"/>
      <c r="C4589" s="3"/>
      <c r="D4589" s="3"/>
      <c r="E4589" s="1"/>
    </row>
    <row r="4590">
      <c r="A4590" s="1"/>
      <c r="B4590" s="3"/>
      <c r="C4590" s="3"/>
      <c r="D4590" s="3"/>
      <c r="E4590" s="1"/>
    </row>
    <row r="4591">
      <c r="A4591" s="1"/>
      <c r="B4591" s="3"/>
      <c r="C4591" s="3"/>
      <c r="D4591" s="3"/>
      <c r="E4591" s="1"/>
    </row>
    <row r="4592">
      <c r="A4592" s="1"/>
      <c r="B4592" s="3"/>
      <c r="C4592" s="3"/>
      <c r="D4592" s="3"/>
      <c r="E4592" s="1"/>
    </row>
    <row r="4593">
      <c r="A4593" s="1"/>
      <c r="B4593" s="3"/>
      <c r="C4593" s="3"/>
      <c r="D4593" s="3"/>
      <c r="E4593" s="1"/>
    </row>
    <row r="4594">
      <c r="A4594" s="1"/>
      <c r="B4594" s="3"/>
      <c r="C4594" s="3"/>
      <c r="D4594" s="3"/>
      <c r="E4594" s="1"/>
    </row>
    <row r="4595">
      <c r="A4595" s="1"/>
      <c r="B4595" s="3"/>
      <c r="C4595" s="3"/>
      <c r="D4595" s="3"/>
      <c r="E4595" s="1"/>
    </row>
    <row r="4596">
      <c r="A4596" s="1"/>
      <c r="B4596" s="3"/>
      <c r="C4596" s="3"/>
      <c r="D4596" s="3"/>
      <c r="E4596" s="1"/>
    </row>
    <row r="4597">
      <c r="A4597" s="1"/>
      <c r="B4597" s="3"/>
      <c r="C4597" s="3"/>
      <c r="D4597" s="3"/>
      <c r="E4597" s="1"/>
    </row>
    <row r="4598">
      <c r="A4598" s="1"/>
      <c r="B4598" s="3"/>
      <c r="C4598" s="3"/>
      <c r="D4598" s="3"/>
      <c r="E4598" s="1"/>
    </row>
    <row r="4599">
      <c r="A4599" s="1"/>
      <c r="B4599" s="3"/>
      <c r="C4599" s="3"/>
      <c r="D4599" s="3"/>
      <c r="E4599" s="1"/>
    </row>
    <row r="4600">
      <c r="A4600" s="1"/>
      <c r="B4600" s="3"/>
      <c r="C4600" s="3"/>
      <c r="D4600" s="3"/>
      <c r="E4600" s="1"/>
    </row>
    <row r="4601">
      <c r="A4601" s="1"/>
      <c r="B4601" s="3"/>
      <c r="C4601" s="3"/>
      <c r="D4601" s="3"/>
      <c r="E4601" s="1"/>
    </row>
    <row r="4602">
      <c r="A4602" s="1"/>
      <c r="B4602" s="3"/>
      <c r="C4602" s="3"/>
      <c r="D4602" s="3"/>
      <c r="E4602" s="1"/>
    </row>
    <row r="4603">
      <c r="A4603" s="1"/>
      <c r="B4603" s="3"/>
      <c r="C4603" s="3"/>
      <c r="D4603" s="3"/>
      <c r="E4603" s="1"/>
    </row>
    <row r="4604">
      <c r="A4604" s="1"/>
      <c r="B4604" s="3"/>
      <c r="C4604" s="3"/>
      <c r="D4604" s="3"/>
      <c r="E4604" s="1"/>
    </row>
    <row r="4605">
      <c r="A4605" s="1"/>
      <c r="B4605" s="3"/>
      <c r="C4605" s="3"/>
      <c r="D4605" s="3"/>
      <c r="E4605" s="1"/>
    </row>
    <row r="4606">
      <c r="A4606" s="1"/>
      <c r="B4606" s="3"/>
      <c r="C4606" s="3"/>
      <c r="D4606" s="3"/>
      <c r="E4606" s="1"/>
    </row>
    <row r="4607">
      <c r="A4607" s="1"/>
      <c r="B4607" s="3"/>
      <c r="C4607" s="3"/>
      <c r="D4607" s="3"/>
      <c r="E4607" s="1"/>
    </row>
    <row r="4608">
      <c r="A4608" s="1"/>
      <c r="B4608" s="3"/>
      <c r="C4608" s="3"/>
      <c r="D4608" s="3"/>
      <c r="E4608" s="1"/>
    </row>
    <row r="4609">
      <c r="A4609" s="1"/>
      <c r="B4609" s="3"/>
      <c r="C4609" s="3"/>
      <c r="D4609" s="3"/>
      <c r="E4609" s="1"/>
    </row>
    <row r="4610">
      <c r="A4610" s="1"/>
      <c r="B4610" s="3"/>
      <c r="C4610" s="3"/>
      <c r="D4610" s="3"/>
      <c r="E4610" s="1"/>
    </row>
    <row r="4611">
      <c r="A4611" s="1"/>
      <c r="B4611" s="3"/>
      <c r="C4611" s="3"/>
      <c r="D4611" s="3"/>
      <c r="E4611" s="1"/>
    </row>
    <row r="4612">
      <c r="A4612" s="1"/>
      <c r="B4612" s="3"/>
      <c r="C4612" s="3"/>
      <c r="D4612" s="3"/>
      <c r="E4612" s="1"/>
    </row>
    <row r="4613">
      <c r="A4613" s="1"/>
      <c r="B4613" s="3"/>
      <c r="C4613" s="3"/>
      <c r="D4613" s="3"/>
      <c r="E4613" s="1"/>
    </row>
    <row r="4614">
      <c r="A4614" s="1"/>
      <c r="B4614" s="3"/>
      <c r="C4614" s="3"/>
      <c r="D4614" s="3"/>
      <c r="E4614" s="1"/>
    </row>
    <row r="4615">
      <c r="A4615" s="1"/>
      <c r="B4615" s="3"/>
      <c r="C4615" s="3"/>
      <c r="D4615" s="3"/>
      <c r="E4615" s="1"/>
    </row>
    <row r="4616">
      <c r="A4616" s="1"/>
      <c r="B4616" s="3"/>
      <c r="C4616" s="3"/>
      <c r="D4616" s="3"/>
      <c r="E4616" s="1"/>
    </row>
    <row r="4617">
      <c r="A4617" s="1"/>
      <c r="B4617" s="3"/>
      <c r="C4617" s="3"/>
      <c r="D4617" s="3"/>
      <c r="E4617" s="1"/>
    </row>
    <row r="4618">
      <c r="A4618" s="1"/>
      <c r="B4618" s="3"/>
      <c r="C4618" s="3"/>
      <c r="D4618" s="3"/>
      <c r="E4618" s="1"/>
    </row>
    <row r="4619">
      <c r="A4619" s="1"/>
      <c r="B4619" s="3"/>
      <c r="C4619" s="3"/>
      <c r="D4619" s="3"/>
      <c r="E4619" s="1"/>
    </row>
    <row r="4620">
      <c r="A4620" s="1"/>
      <c r="B4620" s="3"/>
      <c r="C4620" s="3"/>
      <c r="D4620" s="3"/>
      <c r="E4620" s="1"/>
    </row>
    <row r="4621">
      <c r="A4621" s="1"/>
      <c r="B4621" s="3"/>
      <c r="C4621" s="3"/>
      <c r="D4621" s="3"/>
      <c r="E4621" s="1"/>
    </row>
    <row r="4622">
      <c r="A4622" s="1"/>
      <c r="B4622" s="3"/>
      <c r="C4622" s="3"/>
      <c r="D4622" s="3"/>
      <c r="E4622" s="1"/>
    </row>
    <row r="4623">
      <c r="A4623" s="1"/>
      <c r="B4623" s="3"/>
      <c r="C4623" s="3"/>
      <c r="D4623" s="3"/>
      <c r="E4623" s="1"/>
    </row>
    <row r="4624">
      <c r="A4624" s="1"/>
      <c r="B4624" s="3"/>
      <c r="C4624" s="3"/>
      <c r="D4624" s="3"/>
      <c r="E4624" s="1"/>
    </row>
    <row r="4625">
      <c r="A4625" s="1"/>
      <c r="B4625" s="3"/>
      <c r="C4625" s="3"/>
      <c r="D4625" s="3"/>
      <c r="E4625" s="1"/>
    </row>
    <row r="4626">
      <c r="A4626" s="1"/>
      <c r="B4626" s="3"/>
      <c r="C4626" s="3"/>
      <c r="D4626" s="3"/>
      <c r="E4626" s="1"/>
    </row>
    <row r="4627">
      <c r="A4627" s="1"/>
      <c r="B4627" s="3"/>
      <c r="C4627" s="3"/>
      <c r="D4627" s="3"/>
      <c r="E4627" s="1"/>
    </row>
    <row r="4628">
      <c r="A4628" s="1"/>
      <c r="B4628" s="3"/>
      <c r="C4628" s="3"/>
      <c r="D4628" s="3"/>
      <c r="E4628" s="1"/>
    </row>
    <row r="4629">
      <c r="A4629" s="1"/>
      <c r="B4629" s="3"/>
      <c r="C4629" s="3"/>
      <c r="D4629" s="3"/>
      <c r="E4629" s="1"/>
    </row>
    <row r="4630">
      <c r="A4630" s="1"/>
      <c r="B4630" s="3"/>
      <c r="C4630" s="3"/>
      <c r="D4630" s="3"/>
      <c r="E4630" s="1"/>
    </row>
    <row r="4631">
      <c r="A4631" s="1"/>
      <c r="B4631" s="3"/>
      <c r="C4631" s="3"/>
      <c r="D4631" s="3"/>
      <c r="E4631" s="1"/>
    </row>
    <row r="4632">
      <c r="A4632" s="1"/>
      <c r="B4632" s="3"/>
      <c r="C4632" s="3"/>
      <c r="D4632" s="3"/>
      <c r="E4632" s="1"/>
    </row>
    <row r="4633">
      <c r="A4633" s="1"/>
      <c r="B4633" s="3"/>
      <c r="C4633" s="3"/>
      <c r="D4633" s="3"/>
      <c r="E4633" s="1"/>
    </row>
    <row r="4634">
      <c r="A4634" s="1"/>
      <c r="B4634" s="3"/>
      <c r="C4634" s="3"/>
      <c r="D4634" s="3"/>
      <c r="E4634" s="1"/>
    </row>
    <row r="4635">
      <c r="A4635" s="1"/>
      <c r="B4635" s="3"/>
      <c r="C4635" s="3"/>
      <c r="D4635" s="3"/>
      <c r="E4635" s="1"/>
    </row>
    <row r="4636">
      <c r="A4636" s="1"/>
      <c r="B4636" s="3"/>
      <c r="C4636" s="3"/>
      <c r="D4636" s="3"/>
      <c r="E4636" s="1"/>
    </row>
    <row r="4637">
      <c r="A4637" s="1"/>
      <c r="B4637" s="3"/>
      <c r="C4637" s="3"/>
      <c r="D4637" s="3"/>
      <c r="E4637" s="1"/>
    </row>
    <row r="4638">
      <c r="A4638" s="1"/>
      <c r="B4638" s="3"/>
      <c r="C4638" s="3"/>
      <c r="D4638" s="3"/>
      <c r="E4638" s="1"/>
    </row>
    <row r="4639">
      <c r="A4639" s="1"/>
      <c r="B4639" s="3"/>
      <c r="C4639" s="3"/>
      <c r="D4639" s="3"/>
      <c r="E4639" s="1"/>
    </row>
    <row r="4640">
      <c r="A4640" s="1"/>
      <c r="B4640" s="3"/>
      <c r="C4640" s="3"/>
      <c r="D4640" s="3"/>
      <c r="E4640" s="1"/>
    </row>
    <row r="4641">
      <c r="A4641" s="1"/>
      <c r="B4641" s="3"/>
      <c r="C4641" s="3"/>
      <c r="D4641" s="3"/>
      <c r="E4641" s="1"/>
    </row>
    <row r="4642">
      <c r="A4642" s="1"/>
      <c r="B4642" s="3"/>
      <c r="C4642" s="3"/>
      <c r="D4642" s="3"/>
      <c r="E4642" s="1"/>
    </row>
    <row r="4643">
      <c r="A4643" s="1"/>
      <c r="B4643" s="3"/>
      <c r="C4643" s="3"/>
      <c r="D4643" s="3"/>
      <c r="E4643" s="1"/>
    </row>
    <row r="4644">
      <c r="A4644" s="1"/>
      <c r="B4644" s="3"/>
      <c r="C4644" s="3"/>
      <c r="D4644" s="3"/>
      <c r="E4644" s="1"/>
    </row>
    <row r="4645">
      <c r="A4645" s="1"/>
      <c r="B4645" s="3"/>
      <c r="C4645" s="3"/>
      <c r="D4645" s="3"/>
      <c r="E4645" s="1"/>
    </row>
    <row r="4646">
      <c r="A4646" s="1"/>
      <c r="B4646" s="3"/>
      <c r="C4646" s="3"/>
      <c r="D4646" s="3"/>
      <c r="E4646" s="1"/>
    </row>
    <row r="4647">
      <c r="A4647" s="1"/>
      <c r="B4647" s="3"/>
      <c r="C4647" s="3"/>
      <c r="D4647" s="3"/>
      <c r="E4647" s="1"/>
    </row>
    <row r="4648">
      <c r="A4648" s="1"/>
      <c r="B4648" s="3"/>
      <c r="C4648" s="3"/>
      <c r="D4648" s="3"/>
      <c r="E4648" s="1"/>
    </row>
    <row r="4649">
      <c r="A4649" s="1"/>
      <c r="B4649" s="3"/>
      <c r="C4649" s="3"/>
      <c r="D4649" s="3"/>
      <c r="E4649" s="1"/>
    </row>
    <row r="4650">
      <c r="A4650" s="1"/>
      <c r="B4650" s="3"/>
      <c r="C4650" s="3"/>
      <c r="D4650" s="3"/>
      <c r="E4650" s="1"/>
    </row>
    <row r="4651">
      <c r="A4651" s="1"/>
      <c r="B4651" s="3"/>
      <c r="C4651" s="3"/>
      <c r="D4651" s="3"/>
      <c r="E4651" s="1"/>
    </row>
    <row r="4652">
      <c r="A4652" s="1"/>
      <c r="B4652" s="3"/>
      <c r="C4652" s="3"/>
      <c r="D4652" s="3"/>
      <c r="E4652" s="1"/>
    </row>
    <row r="4653">
      <c r="A4653" s="1"/>
      <c r="B4653" s="3"/>
      <c r="C4653" s="3"/>
      <c r="D4653" s="3"/>
      <c r="E4653" s="1"/>
    </row>
    <row r="4654">
      <c r="A4654" s="1"/>
      <c r="B4654" s="3"/>
      <c r="C4654" s="3"/>
      <c r="D4654" s="3"/>
      <c r="E4654" s="1"/>
    </row>
    <row r="4655">
      <c r="A4655" s="1"/>
      <c r="B4655" s="3"/>
      <c r="C4655" s="3"/>
      <c r="D4655" s="3"/>
      <c r="E4655" s="1"/>
    </row>
    <row r="4656">
      <c r="A4656" s="1"/>
      <c r="B4656" s="3"/>
      <c r="C4656" s="3"/>
      <c r="D4656" s="3"/>
      <c r="E4656" s="1"/>
    </row>
    <row r="4657">
      <c r="A4657" s="1"/>
      <c r="B4657" s="3"/>
      <c r="C4657" s="3"/>
      <c r="D4657" s="3"/>
      <c r="E4657" s="1"/>
    </row>
    <row r="4658">
      <c r="A4658" s="1"/>
      <c r="B4658" s="3"/>
      <c r="C4658" s="3"/>
      <c r="D4658" s="3"/>
      <c r="E4658" s="1"/>
    </row>
    <row r="4659">
      <c r="A4659" s="1"/>
      <c r="B4659" s="3"/>
      <c r="C4659" s="3"/>
      <c r="D4659" s="3"/>
      <c r="E4659" s="1"/>
    </row>
    <row r="4660">
      <c r="A4660" s="1"/>
      <c r="B4660" s="3"/>
      <c r="C4660" s="3"/>
      <c r="D4660" s="3"/>
      <c r="E4660" s="1"/>
    </row>
    <row r="4661">
      <c r="A4661" s="1"/>
      <c r="B4661" s="3"/>
      <c r="C4661" s="3"/>
      <c r="D4661" s="3"/>
      <c r="E4661" s="1"/>
    </row>
    <row r="4662">
      <c r="A4662" s="1"/>
      <c r="B4662" s="3"/>
      <c r="C4662" s="3"/>
      <c r="D4662" s="3"/>
      <c r="E4662" s="1"/>
    </row>
    <row r="4663">
      <c r="A4663" s="1"/>
      <c r="B4663" s="3"/>
      <c r="C4663" s="3"/>
      <c r="D4663" s="3"/>
      <c r="E4663" s="1"/>
    </row>
    <row r="4664">
      <c r="A4664" s="1"/>
      <c r="B4664" s="3"/>
      <c r="C4664" s="3"/>
      <c r="D4664" s="3"/>
      <c r="E4664" s="1"/>
    </row>
    <row r="4665">
      <c r="A4665" s="1"/>
      <c r="B4665" s="3"/>
      <c r="C4665" s="3"/>
      <c r="D4665" s="3"/>
      <c r="E4665" s="1"/>
    </row>
    <row r="4666">
      <c r="A4666" s="1"/>
      <c r="B4666" s="3"/>
      <c r="C4666" s="3"/>
      <c r="D4666" s="3"/>
      <c r="E4666" s="1"/>
    </row>
    <row r="4667">
      <c r="A4667" s="1"/>
      <c r="B4667" s="3"/>
      <c r="C4667" s="3"/>
      <c r="D4667" s="3"/>
      <c r="E4667" s="1"/>
    </row>
    <row r="4668">
      <c r="A4668" s="1"/>
      <c r="B4668" s="3"/>
      <c r="C4668" s="3"/>
      <c r="D4668" s="3"/>
      <c r="E4668" s="1"/>
    </row>
    <row r="4669">
      <c r="A4669" s="1"/>
      <c r="B4669" s="3"/>
      <c r="C4669" s="3"/>
      <c r="D4669" s="3"/>
      <c r="E4669" s="1"/>
    </row>
    <row r="4670">
      <c r="A4670" s="1"/>
      <c r="B4670" s="3"/>
      <c r="C4670" s="3"/>
      <c r="D4670" s="3"/>
      <c r="E4670" s="1"/>
    </row>
    <row r="4671">
      <c r="A4671" s="1"/>
      <c r="B4671" s="3"/>
      <c r="C4671" s="3"/>
      <c r="D4671" s="3"/>
      <c r="E4671" s="1"/>
    </row>
    <row r="4672">
      <c r="A4672" s="1"/>
      <c r="B4672" s="3"/>
      <c r="C4672" s="3"/>
      <c r="D4672" s="3"/>
      <c r="E4672" s="1"/>
    </row>
    <row r="4673">
      <c r="A4673" s="1"/>
      <c r="B4673" s="3"/>
      <c r="C4673" s="3"/>
      <c r="D4673" s="3"/>
      <c r="E4673" s="1"/>
    </row>
    <row r="4674">
      <c r="A4674" s="1"/>
      <c r="B4674" s="3"/>
      <c r="C4674" s="3"/>
      <c r="D4674" s="3"/>
      <c r="E4674" s="1"/>
    </row>
    <row r="4675">
      <c r="A4675" s="1"/>
      <c r="B4675" s="3"/>
      <c r="C4675" s="3"/>
      <c r="D4675" s="3"/>
      <c r="E4675" s="1"/>
    </row>
    <row r="4676">
      <c r="A4676" s="1"/>
      <c r="B4676" s="3"/>
      <c r="C4676" s="3"/>
      <c r="D4676" s="3"/>
      <c r="E4676" s="1"/>
    </row>
    <row r="4677">
      <c r="A4677" s="1"/>
      <c r="B4677" s="3"/>
      <c r="C4677" s="3"/>
      <c r="D4677" s="3"/>
      <c r="E4677" s="1"/>
    </row>
    <row r="4678">
      <c r="A4678" s="1"/>
      <c r="B4678" s="3"/>
      <c r="C4678" s="3"/>
      <c r="D4678" s="3"/>
      <c r="E4678" s="1"/>
    </row>
    <row r="4679">
      <c r="A4679" s="1"/>
      <c r="B4679" s="3"/>
      <c r="C4679" s="3"/>
      <c r="D4679" s="3"/>
      <c r="E4679" s="1"/>
    </row>
    <row r="4680">
      <c r="A4680" s="1"/>
      <c r="B4680" s="3"/>
      <c r="C4680" s="3"/>
      <c r="D4680" s="3"/>
      <c r="E4680" s="1"/>
    </row>
    <row r="4681">
      <c r="A4681" s="1"/>
      <c r="B4681" s="3"/>
      <c r="C4681" s="3"/>
      <c r="D4681" s="3"/>
      <c r="E4681" s="1"/>
    </row>
    <row r="4682">
      <c r="A4682" s="1"/>
      <c r="B4682" s="3"/>
      <c r="C4682" s="3"/>
      <c r="D4682" s="3"/>
      <c r="E4682" s="1"/>
    </row>
    <row r="4683">
      <c r="A4683" s="1"/>
      <c r="B4683" s="3"/>
      <c r="C4683" s="3"/>
      <c r="D4683" s="3"/>
      <c r="E4683" s="1"/>
    </row>
    <row r="4684">
      <c r="A4684" s="1"/>
      <c r="B4684" s="3"/>
      <c r="C4684" s="3"/>
      <c r="D4684" s="3"/>
      <c r="E4684" s="1"/>
    </row>
    <row r="4685">
      <c r="A4685" s="1"/>
      <c r="B4685" s="3"/>
      <c r="C4685" s="3"/>
      <c r="D4685" s="3"/>
      <c r="E4685" s="1"/>
    </row>
    <row r="4686">
      <c r="A4686" s="1"/>
      <c r="B4686" s="3"/>
      <c r="C4686" s="3"/>
      <c r="D4686" s="3"/>
      <c r="E4686" s="1"/>
    </row>
    <row r="4687">
      <c r="A4687" s="1"/>
      <c r="B4687" s="3"/>
      <c r="C4687" s="3"/>
      <c r="D4687" s="3"/>
      <c r="E4687" s="1"/>
    </row>
    <row r="4688">
      <c r="A4688" s="1"/>
      <c r="B4688" s="3"/>
      <c r="C4688" s="3"/>
      <c r="D4688" s="3"/>
      <c r="E4688" s="1"/>
    </row>
    <row r="4689">
      <c r="A4689" s="1"/>
      <c r="B4689" s="3"/>
      <c r="C4689" s="3"/>
      <c r="D4689" s="3"/>
      <c r="E4689" s="1"/>
    </row>
    <row r="4690">
      <c r="A4690" s="1"/>
      <c r="B4690" s="3"/>
      <c r="C4690" s="3"/>
      <c r="D4690" s="3"/>
      <c r="E4690" s="1"/>
    </row>
    <row r="4691">
      <c r="A4691" s="1"/>
      <c r="B4691" s="3"/>
      <c r="C4691" s="3"/>
      <c r="D4691" s="3"/>
      <c r="E4691" s="1"/>
    </row>
    <row r="4692">
      <c r="A4692" s="1"/>
      <c r="B4692" s="3"/>
      <c r="C4692" s="3"/>
      <c r="D4692" s="3"/>
      <c r="E4692" s="1"/>
    </row>
    <row r="4693">
      <c r="A4693" s="1"/>
      <c r="B4693" s="3"/>
      <c r="C4693" s="3"/>
      <c r="D4693" s="3"/>
      <c r="E4693" s="1"/>
    </row>
    <row r="4694">
      <c r="A4694" s="1"/>
      <c r="B4694" s="3"/>
      <c r="C4694" s="3"/>
      <c r="D4694" s="3"/>
      <c r="E4694" s="1"/>
    </row>
    <row r="4695">
      <c r="A4695" s="1"/>
      <c r="B4695" s="3"/>
      <c r="C4695" s="3"/>
      <c r="D4695" s="3"/>
      <c r="E4695" s="1"/>
    </row>
    <row r="4696">
      <c r="A4696" s="1"/>
      <c r="B4696" s="3"/>
      <c r="C4696" s="3"/>
      <c r="D4696" s="3"/>
      <c r="E4696" s="1"/>
    </row>
    <row r="4697">
      <c r="A4697" s="1"/>
      <c r="B4697" s="3"/>
      <c r="C4697" s="3"/>
      <c r="D4697" s="3"/>
      <c r="E4697" s="1"/>
    </row>
    <row r="4698">
      <c r="A4698" s="1"/>
      <c r="B4698" s="3"/>
      <c r="C4698" s="3"/>
      <c r="D4698" s="3"/>
      <c r="E4698" s="1"/>
    </row>
    <row r="4699">
      <c r="A4699" s="1"/>
      <c r="B4699" s="3"/>
      <c r="C4699" s="3"/>
      <c r="D4699" s="3"/>
      <c r="E4699" s="1"/>
    </row>
    <row r="4700">
      <c r="A4700" s="1"/>
      <c r="B4700" s="3"/>
      <c r="C4700" s="3"/>
      <c r="D4700" s="3"/>
      <c r="E4700" s="1"/>
    </row>
    <row r="4701">
      <c r="A4701" s="1"/>
      <c r="B4701" s="3"/>
      <c r="C4701" s="3"/>
      <c r="D4701" s="3"/>
      <c r="E4701" s="1"/>
    </row>
    <row r="4702">
      <c r="A4702" s="1"/>
      <c r="B4702" s="3"/>
      <c r="C4702" s="3"/>
      <c r="D4702" s="3"/>
      <c r="E4702" s="1"/>
    </row>
    <row r="4703">
      <c r="A4703" s="1"/>
      <c r="B4703" s="3"/>
      <c r="C4703" s="3"/>
      <c r="D4703" s="3"/>
      <c r="E4703" s="1"/>
    </row>
    <row r="4704">
      <c r="A4704" s="1"/>
      <c r="B4704" s="3"/>
      <c r="C4704" s="3"/>
      <c r="D4704" s="3"/>
      <c r="E4704" s="1"/>
    </row>
    <row r="4705">
      <c r="A4705" s="1"/>
      <c r="B4705" s="3"/>
      <c r="C4705" s="3"/>
      <c r="D4705" s="3"/>
      <c r="E4705" s="1"/>
    </row>
    <row r="4706">
      <c r="A4706" s="1"/>
      <c r="B4706" s="3"/>
      <c r="C4706" s="3"/>
      <c r="D4706" s="3"/>
      <c r="E4706" s="1"/>
    </row>
    <row r="4707">
      <c r="A4707" s="1"/>
      <c r="B4707" s="3"/>
      <c r="C4707" s="3"/>
      <c r="D4707" s="3"/>
      <c r="E4707" s="1"/>
    </row>
    <row r="4708">
      <c r="A4708" s="1"/>
      <c r="B4708" s="3"/>
      <c r="C4708" s="3"/>
      <c r="D4708" s="3"/>
      <c r="E4708" s="1"/>
    </row>
    <row r="4709">
      <c r="A4709" s="1"/>
      <c r="B4709" s="3"/>
      <c r="C4709" s="3"/>
      <c r="D4709" s="3"/>
      <c r="E4709" s="1"/>
    </row>
    <row r="4710">
      <c r="A4710" s="1"/>
      <c r="B4710" s="3"/>
      <c r="C4710" s="3"/>
      <c r="D4710" s="3"/>
      <c r="E4710" s="1"/>
    </row>
    <row r="4711">
      <c r="A4711" s="1"/>
      <c r="B4711" s="3"/>
      <c r="C4711" s="3"/>
      <c r="D4711" s="3"/>
      <c r="E4711" s="1"/>
    </row>
    <row r="4712">
      <c r="A4712" s="1"/>
      <c r="B4712" s="3"/>
      <c r="C4712" s="3"/>
      <c r="D4712" s="3"/>
      <c r="E4712" s="1"/>
    </row>
    <row r="4713">
      <c r="A4713" s="1"/>
      <c r="B4713" s="3"/>
      <c r="C4713" s="3"/>
      <c r="D4713" s="3"/>
      <c r="E4713" s="1"/>
    </row>
    <row r="4714">
      <c r="A4714" s="1"/>
      <c r="B4714" s="3"/>
      <c r="C4714" s="3"/>
      <c r="D4714" s="3"/>
      <c r="E4714" s="1"/>
    </row>
    <row r="4715">
      <c r="A4715" s="1"/>
      <c r="B4715" s="3"/>
      <c r="C4715" s="3"/>
      <c r="D4715" s="3"/>
      <c r="E4715" s="1"/>
    </row>
    <row r="4716">
      <c r="A4716" s="1"/>
      <c r="B4716" s="3"/>
      <c r="C4716" s="3"/>
      <c r="D4716" s="3"/>
      <c r="E4716" s="1"/>
    </row>
    <row r="4717">
      <c r="A4717" s="1"/>
      <c r="B4717" s="3"/>
      <c r="C4717" s="3"/>
      <c r="D4717" s="3"/>
      <c r="E4717" s="1"/>
    </row>
    <row r="4718">
      <c r="A4718" s="1"/>
      <c r="B4718" s="3"/>
      <c r="C4718" s="3"/>
      <c r="D4718" s="3"/>
      <c r="E4718" s="1"/>
    </row>
    <row r="4719">
      <c r="A4719" s="1"/>
      <c r="B4719" s="3"/>
      <c r="C4719" s="3"/>
      <c r="D4719" s="3"/>
      <c r="E4719" s="1"/>
    </row>
    <row r="4720">
      <c r="A4720" s="1"/>
      <c r="B4720" s="3"/>
      <c r="C4720" s="3"/>
      <c r="D4720" s="3"/>
      <c r="E4720" s="1"/>
    </row>
    <row r="4721">
      <c r="A4721" s="1"/>
      <c r="B4721" s="3"/>
      <c r="C4721" s="3"/>
      <c r="D4721" s="3"/>
      <c r="E4721" s="1"/>
    </row>
    <row r="4722">
      <c r="A4722" s="1"/>
      <c r="B4722" s="3"/>
      <c r="C4722" s="3"/>
      <c r="D4722" s="3"/>
      <c r="E4722" s="1"/>
    </row>
    <row r="4723">
      <c r="A4723" s="1"/>
      <c r="B4723" s="3"/>
      <c r="C4723" s="3"/>
      <c r="D4723" s="3"/>
      <c r="E4723" s="1"/>
    </row>
    <row r="4724">
      <c r="A4724" s="1"/>
      <c r="B4724" s="3"/>
      <c r="C4724" s="3"/>
      <c r="D4724" s="3"/>
      <c r="E4724" s="1"/>
    </row>
    <row r="4725">
      <c r="A4725" s="1"/>
      <c r="B4725" s="3"/>
      <c r="C4725" s="3"/>
      <c r="D4725" s="3"/>
      <c r="E4725" s="1"/>
    </row>
    <row r="4726">
      <c r="A4726" s="1"/>
      <c r="B4726" s="3"/>
      <c r="C4726" s="3"/>
      <c r="D4726" s="3"/>
      <c r="E4726" s="1"/>
    </row>
    <row r="4727">
      <c r="A4727" s="1"/>
      <c r="B4727" s="3"/>
      <c r="C4727" s="3"/>
      <c r="D4727" s="3"/>
      <c r="E4727" s="1"/>
    </row>
    <row r="4728">
      <c r="A4728" s="1"/>
      <c r="B4728" s="3"/>
      <c r="C4728" s="3"/>
      <c r="D4728" s="3"/>
      <c r="E4728" s="1"/>
    </row>
    <row r="4729">
      <c r="A4729" s="1"/>
      <c r="B4729" s="3"/>
      <c r="C4729" s="3"/>
      <c r="D4729" s="3"/>
      <c r="E4729" s="1"/>
    </row>
    <row r="4730">
      <c r="A4730" s="1"/>
      <c r="B4730" s="3"/>
      <c r="C4730" s="3"/>
      <c r="D4730" s="3"/>
      <c r="E4730" s="1"/>
    </row>
    <row r="4731">
      <c r="A4731" s="1"/>
      <c r="B4731" s="3"/>
      <c r="C4731" s="3"/>
      <c r="D4731" s="3"/>
      <c r="E4731" s="1"/>
    </row>
    <row r="4732">
      <c r="A4732" s="1"/>
      <c r="B4732" s="3"/>
      <c r="C4732" s="3"/>
      <c r="D4732" s="3"/>
      <c r="E4732" s="1"/>
    </row>
    <row r="4733">
      <c r="A4733" s="1"/>
      <c r="B4733" s="3"/>
      <c r="C4733" s="3"/>
      <c r="D4733" s="3"/>
      <c r="E4733" s="1"/>
    </row>
    <row r="4734">
      <c r="A4734" s="1"/>
      <c r="B4734" s="3"/>
      <c r="C4734" s="3"/>
      <c r="D4734" s="3"/>
      <c r="E4734" s="1"/>
    </row>
    <row r="4735">
      <c r="A4735" s="1"/>
      <c r="B4735" s="3"/>
      <c r="C4735" s="3"/>
      <c r="D4735" s="3"/>
      <c r="E4735" s="1"/>
    </row>
    <row r="4736">
      <c r="A4736" s="1"/>
      <c r="B4736" s="3"/>
      <c r="C4736" s="3"/>
      <c r="D4736" s="3"/>
      <c r="E4736" s="1"/>
    </row>
    <row r="4737">
      <c r="A4737" s="1"/>
      <c r="B4737" s="3"/>
      <c r="C4737" s="3"/>
      <c r="D4737" s="3"/>
      <c r="E4737" s="1"/>
    </row>
    <row r="4738">
      <c r="A4738" s="1"/>
      <c r="B4738" s="3"/>
      <c r="C4738" s="3"/>
      <c r="D4738" s="3"/>
      <c r="E4738" s="1"/>
    </row>
    <row r="4739">
      <c r="A4739" s="1"/>
      <c r="B4739" s="3"/>
      <c r="C4739" s="3"/>
      <c r="D4739" s="3"/>
      <c r="E4739" s="1"/>
    </row>
    <row r="4740">
      <c r="A4740" s="1"/>
      <c r="B4740" s="3"/>
      <c r="C4740" s="3"/>
      <c r="D4740" s="3"/>
      <c r="E4740" s="1"/>
    </row>
    <row r="4741">
      <c r="A4741" s="1"/>
      <c r="B4741" s="3"/>
      <c r="C4741" s="3"/>
      <c r="D4741" s="3"/>
      <c r="E4741" s="1"/>
    </row>
    <row r="4742">
      <c r="A4742" s="1"/>
      <c r="B4742" s="3"/>
      <c r="C4742" s="3"/>
      <c r="D4742" s="3"/>
      <c r="E4742" s="1"/>
    </row>
    <row r="4743">
      <c r="A4743" s="1"/>
      <c r="B4743" s="3"/>
      <c r="C4743" s="3"/>
      <c r="D4743" s="3"/>
      <c r="E4743" s="1"/>
    </row>
    <row r="4744">
      <c r="A4744" s="1"/>
      <c r="B4744" s="3"/>
      <c r="C4744" s="3"/>
      <c r="D4744" s="3"/>
      <c r="E4744" s="1"/>
    </row>
    <row r="4745">
      <c r="A4745" s="1"/>
      <c r="B4745" s="3"/>
      <c r="C4745" s="3"/>
      <c r="D4745" s="3"/>
      <c r="E4745" s="1"/>
    </row>
    <row r="4746">
      <c r="A4746" s="1"/>
      <c r="B4746" s="3"/>
      <c r="C4746" s="3"/>
      <c r="D4746" s="3"/>
      <c r="E4746" s="1"/>
    </row>
    <row r="4747">
      <c r="A4747" s="1"/>
      <c r="B4747" s="3"/>
      <c r="C4747" s="3"/>
      <c r="D4747" s="3"/>
      <c r="E4747" s="1"/>
    </row>
    <row r="4748">
      <c r="A4748" s="1"/>
      <c r="B4748" s="3"/>
      <c r="C4748" s="3"/>
      <c r="D4748" s="3"/>
      <c r="E4748" s="1"/>
    </row>
    <row r="4749">
      <c r="A4749" s="1"/>
      <c r="B4749" s="3"/>
      <c r="C4749" s="3"/>
      <c r="D4749" s="3"/>
      <c r="E4749" s="1"/>
    </row>
    <row r="4750">
      <c r="A4750" s="1"/>
      <c r="B4750" s="3"/>
      <c r="C4750" s="3"/>
      <c r="D4750" s="3"/>
      <c r="E4750" s="1"/>
    </row>
    <row r="4751">
      <c r="A4751" s="1"/>
      <c r="B4751" s="3"/>
      <c r="C4751" s="3"/>
      <c r="D4751" s="3"/>
      <c r="E4751" s="1"/>
    </row>
    <row r="4752">
      <c r="A4752" s="1"/>
      <c r="B4752" s="3"/>
      <c r="C4752" s="3"/>
      <c r="D4752" s="3"/>
      <c r="E4752" s="1"/>
    </row>
    <row r="4753">
      <c r="A4753" s="1"/>
      <c r="B4753" s="3"/>
      <c r="C4753" s="3"/>
      <c r="D4753" s="3"/>
      <c r="E4753" s="1"/>
    </row>
    <row r="4754">
      <c r="A4754" s="1"/>
      <c r="B4754" s="3"/>
      <c r="C4754" s="3"/>
      <c r="D4754" s="3"/>
      <c r="E4754" s="1"/>
    </row>
    <row r="4755">
      <c r="A4755" s="1"/>
      <c r="B4755" s="3"/>
      <c r="C4755" s="3"/>
      <c r="D4755" s="3"/>
      <c r="E4755" s="1"/>
    </row>
    <row r="4756">
      <c r="A4756" s="1"/>
      <c r="B4756" s="3"/>
      <c r="C4756" s="3"/>
      <c r="D4756" s="3"/>
      <c r="E4756" s="1"/>
    </row>
    <row r="4757">
      <c r="A4757" s="1"/>
      <c r="B4757" s="3"/>
      <c r="C4757" s="3"/>
      <c r="D4757" s="3"/>
      <c r="E4757" s="1"/>
    </row>
    <row r="4758">
      <c r="A4758" s="1"/>
      <c r="B4758" s="3"/>
      <c r="C4758" s="3"/>
      <c r="D4758" s="3"/>
      <c r="E4758" s="1"/>
    </row>
    <row r="4759">
      <c r="A4759" s="1"/>
      <c r="B4759" s="3"/>
      <c r="C4759" s="3"/>
      <c r="D4759" s="3"/>
      <c r="E4759" s="1"/>
    </row>
    <row r="4760">
      <c r="A4760" s="1"/>
      <c r="B4760" s="3"/>
      <c r="C4760" s="3"/>
      <c r="D4760" s="3"/>
      <c r="E4760" s="1"/>
    </row>
    <row r="4761">
      <c r="A4761" s="1"/>
      <c r="B4761" s="3"/>
      <c r="C4761" s="3"/>
      <c r="D4761" s="3"/>
      <c r="E4761" s="1"/>
    </row>
    <row r="4762">
      <c r="A4762" s="1"/>
      <c r="B4762" s="3"/>
      <c r="C4762" s="3"/>
      <c r="D4762" s="3"/>
      <c r="E4762" s="1"/>
    </row>
    <row r="4763">
      <c r="A4763" s="1"/>
      <c r="B4763" s="3"/>
      <c r="C4763" s="3"/>
      <c r="D4763" s="3"/>
      <c r="E4763" s="1"/>
    </row>
    <row r="4764">
      <c r="A4764" s="1"/>
      <c r="B4764" s="3"/>
      <c r="C4764" s="3"/>
      <c r="D4764" s="3"/>
      <c r="E4764" s="1"/>
    </row>
    <row r="4765">
      <c r="A4765" s="1"/>
      <c r="B4765" s="3"/>
      <c r="C4765" s="3"/>
      <c r="D4765" s="3"/>
      <c r="E4765" s="1"/>
    </row>
    <row r="4766">
      <c r="A4766" s="1"/>
      <c r="B4766" s="3"/>
      <c r="C4766" s="3"/>
      <c r="D4766" s="3"/>
      <c r="E4766" s="1"/>
    </row>
    <row r="4767">
      <c r="A4767" s="1"/>
      <c r="B4767" s="3"/>
      <c r="C4767" s="3"/>
      <c r="D4767" s="3"/>
      <c r="E4767" s="1"/>
    </row>
    <row r="4768">
      <c r="A4768" s="1"/>
      <c r="B4768" s="3"/>
      <c r="C4768" s="3"/>
      <c r="D4768" s="3"/>
      <c r="E4768" s="1"/>
    </row>
    <row r="4769">
      <c r="A4769" s="1"/>
      <c r="B4769" s="3"/>
      <c r="C4769" s="3"/>
      <c r="D4769" s="3"/>
      <c r="E4769" s="1"/>
    </row>
    <row r="4770">
      <c r="A4770" s="1"/>
      <c r="B4770" s="3"/>
      <c r="C4770" s="3"/>
      <c r="D4770" s="3"/>
      <c r="E4770" s="1"/>
    </row>
    <row r="4771">
      <c r="A4771" s="1"/>
      <c r="B4771" s="3"/>
      <c r="C4771" s="3"/>
      <c r="D4771" s="3"/>
      <c r="E4771" s="1"/>
    </row>
    <row r="4772">
      <c r="A4772" s="1"/>
      <c r="B4772" s="3"/>
      <c r="C4772" s="3"/>
      <c r="D4772" s="3"/>
      <c r="E4772" s="1"/>
    </row>
    <row r="4773">
      <c r="A4773" s="1"/>
      <c r="B4773" s="3"/>
      <c r="C4773" s="3"/>
      <c r="D4773" s="3"/>
      <c r="E4773" s="1"/>
    </row>
    <row r="4774">
      <c r="A4774" s="1"/>
      <c r="B4774" s="3"/>
      <c r="C4774" s="3"/>
      <c r="D4774" s="3"/>
      <c r="E4774" s="1"/>
    </row>
    <row r="4775">
      <c r="A4775" s="1"/>
      <c r="B4775" s="3"/>
      <c r="C4775" s="3"/>
      <c r="D4775" s="3"/>
      <c r="E4775" s="1"/>
    </row>
    <row r="4776">
      <c r="A4776" s="1"/>
      <c r="B4776" s="3"/>
      <c r="C4776" s="3"/>
      <c r="D4776" s="3"/>
      <c r="E4776" s="1"/>
    </row>
    <row r="4777">
      <c r="A4777" s="1"/>
      <c r="B4777" s="3"/>
      <c r="C4777" s="3"/>
      <c r="D4777" s="3"/>
      <c r="E4777" s="1"/>
    </row>
    <row r="4778">
      <c r="A4778" s="1"/>
      <c r="B4778" s="3"/>
      <c r="C4778" s="3"/>
      <c r="D4778" s="3"/>
      <c r="E4778" s="1"/>
    </row>
    <row r="4779">
      <c r="A4779" s="1"/>
      <c r="B4779" s="3"/>
      <c r="C4779" s="3"/>
      <c r="D4779" s="3"/>
      <c r="E4779" s="1"/>
    </row>
    <row r="4780">
      <c r="A4780" s="1"/>
      <c r="B4780" s="3"/>
      <c r="C4780" s="3"/>
      <c r="D4780" s="3"/>
      <c r="E4780" s="1"/>
    </row>
    <row r="4781">
      <c r="A4781" s="1"/>
      <c r="B4781" s="3"/>
      <c r="C4781" s="3"/>
      <c r="D4781" s="3"/>
      <c r="E4781" s="1"/>
    </row>
    <row r="4782">
      <c r="A4782" s="1"/>
      <c r="B4782" s="3"/>
      <c r="C4782" s="3"/>
      <c r="D4782" s="3"/>
      <c r="E4782" s="1"/>
    </row>
    <row r="4783">
      <c r="A4783" s="1"/>
      <c r="B4783" s="3"/>
      <c r="C4783" s="3"/>
      <c r="D4783" s="3"/>
      <c r="E4783" s="1"/>
    </row>
    <row r="4784">
      <c r="A4784" s="1"/>
      <c r="B4784" s="3"/>
      <c r="C4784" s="3"/>
      <c r="D4784" s="3"/>
      <c r="E4784" s="1"/>
    </row>
    <row r="4785">
      <c r="A4785" s="1"/>
      <c r="B4785" s="3"/>
      <c r="C4785" s="3"/>
      <c r="D4785" s="3"/>
      <c r="E4785" s="1"/>
    </row>
    <row r="4786">
      <c r="A4786" s="1"/>
      <c r="B4786" s="3"/>
      <c r="C4786" s="3"/>
      <c r="D4786" s="3"/>
      <c r="E4786" s="1"/>
    </row>
    <row r="4787">
      <c r="A4787" s="1"/>
      <c r="B4787" s="3"/>
      <c r="C4787" s="3"/>
      <c r="D4787" s="3"/>
      <c r="E4787" s="1"/>
    </row>
    <row r="4788">
      <c r="A4788" s="1"/>
      <c r="B4788" s="3"/>
      <c r="C4788" s="3"/>
      <c r="D4788" s="3"/>
      <c r="E4788" s="1"/>
    </row>
    <row r="4789">
      <c r="A4789" s="1"/>
      <c r="B4789" s="3"/>
      <c r="C4789" s="3"/>
      <c r="D4789" s="3"/>
      <c r="E4789" s="1"/>
    </row>
    <row r="4790">
      <c r="A4790" s="1"/>
      <c r="B4790" s="3"/>
      <c r="C4790" s="3"/>
      <c r="D4790" s="3"/>
      <c r="E4790" s="1"/>
    </row>
    <row r="4791">
      <c r="A4791" s="1"/>
      <c r="B4791" s="3"/>
      <c r="C4791" s="3"/>
      <c r="D4791" s="3"/>
      <c r="E4791" s="1"/>
    </row>
    <row r="4792">
      <c r="A4792" s="1"/>
      <c r="B4792" s="3"/>
      <c r="C4792" s="3"/>
      <c r="D4792" s="3"/>
      <c r="E4792" s="1"/>
    </row>
    <row r="4793">
      <c r="A4793" s="1"/>
      <c r="B4793" s="3"/>
      <c r="C4793" s="3"/>
      <c r="D4793" s="3"/>
      <c r="E4793" s="1"/>
    </row>
    <row r="4794">
      <c r="A4794" s="1"/>
      <c r="B4794" s="3"/>
      <c r="C4794" s="3"/>
      <c r="D4794" s="3"/>
      <c r="E4794" s="1"/>
    </row>
    <row r="4795">
      <c r="A4795" s="1"/>
      <c r="B4795" s="3"/>
      <c r="C4795" s="3"/>
      <c r="D4795" s="3"/>
      <c r="E4795" s="1"/>
    </row>
    <row r="4796">
      <c r="A4796" s="1"/>
      <c r="B4796" s="3"/>
      <c r="C4796" s="3"/>
      <c r="D4796" s="3"/>
      <c r="E4796" s="1"/>
    </row>
    <row r="4797">
      <c r="A4797" s="1"/>
      <c r="B4797" s="3"/>
      <c r="C4797" s="3"/>
      <c r="D4797" s="3"/>
      <c r="E4797" s="1"/>
    </row>
    <row r="4798">
      <c r="A4798" s="1"/>
      <c r="B4798" s="3"/>
      <c r="C4798" s="3"/>
      <c r="D4798" s="3"/>
      <c r="E4798" s="1"/>
    </row>
    <row r="4799">
      <c r="A4799" s="1"/>
      <c r="B4799" s="3"/>
      <c r="C4799" s="3"/>
      <c r="D4799" s="3"/>
      <c r="E4799" s="1"/>
    </row>
    <row r="4800">
      <c r="A4800" s="1"/>
      <c r="B4800" s="3"/>
      <c r="C4800" s="3"/>
      <c r="D4800" s="3"/>
      <c r="E4800" s="1"/>
    </row>
    <row r="4801">
      <c r="A4801" s="1"/>
      <c r="B4801" s="3"/>
      <c r="C4801" s="3"/>
      <c r="D4801" s="3"/>
      <c r="E4801" s="1"/>
    </row>
    <row r="4802">
      <c r="A4802" s="1"/>
      <c r="B4802" s="3"/>
      <c r="C4802" s="3"/>
      <c r="D4802" s="3"/>
      <c r="E4802" s="1"/>
    </row>
    <row r="4803">
      <c r="A4803" s="1"/>
      <c r="B4803" s="3"/>
      <c r="C4803" s="3"/>
      <c r="D4803" s="3"/>
      <c r="E4803" s="1"/>
    </row>
    <row r="4804">
      <c r="A4804" s="1"/>
      <c r="B4804" s="3"/>
      <c r="C4804" s="3"/>
      <c r="D4804" s="3"/>
      <c r="E4804" s="1"/>
    </row>
    <row r="4805">
      <c r="A4805" s="1"/>
      <c r="B4805" s="3"/>
      <c r="C4805" s="3"/>
      <c r="D4805" s="3"/>
      <c r="E4805" s="1"/>
    </row>
    <row r="4806">
      <c r="A4806" s="1"/>
      <c r="B4806" s="3"/>
      <c r="C4806" s="3"/>
      <c r="D4806" s="3"/>
      <c r="E4806" s="1"/>
    </row>
    <row r="4807">
      <c r="A4807" s="1"/>
      <c r="B4807" s="3"/>
      <c r="C4807" s="3"/>
      <c r="D4807" s="3"/>
      <c r="E4807" s="1"/>
    </row>
    <row r="4808">
      <c r="A4808" s="1"/>
      <c r="B4808" s="3"/>
      <c r="C4808" s="3"/>
      <c r="D4808" s="3"/>
      <c r="E4808" s="1"/>
    </row>
    <row r="4809">
      <c r="A4809" s="1"/>
      <c r="B4809" s="3"/>
      <c r="C4809" s="3"/>
      <c r="D4809" s="3"/>
      <c r="E4809" s="1"/>
    </row>
    <row r="4810">
      <c r="A4810" s="1"/>
      <c r="B4810" s="3"/>
      <c r="C4810" s="3"/>
      <c r="D4810" s="3"/>
      <c r="E4810" s="1"/>
    </row>
    <row r="4811">
      <c r="A4811" s="1"/>
      <c r="B4811" s="3"/>
      <c r="C4811" s="3"/>
      <c r="D4811" s="3"/>
      <c r="E4811" s="1"/>
    </row>
    <row r="4812">
      <c r="A4812" s="1"/>
      <c r="B4812" s="3"/>
      <c r="C4812" s="3"/>
      <c r="D4812" s="3"/>
      <c r="E4812" s="1"/>
    </row>
    <row r="4813">
      <c r="A4813" s="1"/>
      <c r="B4813" s="3"/>
      <c r="C4813" s="3"/>
      <c r="D4813" s="3"/>
      <c r="E4813" s="1"/>
    </row>
    <row r="4814">
      <c r="A4814" s="1"/>
      <c r="B4814" s="3"/>
      <c r="C4814" s="3"/>
      <c r="D4814" s="3"/>
      <c r="E4814" s="1"/>
    </row>
    <row r="4815">
      <c r="A4815" s="1"/>
      <c r="B4815" s="3"/>
      <c r="C4815" s="3"/>
      <c r="D4815" s="3"/>
      <c r="E4815" s="1"/>
    </row>
    <row r="4816">
      <c r="A4816" s="1"/>
      <c r="B4816" s="3"/>
      <c r="C4816" s="3"/>
      <c r="D4816" s="3"/>
      <c r="E4816" s="1"/>
    </row>
    <row r="4817">
      <c r="A4817" s="1"/>
      <c r="B4817" s="3"/>
      <c r="C4817" s="3"/>
      <c r="D4817" s="3"/>
      <c r="E4817" s="1"/>
    </row>
    <row r="4818">
      <c r="A4818" s="1"/>
      <c r="B4818" s="3"/>
      <c r="C4818" s="3"/>
      <c r="D4818" s="3"/>
      <c r="E4818" s="1"/>
    </row>
    <row r="4819">
      <c r="A4819" s="1"/>
      <c r="B4819" s="3"/>
      <c r="C4819" s="3"/>
      <c r="D4819" s="3"/>
      <c r="E4819" s="1"/>
    </row>
    <row r="4820">
      <c r="A4820" s="1"/>
      <c r="B4820" s="3"/>
      <c r="C4820" s="3"/>
      <c r="D4820" s="3"/>
      <c r="E4820" s="1"/>
    </row>
    <row r="4821">
      <c r="A4821" s="1"/>
      <c r="B4821" s="3"/>
      <c r="C4821" s="3"/>
      <c r="D4821" s="3"/>
      <c r="E4821" s="1"/>
    </row>
    <row r="4822">
      <c r="A4822" s="1"/>
      <c r="B4822" s="3"/>
      <c r="C4822" s="3"/>
      <c r="D4822" s="3"/>
      <c r="E4822" s="1"/>
    </row>
    <row r="4823">
      <c r="A4823" s="1"/>
      <c r="B4823" s="3"/>
      <c r="C4823" s="3"/>
      <c r="D4823" s="3"/>
      <c r="E4823" s="1"/>
    </row>
    <row r="4824">
      <c r="A4824" s="1"/>
      <c r="B4824" s="3"/>
      <c r="C4824" s="3"/>
      <c r="D4824" s="3"/>
      <c r="E4824" s="1"/>
    </row>
    <row r="4825">
      <c r="A4825" s="1"/>
      <c r="B4825" s="3"/>
      <c r="C4825" s="3"/>
      <c r="D4825" s="3"/>
      <c r="E4825" s="1"/>
    </row>
    <row r="4826">
      <c r="A4826" s="1"/>
      <c r="B4826" s="3"/>
      <c r="C4826" s="3"/>
      <c r="D4826" s="3"/>
      <c r="E4826" s="1"/>
    </row>
    <row r="4827">
      <c r="A4827" s="1"/>
      <c r="B4827" s="3"/>
      <c r="C4827" s="3"/>
      <c r="D4827" s="3"/>
      <c r="E4827" s="1"/>
    </row>
    <row r="4828">
      <c r="A4828" s="1"/>
      <c r="B4828" s="3"/>
      <c r="C4828" s="3"/>
      <c r="D4828" s="3"/>
      <c r="E4828" s="1"/>
    </row>
    <row r="4829">
      <c r="A4829" s="1"/>
      <c r="B4829" s="3"/>
      <c r="C4829" s="3"/>
      <c r="D4829" s="3"/>
      <c r="E4829" s="1"/>
    </row>
    <row r="4830">
      <c r="A4830" s="1"/>
      <c r="B4830" s="3"/>
      <c r="C4830" s="3"/>
      <c r="D4830" s="3"/>
      <c r="E4830" s="1"/>
    </row>
    <row r="4831">
      <c r="A4831" s="1"/>
      <c r="B4831" s="3"/>
      <c r="C4831" s="3"/>
      <c r="D4831" s="3"/>
      <c r="E4831" s="1"/>
    </row>
    <row r="4832">
      <c r="A4832" s="1"/>
      <c r="B4832" s="3"/>
      <c r="C4832" s="3"/>
      <c r="D4832" s="3"/>
      <c r="E4832" s="1"/>
    </row>
    <row r="4833">
      <c r="A4833" s="1"/>
      <c r="B4833" s="3"/>
      <c r="C4833" s="3"/>
      <c r="D4833" s="3"/>
      <c r="E4833" s="1"/>
    </row>
    <row r="4834">
      <c r="A4834" s="1"/>
      <c r="B4834" s="3"/>
      <c r="C4834" s="3"/>
      <c r="D4834" s="3"/>
      <c r="E4834" s="1"/>
    </row>
    <row r="4835">
      <c r="A4835" s="1"/>
      <c r="B4835" s="3"/>
      <c r="C4835" s="3"/>
      <c r="D4835" s="3"/>
      <c r="E4835" s="1"/>
    </row>
    <row r="4836">
      <c r="A4836" s="1"/>
      <c r="B4836" s="3"/>
      <c r="C4836" s="3"/>
      <c r="D4836" s="3"/>
      <c r="E4836" s="1"/>
    </row>
    <row r="4837">
      <c r="A4837" s="1"/>
      <c r="B4837" s="3"/>
      <c r="C4837" s="3"/>
      <c r="D4837" s="3"/>
      <c r="E4837" s="1"/>
    </row>
    <row r="4838">
      <c r="A4838" s="1"/>
      <c r="B4838" s="3"/>
      <c r="C4838" s="3"/>
      <c r="D4838" s="3"/>
      <c r="E4838" s="1"/>
    </row>
    <row r="4839">
      <c r="A4839" s="1"/>
      <c r="B4839" s="3"/>
      <c r="C4839" s="3"/>
      <c r="D4839" s="3"/>
      <c r="E4839" s="1"/>
    </row>
    <row r="4840">
      <c r="A4840" s="1"/>
      <c r="B4840" s="3"/>
      <c r="C4840" s="3"/>
      <c r="D4840" s="3"/>
      <c r="E4840" s="1"/>
    </row>
    <row r="4841">
      <c r="A4841" s="1"/>
      <c r="B4841" s="3"/>
      <c r="C4841" s="3"/>
      <c r="D4841" s="3"/>
      <c r="E4841" s="1"/>
    </row>
    <row r="4842">
      <c r="A4842" s="1"/>
      <c r="B4842" s="3"/>
      <c r="C4842" s="3"/>
      <c r="D4842" s="3"/>
      <c r="E4842" s="1"/>
    </row>
    <row r="4843">
      <c r="A4843" s="1"/>
      <c r="B4843" s="3"/>
      <c r="C4843" s="3"/>
      <c r="D4843" s="3"/>
      <c r="E4843" s="1"/>
    </row>
    <row r="4844">
      <c r="A4844" s="1"/>
      <c r="B4844" s="3"/>
      <c r="C4844" s="3"/>
      <c r="D4844" s="3"/>
      <c r="E4844" s="1"/>
    </row>
    <row r="4845">
      <c r="A4845" s="1"/>
      <c r="B4845" s="3"/>
      <c r="C4845" s="3"/>
      <c r="D4845" s="3"/>
      <c r="E4845" s="1"/>
    </row>
    <row r="4846">
      <c r="A4846" s="1"/>
      <c r="B4846" s="3"/>
      <c r="C4846" s="3"/>
      <c r="D4846" s="3"/>
      <c r="E4846" s="1"/>
    </row>
    <row r="4847">
      <c r="A4847" s="1"/>
      <c r="B4847" s="3"/>
      <c r="C4847" s="3"/>
      <c r="D4847" s="3"/>
      <c r="E4847" s="1"/>
    </row>
    <row r="4848">
      <c r="A4848" s="1"/>
      <c r="B4848" s="3"/>
      <c r="C4848" s="3"/>
      <c r="D4848" s="3"/>
      <c r="E4848" s="1"/>
    </row>
    <row r="4849">
      <c r="A4849" s="1"/>
      <c r="B4849" s="3"/>
      <c r="C4849" s="3"/>
      <c r="D4849" s="3"/>
      <c r="E4849" s="1"/>
    </row>
    <row r="4850">
      <c r="A4850" s="1"/>
      <c r="B4850" s="3"/>
      <c r="C4850" s="3"/>
      <c r="D4850" s="3"/>
      <c r="E4850" s="1"/>
    </row>
    <row r="4851">
      <c r="A4851" s="1"/>
      <c r="B4851" s="3"/>
      <c r="C4851" s="3"/>
      <c r="D4851" s="3"/>
      <c r="E4851" s="1"/>
    </row>
    <row r="4852">
      <c r="A4852" s="1"/>
      <c r="B4852" s="3"/>
      <c r="C4852" s="3"/>
      <c r="D4852" s="3"/>
      <c r="E4852" s="1"/>
    </row>
    <row r="4853">
      <c r="A4853" s="1"/>
      <c r="B4853" s="3"/>
      <c r="C4853" s="3"/>
      <c r="D4853" s="3"/>
      <c r="E4853" s="1"/>
    </row>
    <row r="4854">
      <c r="A4854" s="1"/>
      <c r="B4854" s="3"/>
      <c r="C4854" s="3"/>
      <c r="D4854" s="3"/>
      <c r="E4854" s="1"/>
    </row>
    <row r="4855">
      <c r="A4855" s="1"/>
      <c r="B4855" s="3"/>
      <c r="C4855" s="3"/>
      <c r="D4855" s="3"/>
      <c r="E4855" s="1"/>
    </row>
    <row r="4856">
      <c r="A4856" s="1"/>
      <c r="B4856" s="3"/>
      <c r="C4856" s="3"/>
      <c r="D4856" s="3"/>
      <c r="E4856" s="1"/>
    </row>
    <row r="4857">
      <c r="A4857" s="1"/>
      <c r="B4857" s="3"/>
      <c r="C4857" s="3"/>
      <c r="D4857" s="3"/>
      <c r="E4857" s="1"/>
    </row>
    <row r="4858">
      <c r="A4858" s="1"/>
      <c r="B4858" s="3"/>
      <c r="C4858" s="3"/>
      <c r="D4858" s="3"/>
      <c r="E4858" s="1"/>
    </row>
    <row r="4859">
      <c r="A4859" s="1"/>
      <c r="B4859" s="3"/>
      <c r="C4859" s="3"/>
      <c r="D4859" s="3"/>
      <c r="E4859" s="1"/>
    </row>
    <row r="4860">
      <c r="A4860" s="1"/>
      <c r="B4860" s="3"/>
      <c r="C4860" s="3"/>
      <c r="D4860" s="3"/>
      <c r="E4860" s="1"/>
    </row>
    <row r="4861">
      <c r="A4861" s="1"/>
      <c r="B4861" s="3"/>
      <c r="C4861" s="3"/>
      <c r="D4861" s="3"/>
      <c r="E4861" s="1"/>
    </row>
    <row r="4862">
      <c r="A4862" s="1"/>
      <c r="B4862" s="3"/>
      <c r="C4862" s="3"/>
      <c r="D4862" s="3"/>
      <c r="E4862" s="1"/>
    </row>
    <row r="4863">
      <c r="A4863" s="1"/>
      <c r="B4863" s="3"/>
      <c r="C4863" s="3"/>
      <c r="D4863" s="3"/>
      <c r="E4863" s="1"/>
    </row>
    <row r="4864">
      <c r="A4864" s="1"/>
      <c r="B4864" s="3"/>
      <c r="C4864" s="3"/>
      <c r="D4864" s="3"/>
      <c r="E4864" s="1"/>
    </row>
    <row r="4865">
      <c r="A4865" s="1"/>
      <c r="B4865" s="3"/>
      <c r="C4865" s="3"/>
      <c r="D4865" s="3"/>
      <c r="E4865" s="1"/>
    </row>
    <row r="4866">
      <c r="A4866" s="1"/>
      <c r="B4866" s="3"/>
      <c r="C4866" s="3"/>
      <c r="D4866" s="3"/>
      <c r="E4866" s="1"/>
    </row>
    <row r="4867">
      <c r="A4867" s="1"/>
      <c r="B4867" s="3"/>
      <c r="C4867" s="3"/>
      <c r="D4867" s="3"/>
      <c r="E4867" s="1"/>
    </row>
    <row r="4868">
      <c r="A4868" s="1"/>
      <c r="B4868" s="3"/>
      <c r="C4868" s="3"/>
      <c r="D4868" s="3"/>
      <c r="E4868" s="1"/>
    </row>
    <row r="4869">
      <c r="A4869" s="1"/>
      <c r="B4869" s="3"/>
      <c r="C4869" s="3"/>
      <c r="D4869" s="3"/>
      <c r="E4869" s="1"/>
    </row>
    <row r="4870">
      <c r="A4870" s="1"/>
      <c r="B4870" s="3"/>
      <c r="C4870" s="3"/>
      <c r="D4870" s="3"/>
      <c r="E4870" s="1"/>
    </row>
    <row r="4871">
      <c r="A4871" s="1"/>
      <c r="B4871" s="3"/>
      <c r="C4871" s="3"/>
      <c r="D4871" s="3"/>
      <c r="E4871" s="1"/>
    </row>
    <row r="4872">
      <c r="A4872" s="1"/>
      <c r="B4872" s="3"/>
      <c r="C4872" s="3"/>
      <c r="D4872" s="3"/>
      <c r="E4872" s="1"/>
    </row>
    <row r="4873">
      <c r="A4873" s="1"/>
      <c r="B4873" s="3"/>
      <c r="C4873" s="3"/>
      <c r="D4873" s="3"/>
      <c r="E4873" s="1"/>
    </row>
    <row r="4874">
      <c r="A4874" s="1"/>
      <c r="B4874" s="3"/>
      <c r="C4874" s="3"/>
      <c r="D4874" s="3"/>
      <c r="E4874" s="1"/>
    </row>
    <row r="4875">
      <c r="A4875" s="1"/>
      <c r="B4875" s="3"/>
      <c r="C4875" s="3"/>
      <c r="D4875" s="3"/>
      <c r="E4875" s="1"/>
    </row>
    <row r="4876">
      <c r="A4876" s="1"/>
      <c r="B4876" s="3"/>
      <c r="C4876" s="3"/>
      <c r="D4876" s="3"/>
      <c r="E4876" s="1"/>
    </row>
    <row r="4877">
      <c r="A4877" s="1"/>
      <c r="B4877" s="3"/>
      <c r="C4877" s="3"/>
      <c r="D4877" s="3"/>
      <c r="E4877" s="1"/>
    </row>
    <row r="4878">
      <c r="A4878" s="1"/>
      <c r="B4878" s="3"/>
      <c r="C4878" s="3"/>
      <c r="D4878" s="3"/>
      <c r="E4878" s="1"/>
    </row>
    <row r="4879">
      <c r="A4879" s="1"/>
      <c r="B4879" s="3"/>
      <c r="C4879" s="3"/>
      <c r="D4879" s="3"/>
      <c r="E4879" s="1"/>
    </row>
    <row r="4880">
      <c r="A4880" s="1"/>
      <c r="B4880" s="3"/>
      <c r="C4880" s="3"/>
      <c r="D4880" s="3"/>
      <c r="E4880" s="1"/>
    </row>
    <row r="4881">
      <c r="A4881" s="1"/>
      <c r="B4881" s="3"/>
      <c r="C4881" s="3"/>
      <c r="D4881" s="3"/>
      <c r="E4881" s="1"/>
    </row>
    <row r="4882">
      <c r="A4882" s="1"/>
      <c r="B4882" s="3"/>
      <c r="C4882" s="3"/>
      <c r="D4882" s="3"/>
      <c r="E4882" s="1"/>
    </row>
    <row r="4883">
      <c r="A4883" s="1"/>
      <c r="B4883" s="3"/>
      <c r="C4883" s="3"/>
      <c r="D4883" s="3"/>
      <c r="E4883" s="1"/>
    </row>
    <row r="4884">
      <c r="A4884" s="1"/>
      <c r="B4884" s="3"/>
      <c r="C4884" s="3"/>
      <c r="D4884" s="3"/>
      <c r="E4884" s="1"/>
    </row>
    <row r="4885">
      <c r="A4885" s="1"/>
      <c r="B4885" s="3"/>
      <c r="C4885" s="3"/>
      <c r="D4885" s="3"/>
      <c r="E4885" s="1"/>
    </row>
    <row r="4886">
      <c r="A4886" s="1"/>
      <c r="B4886" s="3"/>
      <c r="C4886" s="3"/>
      <c r="D4886" s="3"/>
      <c r="E4886" s="1"/>
    </row>
    <row r="4887">
      <c r="A4887" s="1"/>
      <c r="B4887" s="3"/>
      <c r="C4887" s="3"/>
      <c r="D4887" s="3"/>
      <c r="E4887" s="1"/>
    </row>
    <row r="4888">
      <c r="A4888" s="1"/>
      <c r="B4888" s="3"/>
      <c r="C4888" s="3"/>
      <c r="D4888" s="3"/>
      <c r="E4888" s="1"/>
    </row>
    <row r="4889">
      <c r="A4889" s="1"/>
      <c r="B4889" s="3"/>
      <c r="C4889" s="3"/>
      <c r="D4889" s="3"/>
      <c r="E4889" s="1"/>
    </row>
    <row r="4890">
      <c r="A4890" s="1"/>
      <c r="B4890" s="3"/>
      <c r="C4890" s="3"/>
      <c r="D4890" s="3"/>
      <c r="E4890" s="1"/>
    </row>
    <row r="4891">
      <c r="A4891" s="1"/>
      <c r="B4891" s="3"/>
      <c r="C4891" s="3"/>
      <c r="D4891" s="3"/>
      <c r="E4891" s="1"/>
    </row>
    <row r="4892">
      <c r="A4892" s="1"/>
      <c r="B4892" s="3"/>
      <c r="C4892" s="3"/>
      <c r="D4892" s="3"/>
      <c r="E4892" s="1"/>
    </row>
    <row r="4893">
      <c r="A4893" s="1"/>
      <c r="B4893" s="3"/>
      <c r="C4893" s="3"/>
      <c r="D4893" s="3"/>
      <c r="E4893" s="1"/>
    </row>
    <row r="4894">
      <c r="A4894" s="1"/>
      <c r="B4894" s="3"/>
      <c r="C4894" s="3"/>
      <c r="D4894" s="3"/>
      <c r="E4894" s="1"/>
    </row>
    <row r="4895">
      <c r="A4895" s="1"/>
      <c r="B4895" s="3"/>
      <c r="C4895" s="3"/>
      <c r="D4895" s="3"/>
      <c r="E4895" s="1"/>
    </row>
    <row r="4896">
      <c r="A4896" s="1"/>
      <c r="B4896" s="3"/>
      <c r="C4896" s="3"/>
      <c r="D4896" s="3"/>
      <c r="E4896" s="1"/>
    </row>
    <row r="4897">
      <c r="A4897" s="1"/>
      <c r="B4897" s="3"/>
      <c r="C4897" s="3"/>
      <c r="D4897" s="3"/>
      <c r="E4897" s="1"/>
    </row>
    <row r="4898">
      <c r="A4898" s="1"/>
      <c r="B4898" s="3"/>
      <c r="C4898" s="3"/>
      <c r="D4898" s="3"/>
      <c r="E4898" s="1"/>
    </row>
    <row r="4899">
      <c r="A4899" s="1"/>
      <c r="B4899" s="3"/>
      <c r="C4899" s="3"/>
      <c r="D4899" s="3"/>
      <c r="E4899" s="1"/>
    </row>
    <row r="4900">
      <c r="A4900" s="1"/>
      <c r="B4900" s="3"/>
      <c r="C4900" s="3"/>
      <c r="D4900" s="3"/>
      <c r="E4900" s="1"/>
    </row>
    <row r="4901">
      <c r="A4901" s="1"/>
      <c r="B4901" s="3"/>
      <c r="C4901" s="3"/>
      <c r="D4901" s="3"/>
      <c r="E4901" s="1"/>
    </row>
    <row r="4902">
      <c r="A4902" s="1"/>
      <c r="B4902" s="3"/>
      <c r="C4902" s="3"/>
      <c r="D4902" s="3"/>
      <c r="E4902" s="1"/>
    </row>
    <row r="4903">
      <c r="A4903" s="1"/>
      <c r="B4903" s="3"/>
      <c r="C4903" s="3"/>
      <c r="D4903" s="3"/>
      <c r="E4903" s="1"/>
    </row>
    <row r="4904">
      <c r="A4904" s="1"/>
      <c r="B4904" s="3"/>
      <c r="C4904" s="3"/>
      <c r="D4904" s="3"/>
      <c r="E4904" s="1"/>
    </row>
    <row r="4905">
      <c r="A4905" s="1"/>
      <c r="B4905" s="3"/>
      <c r="C4905" s="3"/>
      <c r="D4905" s="3"/>
      <c r="E4905" s="1"/>
    </row>
    <row r="4906">
      <c r="A4906" s="1"/>
      <c r="B4906" s="3"/>
      <c r="C4906" s="3"/>
      <c r="D4906" s="3"/>
      <c r="E4906" s="1"/>
    </row>
    <row r="4907">
      <c r="A4907" s="1"/>
      <c r="B4907" s="3"/>
      <c r="C4907" s="3"/>
      <c r="D4907" s="3"/>
      <c r="E4907" s="1"/>
    </row>
    <row r="4908">
      <c r="A4908" s="1"/>
      <c r="B4908" s="3"/>
      <c r="C4908" s="3"/>
      <c r="D4908" s="3"/>
      <c r="E4908" s="1"/>
    </row>
    <row r="4909">
      <c r="A4909" s="1"/>
      <c r="B4909" s="3"/>
      <c r="C4909" s="3"/>
      <c r="D4909" s="3"/>
      <c r="E4909" s="1"/>
    </row>
    <row r="4910">
      <c r="A4910" s="1"/>
      <c r="B4910" s="3"/>
      <c r="C4910" s="3"/>
      <c r="D4910" s="3"/>
      <c r="E4910" s="1"/>
    </row>
    <row r="4911">
      <c r="A4911" s="1"/>
      <c r="B4911" s="3"/>
      <c r="C4911" s="3"/>
      <c r="D4911" s="3"/>
      <c r="E4911" s="1"/>
    </row>
    <row r="4912">
      <c r="A4912" s="1"/>
      <c r="B4912" s="3"/>
      <c r="C4912" s="3"/>
      <c r="D4912" s="3"/>
      <c r="E4912" s="1"/>
    </row>
    <row r="4913">
      <c r="A4913" s="1"/>
      <c r="B4913" s="3"/>
      <c r="C4913" s="3"/>
      <c r="D4913" s="3"/>
      <c r="E4913" s="1"/>
    </row>
    <row r="4914">
      <c r="A4914" s="1"/>
      <c r="B4914" s="3"/>
      <c r="C4914" s="3"/>
      <c r="D4914" s="3"/>
      <c r="E4914" s="1"/>
    </row>
    <row r="4915">
      <c r="A4915" s="1"/>
      <c r="B4915" s="3"/>
      <c r="C4915" s="3"/>
      <c r="D4915" s="3"/>
      <c r="E4915" s="1"/>
    </row>
    <row r="4916">
      <c r="A4916" s="1"/>
      <c r="B4916" s="3"/>
      <c r="C4916" s="3"/>
      <c r="D4916" s="3"/>
      <c r="E4916" s="1"/>
    </row>
    <row r="4917">
      <c r="A4917" s="1"/>
      <c r="B4917" s="3"/>
      <c r="C4917" s="3"/>
      <c r="D4917" s="3"/>
      <c r="E4917" s="1"/>
    </row>
    <row r="4918">
      <c r="A4918" s="1"/>
      <c r="B4918" s="3"/>
      <c r="C4918" s="3"/>
      <c r="D4918" s="3"/>
      <c r="E4918" s="1"/>
    </row>
    <row r="4919">
      <c r="A4919" s="1"/>
      <c r="B4919" s="3"/>
      <c r="C4919" s="3"/>
      <c r="D4919" s="3"/>
      <c r="E4919" s="1"/>
    </row>
    <row r="4920">
      <c r="A4920" s="1"/>
      <c r="B4920" s="3"/>
      <c r="C4920" s="3"/>
      <c r="D4920" s="3"/>
      <c r="E4920" s="1"/>
    </row>
    <row r="4921">
      <c r="A4921" s="1"/>
      <c r="B4921" s="3"/>
      <c r="C4921" s="3"/>
      <c r="D4921" s="3"/>
      <c r="E4921" s="1"/>
    </row>
    <row r="4922">
      <c r="A4922" s="1"/>
      <c r="B4922" s="3"/>
      <c r="C4922" s="3"/>
      <c r="D4922" s="3"/>
      <c r="E4922" s="1"/>
    </row>
    <row r="4923">
      <c r="A4923" s="1"/>
      <c r="B4923" s="3"/>
      <c r="C4923" s="3"/>
      <c r="D4923" s="3"/>
      <c r="E4923" s="1"/>
    </row>
    <row r="4924">
      <c r="A4924" s="1"/>
      <c r="B4924" s="3"/>
      <c r="C4924" s="3"/>
      <c r="D4924" s="3"/>
      <c r="E4924" s="1"/>
    </row>
    <row r="4925">
      <c r="A4925" s="1"/>
      <c r="B4925" s="3"/>
      <c r="C4925" s="3"/>
      <c r="D4925" s="3"/>
      <c r="E4925" s="1"/>
    </row>
    <row r="4926">
      <c r="A4926" s="1"/>
      <c r="B4926" s="3"/>
      <c r="C4926" s="3"/>
      <c r="D4926" s="3"/>
      <c r="E4926" s="1"/>
    </row>
    <row r="4927">
      <c r="A4927" s="1"/>
      <c r="B4927" s="3"/>
      <c r="C4927" s="3"/>
      <c r="D4927" s="3"/>
      <c r="E4927" s="1"/>
    </row>
    <row r="4928">
      <c r="A4928" s="1"/>
      <c r="B4928" s="3"/>
      <c r="C4928" s="3"/>
      <c r="D4928" s="3"/>
      <c r="E4928" s="1"/>
    </row>
    <row r="4929">
      <c r="A4929" s="1"/>
      <c r="B4929" s="3"/>
      <c r="C4929" s="3"/>
      <c r="D4929" s="3"/>
      <c r="E4929" s="1"/>
    </row>
    <row r="4930">
      <c r="A4930" s="1"/>
      <c r="B4930" s="3"/>
      <c r="C4930" s="3"/>
      <c r="D4930" s="3"/>
      <c r="E4930" s="1"/>
    </row>
    <row r="4931">
      <c r="A4931" s="1"/>
      <c r="B4931" s="3"/>
      <c r="C4931" s="3"/>
      <c r="D4931" s="3"/>
      <c r="E4931" s="1"/>
    </row>
    <row r="4932">
      <c r="A4932" s="1"/>
      <c r="B4932" s="3"/>
      <c r="C4932" s="3"/>
      <c r="D4932" s="3"/>
      <c r="E4932" s="1"/>
    </row>
    <row r="4933">
      <c r="A4933" s="1"/>
      <c r="B4933" s="3"/>
      <c r="C4933" s="3"/>
      <c r="D4933" s="3"/>
      <c r="E4933" s="1"/>
    </row>
    <row r="4934">
      <c r="A4934" s="1"/>
      <c r="B4934" s="3"/>
      <c r="C4934" s="3"/>
      <c r="D4934" s="3"/>
      <c r="E4934" s="1"/>
    </row>
    <row r="4935">
      <c r="A4935" s="1"/>
      <c r="B4935" s="3"/>
      <c r="C4935" s="3"/>
      <c r="D4935" s="3"/>
      <c r="E4935" s="1"/>
    </row>
    <row r="4936">
      <c r="A4936" s="1"/>
      <c r="B4936" s="3"/>
      <c r="C4936" s="3"/>
      <c r="D4936" s="3"/>
      <c r="E4936" s="1"/>
    </row>
    <row r="4937">
      <c r="A4937" s="1"/>
      <c r="B4937" s="3"/>
      <c r="C4937" s="3"/>
      <c r="D4937" s="3"/>
      <c r="E4937" s="1"/>
    </row>
    <row r="4938">
      <c r="A4938" s="1"/>
      <c r="B4938" s="3"/>
      <c r="C4938" s="3"/>
      <c r="D4938" s="3"/>
      <c r="E4938" s="1"/>
    </row>
    <row r="4939">
      <c r="A4939" s="1"/>
      <c r="B4939" s="3"/>
      <c r="C4939" s="3"/>
      <c r="D4939" s="3"/>
      <c r="E4939" s="1"/>
    </row>
    <row r="4940">
      <c r="A4940" s="1"/>
      <c r="B4940" s="3"/>
      <c r="C4940" s="3"/>
      <c r="D4940" s="3"/>
      <c r="E4940" s="1"/>
    </row>
    <row r="4941">
      <c r="A4941" s="1"/>
      <c r="B4941" s="3"/>
      <c r="C4941" s="3"/>
      <c r="D4941" s="3"/>
      <c r="E4941" s="1"/>
    </row>
    <row r="4942">
      <c r="A4942" s="1"/>
      <c r="B4942" s="3"/>
      <c r="C4942" s="3"/>
      <c r="D4942" s="3"/>
      <c r="E4942" s="1"/>
    </row>
    <row r="4943">
      <c r="A4943" s="1"/>
      <c r="B4943" s="3"/>
      <c r="C4943" s="3"/>
      <c r="D4943" s="3"/>
      <c r="E4943" s="1"/>
    </row>
    <row r="4944">
      <c r="A4944" s="1"/>
      <c r="B4944" s="3"/>
      <c r="C4944" s="3"/>
      <c r="D4944" s="3"/>
      <c r="E4944" s="1"/>
    </row>
    <row r="4945">
      <c r="A4945" s="1"/>
      <c r="B4945" s="3"/>
      <c r="C4945" s="3"/>
      <c r="D4945" s="3"/>
      <c r="E4945" s="1"/>
    </row>
    <row r="4946">
      <c r="A4946" s="1"/>
      <c r="B4946" s="3"/>
      <c r="C4946" s="3"/>
      <c r="D4946" s="3"/>
      <c r="E4946" s="1"/>
    </row>
    <row r="4947">
      <c r="A4947" s="1"/>
      <c r="B4947" s="3"/>
      <c r="C4947" s="3"/>
      <c r="D4947" s="3"/>
      <c r="E4947" s="1"/>
    </row>
    <row r="4948">
      <c r="A4948" s="1"/>
      <c r="B4948" s="3"/>
      <c r="C4948" s="3"/>
      <c r="D4948" s="3"/>
      <c r="E4948" s="1"/>
    </row>
    <row r="4949">
      <c r="A4949" s="1"/>
      <c r="B4949" s="3"/>
      <c r="C4949" s="3"/>
      <c r="D4949" s="3"/>
      <c r="E4949" s="1"/>
    </row>
    <row r="4950">
      <c r="A4950" s="1"/>
      <c r="B4950" s="3"/>
      <c r="C4950" s="3"/>
      <c r="D4950" s="3"/>
      <c r="E4950" s="1"/>
    </row>
    <row r="4951">
      <c r="A4951" s="1"/>
      <c r="B4951" s="3"/>
      <c r="C4951" s="3"/>
      <c r="D4951" s="3"/>
      <c r="E4951" s="1"/>
    </row>
    <row r="4952">
      <c r="A4952" s="1"/>
      <c r="B4952" s="3"/>
      <c r="C4952" s="3"/>
      <c r="D4952" s="3"/>
      <c r="E4952" s="1"/>
    </row>
    <row r="4953">
      <c r="A4953" s="1"/>
      <c r="B4953" s="3"/>
      <c r="C4953" s="3"/>
      <c r="D4953" s="3"/>
      <c r="E4953" s="1"/>
    </row>
    <row r="4954">
      <c r="A4954" s="1"/>
      <c r="B4954" s="3"/>
      <c r="C4954" s="3"/>
      <c r="D4954" s="3"/>
      <c r="E4954" s="1"/>
    </row>
    <row r="4955">
      <c r="A4955" s="1"/>
      <c r="B4955" s="3"/>
      <c r="C4955" s="3"/>
      <c r="D4955" s="3"/>
      <c r="E4955" s="1"/>
    </row>
    <row r="4956">
      <c r="A4956" s="1"/>
      <c r="B4956" s="3"/>
      <c r="C4956" s="3"/>
      <c r="D4956" s="3"/>
      <c r="E4956" s="1"/>
    </row>
    <row r="4957">
      <c r="A4957" s="1"/>
      <c r="B4957" s="3"/>
      <c r="C4957" s="3"/>
      <c r="D4957" s="3"/>
      <c r="E4957" s="1"/>
    </row>
    <row r="4958">
      <c r="A4958" s="1"/>
      <c r="B4958" s="3"/>
      <c r="C4958" s="3"/>
      <c r="D4958" s="3"/>
      <c r="E4958" s="1"/>
    </row>
    <row r="4959">
      <c r="A4959" s="1"/>
      <c r="B4959" s="3"/>
      <c r="C4959" s="3"/>
      <c r="D4959" s="3"/>
      <c r="E4959" s="1"/>
    </row>
    <row r="4960">
      <c r="A4960" s="1"/>
      <c r="B4960" s="3"/>
      <c r="C4960" s="3"/>
      <c r="D4960" s="3"/>
      <c r="E4960" s="1"/>
    </row>
    <row r="4961">
      <c r="A4961" s="1"/>
      <c r="B4961" s="3"/>
      <c r="C4961" s="3"/>
      <c r="D4961" s="3"/>
      <c r="E4961" s="1"/>
    </row>
    <row r="4962">
      <c r="A4962" s="1"/>
      <c r="B4962" s="3"/>
      <c r="C4962" s="3"/>
      <c r="D4962" s="3"/>
      <c r="E4962" s="1"/>
    </row>
    <row r="4963">
      <c r="A4963" s="1"/>
      <c r="B4963" s="3"/>
      <c r="C4963" s="3"/>
      <c r="D4963" s="3"/>
      <c r="E4963" s="1"/>
    </row>
    <row r="4964">
      <c r="A4964" s="1"/>
      <c r="B4964" s="3"/>
      <c r="C4964" s="3"/>
      <c r="D4964" s="3"/>
      <c r="E4964" s="1"/>
    </row>
    <row r="4965">
      <c r="A4965" s="1"/>
      <c r="B4965" s="3"/>
      <c r="C4965" s="3"/>
      <c r="D4965" s="3"/>
      <c r="E4965" s="1"/>
    </row>
    <row r="4966">
      <c r="A4966" s="1"/>
      <c r="B4966" s="3"/>
      <c r="C4966" s="3"/>
      <c r="D4966" s="3"/>
      <c r="E4966" s="1"/>
    </row>
    <row r="4967">
      <c r="A4967" s="1"/>
      <c r="B4967" s="3"/>
      <c r="C4967" s="3"/>
      <c r="D4967" s="3"/>
      <c r="E4967" s="1"/>
    </row>
    <row r="4968">
      <c r="A4968" s="1"/>
      <c r="B4968" s="3"/>
      <c r="C4968" s="3"/>
      <c r="D4968" s="3"/>
      <c r="E4968" s="1"/>
    </row>
    <row r="4969">
      <c r="A4969" s="1"/>
      <c r="B4969" s="3"/>
      <c r="C4969" s="3"/>
      <c r="D4969" s="3"/>
      <c r="E4969" s="1"/>
    </row>
    <row r="4970">
      <c r="A4970" s="1"/>
      <c r="B4970" s="3"/>
      <c r="C4970" s="3"/>
      <c r="D4970" s="3"/>
      <c r="E4970" s="1"/>
    </row>
    <row r="4971">
      <c r="A4971" s="1"/>
      <c r="B4971" s="3"/>
      <c r="C4971" s="3"/>
      <c r="D4971" s="3"/>
      <c r="E4971" s="1"/>
    </row>
    <row r="4972">
      <c r="A4972" s="1"/>
      <c r="B4972" s="3"/>
      <c r="C4972" s="3"/>
      <c r="D4972" s="3"/>
      <c r="E4972" s="1"/>
    </row>
    <row r="4973">
      <c r="A4973" s="1"/>
      <c r="B4973" s="3"/>
      <c r="C4973" s="3"/>
      <c r="D4973" s="3"/>
      <c r="E4973" s="1"/>
    </row>
    <row r="4974">
      <c r="A4974" s="1"/>
      <c r="B4974" s="3"/>
      <c r="C4974" s="3"/>
      <c r="D4974" s="3"/>
      <c r="E4974" s="1"/>
    </row>
    <row r="4975">
      <c r="A4975" s="1"/>
      <c r="B4975" s="3"/>
      <c r="C4975" s="3"/>
      <c r="D4975" s="3"/>
      <c r="E4975" s="1"/>
    </row>
    <row r="4976">
      <c r="A4976" s="1"/>
      <c r="B4976" s="3"/>
      <c r="C4976" s="3"/>
      <c r="D4976" s="3"/>
      <c r="E4976" s="1"/>
    </row>
    <row r="4977">
      <c r="A4977" s="1"/>
      <c r="B4977" s="3"/>
      <c r="C4977" s="3"/>
      <c r="D4977" s="3"/>
      <c r="E4977" s="1"/>
    </row>
    <row r="4978">
      <c r="A4978" s="1"/>
      <c r="B4978" s="3"/>
      <c r="C4978" s="3"/>
      <c r="D4978" s="3"/>
      <c r="E4978" s="1"/>
    </row>
    <row r="4979">
      <c r="A4979" s="1"/>
      <c r="B4979" s="3"/>
      <c r="C4979" s="3"/>
      <c r="D4979" s="3"/>
      <c r="E4979" s="1"/>
    </row>
    <row r="4980">
      <c r="A4980" s="1"/>
      <c r="B4980" s="3"/>
      <c r="C4980" s="3"/>
      <c r="D4980" s="3"/>
      <c r="E4980" s="1"/>
    </row>
    <row r="4981">
      <c r="A4981" s="1"/>
      <c r="B4981" s="3"/>
      <c r="C4981" s="3"/>
      <c r="D4981" s="3"/>
      <c r="E4981" s="1"/>
    </row>
    <row r="4982">
      <c r="A4982" s="1"/>
      <c r="B4982" s="3"/>
      <c r="C4982" s="3"/>
      <c r="D4982" s="3"/>
      <c r="E4982" s="1"/>
    </row>
    <row r="4983">
      <c r="A4983" s="1"/>
      <c r="B4983" s="3"/>
      <c r="C4983" s="3"/>
      <c r="D4983" s="3"/>
      <c r="E4983" s="1"/>
    </row>
    <row r="4984">
      <c r="A4984" s="1"/>
      <c r="B4984" s="3"/>
      <c r="C4984" s="3"/>
      <c r="D4984" s="3"/>
      <c r="E4984" s="1"/>
    </row>
    <row r="4985">
      <c r="A4985" s="1"/>
      <c r="B4985" s="3"/>
      <c r="C4985" s="3"/>
      <c r="D4985" s="3"/>
      <c r="E4985" s="1"/>
    </row>
    <row r="4986">
      <c r="A4986" s="1"/>
      <c r="B4986" s="3"/>
      <c r="C4986" s="3"/>
      <c r="D4986" s="3"/>
      <c r="E4986" s="1"/>
    </row>
    <row r="4987">
      <c r="A4987" s="1"/>
      <c r="B4987" s="3"/>
      <c r="C4987" s="3"/>
      <c r="D4987" s="3"/>
      <c r="E4987" s="1"/>
    </row>
    <row r="4988">
      <c r="A4988" s="1"/>
      <c r="B4988" s="3"/>
      <c r="C4988" s="3"/>
      <c r="D4988" s="3"/>
      <c r="E4988" s="1"/>
    </row>
    <row r="4989">
      <c r="A4989" s="1"/>
      <c r="B4989" s="3"/>
      <c r="C4989" s="3"/>
      <c r="D4989" s="3"/>
      <c r="E4989" s="1"/>
    </row>
    <row r="4990">
      <c r="A4990" s="1"/>
      <c r="B4990" s="3"/>
      <c r="C4990" s="3"/>
      <c r="D4990" s="3"/>
      <c r="E4990" s="1"/>
    </row>
    <row r="4991">
      <c r="A4991" s="1"/>
      <c r="B4991" s="3"/>
      <c r="C4991" s="3"/>
      <c r="D4991" s="3"/>
      <c r="E4991" s="1"/>
    </row>
    <row r="4992">
      <c r="A4992" s="1"/>
      <c r="B4992" s="3"/>
      <c r="C4992" s="3"/>
      <c r="D4992" s="3"/>
      <c r="E4992" s="1"/>
    </row>
    <row r="4993">
      <c r="A4993" s="1"/>
      <c r="B4993" s="3"/>
      <c r="C4993" s="3"/>
      <c r="D4993" s="3"/>
      <c r="E4993" s="1"/>
    </row>
    <row r="4994">
      <c r="A4994" s="1"/>
      <c r="B4994" s="3"/>
      <c r="C4994" s="3"/>
      <c r="D4994" s="3"/>
      <c r="E4994" s="1"/>
    </row>
    <row r="4995">
      <c r="A4995" s="1"/>
      <c r="B4995" s="3"/>
      <c r="C4995" s="3"/>
      <c r="D4995" s="3"/>
      <c r="E4995" s="1"/>
    </row>
    <row r="4996">
      <c r="A4996" s="1"/>
      <c r="B4996" s="3"/>
      <c r="C4996" s="3"/>
      <c r="D4996" s="3"/>
      <c r="E4996" s="1"/>
    </row>
    <row r="4997">
      <c r="A4997" s="1"/>
      <c r="B4997" s="3"/>
      <c r="C4997" s="3"/>
      <c r="D4997" s="3"/>
      <c r="E4997" s="1"/>
    </row>
    <row r="4998">
      <c r="A4998" s="1"/>
      <c r="B4998" s="3"/>
      <c r="C4998" s="3"/>
      <c r="D4998" s="3"/>
      <c r="E4998" s="1"/>
    </row>
    <row r="4999">
      <c r="A4999" s="1"/>
      <c r="B4999" s="3"/>
      <c r="C4999" s="3"/>
      <c r="D4999" s="3"/>
      <c r="E4999" s="1"/>
    </row>
    <row r="5000">
      <c r="A5000" s="1"/>
      <c r="B5000" s="3"/>
      <c r="C5000" s="3"/>
      <c r="D5000" s="3"/>
      <c r="E5000" s="1"/>
    </row>
    <row r="5001">
      <c r="A5001" s="1"/>
      <c r="B5001" s="3"/>
      <c r="C5001" s="3"/>
      <c r="D5001" s="3"/>
      <c r="E5001" s="1"/>
    </row>
    <row r="5002">
      <c r="A5002" s="1"/>
      <c r="B5002" s="3"/>
      <c r="C5002" s="3"/>
      <c r="D5002" s="3"/>
      <c r="E5002" s="1"/>
    </row>
    <row r="5003">
      <c r="A5003" s="1"/>
      <c r="B5003" s="3"/>
      <c r="C5003" s="3"/>
      <c r="D5003" s="3"/>
      <c r="E5003" s="1"/>
    </row>
    <row r="5004">
      <c r="A5004" s="1"/>
      <c r="B5004" s="3"/>
      <c r="C5004" s="3"/>
      <c r="D5004" s="3"/>
      <c r="E5004" s="1"/>
    </row>
    <row r="5005">
      <c r="A5005" s="1"/>
      <c r="B5005" s="3"/>
      <c r="C5005" s="3"/>
      <c r="D5005" s="3"/>
      <c r="E5005" s="1"/>
    </row>
    <row r="5006">
      <c r="A5006" s="1"/>
      <c r="B5006" s="3"/>
      <c r="C5006" s="3"/>
      <c r="D5006" s="3"/>
      <c r="E5006" s="1"/>
    </row>
    <row r="5007">
      <c r="A5007" s="1"/>
      <c r="B5007" s="3"/>
      <c r="C5007" s="3"/>
      <c r="D5007" s="3"/>
      <c r="E5007" s="1"/>
    </row>
    <row r="5008">
      <c r="A5008" s="1"/>
      <c r="B5008" s="3"/>
      <c r="C5008" s="3"/>
      <c r="D5008" s="3"/>
      <c r="E5008" s="1"/>
    </row>
    <row r="5009">
      <c r="A5009" s="1"/>
      <c r="B5009" s="3"/>
      <c r="C5009" s="3"/>
      <c r="D5009" s="3"/>
      <c r="E5009" s="1"/>
    </row>
    <row r="5010">
      <c r="A5010" s="1"/>
      <c r="B5010" s="3"/>
      <c r="C5010" s="3"/>
      <c r="D5010" s="3"/>
      <c r="E5010" s="1"/>
    </row>
    <row r="5011">
      <c r="A5011" s="1"/>
      <c r="B5011" s="3"/>
      <c r="C5011" s="3"/>
      <c r="D5011" s="3"/>
      <c r="E5011" s="1"/>
    </row>
    <row r="5012">
      <c r="A5012" s="1"/>
      <c r="B5012" s="3"/>
      <c r="C5012" s="3"/>
      <c r="D5012" s="3"/>
      <c r="E5012" s="1"/>
    </row>
    <row r="5013">
      <c r="A5013" s="1"/>
      <c r="B5013" s="3"/>
      <c r="C5013" s="3"/>
      <c r="D5013" s="3"/>
      <c r="E5013" s="1"/>
    </row>
    <row r="5014">
      <c r="A5014" s="1"/>
      <c r="B5014" s="3"/>
      <c r="C5014" s="3"/>
      <c r="D5014" s="3"/>
      <c r="E5014" s="1"/>
    </row>
    <row r="5015">
      <c r="A5015" s="1"/>
      <c r="B5015" s="3"/>
      <c r="C5015" s="3"/>
      <c r="D5015" s="3"/>
      <c r="E5015" s="1"/>
    </row>
    <row r="5016">
      <c r="A5016" s="1"/>
      <c r="B5016" s="3"/>
      <c r="C5016" s="3"/>
      <c r="D5016" s="3"/>
      <c r="E5016" s="1"/>
    </row>
    <row r="5017">
      <c r="A5017" s="1"/>
      <c r="B5017" s="3"/>
      <c r="C5017" s="3"/>
      <c r="D5017" s="3"/>
      <c r="E5017" s="1"/>
    </row>
    <row r="5018">
      <c r="A5018" s="1"/>
      <c r="B5018" s="3"/>
      <c r="C5018" s="3"/>
      <c r="D5018" s="3"/>
      <c r="E5018" s="1"/>
    </row>
    <row r="5019">
      <c r="A5019" s="1"/>
      <c r="B5019" s="3"/>
      <c r="C5019" s="3"/>
      <c r="D5019" s="3"/>
      <c r="E5019" s="1"/>
    </row>
    <row r="5020">
      <c r="A5020" s="1"/>
      <c r="B5020" s="3"/>
      <c r="C5020" s="3"/>
      <c r="D5020" s="3"/>
      <c r="E5020" s="1"/>
    </row>
    <row r="5021">
      <c r="A5021" s="1"/>
      <c r="B5021" s="3"/>
      <c r="C5021" s="3"/>
      <c r="D5021" s="3"/>
      <c r="E5021" s="1"/>
    </row>
    <row r="5022">
      <c r="A5022" s="1"/>
      <c r="B5022" s="3"/>
      <c r="C5022" s="3"/>
      <c r="D5022" s="3"/>
      <c r="E5022" s="1"/>
    </row>
    <row r="5023">
      <c r="A5023" s="1"/>
      <c r="B5023" s="3"/>
      <c r="C5023" s="3"/>
      <c r="D5023" s="3"/>
      <c r="E5023" s="1"/>
    </row>
    <row r="5024">
      <c r="A5024" s="1"/>
      <c r="B5024" s="3"/>
      <c r="C5024" s="3"/>
      <c r="D5024" s="3"/>
      <c r="E5024" s="1"/>
    </row>
    <row r="5025">
      <c r="A5025" s="1"/>
      <c r="B5025" s="3"/>
      <c r="C5025" s="3"/>
      <c r="D5025" s="3"/>
      <c r="E5025" s="1"/>
    </row>
    <row r="5026">
      <c r="A5026" s="1"/>
      <c r="B5026" s="3"/>
      <c r="C5026" s="3"/>
      <c r="D5026" s="3"/>
      <c r="E5026" s="1"/>
    </row>
    <row r="5027">
      <c r="A5027" s="1"/>
      <c r="B5027" s="3"/>
      <c r="C5027" s="3"/>
      <c r="D5027" s="3"/>
      <c r="E5027" s="1"/>
    </row>
    <row r="5028">
      <c r="A5028" s="1"/>
      <c r="B5028" s="3"/>
      <c r="C5028" s="3"/>
      <c r="D5028" s="3"/>
      <c r="E5028" s="1"/>
    </row>
    <row r="5029">
      <c r="A5029" s="1"/>
      <c r="B5029" s="3"/>
      <c r="C5029" s="3"/>
      <c r="D5029" s="3"/>
      <c r="E5029" s="1"/>
    </row>
    <row r="5030">
      <c r="A5030" s="1"/>
      <c r="B5030" s="3"/>
      <c r="C5030" s="3"/>
      <c r="D5030" s="3"/>
      <c r="E5030" s="1"/>
    </row>
    <row r="5031">
      <c r="A5031" s="1"/>
      <c r="B5031" s="3"/>
      <c r="C5031" s="3"/>
      <c r="D5031" s="3"/>
      <c r="E5031" s="1"/>
    </row>
    <row r="5032">
      <c r="A5032" s="1"/>
      <c r="B5032" s="3"/>
      <c r="C5032" s="3"/>
      <c r="D5032" s="3"/>
      <c r="E5032" s="1"/>
    </row>
    <row r="5033">
      <c r="A5033" s="1"/>
      <c r="B5033" s="3"/>
      <c r="C5033" s="3"/>
      <c r="D5033" s="3"/>
      <c r="E5033" s="1"/>
    </row>
    <row r="5034">
      <c r="A5034" s="1"/>
      <c r="B5034" s="3"/>
      <c r="C5034" s="3"/>
      <c r="D5034" s="3"/>
      <c r="E5034" s="1"/>
    </row>
    <row r="5035">
      <c r="A5035" s="1"/>
      <c r="B5035" s="3"/>
      <c r="C5035" s="3"/>
      <c r="D5035" s="3"/>
      <c r="E5035" s="1"/>
    </row>
    <row r="5036">
      <c r="A5036" s="1"/>
      <c r="B5036" s="3"/>
      <c r="C5036" s="3"/>
      <c r="D5036" s="3"/>
      <c r="E5036" s="1"/>
    </row>
    <row r="5037">
      <c r="A5037" s="1"/>
      <c r="B5037" s="3"/>
      <c r="C5037" s="3"/>
      <c r="D5037" s="3"/>
      <c r="E5037" s="1"/>
    </row>
    <row r="5038">
      <c r="A5038" s="1"/>
      <c r="B5038" s="3"/>
      <c r="C5038" s="3"/>
      <c r="D5038" s="3"/>
      <c r="E5038" s="1"/>
    </row>
    <row r="5039">
      <c r="A5039" s="1"/>
      <c r="B5039" s="3"/>
      <c r="C5039" s="3"/>
      <c r="D5039" s="3"/>
      <c r="E5039" s="1"/>
    </row>
    <row r="5040">
      <c r="A5040" s="1"/>
      <c r="B5040" s="3"/>
      <c r="C5040" s="3"/>
      <c r="D5040" s="3"/>
      <c r="E5040" s="1"/>
    </row>
    <row r="5041">
      <c r="A5041" s="1"/>
      <c r="B5041" s="3"/>
      <c r="C5041" s="3"/>
      <c r="D5041" s="3"/>
      <c r="E5041" s="1"/>
    </row>
    <row r="5042">
      <c r="A5042" s="1"/>
      <c r="B5042" s="3"/>
      <c r="C5042" s="3"/>
      <c r="D5042" s="3"/>
      <c r="E5042" s="1"/>
    </row>
    <row r="5043">
      <c r="A5043" s="1"/>
      <c r="B5043" s="3"/>
      <c r="C5043" s="3"/>
      <c r="D5043" s="3"/>
      <c r="E5043" s="1"/>
    </row>
    <row r="5044">
      <c r="A5044" s="1"/>
      <c r="B5044" s="3"/>
      <c r="C5044" s="3"/>
      <c r="D5044" s="3"/>
      <c r="E5044" s="1"/>
    </row>
    <row r="5045">
      <c r="A5045" s="1"/>
      <c r="B5045" s="3"/>
      <c r="C5045" s="3"/>
      <c r="D5045" s="3"/>
      <c r="E5045" s="1"/>
    </row>
    <row r="5046">
      <c r="A5046" s="1"/>
      <c r="B5046" s="3"/>
      <c r="C5046" s="3"/>
      <c r="D5046" s="3"/>
      <c r="E5046" s="1"/>
    </row>
    <row r="5047">
      <c r="A5047" s="1"/>
      <c r="B5047" s="3"/>
      <c r="C5047" s="3"/>
      <c r="D5047" s="3"/>
      <c r="E5047" s="1"/>
    </row>
    <row r="5048">
      <c r="A5048" s="1"/>
      <c r="B5048" s="3"/>
      <c r="C5048" s="3"/>
      <c r="D5048" s="3"/>
      <c r="E5048" s="1"/>
    </row>
    <row r="5049">
      <c r="A5049" s="1"/>
      <c r="B5049" s="3"/>
      <c r="C5049" s="3"/>
      <c r="D5049" s="3"/>
      <c r="E5049" s="1"/>
    </row>
    <row r="5050">
      <c r="A5050" s="1"/>
      <c r="B5050" s="3"/>
      <c r="C5050" s="3"/>
      <c r="D5050" s="3"/>
      <c r="E5050" s="1"/>
    </row>
    <row r="5051">
      <c r="A5051" s="1"/>
      <c r="B5051" s="3"/>
      <c r="C5051" s="3"/>
      <c r="D5051" s="3"/>
      <c r="E5051" s="1"/>
    </row>
    <row r="5052">
      <c r="A5052" s="1"/>
      <c r="B5052" s="3"/>
      <c r="C5052" s="3"/>
      <c r="D5052" s="3"/>
      <c r="E5052" s="1"/>
    </row>
    <row r="5053">
      <c r="A5053" s="1"/>
      <c r="B5053" s="3"/>
      <c r="C5053" s="3"/>
      <c r="D5053" s="3"/>
      <c r="E5053" s="1"/>
    </row>
    <row r="5054">
      <c r="A5054" s="1"/>
      <c r="B5054" s="3"/>
      <c r="C5054" s="3"/>
      <c r="D5054" s="3"/>
      <c r="E5054" s="1"/>
    </row>
    <row r="5055">
      <c r="A5055" s="1"/>
      <c r="B5055" s="3"/>
      <c r="C5055" s="3"/>
      <c r="D5055" s="3"/>
      <c r="E5055" s="1"/>
    </row>
    <row r="5056">
      <c r="A5056" s="1"/>
      <c r="B5056" s="3"/>
      <c r="C5056" s="3"/>
      <c r="D5056" s="3"/>
      <c r="E5056" s="1"/>
    </row>
    <row r="5057">
      <c r="A5057" s="1"/>
      <c r="B5057" s="3"/>
      <c r="C5057" s="3"/>
      <c r="D5057" s="3"/>
      <c r="E5057" s="1"/>
    </row>
    <row r="5058">
      <c r="A5058" s="1"/>
      <c r="B5058" s="3"/>
      <c r="C5058" s="3"/>
      <c r="D5058" s="3"/>
      <c r="E5058" s="1"/>
    </row>
    <row r="5059">
      <c r="A5059" s="1"/>
      <c r="B5059" s="3"/>
      <c r="C5059" s="3"/>
      <c r="D5059" s="3"/>
      <c r="E5059" s="1"/>
    </row>
    <row r="5060">
      <c r="A5060" s="1"/>
      <c r="B5060" s="3"/>
      <c r="C5060" s="3"/>
      <c r="D5060" s="3"/>
      <c r="E5060" s="1"/>
    </row>
    <row r="5061">
      <c r="A5061" s="1"/>
      <c r="B5061" s="3"/>
      <c r="C5061" s="3"/>
      <c r="D5061" s="3"/>
      <c r="E5061" s="1"/>
    </row>
    <row r="5062">
      <c r="A5062" s="1"/>
      <c r="B5062" s="3"/>
      <c r="C5062" s="3"/>
      <c r="D5062" s="3"/>
      <c r="E5062" s="1"/>
    </row>
    <row r="5063">
      <c r="A5063" s="1"/>
      <c r="B5063" s="3"/>
      <c r="C5063" s="3"/>
      <c r="D5063" s="3"/>
      <c r="E5063" s="1"/>
    </row>
    <row r="5064">
      <c r="A5064" s="1"/>
      <c r="B5064" s="3"/>
      <c r="C5064" s="3"/>
      <c r="D5064" s="3"/>
      <c r="E5064" s="1"/>
    </row>
    <row r="5065">
      <c r="A5065" s="1"/>
      <c r="B5065" s="3"/>
      <c r="C5065" s="3"/>
      <c r="D5065" s="3"/>
      <c r="E5065" s="1"/>
    </row>
    <row r="5066">
      <c r="A5066" s="1"/>
      <c r="B5066" s="3"/>
      <c r="C5066" s="3"/>
      <c r="D5066" s="3"/>
      <c r="E5066" s="1"/>
    </row>
    <row r="5067">
      <c r="A5067" s="1"/>
      <c r="B5067" s="3"/>
      <c r="C5067" s="3"/>
      <c r="D5067" s="3"/>
      <c r="E5067" s="1"/>
    </row>
    <row r="5068">
      <c r="A5068" s="1"/>
      <c r="B5068" s="3"/>
      <c r="C5068" s="3"/>
      <c r="D5068" s="3"/>
      <c r="E5068" s="1"/>
    </row>
    <row r="5069">
      <c r="A5069" s="1"/>
      <c r="B5069" s="3"/>
      <c r="C5069" s="3"/>
      <c r="D5069" s="3"/>
      <c r="E5069" s="1"/>
    </row>
    <row r="5070">
      <c r="A5070" s="1"/>
      <c r="B5070" s="3"/>
      <c r="C5070" s="3"/>
      <c r="D5070" s="3"/>
      <c r="E5070" s="1"/>
    </row>
    <row r="5071">
      <c r="A5071" s="1"/>
      <c r="B5071" s="3"/>
      <c r="C5071" s="3"/>
      <c r="D5071" s="3"/>
      <c r="E5071" s="1"/>
    </row>
    <row r="5072">
      <c r="A5072" s="1"/>
      <c r="B5072" s="3"/>
      <c r="C5072" s="3"/>
      <c r="D5072" s="3"/>
      <c r="E5072" s="1"/>
    </row>
    <row r="5073">
      <c r="A5073" s="1"/>
      <c r="B5073" s="3"/>
      <c r="C5073" s="3"/>
      <c r="D5073" s="3"/>
      <c r="E5073" s="1"/>
    </row>
    <row r="5074">
      <c r="A5074" s="1"/>
      <c r="B5074" s="3"/>
      <c r="C5074" s="3"/>
      <c r="D5074" s="3"/>
      <c r="E5074" s="1"/>
    </row>
    <row r="5075">
      <c r="A5075" s="1"/>
      <c r="B5075" s="3"/>
      <c r="C5075" s="3"/>
      <c r="D5075" s="3"/>
      <c r="E5075" s="1"/>
    </row>
    <row r="5076">
      <c r="A5076" s="1"/>
      <c r="B5076" s="3"/>
      <c r="C5076" s="3"/>
      <c r="D5076" s="3"/>
      <c r="E5076" s="1"/>
    </row>
    <row r="5077">
      <c r="A5077" s="1"/>
      <c r="B5077" s="3"/>
      <c r="C5077" s="3"/>
      <c r="D5077" s="3"/>
      <c r="E5077" s="1"/>
    </row>
    <row r="5078">
      <c r="A5078" s="1"/>
      <c r="B5078" s="3"/>
      <c r="C5078" s="3"/>
      <c r="D5078" s="3"/>
      <c r="E5078" s="1"/>
    </row>
    <row r="5079">
      <c r="A5079" s="1"/>
      <c r="B5079" s="3"/>
      <c r="C5079" s="3"/>
      <c r="D5079" s="3"/>
      <c r="E5079" s="1"/>
    </row>
    <row r="5080">
      <c r="A5080" s="1"/>
      <c r="B5080" s="3"/>
      <c r="C5080" s="3"/>
      <c r="D5080" s="3"/>
      <c r="E5080" s="1"/>
    </row>
    <row r="5081">
      <c r="A5081" s="1"/>
      <c r="B5081" s="3"/>
      <c r="C5081" s="3"/>
      <c r="D5081" s="3"/>
      <c r="E5081" s="1"/>
    </row>
    <row r="5082">
      <c r="A5082" s="1"/>
      <c r="B5082" s="3"/>
      <c r="C5082" s="3"/>
      <c r="D5082" s="3"/>
      <c r="E5082" s="1"/>
    </row>
    <row r="5083">
      <c r="A5083" s="1"/>
      <c r="B5083" s="3"/>
      <c r="C5083" s="3"/>
      <c r="D5083" s="3"/>
      <c r="E5083" s="1"/>
    </row>
    <row r="5084">
      <c r="A5084" s="1"/>
      <c r="B5084" s="3"/>
      <c r="C5084" s="3"/>
      <c r="D5084" s="3"/>
      <c r="E5084" s="1"/>
    </row>
    <row r="5085">
      <c r="A5085" s="1"/>
      <c r="B5085" s="3"/>
      <c r="C5085" s="3"/>
      <c r="D5085" s="3"/>
      <c r="E5085" s="1"/>
    </row>
    <row r="5086">
      <c r="A5086" s="1"/>
      <c r="B5086" s="3"/>
      <c r="C5086" s="3"/>
      <c r="D5086" s="3"/>
      <c r="E5086" s="1"/>
    </row>
    <row r="5087">
      <c r="A5087" s="1"/>
      <c r="B5087" s="3"/>
      <c r="C5087" s="3"/>
      <c r="D5087" s="3"/>
      <c r="E5087" s="1"/>
    </row>
    <row r="5088">
      <c r="A5088" s="1"/>
      <c r="B5088" s="3"/>
      <c r="C5088" s="3"/>
      <c r="D5088" s="3"/>
      <c r="E5088" s="1"/>
    </row>
    <row r="5089">
      <c r="A5089" s="1"/>
      <c r="B5089" s="3"/>
      <c r="C5089" s="3"/>
      <c r="D5089" s="3"/>
      <c r="E5089" s="1"/>
    </row>
    <row r="5090">
      <c r="A5090" s="1"/>
      <c r="B5090" s="3"/>
      <c r="C5090" s="3"/>
      <c r="D5090" s="3"/>
      <c r="E5090" s="1"/>
    </row>
    <row r="5091">
      <c r="A5091" s="1"/>
      <c r="B5091" s="3"/>
      <c r="C5091" s="3"/>
      <c r="D5091" s="3"/>
      <c r="E5091" s="1"/>
    </row>
    <row r="5092">
      <c r="A5092" s="1"/>
      <c r="B5092" s="3"/>
      <c r="C5092" s="3"/>
      <c r="D5092" s="3"/>
      <c r="E5092" s="1"/>
    </row>
    <row r="5093">
      <c r="A5093" s="1"/>
      <c r="B5093" s="3"/>
      <c r="C5093" s="3"/>
      <c r="D5093" s="3"/>
      <c r="E5093" s="1"/>
    </row>
    <row r="5094">
      <c r="A5094" s="1"/>
      <c r="B5094" s="3"/>
      <c r="C5094" s="3"/>
      <c r="D5094" s="3"/>
      <c r="E5094" s="1"/>
    </row>
    <row r="5095">
      <c r="A5095" s="1"/>
      <c r="B5095" s="3"/>
      <c r="C5095" s="3"/>
      <c r="D5095" s="3"/>
      <c r="E5095" s="1"/>
    </row>
    <row r="5096">
      <c r="A5096" s="1"/>
      <c r="B5096" s="3"/>
      <c r="C5096" s="3"/>
      <c r="D5096" s="3"/>
      <c r="E5096" s="1"/>
    </row>
    <row r="5097">
      <c r="A5097" s="1"/>
      <c r="B5097" s="3"/>
      <c r="C5097" s="3"/>
      <c r="D5097" s="3"/>
      <c r="E5097" s="1"/>
    </row>
    <row r="5098">
      <c r="A5098" s="1"/>
      <c r="B5098" s="3"/>
      <c r="C5098" s="3"/>
      <c r="D5098" s="3"/>
      <c r="E5098" s="1"/>
    </row>
    <row r="5099">
      <c r="A5099" s="1"/>
      <c r="B5099" s="3"/>
      <c r="C5099" s="3"/>
      <c r="D5099" s="3"/>
      <c r="E5099" s="1"/>
    </row>
    <row r="5100">
      <c r="A5100" s="1"/>
      <c r="B5100" s="3"/>
      <c r="C5100" s="3"/>
      <c r="D5100" s="3"/>
      <c r="E5100" s="1"/>
    </row>
    <row r="5101">
      <c r="A5101" s="1"/>
      <c r="B5101" s="3"/>
      <c r="C5101" s="3"/>
      <c r="D5101" s="3"/>
      <c r="E5101" s="1"/>
    </row>
    <row r="5102">
      <c r="A5102" s="1"/>
      <c r="B5102" s="3"/>
      <c r="C5102" s="3"/>
      <c r="D5102" s="3"/>
      <c r="E5102" s="1"/>
    </row>
    <row r="5103">
      <c r="A5103" s="1"/>
      <c r="B5103" s="3"/>
      <c r="C5103" s="3"/>
      <c r="D5103" s="3"/>
      <c r="E5103" s="1"/>
    </row>
    <row r="5104">
      <c r="A5104" s="1"/>
      <c r="B5104" s="3"/>
      <c r="C5104" s="3"/>
      <c r="D5104" s="3"/>
      <c r="E5104" s="1"/>
    </row>
    <row r="5105">
      <c r="A5105" s="1"/>
      <c r="B5105" s="3"/>
      <c r="C5105" s="3"/>
      <c r="D5105" s="3"/>
      <c r="E5105" s="1"/>
    </row>
    <row r="5106">
      <c r="A5106" s="1"/>
      <c r="B5106" s="3"/>
      <c r="C5106" s="3"/>
      <c r="D5106" s="3"/>
      <c r="E5106" s="1"/>
    </row>
    <row r="5107">
      <c r="A5107" s="1"/>
      <c r="B5107" s="3"/>
      <c r="C5107" s="3"/>
      <c r="D5107" s="3"/>
      <c r="E5107" s="1"/>
    </row>
    <row r="5108">
      <c r="A5108" s="1"/>
      <c r="B5108" s="3"/>
      <c r="C5108" s="3"/>
      <c r="D5108" s="3"/>
      <c r="E5108" s="1"/>
    </row>
    <row r="5109">
      <c r="A5109" s="1"/>
      <c r="B5109" s="3"/>
      <c r="C5109" s="3"/>
      <c r="D5109" s="3"/>
      <c r="E5109" s="1"/>
    </row>
    <row r="5110">
      <c r="A5110" s="1"/>
      <c r="B5110" s="3"/>
      <c r="C5110" s="3"/>
      <c r="D5110" s="3"/>
      <c r="E5110" s="1"/>
    </row>
    <row r="5111">
      <c r="A5111" s="1"/>
      <c r="B5111" s="3"/>
      <c r="C5111" s="3"/>
      <c r="D5111" s="3"/>
      <c r="E5111" s="1"/>
    </row>
    <row r="5112">
      <c r="A5112" s="1"/>
      <c r="B5112" s="3"/>
      <c r="C5112" s="3"/>
      <c r="D5112" s="3"/>
      <c r="E5112" s="1"/>
    </row>
    <row r="5113">
      <c r="A5113" s="1"/>
      <c r="B5113" s="3"/>
      <c r="C5113" s="3"/>
      <c r="D5113" s="3"/>
      <c r="E5113" s="1"/>
    </row>
    <row r="5114">
      <c r="A5114" s="1"/>
      <c r="B5114" s="3"/>
      <c r="C5114" s="3"/>
      <c r="D5114" s="3"/>
      <c r="E5114" s="1"/>
    </row>
    <row r="5115">
      <c r="A5115" s="1"/>
      <c r="B5115" s="3"/>
      <c r="C5115" s="3"/>
      <c r="D5115" s="3"/>
      <c r="E5115" s="1"/>
    </row>
    <row r="5116">
      <c r="A5116" s="1"/>
      <c r="B5116" s="3"/>
      <c r="C5116" s="3"/>
      <c r="D5116" s="3"/>
      <c r="E5116" s="1"/>
    </row>
    <row r="5117">
      <c r="A5117" s="1"/>
      <c r="B5117" s="3"/>
      <c r="C5117" s="3"/>
      <c r="D5117" s="3"/>
      <c r="E5117" s="1"/>
    </row>
    <row r="5118">
      <c r="A5118" s="1"/>
      <c r="B5118" s="3"/>
      <c r="C5118" s="3"/>
      <c r="D5118" s="3"/>
      <c r="E5118" s="1"/>
    </row>
    <row r="5119">
      <c r="A5119" s="1"/>
      <c r="B5119" s="3"/>
      <c r="C5119" s="3"/>
      <c r="D5119" s="3"/>
      <c r="E5119" s="1"/>
    </row>
    <row r="5120">
      <c r="A5120" s="1"/>
      <c r="B5120" s="3"/>
      <c r="C5120" s="3"/>
      <c r="D5120" s="3"/>
      <c r="E5120" s="1"/>
    </row>
    <row r="5121">
      <c r="A5121" s="1"/>
      <c r="B5121" s="3"/>
      <c r="C5121" s="3"/>
      <c r="D5121" s="3"/>
      <c r="E5121" s="1"/>
    </row>
    <row r="5122">
      <c r="A5122" s="1"/>
      <c r="B5122" s="3"/>
      <c r="C5122" s="3"/>
      <c r="D5122" s="3"/>
      <c r="E5122" s="1"/>
    </row>
    <row r="5123">
      <c r="A5123" s="1"/>
      <c r="B5123" s="3"/>
      <c r="C5123" s="3"/>
      <c r="D5123" s="3"/>
      <c r="E5123" s="1"/>
    </row>
    <row r="5124">
      <c r="A5124" s="1"/>
      <c r="B5124" s="3"/>
      <c r="C5124" s="3"/>
      <c r="D5124" s="3"/>
      <c r="E5124" s="1"/>
    </row>
    <row r="5125">
      <c r="A5125" s="1"/>
      <c r="B5125" s="3"/>
      <c r="C5125" s="3"/>
      <c r="D5125" s="3"/>
      <c r="E5125" s="1"/>
    </row>
    <row r="5126">
      <c r="A5126" s="1"/>
      <c r="B5126" s="3"/>
      <c r="C5126" s="3"/>
      <c r="D5126" s="3"/>
      <c r="E5126" s="1"/>
    </row>
    <row r="5127">
      <c r="A5127" s="1"/>
      <c r="B5127" s="3"/>
      <c r="C5127" s="3"/>
      <c r="D5127" s="3"/>
      <c r="E5127" s="1"/>
    </row>
    <row r="5128">
      <c r="A5128" s="1"/>
      <c r="B5128" s="3"/>
      <c r="C5128" s="3"/>
      <c r="D5128" s="3"/>
      <c r="E5128" s="1"/>
    </row>
    <row r="5129">
      <c r="A5129" s="1"/>
      <c r="B5129" s="3"/>
      <c r="C5129" s="3"/>
      <c r="D5129" s="3"/>
      <c r="E5129" s="1"/>
    </row>
    <row r="5130">
      <c r="A5130" s="1"/>
      <c r="B5130" s="3"/>
      <c r="C5130" s="3"/>
      <c r="D5130" s="3"/>
      <c r="E5130" s="1"/>
    </row>
    <row r="5131">
      <c r="A5131" s="1"/>
      <c r="B5131" s="3"/>
      <c r="C5131" s="3"/>
      <c r="D5131" s="3"/>
      <c r="E5131" s="1"/>
    </row>
    <row r="5132">
      <c r="A5132" s="1"/>
      <c r="B5132" s="3"/>
      <c r="C5132" s="3"/>
      <c r="D5132" s="3"/>
      <c r="E5132" s="1"/>
    </row>
    <row r="5133">
      <c r="A5133" s="1"/>
      <c r="B5133" s="3"/>
      <c r="C5133" s="3"/>
      <c r="D5133" s="3"/>
      <c r="E5133" s="1"/>
    </row>
    <row r="5134">
      <c r="A5134" s="1"/>
      <c r="B5134" s="3"/>
      <c r="C5134" s="3"/>
      <c r="D5134" s="3"/>
      <c r="E5134" s="1"/>
    </row>
    <row r="5135">
      <c r="A5135" s="1"/>
      <c r="B5135" s="3"/>
      <c r="C5135" s="3"/>
      <c r="D5135" s="3"/>
      <c r="E5135" s="1"/>
    </row>
    <row r="5136">
      <c r="A5136" s="1"/>
      <c r="B5136" s="3"/>
      <c r="C5136" s="3"/>
      <c r="D5136" s="3"/>
      <c r="E5136" s="1"/>
    </row>
    <row r="5137">
      <c r="A5137" s="1"/>
      <c r="B5137" s="3"/>
      <c r="C5137" s="3"/>
      <c r="D5137" s="3"/>
      <c r="E5137" s="1"/>
    </row>
    <row r="5138">
      <c r="A5138" s="1"/>
      <c r="B5138" s="3"/>
      <c r="C5138" s="3"/>
      <c r="D5138" s="3"/>
      <c r="E5138" s="1"/>
    </row>
    <row r="5139">
      <c r="A5139" s="1"/>
      <c r="B5139" s="3"/>
      <c r="C5139" s="3"/>
      <c r="D5139" s="3"/>
      <c r="E5139" s="1"/>
    </row>
    <row r="5140">
      <c r="A5140" s="1"/>
      <c r="B5140" s="3"/>
      <c r="C5140" s="3"/>
      <c r="D5140" s="3"/>
      <c r="E5140" s="1"/>
    </row>
    <row r="5141">
      <c r="A5141" s="1"/>
      <c r="B5141" s="3"/>
      <c r="C5141" s="3"/>
      <c r="D5141" s="3"/>
      <c r="E5141" s="1"/>
    </row>
    <row r="5142">
      <c r="A5142" s="1"/>
      <c r="B5142" s="3"/>
      <c r="C5142" s="3"/>
      <c r="D5142" s="3"/>
      <c r="E5142" s="1"/>
    </row>
    <row r="5143">
      <c r="A5143" s="1"/>
      <c r="B5143" s="3"/>
      <c r="C5143" s="3"/>
      <c r="D5143" s="3"/>
      <c r="E5143" s="1"/>
    </row>
    <row r="5144">
      <c r="A5144" s="1"/>
      <c r="B5144" s="3"/>
      <c r="C5144" s="3"/>
      <c r="D5144" s="3"/>
      <c r="E5144" s="1"/>
    </row>
    <row r="5145">
      <c r="A5145" s="1"/>
      <c r="B5145" s="3"/>
      <c r="C5145" s="3"/>
      <c r="D5145" s="3"/>
      <c r="E5145" s="1"/>
    </row>
    <row r="5146">
      <c r="A5146" s="1"/>
      <c r="B5146" s="3"/>
      <c r="C5146" s="3"/>
      <c r="D5146" s="3"/>
      <c r="E5146" s="1"/>
    </row>
    <row r="5147">
      <c r="A5147" s="1"/>
      <c r="B5147" s="3"/>
      <c r="C5147" s="3"/>
      <c r="D5147" s="3"/>
      <c r="E5147" s="1"/>
    </row>
    <row r="5148">
      <c r="A5148" s="1"/>
      <c r="B5148" s="3"/>
      <c r="C5148" s="3"/>
      <c r="D5148" s="3"/>
      <c r="E5148" s="1"/>
    </row>
    <row r="5149">
      <c r="A5149" s="1"/>
      <c r="B5149" s="3"/>
      <c r="C5149" s="3"/>
      <c r="D5149" s="3"/>
      <c r="E5149" s="1"/>
    </row>
    <row r="5150">
      <c r="A5150" s="1"/>
      <c r="B5150" s="3"/>
      <c r="C5150" s="3"/>
      <c r="D5150" s="3"/>
      <c r="E5150" s="1"/>
    </row>
    <row r="5151">
      <c r="A5151" s="1"/>
      <c r="B5151" s="3"/>
      <c r="C5151" s="3"/>
      <c r="D5151" s="3"/>
      <c r="E5151" s="1"/>
    </row>
    <row r="5152">
      <c r="A5152" s="1"/>
      <c r="B5152" s="3"/>
      <c r="C5152" s="3"/>
      <c r="D5152" s="3"/>
      <c r="E5152" s="1"/>
    </row>
    <row r="5153">
      <c r="A5153" s="1"/>
      <c r="B5153" s="3"/>
      <c r="C5153" s="3"/>
      <c r="D5153" s="3"/>
      <c r="E5153" s="1"/>
    </row>
    <row r="5154">
      <c r="A5154" s="1"/>
      <c r="B5154" s="3"/>
      <c r="C5154" s="3"/>
      <c r="D5154" s="3"/>
      <c r="E5154" s="1"/>
    </row>
    <row r="5155">
      <c r="A5155" s="1"/>
      <c r="B5155" s="3"/>
      <c r="C5155" s="3"/>
      <c r="D5155" s="3"/>
      <c r="E5155" s="1"/>
    </row>
    <row r="5156">
      <c r="A5156" s="1"/>
      <c r="B5156" s="3"/>
      <c r="C5156" s="3"/>
      <c r="D5156" s="3"/>
      <c r="E5156" s="1"/>
    </row>
    <row r="5157">
      <c r="A5157" s="1"/>
      <c r="B5157" s="3"/>
      <c r="C5157" s="3"/>
      <c r="D5157" s="3"/>
      <c r="E5157" s="1"/>
    </row>
    <row r="5158">
      <c r="A5158" s="1"/>
      <c r="B5158" s="3"/>
      <c r="C5158" s="3"/>
      <c r="D5158" s="3"/>
      <c r="E5158" s="1"/>
    </row>
    <row r="5159">
      <c r="A5159" s="1"/>
      <c r="B5159" s="3"/>
      <c r="C5159" s="3"/>
      <c r="D5159" s="3"/>
      <c r="E5159" s="1"/>
    </row>
    <row r="5160">
      <c r="A5160" s="1"/>
      <c r="B5160" s="3"/>
      <c r="C5160" s="3"/>
      <c r="D5160" s="3"/>
      <c r="E5160" s="1"/>
    </row>
    <row r="5161">
      <c r="A5161" s="1"/>
      <c r="B5161" s="3"/>
      <c r="C5161" s="3"/>
      <c r="D5161" s="3"/>
      <c r="E5161" s="1"/>
    </row>
    <row r="5162">
      <c r="A5162" s="1"/>
      <c r="B5162" s="3"/>
      <c r="C5162" s="3"/>
      <c r="D5162" s="3"/>
      <c r="E5162" s="1"/>
    </row>
    <row r="5163">
      <c r="A5163" s="1"/>
      <c r="B5163" s="3"/>
      <c r="C5163" s="3"/>
      <c r="D5163" s="3"/>
      <c r="E5163" s="1"/>
    </row>
    <row r="5164">
      <c r="A5164" s="1"/>
      <c r="B5164" s="3"/>
      <c r="C5164" s="3"/>
      <c r="D5164" s="3"/>
      <c r="E5164" s="1"/>
    </row>
    <row r="5165">
      <c r="A5165" s="1"/>
      <c r="B5165" s="3"/>
      <c r="C5165" s="3"/>
      <c r="D5165" s="3"/>
      <c r="E5165" s="1"/>
    </row>
    <row r="5166">
      <c r="A5166" s="1"/>
      <c r="B5166" s="3"/>
      <c r="C5166" s="3"/>
      <c r="D5166" s="3"/>
      <c r="E5166" s="1"/>
    </row>
    <row r="5167">
      <c r="A5167" s="1"/>
      <c r="B5167" s="3"/>
      <c r="C5167" s="3"/>
      <c r="D5167" s="3"/>
      <c r="E5167" s="1"/>
    </row>
    <row r="5168">
      <c r="A5168" s="1"/>
      <c r="B5168" s="3"/>
      <c r="C5168" s="3"/>
      <c r="D5168" s="3"/>
      <c r="E5168" s="1"/>
    </row>
    <row r="5169">
      <c r="A5169" s="1"/>
      <c r="B5169" s="3"/>
      <c r="C5169" s="3"/>
      <c r="D5169" s="3"/>
      <c r="E5169" s="1"/>
    </row>
    <row r="5170">
      <c r="A5170" s="1"/>
      <c r="B5170" s="3"/>
      <c r="C5170" s="3"/>
      <c r="D5170" s="3"/>
      <c r="E5170" s="1"/>
    </row>
    <row r="5171">
      <c r="A5171" s="1"/>
      <c r="B5171" s="3"/>
      <c r="C5171" s="3"/>
      <c r="D5171" s="3"/>
      <c r="E5171" s="1"/>
    </row>
    <row r="5172">
      <c r="A5172" s="1"/>
      <c r="B5172" s="3"/>
      <c r="C5172" s="3"/>
      <c r="D5172" s="3"/>
      <c r="E5172" s="1"/>
    </row>
    <row r="5173">
      <c r="A5173" s="1"/>
      <c r="B5173" s="3"/>
      <c r="C5173" s="3"/>
      <c r="D5173" s="3"/>
      <c r="E5173" s="1"/>
    </row>
    <row r="5174">
      <c r="A5174" s="1"/>
      <c r="B5174" s="3"/>
      <c r="C5174" s="3"/>
      <c r="D5174" s="3"/>
      <c r="E5174" s="1"/>
    </row>
    <row r="5175">
      <c r="A5175" s="1"/>
      <c r="B5175" s="3"/>
      <c r="C5175" s="3"/>
      <c r="D5175" s="3"/>
      <c r="E5175" s="1"/>
    </row>
    <row r="5176">
      <c r="A5176" s="1"/>
      <c r="B5176" s="3"/>
      <c r="C5176" s="3"/>
      <c r="D5176" s="3"/>
      <c r="E5176" s="1"/>
    </row>
    <row r="5177">
      <c r="A5177" s="1"/>
      <c r="B5177" s="3"/>
      <c r="C5177" s="3"/>
      <c r="D5177" s="3"/>
      <c r="E5177" s="1"/>
    </row>
    <row r="5178">
      <c r="A5178" s="1"/>
      <c r="B5178" s="3"/>
      <c r="C5178" s="3"/>
      <c r="D5178" s="3"/>
      <c r="E5178" s="1"/>
    </row>
    <row r="5179">
      <c r="A5179" s="1"/>
      <c r="B5179" s="3"/>
      <c r="C5179" s="3"/>
      <c r="D5179" s="3"/>
      <c r="E5179" s="1"/>
    </row>
    <row r="5180">
      <c r="A5180" s="1"/>
      <c r="B5180" s="3"/>
      <c r="C5180" s="3"/>
      <c r="D5180" s="3"/>
      <c r="E5180" s="1"/>
    </row>
    <row r="5181">
      <c r="A5181" s="1"/>
      <c r="B5181" s="3"/>
      <c r="C5181" s="3"/>
      <c r="D5181" s="3"/>
      <c r="E5181" s="1"/>
    </row>
    <row r="5182">
      <c r="A5182" s="1"/>
      <c r="B5182" s="3"/>
      <c r="C5182" s="3"/>
      <c r="D5182" s="3"/>
      <c r="E5182" s="1"/>
    </row>
    <row r="5183">
      <c r="A5183" s="1"/>
      <c r="B5183" s="3"/>
      <c r="C5183" s="3"/>
      <c r="D5183" s="3"/>
      <c r="E5183" s="1"/>
    </row>
    <row r="5184">
      <c r="A5184" s="1"/>
      <c r="B5184" s="3"/>
      <c r="C5184" s="3"/>
      <c r="D5184" s="3"/>
      <c r="E5184" s="1"/>
    </row>
    <row r="5185">
      <c r="A5185" s="1"/>
      <c r="B5185" s="3"/>
      <c r="C5185" s="3"/>
      <c r="D5185" s="3"/>
      <c r="E5185" s="1"/>
    </row>
    <row r="5186">
      <c r="A5186" s="1"/>
      <c r="B5186" s="3"/>
      <c r="C5186" s="3"/>
      <c r="D5186" s="3"/>
      <c r="E5186" s="1"/>
    </row>
    <row r="5187">
      <c r="A5187" s="1"/>
      <c r="B5187" s="3"/>
      <c r="C5187" s="3"/>
      <c r="D5187" s="3"/>
      <c r="E5187" s="1"/>
    </row>
    <row r="5188">
      <c r="A5188" s="1"/>
      <c r="B5188" s="3"/>
      <c r="C5188" s="3"/>
      <c r="D5188" s="3"/>
      <c r="E5188" s="1"/>
    </row>
    <row r="5189">
      <c r="A5189" s="1"/>
      <c r="B5189" s="3"/>
      <c r="C5189" s="3"/>
      <c r="D5189" s="3"/>
      <c r="E5189" s="1"/>
    </row>
    <row r="5190">
      <c r="A5190" s="1"/>
      <c r="B5190" s="3"/>
      <c r="C5190" s="3"/>
      <c r="D5190" s="3"/>
      <c r="E5190" s="1"/>
    </row>
    <row r="5191">
      <c r="A5191" s="1"/>
      <c r="B5191" s="3"/>
      <c r="C5191" s="3"/>
      <c r="D5191" s="3"/>
      <c r="E5191" s="1"/>
    </row>
    <row r="5192">
      <c r="A5192" s="1"/>
      <c r="B5192" s="3"/>
      <c r="C5192" s="3"/>
      <c r="D5192" s="3"/>
      <c r="E5192" s="1"/>
    </row>
    <row r="5193">
      <c r="A5193" s="1"/>
      <c r="B5193" s="3"/>
      <c r="C5193" s="3"/>
      <c r="D5193" s="3"/>
      <c r="E5193" s="1"/>
    </row>
    <row r="5194">
      <c r="A5194" s="1"/>
      <c r="B5194" s="3"/>
      <c r="C5194" s="3"/>
      <c r="D5194" s="3"/>
      <c r="E5194" s="1"/>
    </row>
    <row r="5195">
      <c r="A5195" s="1"/>
      <c r="B5195" s="3"/>
      <c r="C5195" s="3"/>
      <c r="D5195" s="3"/>
      <c r="E5195" s="1"/>
    </row>
    <row r="5196">
      <c r="A5196" s="1"/>
      <c r="B5196" s="3"/>
      <c r="C5196" s="3"/>
      <c r="D5196" s="3"/>
      <c r="E5196" s="1"/>
    </row>
    <row r="5197">
      <c r="A5197" s="1"/>
      <c r="B5197" s="3"/>
      <c r="C5197" s="3"/>
      <c r="D5197" s="3"/>
      <c r="E5197" s="1"/>
    </row>
    <row r="5198">
      <c r="A5198" s="1"/>
      <c r="B5198" s="3"/>
      <c r="C5198" s="3"/>
      <c r="D5198" s="3"/>
      <c r="E5198" s="1"/>
    </row>
    <row r="5199">
      <c r="A5199" s="1"/>
      <c r="B5199" s="3"/>
      <c r="C5199" s="3"/>
      <c r="D5199" s="3"/>
      <c r="E5199" s="1"/>
    </row>
    <row r="5200">
      <c r="A5200" s="1"/>
      <c r="B5200" s="3"/>
      <c r="C5200" s="3"/>
      <c r="D5200" s="3"/>
      <c r="E5200" s="1"/>
    </row>
    <row r="5201">
      <c r="A5201" s="1"/>
      <c r="B5201" s="3"/>
      <c r="C5201" s="3"/>
      <c r="D5201" s="3"/>
      <c r="E5201" s="1"/>
    </row>
    <row r="5202">
      <c r="A5202" s="1"/>
      <c r="B5202" s="3"/>
      <c r="C5202" s="3"/>
      <c r="D5202" s="3"/>
      <c r="E5202" s="1"/>
    </row>
    <row r="5203">
      <c r="A5203" s="1"/>
      <c r="B5203" s="3"/>
      <c r="C5203" s="3"/>
      <c r="D5203" s="3"/>
      <c r="E5203" s="1"/>
    </row>
    <row r="5204">
      <c r="A5204" s="1"/>
      <c r="B5204" s="3"/>
      <c r="C5204" s="3"/>
      <c r="D5204" s="3"/>
      <c r="E5204" s="1"/>
    </row>
    <row r="5205">
      <c r="A5205" s="1"/>
      <c r="B5205" s="3"/>
      <c r="C5205" s="3"/>
      <c r="D5205" s="3"/>
      <c r="E5205" s="1"/>
    </row>
    <row r="5206">
      <c r="A5206" s="1"/>
      <c r="B5206" s="3"/>
      <c r="C5206" s="3"/>
      <c r="D5206" s="3"/>
      <c r="E5206" s="1"/>
    </row>
    <row r="5207">
      <c r="A5207" s="1"/>
      <c r="B5207" s="3"/>
      <c r="C5207" s="3"/>
      <c r="D5207" s="3"/>
      <c r="E5207" s="1"/>
    </row>
    <row r="5208">
      <c r="A5208" s="1"/>
      <c r="B5208" s="3"/>
      <c r="C5208" s="3"/>
      <c r="D5208" s="3"/>
      <c r="E5208" s="1"/>
    </row>
    <row r="5209">
      <c r="A5209" s="1"/>
      <c r="B5209" s="3"/>
      <c r="C5209" s="3"/>
      <c r="D5209" s="3"/>
      <c r="E5209" s="1"/>
    </row>
    <row r="5210">
      <c r="A5210" s="1"/>
      <c r="B5210" s="3"/>
      <c r="C5210" s="3"/>
      <c r="D5210" s="3"/>
      <c r="E5210" s="1"/>
    </row>
    <row r="5211">
      <c r="A5211" s="1"/>
      <c r="B5211" s="3"/>
      <c r="C5211" s="3"/>
      <c r="D5211" s="3"/>
      <c r="E5211" s="1"/>
    </row>
    <row r="5212">
      <c r="A5212" s="1"/>
      <c r="B5212" s="3"/>
      <c r="C5212" s="3"/>
      <c r="D5212" s="3"/>
      <c r="E5212" s="1"/>
    </row>
    <row r="5213">
      <c r="A5213" s="1"/>
      <c r="B5213" s="3"/>
      <c r="C5213" s="3"/>
      <c r="D5213" s="3"/>
      <c r="E5213" s="1"/>
    </row>
    <row r="5214">
      <c r="A5214" s="1"/>
      <c r="B5214" s="3"/>
      <c r="C5214" s="3"/>
      <c r="D5214" s="3"/>
      <c r="E5214" s="1"/>
    </row>
    <row r="5215">
      <c r="A5215" s="1"/>
      <c r="B5215" s="3"/>
      <c r="C5215" s="3"/>
      <c r="D5215" s="3"/>
      <c r="E5215" s="1"/>
    </row>
    <row r="5216">
      <c r="A5216" s="1"/>
      <c r="B5216" s="3"/>
      <c r="C5216" s="3"/>
      <c r="D5216" s="3"/>
      <c r="E5216" s="1"/>
    </row>
    <row r="5217">
      <c r="A5217" s="1"/>
      <c r="B5217" s="3"/>
      <c r="C5217" s="3"/>
      <c r="D5217" s="3"/>
      <c r="E5217" s="1"/>
    </row>
    <row r="5218">
      <c r="A5218" s="1"/>
      <c r="B5218" s="3"/>
      <c r="C5218" s="3"/>
      <c r="D5218" s="3"/>
      <c r="E5218" s="1"/>
    </row>
    <row r="5219">
      <c r="A5219" s="1"/>
      <c r="B5219" s="3"/>
      <c r="C5219" s="3"/>
      <c r="D5219" s="3"/>
      <c r="E5219" s="1"/>
    </row>
    <row r="5220">
      <c r="A5220" s="1"/>
      <c r="B5220" s="3"/>
      <c r="C5220" s="3"/>
      <c r="D5220" s="3"/>
      <c r="E5220" s="1"/>
    </row>
    <row r="5221">
      <c r="A5221" s="1"/>
      <c r="B5221" s="3"/>
      <c r="C5221" s="3"/>
      <c r="D5221" s="3"/>
      <c r="E5221" s="1"/>
    </row>
    <row r="5222">
      <c r="A5222" s="1"/>
      <c r="B5222" s="3"/>
      <c r="C5222" s="3"/>
      <c r="D5222" s="3"/>
      <c r="E5222" s="1"/>
    </row>
    <row r="5223">
      <c r="A5223" s="1"/>
      <c r="B5223" s="3"/>
      <c r="C5223" s="3"/>
      <c r="D5223" s="3"/>
      <c r="E5223" s="1"/>
    </row>
    <row r="5224">
      <c r="A5224" s="1"/>
      <c r="B5224" s="3"/>
      <c r="C5224" s="3"/>
      <c r="D5224" s="3"/>
      <c r="E5224" s="1"/>
    </row>
    <row r="5225">
      <c r="A5225" s="1"/>
      <c r="B5225" s="3"/>
      <c r="C5225" s="3"/>
      <c r="D5225" s="3"/>
      <c r="E5225" s="1"/>
    </row>
    <row r="5226">
      <c r="A5226" s="1"/>
      <c r="B5226" s="3"/>
      <c r="C5226" s="3"/>
      <c r="D5226" s="3"/>
      <c r="E5226" s="1"/>
    </row>
    <row r="5227">
      <c r="A5227" s="1"/>
      <c r="B5227" s="3"/>
      <c r="C5227" s="3"/>
      <c r="D5227" s="3"/>
      <c r="E5227" s="1"/>
    </row>
    <row r="5228">
      <c r="A5228" s="1"/>
      <c r="B5228" s="3"/>
      <c r="C5228" s="3"/>
      <c r="D5228" s="3"/>
      <c r="E5228" s="1"/>
    </row>
    <row r="5229">
      <c r="A5229" s="1"/>
      <c r="B5229" s="3"/>
      <c r="C5229" s="3"/>
      <c r="D5229" s="3"/>
      <c r="E5229" s="1"/>
    </row>
    <row r="5230">
      <c r="A5230" s="1"/>
      <c r="B5230" s="3"/>
      <c r="C5230" s="3"/>
      <c r="D5230" s="3"/>
      <c r="E5230" s="1"/>
    </row>
    <row r="5231">
      <c r="A5231" s="1"/>
      <c r="B5231" s="3"/>
      <c r="C5231" s="3"/>
      <c r="D5231" s="3"/>
      <c r="E5231" s="1"/>
    </row>
    <row r="5232">
      <c r="A5232" s="1"/>
      <c r="B5232" s="3"/>
      <c r="C5232" s="3"/>
      <c r="D5232" s="3"/>
      <c r="E5232" s="1"/>
    </row>
    <row r="5233">
      <c r="A5233" s="1"/>
      <c r="B5233" s="3"/>
      <c r="C5233" s="3"/>
      <c r="D5233" s="3"/>
      <c r="E5233" s="1"/>
    </row>
    <row r="5234">
      <c r="A5234" s="1"/>
      <c r="B5234" s="3"/>
      <c r="C5234" s="3"/>
      <c r="D5234" s="3"/>
      <c r="E5234" s="1"/>
    </row>
    <row r="5235">
      <c r="A5235" s="1"/>
      <c r="B5235" s="3"/>
      <c r="C5235" s="3"/>
      <c r="D5235" s="3"/>
      <c r="E5235" s="1"/>
    </row>
    <row r="5236">
      <c r="A5236" s="1"/>
      <c r="B5236" s="3"/>
      <c r="C5236" s="3"/>
      <c r="D5236" s="3"/>
      <c r="E5236" s="1"/>
    </row>
    <row r="5237">
      <c r="A5237" s="1"/>
      <c r="B5237" s="3"/>
      <c r="C5237" s="3"/>
      <c r="D5237" s="3"/>
      <c r="E5237" s="1"/>
    </row>
    <row r="5238">
      <c r="A5238" s="1"/>
      <c r="B5238" s="3"/>
      <c r="C5238" s="3"/>
      <c r="D5238" s="3"/>
      <c r="E5238" s="1"/>
    </row>
    <row r="5239">
      <c r="A5239" s="1"/>
      <c r="B5239" s="3"/>
      <c r="C5239" s="3"/>
      <c r="D5239" s="3"/>
      <c r="E5239" s="1"/>
    </row>
    <row r="5240">
      <c r="A5240" s="1"/>
      <c r="B5240" s="3"/>
      <c r="C5240" s="3"/>
      <c r="D5240" s="3"/>
      <c r="E5240" s="1"/>
    </row>
    <row r="5241">
      <c r="A5241" s="1"/>
      <c r="B5241" s="3"/>
      <c r="C5241" s="3"/>
      <c r="D5241" s="3"/>
      <c r="E5241" s="1"/>
    </row>
    <row r="5242">
      <c r="A5242" s="1"/>
      <c r="B5242" s="3"/>
      <c r="C5242" s="3"/>
      <c r="D5242" s="3"/>
      <c r="E5242" s="1"/>
    </row>
    <row r="5243">
      <c r="A5243" s="1"/>
      <c r="B5243" s="3"/>
      <c r="C5243" s="3"/>
      <c r="D5243" s="3"/>
      <c r="E5243" s="1"/>
    </row>
    <row r="5244">
      <c r="A5244" s="1"/>
      <c r="B5244" s="3"/>
      <c r="C5244" s="3"/>
      <c r="D5244" s="3"/>
      <c r="E5244" s="1"/>
    </row>
    <row r="5245">
      <c r="A5245" s="1"/>
      <c r="B5245" s="3"/>
      <c r="C5245" s="3"/>
      <c r="D5245" s="3"/>
      <c r="E5245" s="1"/>
    </row>
    <row r="5246">
      <c r="A5246" s="1"/>
      <c r="B5246" s="3"/>
      <c r="C5246" s="3"/>
      <c r="D5246" s="3"/>
      <c r="E5246" s="1"/>
    </row>
    <row r="5247">
      <c r="A5247" s="1"/>
      <c r="B5247" s="3"/>
      <c r="C5247" s="3"/>
      <c r="D5247" s="3"/>
      <c r="E5247" s="1"/>
    </row>
    <row r="5248">
      <c r="A5248" s="1"/>
      <c r="B5248" s="3"/>
      <c r="C5248" s="3"/>
      <c r="D5248" s="3"/>
      <c r="E5248" s="1"/>
    </row>
    <row r="5249">
      <c r="A5249" s="1"/>
      <c r="B5249" s="3"/>
      <c r="C5249" s="3"/>
      <c r="D5249" s="3"/>
      <c r="E5249" s="1"/>
    </row>
    <row r="5250">
      <c r="A5250" s="1"/>
      <c r="B5250" s="3"/>
      <c r="C5250" s="3"/>
      <c r="D5250" s="3"/>
      <c r="E5250" s="1"/>
    </row>
    <row r="5251">
      <c r="A5251" s="1"/>
      <c r="B5251" s="3"/>
      <c r="C5251" s="3"/>
      <c r="D5251" s="3"/>
      <c r="E5251" s="1"/>
    </row>
    <row r="5252">
      <c r="A5252" s="1"/>
      <c r="B5252" s="3"/>
      <c r="C5252" s="3"/>
      <c r="D5252" s="3"/>
      <c r="E5252" s="1"/>
    </row>
    <row r="5253">
      <c r="A5253" s="1"/>
      <c r="B5253" s="3"/>
      <c r="C5253" s="3"/>
      <c r="D5253" s="3"/>
      <c r="E5253" s="1"/>
    </row>
    <row r="5254">
      <c r="A5254" s="1"/>
      <c r="B5254" s="3"/>
      <c r="C5254" s="3"/>
      <c r="D5254" s="3"/>
      <c r="E5254" s="1"/>
    </row>
    <row r="5255">
      <c r="A5255" s="1"/>
      <c r="B5255" s="3"/>
      <c r="C5255" s="3"/>
      <c r="D5255" s="3"/>
      <c r="E5255" s="1"/>
    </row>
    <row r="5256">
      <c r="A5256" s="1"/>
      <c r="B5256" s="3"/>
      <c r="C5256" s="3"/>
      <c r="D5256" s="3"/>
      <c r="E5256" s="1"/>
    </row>
    <row r="5257">
      <c r="A5257" s="1"/>
      <c r="B5257" s="3"/>
      <c r="C5257" s="3"/>
      <c r="D5257" s="3"/>
      <c r="E5257" s="1"/>
    </row>
    <row r="5258">
      <c r="A5258" s="1"/>
      <c r="B5258" s="3"/>
      <c r="C5258" s="3"/>
      <c r="D5258" s="3"/>
      <c r="E5258" s="1"/>
    </row>
    <row r="5259">
      <c r="A5259" s="1"/>
      <c r="B5259" s="3"/>
      <c r="C5259" s="3"/>
      <c r="D5259" s="3"/>
      <c r="E5259" s="1"/>
    </row>
    <row r="5260">
      <c r="A5260" s="1"/>
      <c r="B5260" s="3"/>
      <c r="C5260" s="3"/>
      <c r="D5260" s="3"/>
      <c r="E5260" s="1"/>
    </row>
    <row r="5261">
      <c r="A5261" s="1"/>
      <c r="B5261" s="3"/>
      <c r="C5261" s="3"/>
      <c r="D5261" s="3"/>
      <c r="E5261" s="1"/>
    </row>
    <row r="5262">
      <c r="A5262" s="1"/>
      <c r="B5262" s="3"/>
      <c r="C5262" s="3"/>
      <c r="D5262" s="3"/>
      <c r="E5262" s="1"/>
    </row>
    <row r="5263">
      <c r="A5263" s="1"/>
      <c r="B5263" s="3"/>
      <c r="C5263" s="3"/>
      <c r="D5263" s="3"/>
      <c r="E5263" s="1"/>
    </row>
    <row r="5264">
      <c r="A5264" s="1"/>
      <c r="B5264" s="3"/>
      <c r="C5264" s="3"/>
      <c r="D5264" s="3"/>
      <c r="E5264" s="1"/>
    </row>
    <row r="5265">
      <c r="A5265" s="1"/>
      <c r="B5265" s="3"/>
      <c r="C5265" s="3"/>
      <c r="D5265" s="3"/>
      <c r="E5265" s="1"/>
    </row>
    <row r="5266">
      <c r="A5266" s="1"/>
      <c r="B5266" s="3"/>
      <c r="C5266" s="3"/>
      <c r="D5266" s="3"/>
      <c r="E5266" s="1"/>
    </row>
    <row r="5267">
      <c r="A5267" s="1"/>
      <c r="B5267" s="3"/>
      <c r="C5267" s="3"/>
      <c r="D5267" s="3"/>
      <c r="E5267" s="1"/>
    </row>
    <row r="5268">
      <c r="A5268" s="1"/>
      <c r="B5268" s="3"/>
      <c r="C5268" s="3"/>
      <c r="D5268" s="3"/>
      <c r="E5268" s="1"/>
    </row>
    <row r="5269">
      <c r="A5269" s="1"/>
      <c r="B5269" s="3"/>
      <c r="C5269" s="3"/>
      <c r="D5269" s="3"/>
      <c r="E5269" s="1"/>
    </row>
    <row r="5270">
      <c r="A5270" s="1"/>
      <c r="B5270" s="3"/>
      <c r="C5270" s="3"/>
      <c r="D5270" s="3"/>
      <c r="E5270" s="1"/>
    </row>
    <row r="5271">
      <c r="A5271" s="1"/>
      <c r="B5271" s="3"/>
      <c r="C5271" s="3"/>
      <c r="D5271" s="3"/>
      <c r="E5271" s="1"/>
    </row>
    <row r="5272">
      <c r="A5272" s="1"/>
      <c r="B5272" s="3"/>
      <c r="C5272" s="3"/>
      <c r="D5272" s="3"/>
      <c r="E5272" s="1"/>
    </row>
    <row r="5273">
      <c r="A5273" s="1"/>
      <c r="B5273" s="3"/>
      <c r="C5273" s="3"/>
      <c r="D5273" s="3"/>
      <c r="E5273" s="1"/>
    </row>
    <row r="5274">
      <c r="A5274" s="1"/>
      <c r="B5274" s="3"/>
      <c r="C5274" s="3"/>
      <c r="D5274" s="3"/>
      <c r="E5274" s="1"/>
    </row>
    <row r="5275">
      <c r="A5275" s="1"/>
      <c r="B5275" s="3"/>
      <c r="C5275" s="3"/>
      <c r="D5275" s="3"/>
      <c r="E5275" s="1"/>
    </row>
    <row r="5276">
      <c r="A5276" s="1"/>
      <c r="B5276" s="3"/>
      <c r="C5276" s="3"/>
      <c r="D5276" s="3"/>
      <c r="E5276" s="1"/>
    </row>
    <row r="5277">
      <c r="A5277" s="1"/>
      <c r="B5277" s="3"/>
      <c r="C5277" s="3"/>
      <c r="D5277" s="3"/>
      <c r="E5277" s="1"/>
    </row>
    <row r="5278">
      <c r="A5278" s="1"/>
      <c r="B5278" s="3"/>
      <c r="C5278" s="3"/>
      <c r="D5278" s="3"/>
      <c r="E5278" s="1"/>
    </row>
    <row r="5279">
      <c r="A5279" s="1"/>
      <c r="B5279" s="3"/>
      <c r="C5279" s="3"/>
      <c r="D5279" s="3"/>
      <c r="E5279" s="1"/>
    </row>
    <row r="5280">
      <c r="A5280" s="1"/>
      <c r="B5280" s="3"/>
      <c r="C5280" s="3"/>
      <c r="D5280" s="3"/>
      <c r="E5280" s="1"/>
    </row>
    <row r="5281">
      <c r="A5281" s="1"/>
      <c r="B5281" s="3"/>
      <c r="C5281" s="3"/>
      <c r="D5281" s="3"/>
      <c r="E5281" s="1"/>
    </row>
    <row r="5282">
      <c r="A5282" s="1"/>
      <c r="B5282" s="3"/>
      <c r="C5282" s="3"/>
      <c r="D5282" s="3"/>
      <c r="E5282" s="1"/>
    </row>
    <row r="5283">
      <c r="A5283" s="1"/>
      <c r="B5283" s="3"/>
      <c r="C5283" s="3"/>
      <c r="D5283" s="3"/>
      <c r="E5283" s="1"/>
    </row>
    <row r="5284">
      <c r="A5284" s="1"/>
      <c r="B5284" s="3"/>
      <c r="C5284" s="3"/>
      <c r="D5284" s="3"/>
      <c r="E5284" s="1"/>
    </row>
    <row r="5285">
      <c r="A5285" s="1"/>
      <c r="B5285" s="3"/>
      <c r="C5285" s="3"/>
      <c r="D5285" s="3"/>
      <c r="E5285" s="1"/>
    </row>
    <row r="5286">
      <c r="A5286" s="1"/>
      <c r="B5286" s="3"/>
      <c r="C5286" s="3"/>
      <c r="D5286" s="3"/>
      <c r="E5286" s="1"/>
    </row>
    <row r="5287">
      <c r="A5287" s="1"/>
      <c r="B5287" s="3"/>
      <c r="C5287" s="3"/>
      <c r="D5287" s="3"/>
      <c r="E5287" s="1"/>
    </row>
    <row r="5288">
      <c r="A5288" s="1"/>
      <c r="B5288" s="3"/>
      <c r="C5288" s="3"/>
      <c r="D5288" s="3"/>
      <c r="E5288" s="1"/>
    </row>
    <row r="5289">
      <c r="A5289" s="1"/>
      <c r="B5289" s="3"/>
      <c r="C5289" s="3"/>
      <c r="D5289" s="3"/>
      <c r="E5289" s="1"/>
    </row>
    <row r="5290">
      <c r="A5290" s="1"/>
      <c r="B5290" s="3"/>
      <c r="C5290" s="3"/>
      <c r="D5290" s="3"/>
      <c r="E5290" s="1"/>
    </row>
    <row r="5291">
      <c r="A5291" s="1"/>
      <c r="B5291" s="3"/>
      <c r="C5291" s="3"/>
      <c r="D5291" s="3"/>
      <c r="E5291" s="1"/>
    </row>
    <row r="5292">
      <c r="A5292" s="1"/>
      <c r="B5292" s="3"/>
      <c r="C5292" s="3"/>
      <c r="D5292" s="3"/>
      <c r="E5292" s="1"/>
    </row>
    <row r="5293">
      <c r="A5293" s="1"/>
      <c r="B5293" s="3"/>
      <c r="C5293" s="3"/>
      <c r="D5293" s="3"/>
      <c r="E5293" s="1"/>
    </row>
    <row r="5294">
      <c r="A5294" s="1"/>
      <c r="B5294" s="3"/>
      <c r="C5294" s="3"/>
      <c r="D5294" s="3"/>
      <c r="E5294" s="1"/>
    </row>
    <row r="5295">
      <c r="A5295" s="1"/>
      <c r="B5295" s="3"/>
      <c r="C5295" s="3"/>
      <c r="D5295" s="3"/>
      <c r="E5295" s="1"/>
    </row>
    <row r="5296">
      <c r="A5296" s="1"/>
      <c r="B5296" s="3"/>
      <c r="C5296" s="3"/>
      <c r="D5296" s="3"/>
      <c r="E5296" s="1"/>
    </row>
    <row r="5297">
      <c r="A5297" s="1"/>
      <c r="B5297" s="3"/>
      <c r="C5297" s="3"/>
      <c r="D5297" s="3"/>
      <c r="E5297" s="1"/>
    </row>
    <row r="5298">
      <c r="A5298" s="1"/>
      <c r="B5298" s="3"/>
      <c r="C5298" s="3"/>
      <c r="D5298" s="3"/>
      <c r="E5298" s="1"/>
    </row>
    <row r="5299">
      <c r="A5299" s="1"/>
      <c r="B5299" s="3"/>
      <c r="C5299" s="3"/>
      <c r="D5299" s="3"/>
      <c r="E5299" s="1"/>
    </row>
    <row r="5300">
      <c r="A5300" s="1"/>
      <c r="B5300" s="3"/>
      <c r="C5300" s="3"/>
      <c r="D5300" s="3"/>
      <c r="E5300" s="1"/>
    </row>
    <row r="5301">
      <c r="A5301" s="1"/>
      <c r="B5301" s="3"/>
      <c r="C5301" s="3"/>
      <c r="D5301" s="3"/>
      <c r="E5301" s="1"/>
    </row>
    <row r="5302">
      <c r="A5302" s="1"/>
      <c r="B5302" s="3"/>
      <c r="C5302" s="3"/>
      <c r="D5302" s="3"/>
      <c r="E5302" s="1"/>
    </row>
    <row r="5303">
      <c r="A5303" s="1"/>
      <c r="B5303" s="3"/>
      <c r="C5303" s="3"/>
      <c r="D5303" s="3"/>
      <c r="E5303" s="1"/>
    </row>
    <row r="5304">
      <c r="A5304" s="1"/>
      <c r="B5304" s="3"/>
      <c r="C5304" s="3"/>
      <c r="D5304" s="3"/>
      <c r="E5304" s="1"/>
    </row>
    <row r="5305">
      <c r="A5305" s="1"/>
      <c r="B5305" s="3"/>
      <c r="C5305" s="3"/>
      <c r="D5305" s="3"/>
      <c r="E5305" s="1"/>
    </row>
    <row r="5306">
      <c r="A5306" s="1"/>
      <c r="B5306" s="3"/>
      <c r="C5306" s="3"/>
      <c r="D5306" s="3"/>
      <c r="E5306" s="1"/>
    </row>
    <row r="5307">
      <c r="A5307" s="1"/>
      <c r="B5307" s="3"/>
      <c r="C5307" s="3"/>
      <c r="D5307" s="3"/>
      <c r="E5307" s="1"/>
    </row>
    <row r="5308">
      <c r="A5308" s="1"/>
      <c r="B5308" s="3"/>
      <c r="C5308" s="3"/>
      <c r="D5308" s="3"/>
      <c r="E5308" s="1"/>
    </row>
    <row r="5309">
      <c r="A5309" s="1"/>
      <c r="B5309" s="3"/>
      <c r="C5309" s="3"/>
      <c r="D5309" s="3"/>
      <c r="E5309" s="1"/>
    </row>
    <row r="5310">
      <c r="A5310" s="1"/>
      <c r="B5310" s="3"/>
      <c r="C5310" s="3"/>
      <c r="D5310" s="3"/>
      <c r="E5310" s="1"/>
    </row>
    <row r="5311">
      <c r="A5311" s="1"/>
      <c r="B5311" s="3"/>
      <c r="C5311" s="3"/>
      <c r="D5311" s="3"/>
      <c r="E5311" s="1"/>
    </row>
    <row r="5312">
      <c r="A5312" s="1"/>
      <c r="B5312" s="3"/>
      <c r="C5312" s="3"/>
      <c r="D5312" s="3"/>
      <c r="E5312" s="1"/>
    </row>
    <row r="5313">
      <c r="A5313" s="1"/>
      <c r="B5313" s="3"/>
      <c r="C5313" s="3"/>
      <c r="D5313" s="3"/>
      <c r="E5313" s="1"/>
    </row>
    <row r="5314">
      <c r="A5314" s="1"/>
      <c r="B5314" s="3"/>
      <c r="C5314" s="3"/>
      <c r="D5314" s="3"/>
      <c r="E5314" s="1"/>
    </row>
    <row r="5315">
      <c r="A5315" s="1"/>
      <c r="B5315" s="3"/>
      <c r="C5315" s="3"/>
      <c r="D5315" s="3"/>
      <c r="E5315" s="1"/>
    </row>
    <row r="5316">
      <c r="A5316" s="1"/>
      <c r="B5316" s="3"/>
      <c r="C5316" s="3"/>
      <c r="D5316" s="3"/>
      <c r="E5316" s="1"/>
    </row>
    <row r="5317">
      <c r="A5317" s="1"/>
      <c r="B5317" s="3"/>
      <c r="C5317" s="3"/>
      <c r="D5317" s="3"/>
      <c r="E5317" s="1"/>
    </row>
    <row r="5318">
      <c r="A5318" s="1"/>
      <c r="B5318" s="3"/>
      <c r="C5318" s="3"/>
      <c r="D5318" s="3"/>
      <c r="E5318" s="1"/>
    </row>
    <row r="5319">
      <c r="A5319" s="1"/>
      <c r="B5319" s="3"/>
      <c r="C5319" s="3"/>
      <c r="D5319" s="3"/>
      <c r="E5319" s="1"/>
    </row>
    <row r="5320">
      <c r="A5320" s="1"/>
      <c r="B5320" s="3"/>
      <c r="C5320" s="3"/>
      <c r="D5320" s="3"/>
      <c r="E5320" s="1"/>
    </row>
    <row r="5321">
      <c r="A5321" s="1"/>
      <c r="B5321" s="3"/>
      <c r="C5321" s="3"/>
      <c r="D5321" s="3"/>
      <c r="E5321" s="1"/>
    </row>
    <row r="5322">
      <c r="A5322" s="1"/>
      <c r="B5322" s="3"/>
      <c r="C5322" s="3"/>
      <c r="D5322" s="3"/>
      <c r="E5322" s="1"/>
    </row>
    <row r="5323">
      <c r="A5323" s="1"/>
      <c r="B5323" s="3"/>
      <c r="C5323" s="3"/>
      <c r="D5323" s="3"/>
      <c r="E5323" s="1"/>
    </row>
    <row r="5324">
      <c r="A5324" s="1"/>
      <c r="B5324" s="3"/>
      <c r="C5324" s="3"/>
      <c r="D5324" s="3"/>
      <c r="E5324" s="1"/>
    </row>
    <row r="5325">
      <c r="A5325" s="1"/>
      <c r="B5325" s="3"/>
      <c r="C5325" s="3"/>
      <c r="D5325" s="3"/>
      <c r="E5325" s="1"/>
    </row>
    <row r="5326">
      <c r="A5326" s="1"/>
      <c r="B5326" s="3"/>
      <c r="C5326" s="3"/>
      <c r="D5326" s="3"/>
      <c r="E5326" s="1"/>
    </row>
    <row r="5327">
      <c r="A5327" s="1"/>
      <c r="B5327" s="3"/>
      <c r="C5327" s="3"/>
      <c r="D5327" s="3"/>
      <c r="E5327" s="1"/>
    </row>
    <row r="5328">
      <c r="A5328" s="1"/>
      <c r="B5328" s="3"/>
      <c r="C5328" s="3"/>
      <c r="D5328" s="3"/>
      <c r="E5328" s="1"/>
    </row>
    <row r="5329">
      <c r="A5329" s="1"/>
      <c r="B5329" s="3"/>
      <c r="C5329" s="3"/>
      <c r="D5329" s="3"/>
      <c r="E5329" s="1"/>
    </row>
    <row r="5330">
      <c r="A5330" s="1"/>
      <c r="B5330" s="3"/>
      <c r="C5330" s="3"/>
      <c r="D5330" s="3"/>
      <c r="E5330" s="1"/>
    </row>
    <row r="5331">
      <c r="A5331" s="1"/>
      <c r="B5331" s="3"/>
      <c r="C5331" s="3"/>
      <c r="D5331" s="3"/>
      <c r="E5331" s="1"/>
    </row>
    <row r="5332">
      <c r="A5332" s="1"/>
      <c r="B5332" s="3"/>
      <c r="C5332" s="3"/>
      <c r="D5332" s="3"/>
      <c r="E5332" s="1"/>
    </row>
    <row r="5333">
      <c r="A5333" s="1"/>
      <c r="B5333" s="3"/>
      <c r="C5333" s="3"/>
      <c r="D5333" s="3"/>
      <c r="E5333" s="1"/>
    </row>
    <row r="5334">
      <c r="A5334" s="1"/>
      <c r="B5334" s="3"/>
      <c r="C5334" s="3"/>
      <c r="D5334" s="3"/>
      <c r="E5334" s="1"/>
    </row>
    <row r="5335">
      <c r="A5335" s="1"/>
      <c r="B5335" s="3"/>
      <c r="C5335" s="3"/>
      <c r="D5335" s="3"/>
      <c r="E5335" s="1"/>
    </row>
    <row r="5336">
      <c r="A5336" s="1"/>
      <c r="B5336" s="3"/>
      <c r="C5336" s="3"/>
      <c r="D5336" s="3"/>
      <c r="E5336" s="1"/>
    </row>
    <row r="5337">
      <c r="A5337" s="1"/>
      <c r="B5337" s="3"/>
      <c r="C5337" s="3"/>
      <c r="D5337" s="3"/>
      <c r="E5337" s="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 outlineLevelCol="1"/>
  <cols>
    <col customWidth="1" min="1" max="1" width="2.63"/>
    <col customWidth="1" min="2" max="2" width="6.38"/>
    <col customWidth="1" min="3" max="3" width="13.88"/>
    <col collapsed="1" customWidth="1" min="4" max="4" width="12.63"/>
    <col customWidth="1" hidden="1" min="5" max="6" width="10.13" outlineLevel="1"/>
    <col customWidth="1" min="7" max="7" width="12.75"/>
    <col customWidth="1" min="8" max="8" width="13.88"/>
    <col customWidth="1" min="9" max="9" width="25.13"/>
    <col customWidth="1" hidden="1" min="10" max="10" width="12.63"/>
    <col customWidth="1" min="11" max="11" width="17.63"/>
    <col customWidth="1" hidden="1" min="12" max="12" width="17.63"/>
    <col customWidth="1" min="13" max="13" width="16.38"/>
    <col customWidth="1" min="14" max="16" width="12.63"/>
    <col customWidth="1" min="17" max="17" width="14.25"/>
    <col customWidth="1" min="18" max="18" width="17.63"/>
    <col customWidth="1" min="19" max="19" width="25.13"/>
    <col customWidth="1" min="20" max="20" width="7.63"/>
    <col customWidth="1" min="21" max="21" width="37.63"/>
  </cols>
  <sheetData>
    <row r="1">
      <c r="A1" s="4"/>
      <c r="B1" s="4" t="s">
        <v>0</v>
      </c>
      <c r="C1" s="4"/>
      <c r="D1" s="5"/>
      <c r="E1" s="5"/>
      <c r="F1" s="5"/>
      <c r="G1" s="5"/>
      <c r="H1" s="5"/>
      <c r="I1" s="5"/>
      <c r="J1" s="6"/>
      <c r="K1" s="6"/>
      <c r="L1" s="6"/>
      <c r="M1" s="5"/>
      <c r="N1" s="5"/>
      <c r="O1" s="7"/>
      <c r="P1" s="8"/>
      <c r="Q1" s="5"/>
      <c r="R1" s="5"/>
      <c r="S1" s="5"/>
      <c r="T1" s="5"/>
      <c r="U1" s="5"/>
    </row>
    <row r="2">
      <c r="A2" s="4"/>
      <c r="B2" s="9"/>
      <c r="C2" s="10"/>
      <c r="D2" s="5"/>
      <c r="E2" s="5"/>
      <c r="F2" s="5"/>
      <c r="G2" s="5"/>
      <c r="H2" s="5"/>
      <c r="I2" s="5"/>
      <c r="J2" s="6"/>
      <c r="K2" s="6"/>
      <c r="L2" s="6"/>
      <c r="M2" s="5"/>
      <c r="N2" s="5"/>
      <c r="O2" s="7"/>
      <c r="P2" s="8"/>
      <c r="Q2" s="5"/>
      <c r="R2" s="5"/>
      <c r="S2" s="5"/>
      <c r="T2" s="5"/>
      <c r="U2" s="5"/>
    </row>
    <row r="3">
      <c r="A3" s="11"/>
      <c r="B3" s="12"/>
      <c r="C3" s="11"/>
      <c r="D3" s="11"/>
      <c r="E3" s="11"/>
      <c r="F3" s="11"/>
      <c r="G3" s="11"/>
      <c r="H3" s="11"/>
      <c r="I3" s="11"/>
      <c r="J3" s="13"/>
      <c r="K3" s="13"/>
      <c r="L3" s="13"/>
      <c r="M3" s="11"/>
      <c r="N3" s="14"/>
      <c r="O3" s="15"/>
      <c r="P3" s="16"/>
      <c r="Q3" s="11"/>
      <c r="R3" s="11"/>
      <c r="S3" s="11"/>
      <c r="T3" s="11"/>
      <c r="U3" s="11"/>
    </row>
    <row r="4">
      <c r="A4" s="17"/>
      <c r="B4" s="18" t="s">
        <v>1</v>
      </c>
      <c r="C4" s="19" t="s">
        <v>2</v>
      </c>
      <c r="D4" s="20" t="s">
        <v>3</v>
      </c>
      <c r="E4" s="19" t="s">
        <v>4</v>
      </c>
      <c r="F4" s="19" t="s">
        <v>5</v>
      </c>
      <c r="G4" s="18" t="s">
        <v>6</v>
      </c>
      <c r="H4" s="21" t="s">
        <v>7</v>
      </c>
      <c r="I4" s="19" t="s">
        <v>8</v>
      </c>
      <c r="J4" s="21" t="s">
        <v>9</v>
      </c>
      <c r="K4" s="19" t="s">
        <v>10</v>
      </c>
      <c r="L4" s="21" t="s">
        <v>11</v>
      </c>
      <c r="M4" s="19" t="s">
        <v>12</v>
      </c>
      <c r="N4" s="20" t="s">
        <v>13</v>
      </c>
      <c r="O4" s="20" t="s">
        <v>14</v>
      </c>
      <c r="P4" s="20" t="s">
        <v>15</v>
      </c>
      <c r="Q4" s="20" t="s">
        <v>16</v>
      </c>
      <c r="R4" s="19" t="s">
        <v>17</v>
      </c>
      <c r="S4" s="19" t="s">
        <v>18</v>
      </c>
      <c r="T4" s="22" t="s">
        <v>19</v>
      </c>
      <c r="U4" s="23" t="s">
        <v>20</v>
      </c>
    </row>
    <row r="5" ht="30.0" customHeight="1">
      <c r="A5" s="24"/>
      <c r="B5" s="25">
        <v>2109.0</v>
      </c>
      <c r="C5" s="26" t="s">
        <v>21</v>
      </c>
      <c r="D5" s="27">
        <v>46025.0</v>
      </c>
      <c r="E5" s="28" t="str">
        <f t="shared" ref="E5:E800" si="1">if(D5="","",text(D5,"YYY"))</f>
        <v>2026</v>
      </c>
      <c r="F5" s="28" t="str">
        <f t="shared" ref="F5:F800" si="2">if(D5="","",text(D5,"MM")&amp;" "&amp;text(D5,"MMM"))</f>
        <v>01 Jan</v>
      </c>
      <c r="G5" s="29" t="s">
        <v>22</v>
      </c>
      <c r="H5" s="29" t="s">
        <v>23</v>
      </c>
      <c r="I5" s="29" t="s">
        <v>24</v>
      </c>
      <c r="J5" s="26" t="s">
        <v>25</v>
      </c>
      <c r="K5" s="26" t="s">
        <v>26</v>
      </c>
      <c r="L5" s="28" t="str">
        <f t="shared" ref="L5:L800" si="3">IF(ISNUMBER(SEARCH("*K.TA*",K5)),"TA KLINIK",IF(ISNUMBER(SEARCH("*K.PT*",K5)),"PAKET KLINIK",IF(ISNUMBER(SEARCH("*K.ST*",K5)),"SESI KLINIK",IF(ISNUMBER(SEARCH("*V.TA*",K5)),"TA VISIT",IF(ISNUMBER(SEARCH("*V.ST*",K5)),"SESI VISIT",IF(ISNUMBER(SEARCH("*V.PT*",K5)),"PAKET VISIT","LAINNYA"))))))</f>
        <v>TA KLINIK</v>
      </c>
      <c r="M5" s="26" t="s">
        <v>27</v>
      </c>
      <c r="N5" s="30">
        <v>250000.0</v>
      </c>
      <c r="O5" s="31">
        <v>0.0</v>
      </c>
      <c r="P5" s="32">
        <f t="array" ref="P5">IFNA(XLOOKUP(K5,'⚙️ Pengaturan'!$E$2:$E800,'⚙️ Pengaturan'!$F$2:$F800),"")</f>
        <v>250000</v>
      </c>
      <c r="Q5" s="33">
        <f t="shared" ref="Q5:Q105" si="4">IF(I5="","",(N5+O5)-P5)</f>
        <v>0</v>
      </c>
      <c r="R5" s="26" t="s">
        <v>28</v>
      </c>
      <c r="S5" s="34" t="s">
        <v>24</v>
      </c>
      <c r="T5" s="35" t="b">
        <v>1</v>
      </c>
      <c r="U5" s="36"/>
    </row>
    <row r="6" ht="30.0" customHeight="1">
      <c r="A6" s="24"/>
      <c r="B6" s="25">
        <v>2110.0</v>
      </c>
      <c r="C6" s="26" t="s">
        <v>21</v>
      </c>
      <c r="D6" s="27">
        <v>46025.0</v>
      </c>
      <c r="E6" s="28" t="str">
        <f t="shared" si="1"/>
        <v>2026</v>
      </c>
      <c r="F6" s="28" t="str">
        <f t="shared" si="2"/>
        <v>01 Jan</v>
      </c>
      <c r="G6" s="29" t="s">
        <v>29</v>
      </c>
      <c r="H6" s="29" t="s">
        <v>30</v>
      </c>
      <c r="I6" s="29" t="s">
        <v>31</v>
      </c>
      <c r="J6" s="37"/>
      <c r="K6" s="26" t="s">
        <v>32</v>
      </c>
      <c r="L6" s="28" t="str">
        <f t="shared" si="3"/>
        <v>SESI KLINIK</v>
      </c>
      <c r="M6" s="26" t="s">
        <v>27</v>
      </c>
      <c r="N6" s="30">
        <v>150000.0</v>
      </c>
      <c r="O6" s="31">
        <v>0.0</v>
      </c>
      <c r="P6" s="32">
        <f t="array" ref="P6">IFNA(XLOOKUP(K6,'⚙️ Pengaturan'!$E$2:$E800,'⚙️ Pengaturan'!$F$2:$F800),"")</f>
        <v>150000</v>
      </c>
      <c r="Q6" s="33">
        <f t="shared" si="4"/>
        <v>0</v>
      </c>
      <c r="R6" s="26" t="s">
        <v>33</v>
      </c>
      <c r="S6" s="34" t="s">
        <v>34</v>
      </c>
      <c r="T6" s="35" t="b">
        <v>1</v>
      </c>
      <c r="U6" s="36"/>
    </row>
    <row r="7" ht="30.0" customHeight="1">
      <c r="A7" s="24"/>
      <c r="B7" s="25">
        <v>2111.0</v>
      </c>
      <c r="C7" s="26" t="s">
        <v>21</v>
      </c>
      <c r="D7" s="27">
        <v>46025.0</v>
      </c>
      <c r="E7" s="28" t="str">
        <f t="shared" si="1"/>
        <v>2026</v>
      </c>
      <c r="F7" s="28" t="str">
        <f t="shared" si="2"/>
        <v>01 Jan</v>
      </c>
      <c r="G7" s="29" t="s">
        <v>29</v>
      </c>
      <c r="H7" s="29" t="s">
        <v>35</v>
      </c>
      <c r="I7" s="29" t="s">
        <v>36</v>
      </c>
      <c r="J7" s="26" t="s">
        <v>25</v>
      </c>
      <c r="K7" s="26" t="s">
        <v>26</v>
      </c>
      <c r="L7" s="28" t="str">
        <f t="shared" si="3"/>
        <v>TA KLINIK</v>
      </c>
      <c r="M7" s="26" t="s">
        <v>27</v>
      </c>
      <c r="N7" s="30">
        <v>250000.0</v>
      </c>
      <c r="O7" s="31">
        <v>0.0</v>
      </c>
      <c r="P7" s="32">
        <f t="array" ref="P7">IFNA(XLOOKUP(K7,'⚙️ Pengaturan'!$E$2:$E800,'⚙️ Pengaturan'!$F$2:$F800),"")</f>
        <v>250000</v>
      </c>
      <c r="Q7" s="33">
        <f t="shared" si="4"/>
        <v>0</v>
      </c>
      <c r="R7" s="26" t="s">
        <v>33</v>
      </c>
      <c r="S7" s="34" t="s">
        <v>34</v>
      </c>
      <c r="T7" s="35" t="b">
        <v>1</v>
      </c>
      <c r="U7" s="36"/>
    </row>
    <row r="8" ht="30.0" customHeight="1">
      <c r="A8" s="24"/>
      <c r="B8" s="25">
        <v>2112.0</v>
      </c>
      <c r="C8" s="26" t="s">
        <v>21</v>
      </c>
      <c r="D8" s="27">
        <v>46025.0</v>
      </c>
      <c r="E8" s="28" t="str">
        <f t="shared" si="1"/>
        <v>2026</v>
      </c>
      <c r="F8" s="28" t="str">
        <f t="shared" si="2"/>
        <v>01 Jan</v>
      </c>
      <c r="G8" s="29" t="s">
        <v>37</v>
      </c>
      <c r="H8" s="29" t="s">
        <v>30</v>
      </c>
      <c r="I8" s="29" t="s">
        <v>38</v>
      </c>
      <c r="J8" s="37"/>
      <c r="K8" s="26" t="s">
        <v>39</v>
      </c>
      <c r="L8" s="28" t="str">
        <f t="shared" si="3"/>
        <v>PAKET KLINIK</v>
      </c>
      <c r="M8" s="26" t="s">
        <v>27</v>
      </c>
      <c r="N8" s="30">
        <v>650000.0</v>
      </c>
      <c r="O8" s="31">
        <v>0.0</v>
      </c>
      <c r="P8" s="32">
        <f t="array" ref="P8">IFNA(XLOOKUP(K8,'⚙️ Pengaturan'!$E$2:$E800,'⚙️ Pengaturan'!$F$2:$F800),"")</f>
        <v>650000</v>
      </c>
      <c r="Q8" s="33">
        <f t="shared" si="4"/>
        <v>0</v>
      </c>
      <c r="R8" s="26" t="s">
        <v>33</v>
      </c>
      <c r="S8" s="34" t="s">
        <v>34</v>
      </c>
      <c r="T8" s="35" t="b">
        <v>1</v>
      </c>
      <c r="U8" s="36"/>
    </row>
    <row r="9" ht="30.0" customHeight="1">
      <c r="A9" s="24"/>
      <c r="B9" s="25">
        <v>2113.0</v>
      </c>
      <c r="C9" s="26" t="s">
        <v>40</v>
      </c>
      <c r="D9" s="27">
        <v>46025.0</v>
      </c>
      <c r="E9" s="28" t="str">
        <f t="shared" si="1"/>
        <v>2026</v>
      </c>
      <c r="F9" s="28" t="str">
        <f t="shared" si="2"/>
        <v>01 Jan</v>
      </c>
      <c r="G9" s="29" t="s">
        <v>41</v>
      </c>
      <c r="H9" s="29" t="s">
        <v>42</v>
      </c>
      <c r="I9" s="29" t="s">
        <v>43</v>
      </c>
      <c r="J9" s="37"/>
      <c r="K9" s="26" t="s">
        <v>44</v>
      </c>
      <c r="L9" s="28" t="str">
        <f t="shared" si="3"/>
        <v>PAKET KLINIK</v>
      </c>
      <c r="M9" s="26" t="s">
        <v>27</v>
      </c>
      <c r="N9" s="30">
        <v>1200000.0</v>
      </c>
      <c r="O9" s="31">
        <v>0.0</v>
      </c>
      <c r="P9" s="32">
        <f t="array" ref="P9">IFNA(XLOOKUP(K9,'⚙️ Pengaturan'!$E$2:$E800,'⚙️ Pengaturan'!$F$2:$F800),"")</f>
        <v>1200000</v>
      </c>
      <c r="Q9" s="33">
        <f t="shared" si="4"/>
        <v>0</v>
      </c>
      <c r="R9" s="26" t="s">
        <v>45</v>
      </c>
      <c r="S9" s="38" t="s">
        <v>43</v>
      </c>
      <c r="T9" s="35" t="b">
        <v>1</v>
      </c>
      <c r="U9" s="36"/>
    </row>
    <row r="10" ht="30.0" customHeight="1">
      <c r="A10" s="24"/>
      <c r="B10" s="25">
        <v>2114.0</v>
      </c>
      <c r="C10" s="26" t="s">
        <v>40</v>
      </c>
      <c r="D10" s="27">
        <v>46025.0</v>
      </c>
      <c r="E10" s="28" t="str">
        <f t="shared" si="1"/>
        <v>2026</v>
      </c>
      <c r="F10" s="28" t="str">
        <f t="shared" si="2"/>
        <v>01 Jan</v>
      </c>
      <c r="G10" s="29" t="s">
        <v>46</v>
      </c>
      <c r="H10" s="29" t="s">
        <v>42</v>
      </c>
      <c r="I10" s="29" t="s">
        <v>47</v>
      </c>
      <c r="J10" s="26" t="s">
        <v>25</v>
      </c>
      <c r="K10" s="26" t="s">
        <v>26</v>
      </c>
      <c r="L10" s="28" t="str">
        <f t="shared" si="3"/>
        <v>TA KLINIK</v>
      </c>
      <c r="M10" s="26" t="s">
        <v>27</v>
      </c>
      <c r="N10" s="30">
        <v>250000.0</v>
      </c>
      <c r="O10" s="31">
        <v>0.0</v>
      </c>
      <c r="P10" s="32">
        <f t="array" ref="P10">IFNA(XLOOKUP(K10,'⚙️ Pengaturan'!$E$2:$E800,'⚙️ Pengaturan'!$F$2:$F800),"")</f>
        <v>250000</v>
      </c>
      <c r="Q10" s="33">
        <f t="shared" si="4"/>
        <v>0</v>
      </c>
      <c r="R10" s="26" t="s">
        <v>28</v>
      </c>
      <c r="S10" s="38" t="s">
        <v>47</v>
      </c>
      <c r="T10" s="35" t="b">
        <v>1</v>
      </c>
      <c r="U10" s="36"/>
    </row>
    <row r="11" ht="30.0" customHeight="1">
      <c r="A11" s="24"/>
      <c r="B11" s="25">
        <v>2115.0</v>
      </c>
      <c r="C11" s="26" t="s">
        <v>40</v>
      </c>
      <c r="D11" s="27">
        <v>46025.0</v>
      </c>
      <c r="E11" s="28" t="str">
        <f t="shared" si="1"/>
        <v>2026</v>
      </c>
      <c r="F11" s="28" t="str">
        <f t="shared" si="2"/>
        <v>01 Jan</v>
      </c>
      <c r="G11" s="29" t="s">
        <v>46</v>
      </c>
      <c r="H11" s="29" t="s">
        <v>48</v>
      </c>
      <c r="I11" s="29" t="s">
        <v>49</v>
      </c>
      <c r="J11" s="26" t="s">
        <v>25</v>
      </c>
      <c r="K11" s="26" t="s">
        <v>26</v>
      </c>
      <c r="L11" s="28" t="str">
        <f t="shared" si="3"/>
        <v>TA KLINIK</v>
      </c>
      <c r="M11" s="26" t="s">
        <v>27</v>
      </c>
      <c r="N11" s="30">
        <v>250000.0</v>
      </c>
      <c r="O11" s="31">
        <v>0.0</v>
      </c>
      <c r="P11" s="32">
        <f t="array" ref="P11">IFNA(XLOOKUP(K11,'⚙️ Pengaturan'!$E$2:$E800,'⚙️ Pengaturan'!$F$2:$F800),"")</f>
        <v>250000</v>
      </c>
      <c r="Q11" s="33">
        <f t="shared" si="4"/>
        <v>0</v>
      </c>
      <c r="R11" s="26" t="s">
        <v>28</v>
      </c>
      <c r="S11" s="38" t="s">
        <v>49</v>
      </c>
      <c r="T11" s="35" t="b">
        <v>1</v>
      </c>
      <c r="U11" s="36"/>
    </row>
    <row r="12" ht="30.0" customHeight="1">
      <c r="A12" s="24"/>
      <c r="B12" s="25">
        <v>2116.0</v>
      </c>
      <c r="C12" s="26" t="s">
        <v>40</v>
      </c>
      <c r="D12" s="27">
        <v>46025.0</v>
      </c>
      <c r="E12" s="28" t="str">
        <f t="shared" si="1"/>
        <v>2026</v>
      </c>
      <c r="F12" s="28" t="str">
        <f t="shared" si="2"/>
        <v>01 Jan</v>
      </c>
      <c r="G12" s="29" t="s">
        <v>41</v>
      </c>
      <c r="H12" s="29" t="s">
        <v>48</v>
      </c>
      <c r="I12" s="29" t="s">
        <v>50</v>
      </c>
      <c r="J12" s="26" t="s">
        <v>25</v>
      </c>
      <c r="K12" s="26" t="s">
        <v>26</v>
      </c>
      <c r="L12" s="28" t="str">
        <f t="shared" si="3"/>
        <v>TA KLINIK</v>
      </c>
      <c r="M12" s="26" t="s">
        <v>27</v>
      </c>
      <c r="N12" s="30">
        <v>250000.0</v>
      </c>
      <c r="O12" s="31">
        <v>0.0</v>
      </c>
      <c r="P12" s="32">
        <f t="array" ref="P12">IFNA(XLOOKUP(K12,'⚙️ Pengaturan'!$E$2:$E800,'⚙️ Pengaturan'!$F$2:$F800),"")</f>
        <v>250000</v>
      </c>
      <c r="Q12" s="33">
        <f t="shared" si="4"/>
        <v>0</v>
      </c>
      <c r="R12" s="26" t="s">
        <v>33</v>
      </c>
      <c r="S12" s="38" t="s">
        <v>34</v>
      </c>
      <c r="T12" s="35" t="b">
        <v>1</v>
      </c>
      <c r="U12" s="36"/>
    </row>
    <row r="13" ht="30.0" customHeight="1">
      <c r="A13" s="24"/>
      <c r="B13" s="25">
        <v>2117.0</v>
      </c>
      <c r="C13" s="26" t="s">
        <v>40</v>
      </c>
      <c r="D13" s="27">
        <v>46025.0</v>
      </c>
      <c r="E13" s="28" t="str">
        <f t="shared" si="1"/>
        <v>2026</v>
      </c>
      <c r="F13" s="28" t="str">
        <f t="shared" si="2"/>
        <v>01 Jan</v>
      </c>
      <c r="G13" s="29" t="s">
        <v>41</v>
      </c>
      <c r="H13" s="29" t="s">
        <v>51</v>
      </c>
      <c r="I13" s="29" t="s">
        <v>52</v>
      </c>
      <c r="J13" s="37"/>
      <c r="K13" s="26" t="s">
        <v>32</v>
      </c>
      <c r="L13" s="28" t="str">
        <f t="shared" si="3"/>
        <v>SESI KLINIK</v>
      </c>
      <c r="M13" s="26" t="s">
        <v>27</v>
      </c>
      <c r="N13" s="30">
        <v>150000.0</v>
      </c>
      <c r="O13" s="31">
        <v>0.0</v>
      </c>
      <c r="P13" s="32">
        <f t="array" ref="P13">IFNA(XLOOKUP(K13,'⚙️ Pengaturan'!$E$2:$E800,'⚙️ Pengaturan'!$F$2:$F800),"")</f>
        <v>150000</v>
      </c>
      <c r="Q13" s="33">
        <f t="shared" si="4"/>
        <v>0</v>
      </c>
      <c r="R13" s="26" t="s">
        <v>33</v>
      </c>
      <c r="S13" s="38" t="s">
        <v>34</v>
      </c>
      <c r="T13" s="35" t="b">
        <v>1</v>
      </c>
      <c r="U13" s="36"/>
    </row>
    <row r="14" ht="30.0" customHeight="1">
      <c r="A14" s="24"/>
      <c r="B14" s="25">
        <v>2118.0</v>
      </c>
      <c r="C14" s="26" t="s">
        <v>40</v>
      </c>
      <c r="D14" s="27">
        <v>46025.0</v>
      </c>
      <c r="E14" s="28" t="str">
        <f t="shared" si="1"/>
        <v>2026</v>
      </c>
      <c r="F14" s="28" t="str">
        <f t="shared" si="2"/>
        <v>01 Jan</v>
      </c>
      <c r="G14" s="29" t="s">
        <v>53</v>
      </c>
      <c r="H14" s="29" t="s">
        <v>48</v>
      </c>
      <c r="I14" s="29" t="s">
        <v>54</v>
      </c>
      <c r="J14" s="26" t="s">
        <v>25</v>
      </c>
      <c r="K14" s="26" t="s">
        <v>26</v>
      </c>
      <c r="L14" s="28" t="str">
        <f t="shared" si="3"/>
        <v>TA KLINIK</v>
      </c>
      <c r="M14" s="26" t="s">
        <v>27</v>
      </c>
      <c r="N14" s="30">
        <v>250000.0</v>
      </c>
      <c r="O14" s="31">
        <v>0.0</v>
      </c>
      <c r="P14" s="32">
        <f t="array" ref="P14">IFNA(XLOOKUP(K14,'⚙️ Pengaturan'!$E$2:$E800,'⚙️ Pengaturan'!$F$2:$F800),"")</f>
        <v>250000</v>
      </c>
      <c r="Q14" s="33">
        <f t="shared" si="4"/>
        <v>0</v>
      </c>
      <c r="R14" s="26" t="s">
        <v>33</v>
      </c>
      <c r="S14" s="38" t="s">
        <v>34</v>
      </c>
      <c r="T14" s="35" t="b">
        <v>1</v>
      </c>
      <c r="U14" s="36"/>
    </row>
    <row r="15" ht="30.0" customHeight="1">
      <c r="A15" s="24"/>
      <c r="B15" s="25">
        <v>2119.0</v>
      </c>
      <c r="C15" s="26" t="s">
        <v>40</v>
      </c>
      <c r="D15" s="27">
        <v>46025.0</v>
      </c>
      <c r="E15" s="28" t="str">
        <f t="shared" si="1"/>
        <v>2026</v>
      </c>
      <c r="F15" s="28" t="str">
        <f t="shared" si="2"/>
        <v>01 Jan</v>
      </c>
      <c r="G15" s="29" t="s">
        <v>53</v>
      </c>
      <c r="H15" s="29" t="s">
        <v>42</v>
      </c>
      <c r="I15" s="29" t="s">
        <v>55</v>
      </c>
      <c r="J15" s="26" t="s">
        <v>25</v>
      </c>
      <c r="K15" s="26" t="s">
        <v>26</v>
      </c>
      <c r="L15" s="28" t="str">
        <f t="shared" si="3"/>
        <v>TA KLINIK</v>
      </c>
      <c r="M15" s="26" t="s">
        <v>27</v>
      </c>
      <c r="N15" s="30">
        <v>250000.0</v>
      </c>
      <c r="O15" s="31">
        <v>0.0</v>
      </c>
      <c r="P15" s="32">
        <f t="array" ref="P15">IFNA(XLOOKUP(K15,'⚙️ Pengaturan'!$E$2:$E800,'⚙️ Pengaturan'!$F$2:$F800),"")</f>
        <v>250000</v>
      </c>
      <c r="Q15" s="33">
        <f t="shared" si="4"/>
        <v>0</v>
      </c>
      <c r="R15" s="26" t="s">
        <v>33</v>
      </c>
      <c r="S15" s="38" t="s">
        <v>34</v>
      </c>
      <c r="T15" s="35" t="b">
        <v>1</v>
      </c>
      <c r="U15" s="36"/>
    </row>
    <row r="16" ht="30.0" customHeight="1">
      <c r="A16" s="24"/>
      <c r="B16" s="25">
        <v>2120.0</v>
      </c>
      <c r="C16" s="26" t="s">
        <v>40</v>
      </c>
      <c r="D16" s="27">
        <v>46025.0</v>
      </c>
      <c r="E16" s="28" t="str">
        <f t="shared" si="1"/>
        <v>2026</v>
      </c>
      <c r="F16" s="28" t="str">
        <f t="shared" si="2"/>
        <v>01 Jan</v>
      </c>
      <c r="G16" s="29" t="s">
        <v>56</v>
      </c>
      <c r="H16" s="29" t="s">
        <v>48</v>
      </c>
      <c r="I16" s="29" t="s">
        <v>57</v>
      </c>
      <c r="J16" s="26" t="s">
        <v>25</v>
      </c>
      <c r="K16" s="26" t="s">
        <v>26</v>
      </c>
      <c r="L16" s="28" t="str">
        <f t="shared" si="3"/>
        <v>TA KLINIK</v>
      </c>
      <c r="M16" s="26" t="s">
        <v>27</v>
      </c>
      <c r="N16" s="30">
        <v>250000.0</v>
      </c>
      <c r="O16" s="31">
        <v>0.0</v>
      </c>
      <c r="P16" s="32">
        <f t="array" ref="P16">IFNA(XLOOKUP(K16,'⚙️ Pengaturan'!$E$2:$E800,'⚙️ Pengaturan'!$F$2:$F800),"")</f>
        <v>250000</v>
      </c>
      <c r="Q16" s="33">
        <f t="shared" si="4"/>
        <v>0</v>
      </c>
      <c r="R16" s="26" t="s">
        <v>33</v>
      </c>
      <c r="S16" s="38" t="s">
        <v>34</v>
      </c>
      <c r="T16" s="35" t="b">
        <v>1</v>
      </c>
      <c r="U16" s="36"/>
    </row>
    <row r="17" ht="30.0" customHeight="1">
      <c r="A17" s="24"/>
      <c r="B17" s="25">
        <v>2121.0</v>
      </c>
      <c r="C17" s="26" t="s">
        <v>40</v>
      </c>
      <c r="D17" s="27">
        <v>46025.0</v>
      </c>
      <c r="E17" s="28" t="str">
        <f t="shared" si="1"/>
        <v>2026</v>
      </c>
      <c r="F17" s="28" t="str">
        <f t="shared" si="2"/>
        <v>01 Jan</v>
      </c>
      <c r="G17" s="29" t="s">
        <v>56</v>
      </c>
      <c r="H17" s="29" t="s">
        <v>58</v>
      </c>
      <c r="I17" s="29" t="s">
        <v>59</v>
      </c>
      <c r="J17" s="26" t="s">
        <v>25</v>
      </c>
      <c r="K17" s="26" t="s">
        <v>26</v>
      </c>
      <c r="L17" s="28" t="str">
        <f t="shared" si="3"/>
        <v>TA KLINIK</v>
      </c>
      <c r="M17" s="26" t="s">
        <v>27</v>
      </c>
      <c r="N17" s="30">
        <v>250000.0</v>
      </c>
      <c r="O17" s="31">
        <v>0.0</v>
      </c>
      <c r="P17" s="32">
        <f t="array" ref="P17">IFNA(XLOOKUP(K17,'⚙️ Pengaturan'!$E$2:$E800,'⚙️ Pengaturan'!$F$2:$F800),"")</f>
        <v>250000</v>
      </c>
      <c r="Q17" s="33">
        <f t="shared" si="4"/>
        <v>0</v>
      </c>
      <c r="R17" s="26" t="s">
        <v>33</v>
      </c>
      <c r="S17" s="38" t="s">
        <v>34</v>
      </c>
      <c r="T17" s="35" t="b">
        <v>1</v>
      </c>
      <c r="U17" s="36"/>
    </row>
    <row r="18" ht="30.0" customHeight="1">
      <c r="A18" s="24"/>
      <c r="B18" s="25">
        <v>2122.0</v>
      </c>
      <c r="C18" s="26" t="s">
        <v>40</v>
      </c>
      <c r="D18" s="27">
        <v>46025.0</v>
      </c>
      <c r="E18" s="28" t="str">
        <f t="shared" si="1"/>
        <v>2026</v>
      </c>
      <c r="F18" s="28" t="str">
        <f t="shared" si="2"/>
        <v>01 Jan</v>
      </c>
      <c r="G18" s="29" t="s">
        <v>56</v>
      </c>
      <c r="H18" s="29" t="s">
        <v>42</v>
      </c>
      <c r="I18" s="29" t="s">
        <v>60</v>
      </c>
      <c r="J18" s="26" t="s">
        <v>25</v>
      </c>
      <c r="K18" s="26" t="s">
        <v>26</v>
      </c>
      <c r="L18" s="28" t="str">
        <f t="shared" si="3"/>
        <v>TA KLINIK</v>
      </c>
      <c r="M18" s="26" t="s">
        <v>27</v>
      </c>
      <c r="N18" s="30">
        <v>250000.0</v>
      </c>
      <c r="O18" s="31">
        <v>0.0</v>
      </c>
      <c r="P18" s="32">
        <f t="array" ref="P18">IFNA(XLOOKUP(K18,'⚙️ Pengaturan'!$E$2:$E800,'⚙️ Pengaturan'!$F$2:$F800),"")</f>
        <v>250000</v>
      </c>
      <c r="Q18" s="33">
        <f t="shared" si="4"/>
        <v>0</v>
      </c>
      <c r="R18" s="26" t="s">
        <v>33</v>
      </c>
      <c r="S18" s="38" t="s">
        <v>34</v>
      </c>
      <c r="T18" s="35" t="b">
        <v>1</v>
      </c>
      <c r="U18" s="36"/>
    </row>
    <row r="19" ht="30.0" customHeight="1">
      <c r="A19" s="24"/>
      <c r="B19" s="25">
        <v>2123.0</v>
      </c>
      <c r="C19" s="26" t="s">
        <v>40</v>
      </c>
      <c r="D19" s="27">
        <v>46025.0</v>
      </c>
      <c r="E19" s="28" t="str">
        <f t="shared" si="1"/>
        <v>2026</v>
      </c>
      <c r="F19" s="28" t="str">
        <f t="shared" si="2"/>
        <v>01 Jan</v>
      </c>
      <c r="G19" s="29" t="s">
        <v>61</v>
      </c>
      <c r="H19" s="29" t="s">
        <v>48</v>
      </c>
      <c r="I19" s="29" t="s">
        <v>62</v>
      </c>
      <c r="J19" s="37"/>
      <c r="K19" s="26" t="s">
        <v>39</v>
      </c>
      <c r="L19" s="28" t="str">
        <f t="shared" si="3"/>
        <v>PAKET KLINIK</v>
      </c>
      <c r="M19" s="26" t="s">
        <v>63</v>
      </c>
      <c r="N19" s="30">
        <v>450000.0</v>
      </c>
      <c r="O19" s="31">
        <v>200000.0</v>
      </c>
      <c r="P19" s="32">
        <f t="array" ref="P19">IFNA(XLOOKUP(K19,'⚙️ Pengaturan'!$E$2:$E800,'⚙️ Pengaturan'!$F$2:$F800),"")</f>
        <v>650000</v>
      </c>
      <c r="Q19" s="33">
        <f t="shared" si="4"/>
        <v>0</v>
      </c>
      <c r="R19" s="26" t="s">
        <v>28</v>
      </c>
      <c r="S19" s="38" t="s">
        <v>62</v>
      </c>
      <c r="T19" s="35" t="b">
        <v>1</v>
      </c>
      <c r="U19" s="36"/>
    </row>
    <row r="20" ht="30.0" customHeight="1">
      <c r="A20" s="24"/>
      <c r="B20" s="25">
        <v>2124.0</v>
      </c>
      <c r="C20" s="26" t="s">
        <v>40</v>
      </c>
      <c r="D20" s="27">
        <v>46025.0</v>
      </c>
      <c r="E20" s="28" t="str">
        <f t="shared" si="1"/>
        <v>2026</v>
      </c>
      <c r="F20" s="28" t="str">
        <f t="shared" si="2"/>
        <v>01 Jan</v>
      </c>
      <c r="G20" s="29" t="s">
        <v>61</v>
      </c>
      <c r="H20" s="29" t="s">
        <v>42</v>
      </c>
      <c r="I20" s="29" t="s">
        <v>64</v>
      </c>
      <c r="J20" s="26" t="s">
        <v>25</v>
      </c>
      <c r="K20" s="26" t="s">
        <v>26</v>
      </c>
      <c r="L20" s="28" t="str">
        <f t="shared" si="3"/>
        <v>TA KLINIK</v>
      </c>
      <c r="M20" s="26" t="s">
        <v>27</v>
      </c>
      <c r="N20" s="30">
        <v>250000.0</v>
      </c>
      <c r="O20" s="31">
        <v>0.0</v>
      </c>
      <c r="P20" s="32">
        <f t="array" ref="P20">IFNA(XLOOKUP(K20,'⚙️ Pengaturan'!$E$2:$E800,'⚙️ Pengaturan'!$F$2:$F800),"")</f>
        <v>250000</v>
      </c>
      <c r="Q20" s="33">
        <f t="shared" si="4"/>
        <v>0</v>
      </c>
      <c r="R20" s="26" t="s">
        <v>28</v>
      </c>
      <c r="S20" s="38" t="s">
        <v>65</v>
      </c>
      <c r="T20" s="35" t="b">
        <v>1</v>
      </c>
      <c r="U20" s="36"/>
    </row>
    <row r="21" ht="30.0" customHeight="1">
      <c r="A21" s="24"/>
      <c r="B21" s="25">
        <v>2125.0</v>
      </c>
      <c r="C21" s="26" t="s">
        <v>40</v>
      </c>
      <c r="D21" s="27">
        <v>46025.0</v>
      </c>
      <c r="E21" s="28" t="str">
        <f t="shared" si="1"/>
        <v>2026</v>
      </c>
      <c r="F21" s="28" t="str">
        <f t="shared" si="2"/>
        <v>01 Jan</v>
      </c>
      <c r="G21" s="29" t="s">
        <v>61</v>
      </c>
      <c r="H21" s="29" t="s">
        <v>51</v>
      </c>
      <c r="I21" s="29" t="s">
        <v>66</v>
      </c>
      <c r="J21" s="37"/>
      <c r="K21" s="26" t="s">
        <v>44</v>
      </c>
      <c r="L21" s="28" t="str">
        <f t="shared" si="3"/>
        <v>PAKET KLINIK</v>
      </c>
      <c r="M21" s="26" t="s">
        <v>27</v>
      </c>
      <c r="N21" s="30">
        <v>1200000.0</v>
      </c>
      <c r="O21" s="31">
        <v>0.0</v>
      </c>
      <c r="P21" s="32">
        <f t="array" ref="P21">IFNA(XLOOKUP(K21,'⚙️ Pengaturan'!$E$2:$E800,'⚙️ Pengaturan'!$F$2:$F800),"")</f>
        <v>1200000</v>
      </c>
      <c r="Q21" s="33">
        <f t="shared" si="4"/>
        <v>0</v>
      </c>
      <c r="R21" s="26" t="s">
        <v>28</v>
      </c>
      <c r="S21" s="38" t="s">
        <v>66</v>
      </c>
      <c r="T21" s="35" t="b">
        <v>1</v>
      </c>
      <c r="U21" s="36"/>
    </row>
    <row r="22" ht="30.0" customHeight="1">
      <c r="A22" s="24"/>
      <c r="B22" s="25">
        <v>2126.0</v>
      </c>
      <c r="C22" s="26" t="s">
        <v>40</v>
      </c>
      <c r="D22" s="27">
        <v>46025.0</v>
      </c>
      <c r="E22" s="28" t="str">
        <f t="shared" si="1"/>
        <v>2026</v>
      </c>
      <c r="F22" s="28" t="str">
        <f t="shared" si="2"/>
        <v>01 Jan</v>
      </c>
      <c r="G22" s="29" t="s">
        <v>67</v>
      </c>
      <c r="H22" s="29" t="s">
        <v>68</v>
      </c>
      <c r="I22" s="29" t="s">
        <v>69</v>
      </c>
      <c r="J22" s="37"/>
      <c r="K22" s="26" t="s">
        <v>32</v>
      </c>
      <c r="L22" s="28" t="str">
        <f t="shared" si="3"/>
        <v>SESI KLINIK</v>
      </c>
      <c r="M22" s="26" t="s">
        <v>27</v>
      </c>
      <c r="N22" s="30">
        <v>150000.0</v>
      </c>
      <c r="O22" s="31">
        <v>0.0</v>
      </c>
      <c r="P22" s="32">
        <f t="array" ref="P22">IFNA(XLOOKUP(K22,'⚙️ Pengaturan'!$E$2:$E800,'⚙️ Pengaturan'!$F$2:$F800),"")</f>
        <v>150000</v>
      </c>
      <c r="Q22" s="33">
        <f t="shared" si="4"/>
        <v>0</v>
      </c>
      <c r="R22" s="26" t="s">
        <v>28</v>
      </c>
      <c r="S22" s="38" t="s">
        <v>69</v>
      </c>
      <c r="T22" s="35" t="b">
        <v>1</v>
      </c>
      <c r="U22" s="36"/>
    </row>
    <row r="23" ht="30.0" customHeight="1">
      <c r="A23" s="24"/>
      <c r="B23" s="25">
        <v>2127.0</v>
      </c>
      <c r="C23" s="26" t="s">
        <v>40</v>
      </c>
      <c r="D23" s="27">
        <v>46025.0</v>
      </c>
      <c r="E23" s="28" t="str">
        <f t="shared" si="1"/>
        <v>2026</v>
      </c>
      <c r="F23" s="28" t="str">
        <f t="shared" si="2"/>
        <v>01 Jan</v>
      </c>
      <c r="G23" s="29" t="s">
        <v>37</v>
      </c>
      <c r="H23" s="29" t="s">
        <v>70</v>
      </c>
      <c r="I23" s="29" t="s">
        <v>71</v>
      </c>
      <c r="J23" s="26" t="s">
        <v>25</v>
      </c>
      <c r="K23" s="26" t="s">
        <v>26</v>
      </c>
      <c r="L23" s="28" t="str">
        <f t="shared" si="3"/>
        <v>TA KLINIK</v>
      </c>
      <c r="M23" s="26" t="s">
        <v>27</v>
      </c>
      <c r="N23" s="30">
        <v>250000.0</v>
      </c>
      <c r="O23" s="31">
        <v>0.0</v>
      </c>
      <c r="P23" s="32">
        <f t="array" ref="P23">IFNA(XLOOKUP(K23,'⚙️ Pengaturan'!$E$2:$E800,'⚙️ Pengaturan'!$F$2:$F800),"")</f>
        <v>250000</v>
      </c>
      <c r="Q23" s="33">
        <f t="shared" si="4"/>
        <v>0</v>
      </c>
      <c r="R23" s="26" t="s">
        <v>28</v>
      </c>
      <c r="S23" s="38" t="s">
        <v>71</v>
      </c>
      <c r="T23" s="35" t="b">
        <v>1</v>
      </c>
      <c r="U23" s="36"/>
    </row>
    <row r="24" ht="30.0" customHeight="1">
      <c r="A24" s="24"/>
      <c r="B24" s="25">
        <v>2128.0</v>
      </c>
      <c r="C24" s="26" t="s">
        <v>40</v>
      </c>
      <c r="D24" s="27">
        <v>46025.0</v>
      </c>
      <c r="E24" s="28" t="str">
        <f t="shared" si="1"/>
        <v>2026</v>
      </c>
      <c r="F24" s="28" t="str">
        <f t="shared" si="2"/>
        <v>01 Jan</v>
      </c>
      <c r="G24" s="29" t="s">
        <v>41</v>
      </c>
      <c r="H24" s="29" t="s">
        <v>23</v>
      </c>
      <c r="I24" s="29" t="s">
        <v>72</v>
      </c>
      <c r="J24" s="26" t="s">
        <v>25</v>
      </c>
      <c r="K24" s="26" t="s">
        <v>73</v>
      </c>
      <c r="L24" s="28" t="str">
        <f t="shared" si="3"/>
        <v>TA VISIT</v>
      </c>
      <c r="M24" s="26" t="s">
        <v>27</v>
      </c>
      <c r="N24" s="30">
        <v>350000.0</v>
      </c>
      <c r="O24" s="31">
        <v>0.0</v>
      </c>
      <c r="P24" s="32">
        <f t="array" ref="P24">IFNA(XLOOKUP(K24,'⚙️ Pengaturan'!$E$2:$E800,'⚙️ Pengaturan'!$F$2:$F800),"")</f>
        <v>350000</v>
      </c>
      <c r="Q24" s="33">
        <f t="shared" si="4"/>
        <v>0</v>
      </c>
      <c r="R24" s="26" t="s">
        <v>28</v>
      </c>
      <c r="S24" s="38" t="s">
        <v>72</v>
      </c>
      <c r="T24" s="35" t="b">
        <v>1</v>
      </c>
      <c r="U24" s="36"/>
    </row>
    <row r="25" ht="30.0" customHeight="1">
      <c r="A25" s="24"/>
      <c r="B25" s="25">
        <v>2129.0</v>
      </c>
      <c r="C25" s="26" t="s">
        <v>21</v>
      </c>
      <c r="D25" s="27">
        <v>46026.0</v>
      </c>
      <c r="E25" s="28" t="str">
        <f t="shared" si="1"/>
        <v>2026</v>
      </c>
      <c r="F25" s="28" t="str">
        <f t="shared" si="2"/>
        <v>01 Jan</v>
      </c>
      <c r="G25" s="29" t="s">
        <v>22</v>
      </c>
      <c r="H25" s="29" t="s">
        <v>30</v>
      </c>
      <c r="I25" s="29" t="s">
        <v>74</v>
      </c>
      <c r="J25" s="37"/>
      <c r="K25" s="26" t="s">
        <v>39</v>
      </c>
      <c r="L25" s="28" t="str">
        <f t="shared" si="3"/>
        <v>PAKET KLINIK</v>
      </c>
      <c r="M25" s="26" t="s">
        <v>27</v>
      </c>
      <c r="N25" s="30">
        <v>650000.0</v>
      </c>
      <c r="O25" s="31">
        <v>0.0</v>
      </c>
      <c r="P25" s="32">
        <f t="array" ref="P25">IFNA(XLOOKUP(K25,'⚙️ Pengaturan'!$E$2:$E800,'⚙️ Pengaturan'!$F$2:$F800),"")</f>
        <v>650000</v>
      </c>
      <c r="Q25" s="33">
        <f t="shared" si="4"/>
        <v>0</v>
      </c>
      <c r="R25" s="26" t="s">
        <v>33</v>
      </c>
      <c r="S25" s="38" t="s">
        <v>34</v>
      </c>
      <c r="T25" s="35" t="b">
        <v>1</v>
      </c>
      <c r="U25" s="36"/>
    </row>
    <row r="26" ht="30.0" customHeight="1">
      <c r="A26" s="24"/>
      <c r="B26" s="25">
        <v>2130.0</v>
      </c>
      <c r="C26" s="26" t="s">
        <v>21</v>
      </c>
      <c r="D26" s="27">
        <v>46026.0</v>
      </c>
      <c r="E26" s="28" t="str">
        <f t="shared" si="1"/>
        <v>2026</v>
      </c>
      <c r="F26" s="28" t="str">
        <f t="shared" si="2"/>
        <v>01 Jan</v>
      </c>
      <c r="G26" s="29" t="s">
        <v>29</v>
      </c>
      <c r="H26" s="29" t="s">
        <v>35</v>
      </c>
      <c r="I26" s="29" t="s">
        <v>75</v>
      </c>
      <c r="J26" s="39" t="s">
        <v>76</v>
      </c>
      <c r="K26" s="40" t="s">
        <v>39</v>
      </c>
      <c r="L26" s="41" t="str">
        <f t="shared" si="3"/>
        <v>PAKET KLINIK</v>
      </c>
      <c r="M26" s="40" t="s">
        <v>27</v>
      </c>
      <c r="N26" s="42">
        <v>650000.0</v>
      </c>
      <c r="O26" s="43">
        <v>0.0</v>
      </c>
      <c r="P26" s="32">
        <f t="array" ref="P26">IFNA(XLOOKUP(K26,'⚙️ Pengaturan'!$E$2:$E800,'⚙️ Pengaturan'!$F$2:$F800),"")</f>
        <v>650000</v>
      </c>
      <c r="Q26" s="33">
        <f t="shared" si="4"/>
        <v>0</v>
      </c>
      <c r="R26" s="26" t="s">
        <v>33</v>
      </c>
      <c r="S26" s="38" t="s">
        <v>34</v>
      </c>
      <c r="T26" s="35" t="b">
        <v>1</v>
      </c>
      <c r="U26" s="36"/>
    </row>
    <row r="27" ht="30.0" customHeight="1">
      <c r="A27" s="24"/>
      <c r="B27" s="25">
        <v>2131.0</v>
      </c>
      <c r="C27" s="26" t="s">
        <v>21</v>
      </c>
      <c r="D27" s="27">
        <v>46026.0</v>
      </c>
      <c r="E27" s="28" t="str">
        <f t="shared" si="1"/>
        <v>2026</v>
      </c>
      <c r="F27" s="28" t="str">
        <f t="shared" si="2"/>
        <v>01 Jan</v>
      </c>
      <c r="G27" s="29" t="s">
        <v>29</v>
      </c>
      <c r="H27" s="29" t="s">
        <v>68</v>
      </c>
      <c r="I27" s="29" t="s">
        <v>77</v>
      </c>
      <c r="J27" s="26" t="s">
        <v>25</v>
      </c>
      <c r="K27" s="26" t="s">
        <v>26</v>
      </c>
      <c r="L27" s="28" t="str">
        <f t="shared" si="3"/>
        <v>TA KLINIK</v>
      </c>
      <c r="M27" s="26" t="s">
        <v>27</v>
      </c>
      <c r="N27" s="30">
        <v>250000.0</v>
      </c>
      <c r="O27" s="31">
        <v>0.0</v>
      </c>
      <c r="P27" s="32">
        <f t="array" ref="P27">IFNA(XLOOKUP(K27,'⚙️ Pengaturan'!$E$2:$E800,'⚙️ Pengaturan'!$F$2:$F800),"")</f>
        <v>250000</v>
      </c>
      <c r="Q27" s="33">
        <f t="shared" si="4"/>
        <v>0</v>
      </c>
      <c r="R27" s="26" t="s">
        <v>28</v>
      </c>
      <c r="S27" s="38" t="s">
        <v>77</v>
      </c>
      <c r="T27" s="35" t="b">
        <v>1</v>
      </c>
      <c r="U27" s="36"/>
    </row>
    <row r="28" ht="30.0" customHeight="1">
      <c r="A28" s="24"/>
      <c r="B28" s="25">
        <v>2133.0</v>
      </c>
      <c r="C28" s="26" t="s">
        <v>40</v>
      </c>
      <c r="D28" s="27">
        <v>46026.0</v>
      </c>
      <c r="E28" s="28" t="str">
        <f t="shared" si="1"/>
        <v>2026</v>
      </c>
      <c r="F28" s="28" t="str">
        <f t="shared" si="2"/>
        <v>01 Jan</v>
      </c>
      <c r="G28" s="29" t="s">
        <v>53</v>
      </c>
      <c r="H28" s="29" t="s">
        <v>58</v>
      </c>
      <c r="I28" s="29" t="s">
        <v>78</v>
      </c>
      <c r="J28" s="26" t="s">
        <v>25</v>
      </c>
      <c r="K28" s="26" t="s">
        <v>26</v>
      </c>
      <c r="L28" s="28" t="str">
        <f t="shared" si="3"/>
        <v>TA KLINIK</v>
      </c>
      <c r="M28" s="26" t="s">
        <v>27</v>
      </c>
      <c r="N28" s="30">
        <v>250000.0</v>
      </c>
      <c r="O28" s="31">
        <v>0.0</v>
      </c>
      <c r="P28" s="32">
        <f t="array" ref="P28">IFNA(XLOOKUP(K28,'⚙️ Pengaturan'!$E$2:$E800,'⚙️ Pengaturan'!$F$2:$F800),"")</f>
        <v>250000</v>
      </c>
      <c r="Q28" s="33">
        <f t="shared" si="4"/>
        <v>0</v>
      </c>
      <c r="R28" s="26" t="s">
        <v>28</v>
      </c>
      <c r="S28" s="38" t="s">
        <v>79</v>
      </c>
      <c r="T28" s="35" t="b">
        <v>1</v>
      </c>
      <c r="U28" s="36"/>
    </row>
    <row r="29" ht="30.0" customHeight="1">
      <c r="A29" s="24"/>
      <c r="B29" s="25">
        <v>2134.0</v>
      </c>
      <c r="C29" s="26" t="s">
        <v>40</v>
      </c>
      <c r="D29" s="27">
        <v>46026.0</v>
      </c>
      <c r="E29" s="28" t="str">
        <f t="shared" si="1"/>
        <v>2026</v>
      </c>
      <c r="F29" s="28" t="str">
        <f t="shared" si="2"/>
        <v>01 Jan</v>
      </c>
      <c r="G29" s="29" t="s">
        <v>56</v>
      </c>
      <c r="H29" s="29" t="s">
        <v>42</v>
      </c>
      <c r="I29" s="29" t="s">
        <v>55</v>
      </c>
      <c r="J29" s="37"/>
      <c r="K29" s="26" t="s">
        <v>32</v>
      </c>
      <c r="L29" s="28" t="str">
        <f t="shared" si="3"/>
        <v>SESI KLINIK</v>
      </c>
      <c r="M29" s="26" t="s">
        <v>27</v>
      </c>
      <c r="N29" s="30">
        <v>150000.0</v>
      </c>
      <c r="O29" s="31">
        <v>0.0</v>
      </c>
      <c r="P29" s="32">
        <f t="array" ref="P29">IFNA(XLOOKUP(K29,'⚙️ Pengaturan'!$E$2:$E800,'⚙️ Pengaturan'!$F$2:$F800),"")</f>
        <v>150000</v>
      </c>
      <c r="Q29" s="33">
        <f t="shared" si="4"/>
        <v>0</v>
      </c>
      <c r="R29" s="26" t="s">
        <v>33</v>
      </c>
      <c r="S29" s="38" t="s">
        <v>34</v>
      </c>
      <c r="T29" s="35" t="b">
        <v>1</v>
      </c>
      <c r="U29" s="36"/>
    </row>
    <row r="30" ht="30.0" customHeight="1">
      <c r="A30" s="24"/>
      <c r="B30" s="25">
        <v>2135.0</v>
      </c>
      <c r="C30" s="26" t="s">
        <v>40</v>
      </c>
      <c r="D30" s="27">
        <v>46026.0</v>
      </c>
      <c r="E30" s="28" t="str">
        <f t="shared" si="1"/>
        <v>2026</v>
      </c>
      <c r="F30" s="28" t="str">
        <f t="shared" si="2"/>
        <v>01 Jan</v>
      </c>
      <c r="G30" s="29" t="s">
        <v>56</v>
      </c>
      <c r="H30" s="29" t="s">
        <v>42</v>
      </c>
      <c r="I30" s="29" t="s">
        <v>55</v>
      </c>
      <c r="J30" s="37"/>
      <c r="K30" s="26" t="s">
        <v>32</v>
      </c>
      <c r="L30" s="28" t="str">
        <f t="shared" si="3"/>
        <v>SESI KLINIK</v>
      </c>
      <c r="M30" s="26" t="s">
        <v>27</v>
      </c>
      <c r="N30" s="30">
        <v>150000.0</v>
      </c>
      <c r="O30" s="31">
        <v>0.0</v>
      </c>
      <c r="P30" s="32">
        <f t="array" ref="P30">IFNA(XLOOKUP(K30,'⚙️ Pengaturan'!$E$2:$E800,'⚙️ Pengaturan'!$F$2:$F800),"")</f>
        <v>150000</v>
      </c>
      <c r="Q30" s="33">
        <f t="shared" si="4"/>
        <v>0</v>
      </c>
      <c r="R30" s="26" t="s">
        <v>33</v>
      </c>
      <c r="S30" s="38" t="s">
        <v>34</v>
      </c>
      <c r="T30" s="35" t="b">
        <v>1</v>
      </c>
      <c r="U30" s="36"/>
    </row>
    <row r="31" ht="30.0" customHeight="1">
      <c r="A31" s="24"/>
      <c r="B31" s="25">
        <v>2136.0</v>
      </c>
      <c r="C31" s="26" t="s">
        <v>40</v>
      </c>
      <c r="D31" s="27">
        <v>46026.0</v>
      </c>
      <c r="E31" s="28" t="str">
        <f t="shared" si="1"/>
        <v>2026</v>
      </c>
      <c r="F31" s="28" t="str">
        <f t="shared" si="2"/>
        <v>01 Jan</v>
      </c>
      <c r="G31" s="29" t="s">
        <v>56</v>
      </c>
      <c r="H31" s="29" t="s">
        <v>48</v>
      </c>
      <c r="I31" s="29" t="s">
        <v>54</v>
      </c>
      <c r="J31" s="37"/>
      <c r="K31" s="26" t="s">
        <v>32</v>
      </c>
      <c r="L31" s="28" t="str">
        <f t="shared" si="3"/>
        <v>SESI KLINIK</v>
      </c>
      <c r="M31" s="26" t="s">
        <v>27</v>
      </c>
      <c r="N31" s="30">
        <v>150000.0</v>
      </c>
      <c r="O31" s="31">
        <v>0.0</v>
      </c>
      <c r="P31" s="32">
        <f t="array" ref="P31">IFNA(XLOOKUP(K31,'⚙️ Pengaturan'!$E$2:$E800,'⚙️ Pengaturan'!$F$2:$F800),"")</f>
        <v>150000</v>
      </c>
      <c r="Q31" s="33">
        <f t="shared" si="4"/>
        <v>0</v>
      </c>
      <c r="R31" s="26" t="s">
        <v>33</v>
      </c>
      <c r="S31" s="38" t="s">
        <v>34</v>
      </c>
      <c r="T31" s="35" t="b">
        <v>1</v>
      </c>
      <c r="U31" s="36"/>
    </row>
    <row r="32" ht="30.0" customHeight="1">
      <c r="A32" s="24"/>
      <c r="B32" s="25">
        <v>2137.0</v>
      </c>
      <c r="C32" s="26" t="s">
        <v>40</v>
      </c>
      <c r="D32" s="27">
        <v>46026.0</v>
      </c>
      <c r="E32" s="28" t="str">
        <f t="shared" si="1"/>
        <v>2026</v>
      </c>
      <c r="F32" s="28" t="str">
        <f t="shared" si="2"/>
        <v>01 Jan</v>
      </c>
      <c r="G32" s="29" t="s">
        <v>56</v>
      </c>
      <c r="H32" s="29" t="s">
        <v>48</v>
      </c>
      <c r="I32" s="29" t="s">
        <v>54</v>
      </c>
      <c r="J32" s="37"/>
      <c r="K32" s="26" t="s">
        <v>32</v>
      </c>
      <c r="L32" s="28" t="str">
        <f t="shared" si="3"/>
        <v>SESI KLINIK</v>
      </c>
      <c r="M32" s="26" t="s">
        <v>27</v>
      </c>
      <c r="N32" s="30">
        <v>150000.0</v>
      </c>
      <c r="O32" s="31">
        <v>0.0</v>
      </c>
      <c r="P32" s="32">
        <f t="array" ref="P32">IFNA(XLOOKUP(K32,'⚙️ Pengaturan'!$E$2:$E800,'⚙️ Pengaturan'!$F$2:$F800),"")</f>
        <v>150000</v>
      </c>
      <c r="Q32" s="33">
        <f t="shared" si="4"/>
        <v>0</v>
      </c>
      <c r="R32" s="26" t="s">
        <v>33</v>
      </c>
      <c r="S32" s="38" t="s">
        <v>34</v>
      </c>
      <c r="T32" s="35" t="b">
        <v>1</v>
      </c>
      <c r="U32" s="36"/>
    </row>
    <row r="33" ht="30.0" customHeight="1">
      <c r="A33" s="24"/>
      <c r="B33" s="25">
        <v>2138.0</v>
      </c>
      <c r="C33" s="26" t="s">
        <v>40</v>
      </c>
      <c r="D33" s="27">
        <v>46026.0</v>
      </c>
      <c r="E33" s="28" t="str">
        <f t="shared" si="1"/>
        <v>2026</v>
      </c>
      <c r="F33" s="28" t="str">
        <f t="shared" si="2"/>
        <v>01 Jan</v>
      </c>
      <c r="G33" s="29" t="s">
        <v>56</v>
      </c>
      <c r="H33" s="29" t="s">
        <v>51</v>
      </c>
      <c r="I33" s="29" t="s">
        <v>80</v>
      </c>
      <c r="J33" s="26" t="s">
        <v>25</v>
      </c>
      <c r="K33" s="26" t="s">
        <v>26</v>
      </c>
      <c r="L33" s="28" t="str">
        <f t="shared" si="3"/>
        <v>TA KLINIK</v>
      </c>
      <c r="M33" s="26" t="s">
        <v>27</v>
      </c>
      <c r="N33" s="30">
        <v>250000.0</v>
      </c>
      <c r="O33" s="31">
        <v>0.0</v>
      </c>
      <c r="P33" s="32">
        <f t="array" ref="P33">IFNA(XLOOKUP(K33,'⚙️ Pengaturan'!$E$2:$E800,'⚙️ Pengaturan'!$F$2:$F800),"")</f>
        <v>250000</v>
      </c>
      <c r="Q33" s="33">
        <f t="shared" si="4"/>
        <v>0</v>
      </c>
      <c r="R33" s="26" t="s">
        <v>28</v>
      </c>
      <c r="S33" s="38" t="s">
        <v>80</v>
      </c>
      <c r="T33" s="35" t="b">
        <v>1</v>
      </c>
      <c r="U33" s="36"/>
    </row>
    <row r="34" ht="30.0" customHeight="1">
      <c r="A34" s="24"/>
      <c r="B34" s="25">
        <v>2139.0</v>
      </c>
      <c r="C34" s="26" t="s">
        <v>40</v>
      </c>
      <c r="D34" s="27">
        <v>46026.0</v>
      </c>
      <c r="E34" s="28" t="str">
        <f t="shared" si="1"/>
        <v>2026</v>
      </c>
      <c r="F34" s="28" t="str">
        <f t="shared" si="2"/>
        <v>01 Jan</v>
      </c>
      <c r="G34" s="29" t="s">
        <v>56</v>
      </c>
      <c r="H34" s="29" t="s">
        <v>58</v>
      </c>
      <c r="I34" s="29" t="s">
        <v>81</v>
      </c>
      <c r="J34" s="37"/>
      <c r="K34" s="26" t="s">
        <v>32</v>
      </c>
      <c r="L34" s="28" t="str">
        <f t="shared" si="3"/>
        <v>SESI KLINIK</v>
      </c>
      <c r="M34" s="26" t="s">
        <v>27</v>
      </c>
      <c r="N34" s="30">
        <v>150000.0</v>
      </c>
      <c r="O34" s="31">
        <v>0.0</v>
      </c>
      <c r="P34" s="32">
        <f t="array" ref="P34">IFNA(XLOOKUP(K34,'⚙️ Pengaturan'!$E$2:$E800,'⚙️ Pengaturan'!$F$2:$F800),"")</f>
        <v>150000</v>
      </c>
      <c r="Q34" s="33">
        <f t="shared" si="4"/>
        <v>0</v>
      </c>
      <c r="R34" s="26" t="s">
        <v>28</v>
      </c>
      <c r="S34" s="38" t="s">
        <v>81</v>
      </c>
      <c r="T34" s="35" t="b">
        <v>1</v>
      </c>
      <c r="U34" s="36"/>
    </row>
    <row r="35" ht="30.0" customHeight="1">
      <c r="A35" s="24"/>
      <c r="B35" s="25">
        <v>2140.0</v>
      </c>
      <c r="C35" s="26" t="s">
        <v>21</v>
      </c>
      <c r="D35" s="27">
        <v>46026.0</v>
      </c>
      <c r="E35" s="28" t="str">
        <f t="shared" si="1"/>
        <v>2026</v>
      </c>
      <c r="F35" s="28" t="str">
        <f t="shared" si="2"/>
        <v>01 Jan</v>
      </c>
      <c r="G35" s="29" t="s">
        <v>82</v>
      </c>
      <c r="H35" s="29" t="s">
        <v>70</v>
      </c>
      <c r="I35" s="29" t="s">
        <v>83</v>
      </c>
      <c r="J35" s="26" t="s">
        <v>25</v>
      </c>
      <c r="K35" s="26" t="s">
        <v>26</v>
      </c>
      <c r="L35" s="28" t="str">
        <f t="shared" si="3"/>
        <v>TA KLINIK</v>
      </c>
      <c r="M35" s="26" t="s">
        <v>27</v>
      </c>
      <c r="N35" s="30">
        <v>250000.0</v>
      </c>
      <c r="O35" s="31">
        <v>0.0</v>
      </c>
      <c r="P35" s="32">
        <f t="array" ref="P35">IFNA(XLOOKUP(K35,'⚙️ Pengaturan'!$E$2:$E800,'⚙️ Pengaturan'!$F$2:$F800),"")</f>
        <v>250000</v>
      </c>
      <c r="Q35" s="33">
        <f t="shared" si="4"/>
        <v>0</v>
      </c>
      <c r="R35" s="26" t="s">
        <v>28</v>
      </c>
      <c r="S35" s="38" t="s">
        <v>84</v>
      </c>
      <c r="T35" s="35" t="b">
        <v>1</v>
      </c>
      <c r="U35" s="36"/>
    </row>
    <row r="36" ht="30.0" customHeight="1">
      <c r="A36" s="24"/>
      <c r="B36" s="25">
        <v>2141.0</v>
      </c>
      <c r="C36" s="26" t="s">
        <v>21</v>
      </c>
      <c r="D36" s="27">
        <v>46027.0</v>
      </c>
      <c r="E36" s="28" t="str">
        <f t="shared" si="1"/>
        <v>2026</v>
      </c>
      <c r="F36" s="28" t="str">
        <f t="shared" si="2"/>
        <v>01 Jan</v>
      </c>
      <c r="G36" s="29" t="s">
        <v>67</v>
      </c>
      <c r="H36" s="29" t="s">
        <v>51</v>
      </c>
      <c r="I36" s="29" t="s">
        <v>85</v>
      </c>
      <c r="J36" s="26" t="s">
        <v>25</v>
      </c>
      <c r="K36" s="26" t="s">
        <v>26</v>
      </c>
      <c r="L36" s="28" t="str">
        <f t="shared" si="3"/>
        <v>TA KLINIK</v>
      </c>
      <c r="M36" s="26" t="s">
        <v>27</v>
      </c>
      <c r="N36" s="30">
        <v>250000.0</v>
      </c>
      <c r="O36" s="31">
        <v>0.0</v>
      </c>
      <c r="P36" s="32">
        <f t="array" ref="P36">IFNA(XLOOKUP(K36,'⚙️ Pengaturan'!$E$2:$E800,'⚙️ Pengaturan'!$F$2:$F800),"")</f>
        <v>250000</v>
      </c>
      <c r="Q36" s="33">
        <f t="shared" si="4"/>
        <v>0</v>
      </c>
      <c r="R36" s="26" t="s">
        <v>33</v>
      </c>
      <c r="S36" s="38" t="s">
        <v>34</v>
      </c>
      <c r="T36" s="35" t="b">
        <v>1</v>
      </c>
      <c r="U36" s="36"/>
    </row>
    <row r="37" ht="30.0" customHeight="1">
      <c r="A37" s="24"/>
      <c r="B37" s="25">
        <v>2142.0</v>
      </c>
      <c r="C37" s="26" t="s">
        <v>21</v>
      </c>
      <c r="D37" s="27">
        <v>46027.0</v>
      </c>
      <c r="E37" s="28" t="str">
        <f t="shared" si="1"/>
        <v>2026</v>
      </c>
      <c r="F37" s="28" t="str">
        <f t="shared" si="2"/>
        <v>01 Jan</v>
      </c>
      <c r="G37" s="29" t="s">
        <v>67</v>
      </c>
      <c r="H37" s="29" t="s">
        <v>48</v>
      </c>
      <c r="I37" s="29" t="s">
        <v>50</v>
      </c>
      <c r="J37" s="37"/>
      <c r="K37" s="26" t="s">
        <v>39</v>
      </c>
      <c r="L37" s="28" t="str">
        <f t="shared" si="3"/>
        <v>PAKET KLINIK</v>
      </c>
      <c r="M37" s="26" t="s">
        <v>86</v>
      </c>
      <c r="N37" s="30">
        <v>200000.0</v>
      </c>
      <c r="O37" s="31">
        <v>0.0</v>
      </c>
      <c r="P37" s="32">
        <f t="array" ref="P37">IFNA(XLOOKUP(K37,'⚙️ Pengaturan'!$E$2:$E800,'⚙️ Pengaturan'!$F$2:$F800),"")</f>
        <v>650000</v>
      </c>
      <c r="Q37" s="33">
        <f t="shared" si="4"/>
        <v>-450000</v>
      </c>
      <c r="R37" s="26" t="s">
        <v>45</v>
      </c>
      <c r="S37" s="38" t="s">
        <v>87</v>
      </c>
      <c r="T37" s="35" t="b">
        <v>1</v>
      </c>
      <c r="U37" s="36"/>
    </row>
    <row r="38" ht="30.0" customHeight="1">
      <c r="A38" s="24"/>
      <c r="B38" s="25">
        <v>2143.0</v>
      </c>
      <c r="C38" s="26" t="s">
        <v>21</v>
      </c>
      <c r="D38" s="27">
        <v>46027.0</v>
      </c>
      <c r="E38" s="28" t="str">
        <f t="shared" si="1"/>
        <v>2026</v>
      </c>
      <c r="F38" s="28" t="str">
        <f t="shared" si="2"/>
        <v>01 Jan</v>
      </c>
      <c r="G38" s="29" t="s">
        <v>67</v>
      </c>
      <c r="H38" s="29" t="s">
        <v>42</v>
      </c>
      <c r="I38" s="29" t="s">
        <v>60</v>
      </c>
      <c r="J38" s="37"/>
      <c r="K38" s="26" t="s">
        <v>44</v>
      </c>
      <c r="L38" s="28" t="str">
        <f t="shared" si="3"/>
        <v>PAKET KLINIK</v>
      </c>
      <c r="M38" s="26" t="s">
        <v>86</v>
      </c>
      <c r="N38" s="30">
        <v>500000.0</v>
      </c>
      <c r="O38" s="31">
        <v>0.0</v>
      </c>
      <c r="P38" s="32">
        <f t="array" ref="P38">IFNA(XLOOKUP(K38,'⚙️ Pengaturan'!$E$2:$E800,'⚙️ Pengaturan'!$F$2:$F800),"")</f>
        <v>1200000</v>
      </c>
      <c r="Q38" s="33">
        <f t="shared" si="4"/>
        <v>-700000</v>
      </c>
      <c r="R38" s="26" t="s">
        <v>33</v>
      </c>
      <c r="S38" s="38" t="s">
        <v>34</v>
      </c>
      <c r="T38" s="35" t="b">
        <v>1</v>
      </c>
      <c r="U38" s="36"/>
    </row>
    <row r="39" ht="30.0" customHeight="1">
      <c r="A39" s="24"/>
      <c r="B39" s="25">
        <v>2144.0</v>
      </c>
      <c r="C39" s="26" t="s">
        <v>21</v>
      </c>
      <c r="D39" s="27">
        <v>46027.0</v>
      </c>
      <c r="E39" s="28" t="str">
        <f t="shared" si="1"/>
        <v>2026</v>
      </c>
      <c r="F39" s="28" t="str">
        <f t="shared" si="2"/>
        <v>01 Jan</v>
      </c>
      <c r="G39" s="29" t="s">
        <v>22</v>
      </c>
      <c r="H39" s="29" t="s">
        <v>35</v>
      </c>
      <c r="I39" s="29" t="s">
        <v>88</v>
      </c>
      <c r="J39" s="26" t="s">
        <v>25</v>
      </c>
      <c r="K39" s="26" t="s">
        <v>26</v>
      </c>
      <c r="L39" s="28" t="str">
        <f t="shared" si="3"/>
        <v>TA KLINIK</v>
      </c>
      <c r="M39" s="26" t="s">
        <v>27</v>
      </c>
      <c r="N39" s="30">
        <v>250000.0</v>
      </c>
      <c r="O39" s="31">
        <v>0.0</v>
      </c>
      <c r="P39" s="32">
        <f t="array" ref="P39">IFNA(XLOOKUP(K39,'⚙️ Pengaturan'!$E$2:$E800,'⚙️ Pengaturan'!$F$2:$F800),"")</f>
        <v>250000</v>
      </c>
      <c r="Q39" s="33">
        <f t="shared" si="4"/>
        <v>0</v>
      </c>
      <c r="R39" s="26" t="s">
        <v>33</v>
      </c>
      <c r="S39" s="38" t="s">
        <v>34</v>
      </c>
      <c r="T39" s="35" t="b">
        <v>1</v>
      </c>
      <c r="U39" s="36"/>
    </row>
    <row r="40" ht="30.0" customHeight="1">
      <c r="A40" s="24"/>
      <c r="B40" s="25">
        <v>2145.0</v>
      </c>
      <c r="C40" s="26" t="s">
        <v>21</v>
      </c>
      <c r="D40" s="27">
        <v>46027.0</v>
      </c>
      <c r="E40" s="28" t="str">
        <f t="shared" si="1"/>
        <v>2026</v>
      </c>
      <c r="F40" s="28" t="str">
        <f t="shared" si="2"/>
        <v>01 Jan</v>
      </c>
      <c r="G40" s="29" t="s">
        <v>89</v>
      </c>
      <c r="H40" s="29" t="s">
        <v>51</v>
      </c>
      <c r="I40" s="29" t="s">
        <v>90</v>
      </c>
      <c r="J40" s="37"/>
      <c r="K40" s="26" t="s">
        <v>39</v>
      </c>
      <c r="L40" s="28" t="str">
        <f t="shared" si="3"/>
        <v>PAKET KLINIK</v>
      </c>
      <c r="M40" s="26" t="s">
        <v>86</v>
      </c>
      <c r="N40" s="30">
        <v>200000.0</v>
      </c>
      <c r="O40" s="31">
        <v>0.0</v>
      </c>
      <c r="P40" s="32">
        <f t="array" ref="P40">IFNA(XLOOKUP(K40,'⚙️ Pengaturan'!$E$2:$E800,'⚙️ Pengaturan'!$F$2:$F800),"")</f>
        <v>650000</v>
      </c>
      <c r="Q40" s="33">
        <f t="shared" si="4"/>
        <v>-450000</v>
      </c>
      <c r="R40" s="26" t="s">
        <v>33</v>
      </c>
      <c r="S40" s="38" t="s">
        <v>34</v>
      </c>
      <c r="T40" s="35" t="b">
        <v>1</v>
      </c>
      <c r="U40" s="36"/>
    </row>
    <row r="41" ht="30.0" customHeight="1">
      <c r="A41" s="24"/>
      <c r="B41" s="25">
        <v>2146.0</v>
      </c>
      <c r="C41" s="26" t="s">
        <v>40</v>
      </c>
      <c r="D41" s="27">
        <v>46027.0</v>
      </c>
      <c r="E41" s="28" t="str">
        <f t="shared" si="1"/>
        <v>2026</v>
      </c>
      <c r="F41" s="28" t="str">
        <f t="shared" si="2"/>
        <v>01 Jan</v>
      </c>
      <c r="G41" s="29" t="s">
        <v>37</v>
      </c>
      <c r="H41" s="29" t="s">
        <v>70</v>
      </c>
      <c r="I41" s="29" t="s">
        <v>71</v>
      </c>
      <c r="J41" s="37"/>
      <c r="K41" s="26" t="s">
        <v>39</v>
      </c>
      <c r="L41" s="28" t="str">
        <f t="shared" si="3"/>
        <v>PAKET KLINIK</v>
      </c>
      <c r="M41" s="26" t="s">
        <v>27</v>
      </c>
      <c r="N41" s="30">
        <v>650000.0</v>
      </c>
      <c r="O41" s="31">
        <v>0.0</v>
      </c>
      <c r="P41" s="32">
        <f t="array" ref="P41">IFNA(XLOOKUP(K41,'⚙️ Pengaturan'!$E$2:$E800,'⚙️ Pengaturan'!$F$2:$F800),"")</f>
        <v>650000</v>
      </c>
      <c r="Q41" s="33">
        <f t="shared" si="4"/>
        <v>0</v>
      </c>
      <c r="R41" s="26" t="s">
        <v>28</v>
      </c>
      <c r="S41" s="38" t="s">
        <v>91</v>
      </c>
      <c r="T41" s="35" t="b">
        <v>1</v>
      </c>
      <c r="U41" s="36"/>
    </row>
    <row r="42" ht="30.0" customHeight="1">
      <c r="A42" s="24"/>
      <c r="B42" s="25">
        <v>2147.0</v>
      </c>
      <c r="C42" s="26" t="s">
        <v>40</v>
      </c>
      <c r="D42" s="27">
        <v>46027.0</v>
      </c>
      <c r="E42" s="28" t="str">
        <f t="shared" si="1"/>
        <v>2026</v>
      </c>
      <c r="F42" s="28" t="str">
        <f t="shared" si="2"/>
        <v>01 Jan</v>
      </c>
      <c r="G42" s="29" t="s">
        <v>46</v>
      </c>
      <c r="H42" s="29" t="s">
        <v>48</v>
      </c>
      <c r="I42" s="29" t="s">
        <v>64</v>
      </c>
      <c r="J42" s="37"/>
      <c r="K42" s="26" t="s">
        <v>92</v>
      </c>
      <c r="L42" s="28" t="str">
        <f t="shared" si="3"/>
        <v>SESI VISIT</v>
      </c>
      <c r="M42" s="26" t="s">
        <v>27</v>
      </c>
      <c r="N42" s="30">
        <v>200000.0</v>
      </c>
      <c r="O42" s="31">
        <v>0.0</v>
      </c>
      <c r="P42" s="32">
        <f t="array" ref="P42">IFNA(XLOOKUP(K42,'⚙️ Pengaturan'!$E$2:$E800,'⚙️ Pengaturan'!$F$2:$F800),"")</f>
        <v>200000</v>
      </c>
      <c r="Q42" s="33">
        <f t="shared" si="4"/>
        <v>0</v>
      </c>
      <c r="R42" s="26" t="s">
        <v>28</v>
      </c>
      <c r="S42" s="38" t="s">
        <v>64</v>
      </c>
      <c r="T42" s="35" t="b">
        <v>1</v>
      </c>
      <c r="U42" s="36"/>
    </row>
    <row r="43" ht="30.0" customHeight="1">
      <c r="A43" s="24"/>
      <c r="B43" s="25">
        <v>2148.0</v>
      </c>
      <c r="C43" s="26" t="s">
        <v>40</v>
      </c>
      <c r="D43" s="27">
        <v>46027.0</v>
      </c>
      <c r="E43" s="28" t="str">
        <f t="shared" si="1"/>
        <v>2026</v>
      </c>
      <c r="F43" s="28" t="str">
        <f t="shared" si="2"/>
        <v>01 Jan</v>
      </c>
      <c r="G43" s="29" t="s">
        <v>46</v>
      </c>
      <c r="H43" s="29" t="s">
        <v>58</v>
      </c>
      <c r="I43" s="29" t="s">
        <v>93</v>
      </c>
      <c r="J43" s="26" t="s">
        <v>25</v>
      </c>
      <c r="K43" s="26" t="s">
        <v>73</v>
      </c>
      <c r="L43" s="28" t="str">
        <f t="shared" si="3"/>
        <v>TA VISIT</v>
      </c>
      <c r="M43" s="26" t="s">
        <v>27</v>
      </c>
      <c r="N43" s="30">
        <v>350000.0</v>
      </c>
      <c r="O43" s="31">
        <v>0.0</v>
      </c>
      <c r="P43" s="32">
        <f t="array" ref="P43">IFNA(XLOOKUP(K43,'⚙️ Pengaturan'!$E$2:$E800,'⚙️ Pengaturan'!$F$2:$F800),"")</f>
        <v>350000</v>
      </c>
      <c r="Q43" s="33">
        <f t="shared" si="4"/>
        <v>0</v>
      </c>
      <c r="R43" s="26" t="s">
        <v>28</v>
      </c>
      <c r="S43" s="38" t="s">
        <v>94</v>
      </c>
      <c r="T43" s="35" t="b">
        <v>1</v>
      </c>
      <c r="U43" s="36"/>
    </row>
    <row r="44" ht="30.0" customHeight="1">
      <c r="A44" s="24"/>
      <c r="B44" s="25">
        <v>2149.0</v>
      </c>
      <c r="C44" s="26" t="s">
        <v>40</v>
      </c>
      <c r="D44" s="27">
        <v>46027.0</v>
      </c>
      <c r="E44" s="28" t="str">
        <f t="shared" si="1"/>
        <v>2026</v>
      </c>
      <c r="F44" s="28" t="str">
        <f t="shared" si="2"/>
        <v>01 Jan</v>
      </c>
      <c r="G44" s="29" t="s">
        <v>46</v>
      </c>
      <c r="H44" s="29" t="s">
        <v>30</v>
      </c>
      <c r="I44" s="29" t="s">
        <v>54</v>
      </c>
      <c r="J44" s="37"/>
      <c r="K44" s="26" t="s">
        <v>32</v>
      </c>
      <c r="L44" s="28" t="str">
        <f t="shared" si="3"/>
        <v>SESI KLINIK</v>
      </c>
      <c r="M44" s="26" t="s">
        <v>27</v>
      </c>
      <c r="N44" s="30">
        <v>150000.0</v>
      </c>
      <c r="O44" s="31">
        <v>0.0</v>
      </c>
      <c r="P44" s="32">
        <f t="array" ref="P44">IFNA(XLOOKUP(K44,'⚙️ Pengaturan'!$E$2:$E800,'⚙️ Pengaturan'!$F$2:$F800),"")</f>
        <v>150000</v>
      </c>
      <c r="Q44" s="33">
        <f t="shared" si="4"/>
        <v>0</v>
      </c>
      <c r="R44" s="26" t="s">
        <v>33</v>
      </c>
      <c r="S44" s="38" t="s">
        <v>34</v>
      </c>
      <c r="T44" s="35" t="b">
        <v>1</v>
      </c>
      <c r="U44" s="36"/>
    </row>
    <row r="45" ht="30.0" customHeight="1">
      <c r="A45" s="24"/>
      <c r="B45" s="25">
        <v>2150.0</v>
      </c>
      <c r="C45" s="26" t="s">
        <v>40</v>
      </c>
      <c r="D45" s="27">
        <v>46027.0</v>
      </c>
      <c r="E45" s="28" t="str">
        <f t="shared" si="1"/>
        <v>2026</v>
      </c>
      <c r="F45" s="28" t="str">
        <f t="shared" si="2"/>
        <v>01 Jan</v>
      </c>
      <c r="G45" s="29" t="s">
        <v>46</v>
      </c>
      <c r="H45" s="29" t="s">
        <v>70</v>
      </c>
      <c r="I45" s="29" t="s">
        <v>55</v>
      </c>
      <c r="J45" s="37"/>
      <c r="K45" s="26" t="s">
        <v>32</v>
      </c>
      <c r="L45" s="28" t="str">
        <f t="shared" si="3"/>
        <v>SESI KLINIK</v>
      </c>
      <c r="M45" s="26" t="s">
        <v>27</v>
      </c>
      <c r="N45" s="30">
        <v>150000.0</v>
      </c>
      <c r="O45" s="31">
        <v>0.0</v>
      </c>
      <c r="P45" s="32">
        <f t="array" ref="P45">IFNA(XLOOKUP(K45,'⚙️ Pengaturan'!$E$2:$E800,'⚙️ Pengaturan'!$F$2:$F800),"")</f>
        <v>150000</v>
      </c>
      <c r="Q45" s="33">
        <f t="shared" si="4"/>
        <v>0</v>
      </c>
      <c r="R45" s="26" t="s">
        <v>33</v>
      </c>
      <c r="S45" s="38" t="s">
        <v>34</v>
      </c>
      <c r="T45" s="35" t="b">
        <v>1</v>
      </c>
      <c r="U45" s="36"/>
    </row>
    <row r="46" ht="30.0" customHeight="1">
      <c r="A46" s="24"/>
      <c r="B46" s="25">
        <v>2151.0</v>
      </c>
      <c r="C46" s="26" t="s">
        <v>40</v>
      </c>
      <c r="D46" s="27">
        <v>46027.0</v>
      </c>
      <c r="E46" s="28" t="str">
        <f t="shared" si="1"/>
        <v>2026</v>
      </c>
      <c r="F46" s="28" t="str">
        <f t="shared" si="2"/>
        <v>01 Jan</v>
      </c>
      <c r="G46" s="29" t="s">
        <v>41</v>
      </c>
      <c r="H46" s="29" t="s">
        <v>30</v>
      </c>
      <c r="I46" s="29" t="s">
        <v>54</v>
      </c>
      <c r="J46" s="37"/>
      <c r="K46" s="26" t="s">
        <v>32</v>
      </c>
      <c r="L46" s="28" t="str">
        <f t="shared" si="3"/>
        <v>SESI KLINIK</v>
      </c>
      <c r="M46" s="26" t="s">
        <v>27</v>
      </c>
      <c r="N46" s="30">
        <v>150000.0</v>
      </c>
      <c r="O46" s="31">
        <v>0.0</v>
      </c>
      <c r="P46" s="32">
        <f t="array" ref="P46">IFNA(XLOOKUP(K46,'⚙️ Pengaturan'!$E$2:$E800,'⚙️ Pengaturan'!$F$2:$F800),"")</f>
        <v>150000</v>
      </c>
      <c r="Q46" s="33">
        <f t="shared" si="4"/>
        <v>0</v>
      </c>
      <c r="R46" s="26" t="s">
        <v>33</v>
      </c>
      <c r="S46" s="38" t="s">
        <v>34</v>
      </c>
      <c r="T46" s="35" t="b">
        <v>1</v>
      </c>
      <c r="U46" s="36"/>
    </row>
    <row r="47" ht="30.0" customHeight="1">
      <c r="A47" s="24"/>
      <c r="B47" s="25">
        <v>2152.0</v>
      </c>
      <c r="C47" s="26" t="s">
        <v>40</v>
      </c>
      <c r="D47" s="27">
        <v>46027.0</v>
      </c>
      <c r="E47" s="28" t="str">
        <f t="shared" si="1"/>
        <v>2026</v>
      </c>
      <c r="F47" s="28" t="str">
        <f t="shared" si="2"/>
        <v>01 Jan</v>
      </c>
      <c r="G47" s="29" t="s">
        <v>41</v>
      </c>
      <c r="H47" s="29" t="s">
        <v>70</v>
      </c>
      <c r="I47" s="29" t="s">
        <v>55</v>
      </c>
      <c r="J47" s="37"/>
      <c r="K47" s="26" t="s">
        <v>32</v>
      </c>
      <c r="L47" s="28" t="str">
        <f t="shared" si="3"/>
        <v>SESI KLINIK</v>
      </c>
      <c r="M47" s="26" t="s">
        <v>27</v>
      </c>
      <c r="N47" s="30">
        <v>150000.0</v>
      </c>
      <c r="O47" s="31">
        <v>0.0</v>
      </c>
      <c r="P47" s="32">
        <f t="array" ref="P47">IFNA(XLOOKUP(K47,'⚙️ Pengaturan'!$E$2:$E800,'⚙️ Pengaturan'!$F$2:$F800),"")</f>
        <v>150000</v>
      </c>
      <c r="Q47" s="33">
        <f t="shared" si="4"/>
        <v>0</v>
      </c>
      <c r="R47" s="26" t="s">
        <v>33</v>
      </c>
      <c r="S47" s="38" t="s">
        <v>34</v>
      </c>
      <c r="T47" s="35" t="b">
        <v>1</v>
      </c>
      <c r="U47" s="36"/>
    </row>
    <row r="48" ht="30.0" customHeight="1">
      <c r="A48" s="24"/>
      <c r="B48" s="25">
        <v>2153.0</v>
      </c>
      <c r="C48" s="26" t="s">
        <v>40</v>
      </c>
      <c r="D48" s="27">
        <v>46027.0</v>
      </c>
      <c r="E48" s="28" t="str">
        <f t="shared" si="1"/>
        <v>2026</v>
      </c>
      <c r="F48" s="28" t="str">
        <f t="shared" si="2"/>
        <v>01 Jan</v>
      </c>
      <c r="G48" s="29" t="s">
        <v>41</v>
      </c>
      <c r="H48" s="29" t="s">
        <v>23</v>
      </c>
      <c r="I48" s="29" t="s">
        <v>24</v>
      </c>
      <c r="J48" s="37"/>
      <c r="K48" s="26" t="s">
        <v>32</v>
      </c>
      <c r="L48" s="28" t="str">
        <f t="shared" si="3"/>
        <v>SESI KLINIK</v>
      </c>
      <c r="M48" s="26" t="s">
        <v>27</v>
      </c>
      <c r="N48" s="30">
        <v>150000.0</v>
      </c>
      <c r="O48" s="31">
        <v>0.0</v>
      </c>
      <c r="P48" s="32">
        <f t="array" ref="P48">IFNA(XLOOKUP(K48,'⚙️ Pengaturan'!$E$2:$E800,'⚙️ Pengaturan'!$F$2:$F800),"")</f>
        <v>150000</v>
      </c>
      <c r="Q48" s="33">
        <f t="shared" si="4"/>
        <v>0</v>
      </c>
      <c r="R48" s="26" t="s">
        <v>28</v>
      </c>
      <c r="S48" s="38" t="s">
        <v>24</v>
      </c>
      <c r="T48" s="35" t="b">
        <v>1</v>
      </c>
      <c r="U48" s="36"/>
    </row>
    <row r="49" ht="30.0" customHeight="1">
      <c r="A49" s="24"/>
      <c r="B49" s="25">
        <v>2154.0</v>
      </c>
      <c r="C49" s="26" t="s">
        <v>40</v>
      </c>
      <c r="D49" s="27">
        <v>46027.0</v>
      </c>
      <c r="E49" s="28" t="str">
        <f t="shared" si="1"/>
        <v>2026</v>
      </c>
      <c r="F49" s="28" t="str">
        <f t="shared" si="2"/>
        <v>01 Jan</v>
      </c>
      <c r="G49" s="29" t="s">
        <v>95</v>
      </c>
      <c r="H49" s="29" t="s">
        <v>70</v>
      </c>
      <c r="I49" s="29" t="s">
        <v>96</v>
      </c>
      <c r="J49" s="37"/>
      <c r="K49" s="26" t="s">
        <v>39</v>
      </c>
      <c r="L49" s="28" t="str">
        <f t="shared" si="3"/>
        <v>PAKET KLINIK</v>
      </c>
      <c r="M49" s="26" t="s">
        <v>86</v>
      </c>
      <c r="N49" s="30">
        <v>200000.0</v>
      </c>
      <c r="O49" s="31">
        <v>0.0</v>
      </c>
      <c r="P49" s="32">
        <f t="array" ref="P49">IFNA(XLOOKUP(K49,'⚙️ Pengaturan'!$E$2:$E800,'⚙️ Pengaturan'!$F$2:$F800),"")</f>
        <v>650000</v>
      </c>
      <c r="Q49" s="33">
        <f t="shared" si="4"/>
        <v>-450000</v>
      </c>
      <c r="R49" s="26" t="s">
        <v>28</v>
      </c>
      <c r="S49" s="38" t="s">
        <v>96</v>
      </c>
      <c r="T49" s="35" t="b">
        <v>1</v>
      </c>
      <c r="U49" s="36"/>
    </row>
    <row r="50" ht="30.0" customHeight="1">
      <c r="A50" s="24"/>
      <c r="B50" s="25">
        <v>2155.0</v>
      </c>
      <c r="C50" s="26" t="s">
        <v>40</v>
      </c>
      <c r="D50" s="27">
        <v>46027.0</v>
      </c>
      <c r="E50" s="28" t="str">
        <f t="shared" si="1"/>
        <v>2026</v>
      </c>
      <c r="F50" s="28" t="str">
        <f t="shared" si="2"/>
        <v>01 Jan</v>
      </c>
      <c r="G50" s="29" t="s">
        <v>56</v>
      </c>
      <c r="H50" s="29" t="s">
        <v>68</v>
      </c>
      <c r="I50" s="29" t="s">
        <v>97</v>
      </c>
      <c r="J50" s="26" t="s">
        <v>25</v>
      </c>
      <c r="K50" s="26" t="s">
        <v>26</v>
      </c>
      <c r="L50" s="28" t="str">
        <f t="shared" si="3"/>
        <v>TA KLINIK</v>
      </c>
      <c r="M50" s="26" t="s">
        <v>27</v>
      </c>
      <c r="N50" s="30">
        <v>250000.0</v>
      </c>
      <c r="O50" s="31">
        <v>0.0</v>
      </c>
      <c r="P50" s="32">
        <f t="array" ref="P50">IFNA(XLOOKUP(K50,'⚙️ Pengaturan'!$E$2:$E800,'⚙️ Pengaturan'!$F$2:$F800),"")</f>
        <v>250000</v>
      </c>
      <c r="Q50" s="33">
        <f t="shared" si="4"/>
        <v>0</v>
      </c>
      <c r="R50" s="26" t="s">
        <v>33</v>
      </c>
      <c r="S50" s="38" t="s">
        <v>34</v>
      </c>
      <c r="T50" s="35" t="b">
        <v>1</v>
      </c>
      <c r="U50" s="36"/>
    </row>
    <row r="51" ht="30.0" customHeight="1">
      <c r="A51" s="24"/>
      <c r="B51" s="25">
        <v>2156.0</v>
      </c>
      <c r="C51" s="26" t="s">
        <v>40</v>
      </c>
      <c r="D51" s="27">
        <v>46027.0</v>
      </c>
      <c r="E51" s="28" t="str">
        <f t="shared" si="1"/>
        <v>2026</v>
      </c>
      <c r="F51" s="28" t="str">
        <f t="shared" si="2"/>
        <v>01 Jan</v>
      </c>
      <c r="G51" s="29" t="s">
        <v>56</v>
      </c>
      <c r="H51" s="29" t="s">
        <v>70</v>
      </c>
      <c r="I51" s="29" t="s">
        <v>98</v>
      </c>
      <c r="J51" s="26" t="s">
        <v>25</v>
      </c>
      <c r="K51" s="26" t="s">
        <v>26</v>
      </c>
      <c r="L51" s="28" t="str">
        <f t="shared" si="3"/>
        <v>TA KLINIK</v>
      </c>
      <c r="M51" s="26" t="s">
        <v>27</v>
      </c>
      <c r="N51" s="30">
        <v>250000.0</v>
      </c>
      <c r="O51" s="31">
        <v>0.0</v>
      </c>
      <c r="P51" s="32">
        <f t="array" ref="P51">IFNA(XLOOKUP(K51,'⚙️ Pengaturan'!$E$2:$E800,'⚙️ Pengaturan'!$F$2:$F800),"")</f>
        <v>250000</v>
      </c>
      <c r="Q51" s="33">
        <f t="shared" si="4"/>
        <v>0</v>
      </c>
      <c r="R51" s="26" t="s">
        <v>28</v>
      </c>
      <c r="S51" s="38" t="s">
        <v>99</v>
      </c>
      <c r="T51" s="35" t="b">
        <v>1</v>
      </c>
      <c r="U51" s="36"/>
    </row>
    <row r="52" ht="30.0" customHeight="1">
      <c r="A52" s="24"/>
      <c r="B52" s="25">
        <v>2157.0</v>
      </c>
      <c r="C52" s="26" t="s">
        <v>40</v>
      </c>
      <c r="D52" s="27">
        <v>46027.0</v>
      </c>
      <c r="E52" s="28" t="str">
        <f t="shared" si="1"/>
        <v>2026</v>
      </c>
      <c r="F52" s="28" t="str">
        <f t="shared" si="2"/>
        <v>01 Jan</v>
      </c>
      <c r="G52" s="29" t="s">
        <v>56</v>
      </c>
      <c r="H52" s="29" t="s">
        <v>70</v>
      </c>
      <c r="I52" s="29" t="s">
        <v>98</v>
      </c>
      <c r="J52" s="37"/>
      <c r="K52" s="26" t="s">
        <v>39</v>
      </c>
      <c r="L52" s="28" t="str">
        <f t="shared" si="3"/>
        <v>PAKET KLINIK</v>
      </c>
      <c r="M52" s="26" t="s">
        <v>27</v>
      </c>
      <c r="N52" s="30">
        <v>650000.0</v>
      </c>
      <c r="O52" s="31">
        <v>0.0</v>
      </c>
      <c r="P52" s="32">
        <f t="array" ref="P52">IFNA(XLOOKUP(K52,'⚙️ Pengaturan'!$E$2:$E800,'⚙️ Pengaturan'!$F$2:$F800),"")</f>
        <v>650000</v>
      </c>
      <c r="Q52" s="33">
        <f t="shared" si="4"/>
        <v>0</v>
      </c>
      <c r="R52" s="26" t="s">
        <v>28</v>
      </c>
      <c r="S52" s="38" t="s">
        <v>99</v>
      </c>
      <c r="T52" s="35" t="b">
        <v>1</v>
      </c>
      <c r="U52" s="36"/>
    </row>
    <row r="53" ht="30.0" customHeight="1">
      <c r="A53" s="24"/>
      <c r="B53" s="25">
        <v>2158.0</v>
      </c>
      <c r="C53" s="26" t="s">
        <v>40</v>
      </c>
      <c r="D53" s="27">
        <v>46027.0</v>
      </c>
      <c r="E53" s="28" t="str">
        <f t="shared" si="1"/>
        <v>2026</v>
      </c>
      <c r="F53" s="28" t="str">
        <f t="shared" si="2"/>
        <v>01 Jan</v>
      </c>
      <c r="G53" s="29" t="s">
        <v>56</v>
      </c>
      <c r="H53" s="29" t="s">
        <v>30</v>
      </c>
      <c r="I53" s="29" t="s">
        <v>100</v>
      </c>
      <c r="J53" s="26" t="s">
        <v>76</v>
      </c>
      <c r="K53" s="26" t="s">
        <v>39</v>
      </c>
      <c r="L53" s="28" t="str">
        <f t="shared" si="3"/>
        <v>PAKET KLINIK</v>
      </c>
      <c r="M53" s="26" t="s">
        <v>27</v>
      </c>
      <c r="N53" s="30">
        <v>650000.0</v>
      </c>
      <c r="O53" s="31">
        <v>0.0</v>
      </c>
      <c r="P53" s="32">
        <f t="array" ref="P53">IFNA(XLOOKUP(K53,'⚙️ Pengaturan'!$E$2:$E800,'⚙️ Pengaturan'!$F$2:$F800),"")</f>
        <v>650000</v>
      </c>
      <c r="Q53" s="33">
        <f t="shared" si="4"/>
        <v>0</v>
      </c>
      <c r="R53" s="26" t="s">
        <v>28</v>
      </c>
      <c r="S53" s="38" t="s">
        <v>99</v>
      </c>
      <c r="T53" s="35" t="b">
        <v>1</v>
      </c>
      <c r="U53" s="36"/>
    </row>
    <row r="54" ht="30.0" customHeight="1">
      <c r="A54" s="24"/>
      <c r="B54" s="25">
        <v>2159.0</v>
      </c>
      <c r="C54" s="26" t="s">
        <v>40</v>
      </c>
      <c r="D54" s="27">
        <v>46028.0</v>
      </c>
      <c r="E54" s="28" t="str">
        <f t="shared" si="1"/>
        <v>2026</v>
      </c>
      <c r="F54" s="28" t="str">
        <f t="shared" si="2"/>
        <v>01 Jan</v>
      </c>
      <c r="G54" s="29" t="s">
        <v>101</v>
      </c>
      <c r="H54" s="29" t="s">
        <v>30</v>
      </c>
      <c r="I54" s="29" t="s">
        <v>102</v>
      </c>
      <c r="J54" s="26" t="s">
        <v>25</v>
      </c>
      <c r="K54" s="26" t="s">
        <v>26</v>
      </c>
      <c r="L54" s="28" t="str">
        <f t="shared" si="3"/>
        <v>TA KLINIK</v>
      </c>
      <c r="M54" s="26" t="s">
        <v>27</v>
      </c>
      <c r="N54" s="30">
        <v>250000.0</v>
      </c>
      <c r="O54" s="31">
        <v>0.0</v>
      </c>
      <c r="P54" s="32">
        <f t="array" ref="P54">IFNA(XLOOKUP(K54,'⚙️ Pengaturan'!$E$2:$E800,'⚙️ Pengaturan'!$F$2:$F800),"")</f>
        <v>250000</v>
      </c>
      <c r="Q54" s="33">
        <f t="shared" si="4"/>
        <v>0</v>
      </c>
      <c r="R54" s="26" t="s">
        <v>28</v>
      </c>
      <c r="S54" s="38" t="s">
        <v>102</v>
      </c>
      <c r="T54" s="35" t="b">
        <v>1</v>
      </c>
      <c r="U54" s="36"/>
    </row>
    <row r="55" ht="30.0" customHeight="1">
      <c r="A55" s="24"/>
      <c r="B55" s="25">
        <v>2160.0</v>
      </c>
      <c r="C55" s="26" t="s">
        <v>40</v>
      </c>
      <c r="D55" s="27">
        <v>46028.0</v>
      </c>
      <c r="E55" s="28" t="str">
        <f t="shared" si="1"/>
        <v>2026</v>
      </c>
      <c r="F55" s="28" t="str">
        <f t="shared" si="2"/>
        <v>01 Jan</v>
      </c>
      <c r="G55" s="29" t="s">
        <v>67</v>
      </c>
      <c r="H55" s="29" t="s">
        <v>30</v>
      </c>
      <c r="I55" s="29" t="s">
        <v>102</v>
      </c>
      <c r="J55" s="37"/>
      <c r="K55" s="26" t="s">
        <v>44</v>
      </c>
      <c r="L55" s="28" t="str">
        <f t="shared" si="3"/>
        <v>PAKET KLINIK</v>
      </c>
      <c r="M55" s="26" t="s">
        <v>27</v>
      </c>
      <c r="N55" s="30">
        <v>1200000.0</v>
      </c>
      <c r="O55" s="31">
        <v>0.0</v>
      </c>
      <c r="P55" s="32">
        <f t="array" ref="P55">IFNA(XLOOKUP(K55,'⚙️ Pengaturan'!$E$2:$E800,'⚙️ Pengaturan'!$F$2:$F800),"")</f>
        <v>1200000</v>
      </c>
      <c r="Q55" s="33">
        <f t="shared" si="4"/>
        <v>0</v>
      </c>
      <c r="R55" s="26" t="s">
        <v>28</v>
      </c>
      <c r="S55" s="38" t="s">
        <v>102</v>
      </c>
      <c r="T55" s="35" t="b">
        <v>1</v>
      </c>
      <c r="U55" s="36"/>
    </row>
    <row r="56" ht="30.0" customHeight="1">
      <c r="A56" s="24"/>
      <c r="B56" s="25">
        <v>2161.0</v>
      </c>
      <c r="C56" s="26" t="s">
        <v>40</v>
      </c>
      <c r="D56" s="27">
        <v>46028.0</v>
      </c>
      <c r="E56" s="28" t="str">
        <f t="shared" si="1"/>
        <v>2026</v>
      </c>
      <c r="F56" s="28" t="str">
        <f t="shared" si="2"/>
        <v>01 Jan</v>
      </c>
      <c r="G56" s="29" t="s">
        <v>67</v>
      </c>
      <c r="H56" s="29" t="s">
        <v>30</v>
      </c>
      <c r="I56" s="29" t="s">
        <v>103</v>
      </c>
      <c r="J56" s="26" t="s">
        <v>25</v>
      </c>
      <c r="K56" s="26" t="s">
        <v>26</v>
      </c>
      <c r="L56" s="28" t="str">
        <f t="shared" si="3"/>
        <v>TA KLINIK</v>
      </c>
      <c r="M56" s="26" t="s">
        <v>27</v>
      </c>
      <c r="N56" s="30">
        <v>250000.0</v>
      </c>
      <c r="O56" s="31">
        <v>0.0</v>
      </c>
      <c r="P56" s="32">
        <f t="array" ref="P56">IFNA(XLOOKUP(K56,'⚙️ Pengaturan'!$E$2:$E800,'⚙️ Pengaturan'!$F$2:$F800),"")</f>
        <v>250000</v>
      </c>
      <c r="Q56" s="33">
        <f t="shared" si="4"/>
        <v>0</v>
      </c>
      <c r="R56" s="26" t="s">
        <v>33</v>
      </c>
      <c r="S56" s="38" t="s">
        <v>34</v>
      </c>
      <c r="T56" s="35" t="b">
        <v>1</v>
      </c>
      <c r="U56" s="36"/>
    </row>
    <row r="57" ht="30.0" customHeight="1">
      <c r="A57" s="24"/>
      <c r="B57" s="25">
        <v>2162.0</v>
      </c>
      <c r="C57" s="26" t="s">
        <v>40</v>
      </c>
      <c r="D57" s="27">
        <v>46028.0</v>
      </c>
      <c r="E57" s="28" t="str">
        <f t="shared" si="1"/>
        <v>2026</v>
      </c>
      <c r="F57" s="28" t="str">
        <f t="shared" si="2"/>
        <v>01 Jan</v>
      </c>
      <c r="G57" s="29" t="s">
        <v>67</v>
      </c>
      <c r="H57" s="29" t="s">
        <v>23</v>
      </c>
      <c r="I57" s="29" t="s">
        <v>104</v>
      </c>
      <c r="J57" s="37"/>
      <c r="K57" s="26" t="s">
        <v>32</v>
      </c>
      <c r="L57" s="28" t="str">
        <f t="shared" si="3"/>
        <v>SESI KLINIK</v>
      </c>
      <c r="M57" s="26" t="s">
        <v>27</v>
      </c>
      <c r="N57" s="30">
        <v>150000.0</v>
      </c>
      <c r="O57" s="31">
        <v>0.0</v>
      </c>
      <c r="P57" s="32">
        <f t="array" ref="P57">IFNA(XLOOKUP(K57,'⚙️ Pengaturan'!$E$2:$E800,'⚙️ Pengaturan'!$F$2:$F800),"")</f>
        <v>150000</v>
      </c>
      <c r="Q57" s="33">
        <f t="shared" si="4"/>
        <v>0</v>
      </c>
      <c r="R57" s="26" t="s">
        <v>28</v>
      </c>
      <c r="S57" s="38" t="s">
        <v>104</v>
      </c>
      <c r="T57" s="35" t="b">
        <v>1</v>
      </c>
      <c r="U57" s="36"/>
    </row>
    <row r="58" ht="30.0" customHeight="1">
      <c r="A58" s="24"/>
      <c r="B58" s="25">
        <v>2163.0</v>
      </c>
      <c r="C58" s="26" t="s">
        <v>40</v>
      </c>
      <c r="D58" s="27">
        <v>46028.0</v>
      </c>
      <c r="E58" s="28" t="str">
        <f t="shared" si="1"/>
        <v>2026</v>
      </c>
      <c r="F58" s="28" t="str">
        <f t="shared" si="2"/>
        <v>01 Jan</v>
      </c>
      <c r="G58" s="29" t="s">
        <v>67</v>
      </c>
      <c r="H58" s="29" t="s">
        <v>68</v>
      </c>
      <c r="I58" s="29" t="s">
        <v>105</v>
      </c>
      <c r="J58" s="26" t="s">
        <v>25</v>
      </c>
      <c r="K58" s="26" t="s">
        <v>26</v>
      </c>
      <c r="L58" s="28" t="str">
        <f t="shared" si="3"/>
        <v>TA KLINIK</v>
      </c>
      <c r="M58" s="26" t="s">
        <v>27</v>
      </c>
      <c r="N58" s="30">
        <v>250000.0</v>
      </c>
      <c r="O58" s="31">
        <v>0.0</v>
      </c>
      <c r="P58" s="32">
        <f t="array" ref="P58">IFNA(XLOOKUP(K58,'⚙️ Pengaturan'!$E$2:$E800,'⚙️ Pengaturan'!$F$2:$F800),"")</f>
        <v>250000</v>
      </c>
      <c r="Q58" s="33">
        <f t="shared" si="4"/>
        <v>0</v>
      </c>
      <c r="R58" s="26" t="s">
        <v>28</v>
      </c>
      <c r="S58" s="38" t="s">
        <v>106</v>
      </c>
      <c r="T58" s="35" t="b">
        <v>1</v>
      </c>
      <c r="U58" s="36"/>
    </row>
    <row r="59" ht="30.0" customHeight="1">
      <c r="A59" s="24"/>
      <c r="B59" s="25">
        <v>2164.0</v>
      </c>
      <c r="C59" s="26" t="s">
        <v>40</v>
      </c>
      <c r="D59" s="27">
        <v>46028.0</v>
      </c>
      <c r="E59" s="28" t="str">
        <f t="shared" si="1"/>
        <v>2026</v>
      </c>
      <c r="F59" s="28" t="str">
        <f t="shared" si="2"/>
        <v>01 Jan</v>
      </c>
      <c r="G59" s="29" t="s">
        <v>22</v>
      </c>
      <c r="H59" s="29" t="s">
        <v>23</v>
      </c>
      <c r="I59" s="29" t="s">
        <v>107</v>
      </c>
      <c r="J59" s="26" t="s">
        <v>25</v>
      </c>
      <c r="K59" s="26" t="s">
        <v>26</v>
      </c>
      <c r="L59" s="28" t="str">
        <f t="shared" si="3"/>
        <v>TA KLINIK</v>
      </c>
      <c r="M59" s="26" t="s">
        <v>27</v>
      </c>
      <c r="N59" s="30">
        <v>250000.0</v>
      </c>
      <c r="O59" s="31">
        <v>0.0</v>
      </c>
      <c r="P59" s="32">
        <f t="array" ref="P59">IFNA(XLOOKUP(K59,'⚙️ Pengaturan'!$E$2:$E800,'⚙️ Pengaturan'!$F$2:$F800),"")</f>
        <v>250000</v>
      </c>
      <c r="Q59" s="33">
        <f t="shared" si="4"/>
        <v>0</v>
      </c>
      <c r="R59" s="26" t="s">
        <v>28</v>
      </c>
      <c r="S59" s="38" t="s">
        <v>107</v>
      </c>
      <c r="T59" s="35" t="b">
        <v>1</v>
      </c>
      <c r="U59" s="36"/>
    </row>
    <row r="60" ht="30.0" customHeight="1">
      <c r="A60" s="24"/>
      <c r="B60" s="25">
        <v>2165.0</v>
      </c>
      <c r="C60" s="26" t="s">
        <v>40</v>
      </c>
      <c r="D60" s="27">
        <v>46028.0</v>
      </c>
      <c r="E60" s="28" t="str">
        <f t="shared" si="1"/>
        <v>2026</v>
      </c>
      <c r="F60" s="28" t="str">
        <f t="shared" si="2"/>
        <v>01 Jan</v>
      </c>
      <c r="G60" s="29" t="s">
        <v>82</v>
      </c>
      <c r="H60" s="29" t="s">
        <v>23</v>
      </c>
      <c r="I60" s="29" t="s">
        <v>108</v>
      </c>
      <c r="J60" s="26" t="s">
        <v>76</v>
      </c>
      <c r="K60" s="26" t="s">
        <v>32</v>
      </c>
      <c r="L60" s="28" t="str">
        <f t="shared" si="3"/>
        <v>SESI KLINIK</v>
      </c>
      <c r="M60" s="26" t="s">
        <v>27</v>
      </c>
      <c r="N60" s="30">
        <v>150000.0</v>
      </c>
      <c r="O60" s="31">
        <v>0.0</v>
      </c>
      <c r="P60" s="44">
        <v>150000.0</v>
      </c>
      <c r="Q60" s="33">
        <f t="shared" si="4"/>
        <v>0</v>
      </c>
      <c r="R60" s="26" t="s">
        <v>28</v>
      </c>
      <c r="S60" s="38" t="s">
        <v>108</v>
      </c>
      <c r="T60" s="35" t="b">
        <v>1</v>
      </c>
      <c r="U60" s="36"/>
    </row>
    <row r="61" ht="30.0" customHeight="1">
      <c r="A61" s="24"/>
      <c r="B61" s="25">
        <v>2166.0</v>
      </c>
      <c r="C61" s="26" t="s">
        <v>21</v>
      </c>
      <c r="D61" s="27">
        <v>46028.0</v>
      </c>
      <c r="E61" s="28" t="str">
        <f t="shared" si="1"/>
        <v>2026</v>
      </c>
      <c r="F61" s="28" t="str">
        <f t="shared" si="2"/>
        <v>01 Jan</v>
      </c>
      <c r="G61" s="29" t="s">
        <v>41</v>
      </c>
      <c r="H61" s="29" t="s">
        <v>48</v>
      </c>
      <c r="I61" s="29" t="s">
        <v>109</v>
      </c>
      <c r="J61" s="26" t="s">
        <v>25</v>
      </c>
      <c r="K61" s="26" t="s">
        <v>26</v>
      </c>
      <c r="L61" s="28" t="str">
        <f t="shared" si="3"/>
        <v>TA KLINIK</v>
      </c>
      <c r="M61" s="26" t="s">
        <v>27</v>
      </c>
      <c r="N61" s="30">
        <v>250000.0</v>
      </c>
      <c r="O61" s="31">
        <v>0.0</v>
      </c>
      <c r="P61" s="32">
        <f t="array" ref="P61">IFNA(XLOOKUP(K61,'⚙️ Pengaturan'!$E$2:$E800,'⚙️ Pengaturan'!$F$2:$F800),"")</f>
        <v>250000</v>
      </c>
      <c r="Q61" s="33">
        <f t="shared" si="4"/>
        <v>0</v>
      </c>
      <c r="R61" s="26" t="s">
        <v>28</v>
      </c>
      <c r="S61" s="38" t="s">
        <v>110</v>
      </c>
      <c r="T61" s="35" t="b">
        <v>1</v>
      </c>
      <c r="U61" s="36"/>
    </row>
    <row r="62" ht="30.0" customHeight="1">
      <c r="A62" s="24"/>
      <c r="B62" s="25">
        <v>2167.0</v>
      </c>
      <c r="C62" s="26" t="s">
        <v>21</v>
      </c>
      <c r="D62" s="27">
        <v>46028.0</v>
      </c>
      <c r="E62" s="28" t="str">
        <f t="shared" si="1"/>
        <v>2026</v>
      </c>
      <c r="F62" s="28" t="str">
        <f t="shared" si="2"/>
        <v>01 Jan</v>
      </c>
      <c r="G62" s="29" t="s">
        <v>56</v>
      </c>
      <c r="H62" s="29" t="s">
        <v>48</v>
      </c>
      <c r="I62" s="29" t="s">
        <v>49</v>
      </c>
      <c r="J62" s="37"/>
      <c r="K62" s="26" t="s">
        <v>32</v>
      </c>
      <c r="L62" s="28" t="str">
        <f t="shared" si="3"/>
        <v>SESI KLINIK</v>
      </c>
      <c r="M62" s="26" t="s">
        <v>27</v>
      </c>
      <c r="N62" s="30">
        <v>150000.0</v>
      </c>
      <c r="O62" s="31">
        <v>0.0</v>
      </c>
      <c r="P62" s="32">
        <f t="array" ref="P62">IFNA(XLOOKUP(K62,'⚙️ Pengaturan'!$E$2:$E800,'⚙️ Pengaturan'!$F$2:$F800),"")</f>
        <v>150000</v>
      </c>
      <c r="Q62" s="33">
        <f t="shared" si="4"/>
        <v>0</v>
      </c>
      <c r="R62" s="26" t="s">
        <v>28</v>
      </c>
      <c r="S62" s="38" t="s">
        <v>49</v>
      </c>
      <c r="T62" s="35" t="b">
        <v>1</v>
      </c>
      <c r="U62" s="36"/>
    </row>
    <row r="63" ht="30.0" customHeight="1">
      <c r="A63" s="24"/>
      <c r="B63" s="25">
        <v>2168.0</v>
      </c>
      <c r="C63" s="26" t="s">
        <v>21</v>
      </c>
      <c r="D63" s="27">
        <v>46028.0</v>
      </c>
      <c r="E63" s="28" t="str">
        <f t="shared" si="1"/>
        <v>2026</v>
      </c>
      <c r="F63" s="28" t="str">
        <f t="shared" si="2"/>
        <v>01 Jan</v>
      </c>
      <c r="G63" s="29" t="s">
        <v>56</v>
      </c>
      <c r="H63" s="29" t="s">
        <v>51</v>
      </c>
      <c r="I63" s="29" t="s">
        <v>111</v>
      </c>
      <c r="J63" s="26" t="s">
        <v>25</v>
      </c>
      <c r="K63" s="26" t="s">
        <v>26</v>
      </c>
      <c r="L63" s="28" t="str">
        <f t="shared" si="3"/>
        <v>TA KLINIK</v>
      </c>
      <c r="M63" s="26" t="s">
        <v>27</v>
      </c>
      <c r="N63" s="30">
        <v>250000.0</v>
      </c>
      <c r="O63" s="31">
        <v>0.0</v>
      </c>
      <c r="P63" s="32">
        <f t="array" ref="P63">IFNA(XLOOKUP(K63,'⚙️ Pengaturan'!$E$2:$E800,'⚙️ Pengaturan'!$F$2:$F800),"")</f>
        <v>250000</v>
      </c>
      <c r="Q63" s="33">
        <f t="shared" si="4"/>
        <v>0</v>
      </c>
      <c r="R63" s="26" t="s">
        <v>33</v>
      </c>
      <c r="S63" s="38" t="s">
        <v>34</v>
      </c>
      <c r="T63" s="35" t="b">
        <v>1</v>
      </c>
      <c r="U63" s="36"/>
    </row>
    <row r="64" ht="30.0" customHeight="1">
      <c r="A64" s="24"/>
      <c r="B64" s="25">
        <v>2169.0</v>
      </c>
      <c r="C64" s="26" t="s">
        <v>21</v>
      </c>
      <c r="D64" s="27">
        <v>46028.0</v>
      </c>
      <c r="E64" s="28" t="str">
        <f t="shared" si="1"/>
        <v>2026</v>
      </c>
      <c r="F64" s="28" t="str">
        <f t="shared" si="2"/>
        <v>01 Jan</v>
      </c>
      <c r="G64" s="29" t="s">
        <v>56</v>
      </c>
      <c r="H64" s="29" t="s">
        <v>58</v>
      </c>
      <c r="I64" s="29" t="s">
        <v>112</v>
      </c>
      <c r="J64" s="26" t="s">
        <v>25</v>
      </c>
      <c r="K64" s="26" t="s">
        <v>26</v>
      </c>
      <c r="L64" s="28" t="str">
        <f t="shared" si="3"/>
        <v>TA KLINIK</v>
      </c>
      <c r="M64" s="26" t="s">
        <v>27</v>
      </c>
      <c r="N64" s="30">
        <v>250000.0</v>
      </c>
      <c r="O64" s="31">
        <v>0.0</v>
      </c>
      <c r="P64" s="32">
        <f t="array" ref="P64">IFNA(XLOOKUP(K64,'⚙️ Pengaturan'!$E$2:$E800,'⚙️ Pengaturan'!$F$2:$F800),"")</f>
        <v>250000</v>
      </c>
      <c r="Q64" s="33">
        <f t="shared" si="4"/>
        <v>0</v>
      </c>
      <c r="R64" s="26" t="s">
        <v>113</v>
      </c>
      <c r="S64" s="38" t="s">
        <v>114</v>
      </c>
      <c r="T64" s="35" t="b">
        <v>1</v>
      </c>
      <c r="U64" s="36"/>
    </row>
    <row r="65" ht="30.0" customHeight="1">
      <c r="A65" s="24"/>
      <c r="B65" s="25">
        <v>2170.0</v>
      </c>
      <c r="C65" s="26" t="s">
        <v>21</v>
      </c>
      <c r="D65" s="27">
        <v>46028.0</v>
      </c>
      <c r="E65" s="28" t="str">
        <f t="shared" si="1"/>
        <v>2026</v>
      </c>
      <c r="F65" s="28" t="str">
        <f t="shared" si="2"/>
        <v>01 Jan</v>
      </c>
      <c r="G65" s="29" t="s">
        <v>56</v>
      </c>
      <c r="H65" s="29" t="s">
        <v>48</v>
      </c>
      <c r="I65" s="29" t="s">
        <v>115</v>
      </c>
      <c r="J65" s="26" t="s">
        <v>25</v>
      </c>
      <c r="K65" s="26" t="s">
        <v>26</v>
      </c>
      <c r="L65" s="28" t="str">
        <f t="shared" si="3"/>
        <v>TA KLINIK</v>
      </c>
      <c r="M65" s="26" t="s">
        <v>27</v>
      </c>
      <c r="N65" s="30">
        <v>250000.0</v>
      </c>
      <c r="O65" s="31">
        <v>0.0</v>
      </c>
      <c r="P65" s="32">
        <f t="array" ref="P65">IFNA(XLOOKUP(K65,'⚙️ Pengaturan'!$E$2:$E800,'⚙️ Pengaturan'!$F$2:$F800),"")</f>
        <v>250000</v>
      </c>
      <c r="Q65" s="33">
        <f t="shared" si="4"/>
        <v>0</v>
      </c>
      <c r="R65" s="26" t="s">
        <v>33</v>
      </c>
      <c r="S65" s="38" t="s">
        <v>34</v>
      </c>
      <c r="T65" s="35" t="b">
        <v>1</v>
      </c>
      <c r="U65" s="36"/>
    </row>
    <row r="66" ht="30.0" customHeight="1">
      <c r="A66" s="24"/>
      <c r="B66" s="25">
        <v>2171.0</v>
      </c>
      <c r="C66" s="26" t="s">
        <v>21</v>
      </c>
      <c r="D66" s="27">
        <v>46028.0</v>
      </c>
      <c r="E66" s="28" t="str">
        <f t="shared" si="1"/>
        <v>2026</v>
      </c>
      <c r="F66" s="28" t="str">
        <f t="shared" si="2"/>
        <v>01 Jan</v>
      </c>
      <c r="G66" s="29" t="s">
        <v>61</v>
      </c>
      <c r="H66" s="29" t="s">
        <v>58</v>
      </c>
      <c r="I66" s="29" t="s">
        <v>59</v>
      </c>
      <c r="J66" s="37"/>
      <c r="K66" s="26" t="s">
        <v>39</v>
      </c>
      <c r="L66" s="28" t="str">
        <f t="shared" si="3"/>
        <v>PAKET KLINIK</v>
      </c>
      <c r="M66" s="26" t="s">
        <v>86</v>
      </c>
      <c r="N66" s="30">
        <v>200000.0</v>
      </c>
      <c r="O66" s="31">
        <v>0.0</v>
      </c>
      <c r="P66" s="32">
        <f t="array" ref="P66">IFNA(XLOOKUP(K66,'⚙️ Pengaturan'!$E$2:$E800,'⚙️ Pengaturan'!$F$2:$F800),"")</f>
        <v>650000</v>
      </c>
      <c r="Q66" s="33">
        <f t="shared" si="4"/>
        <v>-450000</v>
      </c>
      <c r="R66" s="26" t="s">
        <v>33</v>
      </c>
      <c r="S66" s="38" t="s">
        <v>34</v>
      </c>
      <c r="T66" s="35" t="b">
        <v>1</v>
      </c>
      <c r="U66" s="36"/>
    </row>
    <row r="67" ht="30.0" customHeight="1">
      <c r="A67" s="24"/>
      <c r="B67" s="25">
        <v>2172.0</v>
      </c>
      <c r="C67" s="26" t="s">
        <v>21</v>
      </c>
      <c r="D67" s="27">
        <v>46029.0</v>
      </c>
      <c r="E67" s="28" t="str">
        <f t="shared" si="1"/>
        <v>2026</v>
      </c>
      <c r="F67" s="28" t="str">
        <f t="shared" si="2"/>
        <v>01 Jan</v>
      </c>
      <c r="G67" s="29" t="s">
        <v>61</v>
      </c>
      <c r="H67" s="29" t="s">
        <v>30</v>
      </c>
      <c r="I67" s="29" t="s">
        <v>116</v>
      </c>
      <c r="J67" s="37"/>
      <c r="K67" s="26" t="s">
        <v>44</v>
      </c>
      <c r="L67" s="28" t="str">
        <f t="shared" si="3"/>
        <v>PAKET KLINIK</v>
      </c>
      <c r="M67" s="26" t="s">
        <v>27</v>
      </c>
      <c r="N67" s="30">
        <v>1200000.0</v>
      </c>
      <c r="O67" s="31">
        <v>0.0</v>
      </c>
      <c r="P67" s="32">
        <f t="array" ref="P67">IFNA(XLOOKUP(K67,'⚙️ Pengaturan'!$E$2:$E800,'⚙️ Pengaturan'!$F$2:$F800),"")</f>
        <v>1200000</v>
      </c>
      <c r="Q67" s="33">
        <f t="shared" si="4"/>
        <v>0</v>
      </c>
      <c r="R67" s="26" t="s">
        <v>28</v>
      </c>
      <c r="S67" s="38" t="s">
        <v>117</v>
      </c>
      <c r="T67" s="35" t="b">
        <v>1</v>
      </c>
      <c r="U67" s="36"/>
    </row>
    <row r="68" ht="30.0" customHeight="1">
      <c r="A68" s="24"/>
      <c r="B68" s="25">
        <v>2173.0</v>
      </c>
      <c r="C68" s="26" t="s">
        <v>21</v>
      </c>
      <c r="D68" s="27">
        <v>46029.0</v>
      </c>
      <c r="E68" s="28" t="str">
        <f t="shared" si="1"/>
        <v>2026</v>
      </c>
      <c r="F68" s="28" t="str">
        <f t="shared" si="2"/>
        <v>01 Jan</v>
      </c>
      <c r="G68" s="29" t="s">
        <v>118</v>
      </c>
      <c r="H68" s="29" t="s">
        <v>48</v>
      </c>
      <c r="I68" s="29" t="s">
        <v>119</v>
      </c>
      <c r="J68" s="37"/>
      <c r="K68" s="26" t="s">
        <v>92</v>
      </c>
      <c r="L68" s="28" t="str">
        <f t="shared" si="3"/>
        <v>SESI VISIT</v>
      </c>
      <c r="M68" s="26" t="s">
        <v>27</v>
      </c>
      <c r="N68" s="30">
        <v>200000.0</v>
      </c>
      <c r="O68" s="31">
        <v>0.0</v>
      </c>
      <c r="P68" s="32">
        <f t="array" ref="P68">IFNA(XLOOKUP(K68,'⚙️ Pengaturan'!$E$2:$E800,'⚙️ Pengaturan'!$F$2:$F800),"")</f>
        <v>200000</v>
      </c>
      <c r="Q68" s="33">
        <f t="shared" si="4"/>
        <v>0</v>
      </c>
      <c r="R68" s="26" t="s">
        <v>28</v>
      </c>
      <c r="S68" s="38" t="s">
        <v>120</v>
      </c>
      <c r="T68" s="35" t="b">
        <v>1</v>
      </c>
      <c r="U68" s="36"/>
    </row>
    <row r="69" ht="30.0" customHeight="1">
      <c r="A69" s="24"/>
      <c r="B69" s="25">
        <v>2174.0</v>
      </c>
      <c r="C69" s="26" t="s">
        <v>21</v>
      </c>
      <c r="D69" s="27">
        <v>46029.0</v>
      </c>
      <c r="E69" s="28" t="str">
        <f t="shared" si="1"/>
        <v>2026</v>
      </c>
      <c r="F69" s="28" t="str">
        <f t="shared" si="2"/>
        <v>01 Jan</v>
      </c>
      <c r="G69" s="29" t="s">
        <v>67</v>
      </c>
      <c r="H69" s="29" t="s">
        <v>70</v>
      </c>
      <c r="I69" s="29" t="s">
        <v>121</v>
      </c>
      <c r="J69" s="26" t="s">
        <v>25</v>
      </c>
      <c r="K69" s="26" t="s">
        <v>26</v>
      </c>
      <c r="L69" s="28" t="str">
        <f t="shared" si="3"/>
        <v>TA KLINIK</v>
      </c>
      <c r="M69" s="26" t="s">
        <v>27</v>
      </c>
      <c r="N69" s="30">
        <v>250000.0</v>
      </c>
      <c r="O69" s="31">
        <v>0.0</v>
      </c>
      <c r="P69" s="32">
        <f t="array" ref="P69">IFNA(XLOOKUP(K69,'⚙️ Pengaturan'!$E$2:$E800,'⚙️ Pengaturan'!$F$2:$F800),"")</f>
        <v>250000</v>
      </c>
      <c r="Q69" s="33">
        <f t="shared" si="4"/>
        <v>0</v>
      </c>
      <c r="R69" s="26" t="s">
        <v>28</v>
      </c>
      <c r="S69" s="38" t="s">
        <v>121</v>
      </c>
      <c r="T69" s="35" t="b">
        <v>1</v>
      </c>
      <c r="U69" s="36"/>
    </row>
    <row r="70" ht="30.0" customHeight="1">
      <c r="A70" s="24"/>
      <c r="B70" s="25">
        <v>2175.0</v>
      </c>
      <c r="C70" s="26" t="s">
        <v>21</v>
      </c>
      <c r="D70" s="27">
        <v>46029.0</v>
      </c>
      <c r="E70" s="28" t="str">
        <f t="shared" si="1"/>
        <v>2026</v>
      </c>
      <c r="F70" s="28" t="str">
        <f t="shared" si="2"/>
        <v>01 Jan</v>
      </c>
      <c r="G70" s="29" t="s">
        <v>29</v>
      </c>
      <c r="H70" s="29" t="s">
        <v>23</v>
      </c>
      <c r="I70" s="29" t="s">
        <v>122</v>
      </c>
      <c r="J70" s="37"/>
      <c r="K70" s="26" t="s">
        <v>39</v>
      </c>
      <c r="L70" s="28" t="str">
        <f t="shared" si="3"/>
        <v>PAKET KLINIK</v>
      </c>
      <c r="M70" s="26" t="s">
        <v>27</v>
      </c>
      <c r="N70" s="30">
        <v>650000.0</v>
      </c>
      <c r="O70" s="31">
        <v>0.0</v>
      </c>
      <c r="P70" s="32">
        <f t="array" ref="P70">IFNA(XLOOKUP(K70,'⚙️ Pengaturan'!$E$2:$E800,'⚙️ Pengaturan'!$F$2:$F800),"")</f>
        <v>650000</v>
      </c>
      <c r="Q70" s="33">
        <f t="shared" si="4"/>
        <v>0</v>
      </c>
      <c r="R70" s="26" t="s">
        <v>28</v>
      </c>
      <c r="S70" s="38" t="s">
        <v>123</v>
      </c>
      <c r="T70" s="35" t="b">
        <v>1</v>
      </c>
      <c r="U70" s="36"/>
    </row>
    <row r="71" ht="30.0" customHeight="1">
      <c r="A71" s="24"/>
      <c r="B71" s="25">
        <v>2176.0</v>
      </c>
      <c r="C71" s="26" t="s">
        <v>21</v>
      </c>
      <c r="D71" s="27">
        <v>46029.0</v>
      </c>
      <c r="E71" s="28" t="str">
        <f t="shared" si="1"/>
        <v>2026</v>
      </c>
      <c r="F71" s="28" t="str">
        <f t="shared" si="2"/>
        <v>01 Jan</v>
      </c>
      <c r="G71" s="29" t="s">
        <v>89</v>
      </c>
      <c r="H71" s="29" t="s">
        <v>70</v>
      </c>
      <c r="I71" s="29" t="s">
        <v>83</v>
      </c>
      <c r="J71" s="37"/>
      <c r="K71" s="26" t="s">
        <v>39</v>
      </c>
      <c r="L71" s="28" t="str">
        <f t="shared" si="3"/>
        <v>PAKET KLINIK</v>
      </c>
      <c r="M71" s="26" t="s">
        <v>86</v>
      </c>
      <c r="N71" s="30">
        <v>200000.0</v>
      </c>
      <c r="O71" s="31">
        <v>0.0</v>
      </c>
      <c r="P71" s="32">
        <f t="array" ref="P71">IFNA(XLOOKUP(K71,'⚙️ Pengaturan'!$E$2:$E800,'⚙️ Pengaturan'!$F$2:$F800),"")</f>
        <v>650000</v>
      </c>
      <c r="Q71" s="33">
        <f t="shared" si="4"/>
        <v>-450000</v>
      </c>
      <c r="R71" s="26" t="s">
        <v>45</v>
      </c>
      <c r="S71" s="38" t="s">
        <v>83</v>
      </c>
      <c r="T71" s="35" t="b">
        <v>1</v>
      </c>
      <c r="U71" s="36"/>
    </row>
    <row r="72" ht="30.0" customHeight="1">
      <c r="A72" s="24"/>
      <c r="B72" s="25">
        <v>2177.0</v>
      </c>
      <c r="C72" s="26" t="s">
        <v>21</v>
      </c>
      <c r="D72" s="27">
        <v>46029.0</v>
      </c>
      <c r="E72" s="28" t="str">
        <f t="shared" si="1"/>
        <v>2026</v>
      </c>
      <c r="F72" s="28" t="str">
        <f t="shared" si="2"/>
        <v>01 Jan</v>
      </c>
      <c r="G72" s="29" t="s">
        <v>89</v>
      </c>
      <c r="H72" s="29" t="s">
        <v>70</v>
      </c>
      <c r="I72" s="29" t="s">
        <v>83</v>
      </c>
      <c r="J72" s="37"/>
      <c r="K72" s="26" t="s">
        <v>124</v>
      </c>
      <c r="L72" s="28" t="str">
        <f t="shared" si="3"/>
        <v>LAINNYA</v>
      </c>
      <c r="M72" s="26" t="s">
        <v>27</v>
      </c>
      <c r="N72" s="30">
        <v>50000.0</v>
      </c>
      <c r="O72" s="31">
        <v>0.0</v>
      </c>
      <c r="P72" s="32">
        <f t="array" ref="P72">IFNA(XLOOKUP(K72,'⚙️ Pengaturan'!$E$2:$E800,'⚙️ Pengaturan'!$F$2:$F800),"")</f>
        <v>50000</v>
      </c>
      <c r="Q72" s="33">
        <f t="shared" si="4"/>
        <v>0</v>
      </c>
      <c r="R72" s="26" t="s">
        <v>45</v>
      </c>
      <c r="S72" s="38" t="s">
        <v>83</v>
      </c>
      <c r="T72" s="35" t="b">
        <v>1</v>
      </c>
      <c r="U72" s="36"/>
    </row>
    <row r="73" ht="30.0" customHeight="1">
      <c r="A73" s="24"/>
      <c r="B73" s="25">
        <v>2178.0</v>
      </c>
      <c r="C73" s="26" t="s">
        <v>40</v>
      </c>
      <c r="D73" s="27">
        <v>46029.0</v>
      </c>
      <c r="E73" s="28" t="str">
        <f t="shared" si="1"/>
        <v>2026</v>
      </c>
      <c r="F73" s="28" t="str">
        <f t="shared" si="2"/>
        <v>01 Jan</v>
      </c>
      <c r="G73" s="29" t="s">
        <v>82</v>
      </c>
      <c r="H73" s="29" t="s">
        <v>68</v>
      </c>
      <c r="I73" s="29" t="s">
        <v>125</v>
      </c>
      <c r="J73" s="26" t="s">
        <v>25</v>
      </c>
      <c r="K73" s="26" t="s">
        <v>26</v>
      </c>
      <c r="L73" s="28" t="str">
        <f t="shared" si="3"/>
        <v>TA KLINIK</v>
      </c>
      <c r="M73" s="26" t="s">
        <v>27</v>
      </c>
      <c r="N73" s="30">
        <v>250000.0</v>
      </c>
      <c r="O73" s="31">
        <v>0.0</v>
      </c>
      <c r="P73" s="32">
        <f t="array" ref="P73">IFNA(XLOOKUP(K73,'⚙️ Pengaturan'!$E$2:$E800,'⚙️ Pengaturan'!$F$2:$F800),"")</f>
        <v>250000</v>
      </c>
      <c r="Q73" s="33">
        <f t="shared" si="4"/>
        <v>0</v>
      </c>
      <c r="R73" s="26" t="s">
        <v>28</v>
      </c>
      <c r="S73" s="38" t="s">
        <v>125</v>
      </c>
      <c r="T73" s="35" t="b">
        <v>1</v>
      </c>
      <c r="U73" s="36"/>
    </row>
    <row r="74" ht="30.0" customHeight="1">
      <c r="A74" s="24"/>
      <c r="B74" s="25">
        <v>2179.0</v>
      </c>
      <c r="C74" s="26" t="s">
        <v>40</v>
      </c>
      <c r="D74" s="27">
        <v>46029.0</v>
      </c>
      <c r="E74" s="28" t="str">
        <f t="shared" si="1"/>
        <v>2026</v>
      </c>
      <c r="F74" s="28" t="str">
        <f t="shared" si="2"/>
        <v>01 Jan</v>
      </c>
      <c r="G74" s="29" t="s">
        <v>82</v>
      </c>
      <c r="H74" s="29" t="s">
        <v>23</v>
      </c>
      <c r="I74" s="29" t="s">
        <v>126</v>
      </c>
      <c r="J74" s="26" t="s">
        <v>25</v>
      </c>
      <c r="K74" s="26" t="s">
        <v>26</v>
      </c>
      <c r="L74" s="28" t="str">
        <f t="shared" si="3"/>
        <v>TA KLINIK</v>
      </c>
      <c r="M74" s="26" t="s">
        <v>27</v>
      </c>
      <c r="N74" s="30">
        <v>250000.0</v>
      </c>
      <c r="O74" s="31">
        <v>0.0</v>
      </c>
      <c r="P74" s="32">
        <f t="array" ref="P74">IFNA(XLOOKUP(K74,'⚙️ Pengaturan'!$E$2:$E800,'⚙️ Pengaturan'!$F$2:$F800),"")</f>
        <v>250000</v>
      </c>
      <c r="Q74" s="33">
        <f t="shared" si="4"/>
        <v>0</v>
      </c>
      <c r="R74" s="26" t="s">
        <v>28</v>
      </c>
      <c r="S74" s="38" t="s">
        <v>125</v>
      </c>
      <c r="T74" s="35" t="b">
        <v>1</v>
      </c>
      <c r="U74" s="36"/>
    </row>
    <row r="75" ht="30.0" customHeight="1">
      <c r="A75" s="24"/>
      <c r="B75" s="25">
        <v>2180.0</v>
      </c>
      <c r="C75" s="26" t="s">
        <v>40</v>
      </c>
      <c r="D75" s="27">
        <v>46029.0</v>
      </c>
      <c r="E75" s="28" t="str">
        <f t="shared" si="1"/>
        <v>2026</v>
      </c>
      <c r="F75" s="28" t="str">
        <f t="shared" si="2"/>
        <v>01 Jan</v>
      </c>
      <c r="G75" s="29" t="s">
        <v>118</v>
      </c>
      <c r="H75" s="29" t="s">
        <v>30</v>
      </c>
      <c r="I75" s="29" t="s">
        <v>127</v>
      </c>
      <c r="J75" s="26" t="s">
        <v>25</v>
      </c>
      <c r="K75" s="26" t="s">
        <v>128</v>
      </c>
      <c r="L75" s="28" t="str">
        <f t="shared" si="3"/>
        <v>TA VISIT</v>
      </c>
      <c r="M75" s="26" t="s">
        <v>27</v>
      </c>
      <c r="N75" s="30">
        <v>300000.0</v>
      </c>
      <c r="O75" s="31">
        <v>0.0</v>
      </c>
      <c r="P75" s="32">
        <f t="array" ref="P75">IFNA(XLOOKUP(K75,'⚙️ Pengaturan'!$E$2:$E800,'⚙️ Pengaturan'!$F$2:$F800),"")</f>
        <v>300000</v>
      </c>
      <c r="Q75" s="33">
        <f t="shared" si="4"/>
        <v>0</v>
      </c>
      <c r="R75" s="26" t="s">
        <v>28</v>
      </c>
      <c r="S75" s="38" t="s">
        <v>127</v>
      </c>
      <c r="T75" s="35" t="b">
        <v>1</v>
      </c>
      <c r="U75" s="36"/>
    </row>
    <row r="76" ht="30.0" customHeight="1">
      <c r="A76" s="24"/>
      <c r="B76" s="25">
        <v>2181.0</v>
      </c>
      <c r="C76" s="26" t="s">
        <v>40</v>
      </c>
      <c r="D76" s="27">
        <v>46029.0</v>
      </c>
      <c r="E76" s="28" t="str">
        <f t="shared" si="1"/>
        <v>2026</v>
      </c>
      <c r="F76" s="28" t="str">
        <f t="shared" si="2"/>
        <v>01 Jan</v>
      </c>
      <c r="G76" s="29" t="s">
        <v>37</v>
      </c>
      <c r="H76" s="29" t="s">
        <v>42</v>
      </c>
      <c r="I76" s="29" t="s">
        <v>129</v>
      </c>
      <c r="J76" s="37"/>
      <c r="K76" s="26" t="s">
        <v>39</v>
      </c>
      <c r="L76" s="28" t="str">
        <f t="shared" si="3"/>
        <v>PAKET KLINIK</v>
      </c>
      <c r="M76" s="26" t="s">
        <v>27</v>
      </c>
      <c r="N76" s="30">
        <v>650000.0</v>
      </c>
      <c r="O76" s="31">
        <v>0.0</v>
      </c>
      <c r="P76" s="32">
        <f t="array" ref="P76">IFNA(XLOOKUP(K76,'⚙️ Pengaturan'!$E$2:$E800,'⚙️ Pengaturan'!$F$2:$F800),"")</f>
        <v>650000</v>
      </c>
      <c r="Q76" s="33">
        <f t="shared" si="4"/>
        <v>0</v>
      </c>
      <c r="R76" s="26" t="s">
        <v>28</v>
      </c>
      <c r="S76" s="38" t="s">
        <v>129</v>
      </c>
      <c r="T76" s="35" t="b">
        <v>1</v>
      </c>
      <c r="U76" s="36"/>
    </row>
    <row r="77" ht="30.0" customHeight="1">
      <c r="A77" s="24"/>
      <c r="B77" s="25">
        <v>2182.0</v>
      </c>
      <c r="C77" s="26" t="s">
        <v>40</v>
      </c>
      <c r="D77" s="27">
        <v>46029.0</v>
      </c>
      <c r="E77" s="28" t="str">
        <f t="shared" si="1"/>
        <v>2026</v>
      </c>
      <c r="F77" s="28" t="str">
        <f t="shared" si="2"/>
        <v>01 Jan</v>
      </c>
      <c r="G77" s="29" t="s">
        <v>37</v>
      </c>
      <c r="H77" s="29" t="s">
        <v>35</v>
      </c>
      <c r="I77" s="29" t="s">
        <v>130</v>
      </c>
      <c r="J77" s="26" t="s">
        <v>25</v>
      </c>
      <c r="K77" s="26" t="s">
        <v>26</v>
      </c>
      <c r="L77" s="28" t="str">
        <f t="shared" si="3"/>
        <v>TA KLINIK</v>
      </c>
      <c r="M77" s="26" t="s">
        <v>27</v>
      </c>
      <c r="N77" s="30">
        <v>250000.0</v>
      </c>
      <c r="O77" s="31">
        <v>0.0</v>
      </c>
      <c r="P77" s="32">
        <f t="array" ref="P77">IFNA(XLOOKUP(K77,'⚙️ Pengaturan'!$E$2:$E800,'⚙️ Pengaturan'!$F$2:$F800),"")</f>
        <v>250000</v>
      </c>
      <c r="Q77" s="33">
        <f t="shared" si="4"/>
        <v>0</v>
      </c>
      <c r="R77" s="26" t="s">
        <v>28</v>
      </c>
      <c r="S77" s="38" t="s">
        <v>130</v>
      </c>
      <c r="T77" s="35" t="b">
        <v>1</v>
      </c>
      <c r="U77" s="36"/>
    </row>
    <row r="78" ht="30.0" customHeight="1">
      <c r="A78" s="24"/>
      <c r="B78" s="25">
        <v>2183.0</v>
      </c>
      <c r="C78" s="26" t="s">
        <v>40</v>
      </c>
      <c r="D78" s="27">
        <v>46029.0</v>
      </c>
      <c r="E78" s="28" t="str">
        <f t="shared" si="1"/>
        <v>2026</v>
      </c>
      <c r="F78" s="28" t="str">
        <f t="shared" si="2"/>
        <v>01 Jan</v>
      </c>
      <c r="G78" s="29" t="s">
        <v>46</v>
      </c>
      <c r="H78" s="29" t="s">
        <v>48</v>
      </c>
      <c r="I78" s="29" t="s">
        <v>131</v>
      </c>
      <c r="J78" s="26" t="s">
        <v>25</v>
      </c>
      <c r="K78" s="26" t="s">
        <v>26</v>
      </c>
      <c r="L78" s="28" t="str">
        <f t="shared" si="3"/>
        <v>TA KLINIK</v>
      </c>
      <c r="M78" s="26" t="s">
        <v>27</v>
      </c>
      <c r="N78" s="30">
        <v>250000.0</v>
      </c>
      <c r="O78" s="31">
        <v>0.0</v>
      </c>
      <c r="P78" s="32">
        <f t="array" ref="P78">IFNA(XLOOKUP(K78,'⚙️ Pengaturan'!$E$2:$E800,'⚙️ Pengaturan'!$F$2:$F800),"")</f>
        <v>250000</v>
      </c>
      <c r="Q78" s="33">
        <f t="shared" si="4"/>
        <v>0</v>
      </c>
      <c r="R78" s="26" t="s">
        <v>33</v>
      </c>
      <c r="S78" s="38" t="s">
        <v>34</v>
      </c>
      <c r="T78" s="35" t="b">
        <v>1</v>
      </c>
      <c r="U78" s="36"/>
    </row>
    <row r="79" ht="30.0" customHeight="1">
      <c r="A79" s="24"/>
      <c r="B79" s="25">
        <v>2184.0</v>
      </c>
      <c r="C79" s="26" t="s">
        <v>40</v>
      </c>
      <c r="D79" s="27">
        <v>46029.0</v>
      </c>
      <c r="E79" s="28" t="str">
        <f t="shared" si="1"/>
        <v>2026</v>
      </c>
      <c r="F79" s="28" t="str">
        <f t="shared" si="2"/>
        <v>01 Jan</v>
      </c>
      <c r="G79" s="29" t="s">
        <v>82</v>
      </c>
      <c r="H79" s="29" t="s">
        <v>48</v>
      </c>
      <c r="I79" s="29" t="s">
        <v>83</v>
      </c>
      <c r="J79" s="37"/>
      <c r="K79" s="26" t="s">
        <v>39</v>
      </c>
      <c r="L79" s="28" t="str">
        <f t="shared" si="3"/>
        <v>PAKET KLINIK</v>
      </c>
      <c r="M79" s="26" t="s">
        <v>132</v>
      </c>
      <c r="N79" s="30">
        <v>250000.0</v>
      </c>
      <c r="O79" s="31">
        <v>200000.0</v>
      </c>
      <c r="P79" s="32">
        <f t="array" ref="P79">IFNA(XLOOKUP(K79,'⚙️ Pengaturan'!$E$2:$E800,'⚙️ Pengaturan'!$F$2:$F800),"")</f>
        <v>650000</v>
      </c>
      <c r="Q79" s="33">
        <f t="shared" si="4"/>
        <v>-200000</v>
      </c>
      <c r="R79" s="26" t="s">
        <v>28</v>
      </c>
      <c r="S79" s="38" t="s">
        <v>133</v>
      </c>
      <c r="T79" s="35" t="b">
        <v>1</v>
      </c>
      <c r="U79" s="36"/>
    </row>
    <row r="80" ht="30.0" customHeight="1">
      <c r="A80" s="24"/>
      <c r="B80" s="25">
        <v>2185.0</v>
      </c>
      <c r="C80" s="26" t="s">
        <v>40</v>
      </c>
      <c r="D80" s="27">
        <v>46029.0</v>
      </c>
      <c r="E80" s="28" t="str">
        <f t="shared" si="1"/>
        <v>2026</v>
      </c>
      <c r="F80" s="28" t="str">
        <f t="shared" si="2"/>
        <v>01 Jan</v>
      </c>
      <c r="G80" s="29" t="s">
        <v>41</v>
      </c>
      <c r="H80" s="29" t="s">
        <v>58</v>
      </c>
      <c r="I80" s="29" t="s">
        <v>134</v>
      </c>
      <c r="J80" s="26" t="s">
        <v>25</v>
      </c>
      <c r="K80" s="26" t="s">
        <v>26</v>
      </c>
      <c r="L80" s="28" t="str">
        <f t="shared" si="3"/>
        <v>TA KLINIK</v>
      </c>
      <c r="M80" s="26" t="s">
        <v>27</v>
      </c>
      <c r="N80" s="30">
        <v>250000.0</v>
      </c>
      <c r="O80" s="31">
        <v>0.0</v>
      </c>
      <c r="P80" s="32">
        <f t="array" ref="P80">IFNA(XLOOKUP(K80,'⚙️ Pengaturan'!$E$2:$E800,'⚙️ Pengaturan'!$F$2:$F800),"")</f>
        <v>250000</v>
      </c>
      <c r="Q80" s="33">
        <f t="shared" si="4"/>
        <v>0</v>
      </c>
      <c r="R80" s="26" t="s">
        <v>28</v>
      </c>
      <c r="S80" s="38" t="s">
        <v>134</v>
      </c>
      <c r="T80" s="35" t="b">
        <v>1</v>
      </c>
      <c r="U80" s="36"/>
    </row>
    <row r="81" ht="30.0" customHeight="1">
      <c r="A81" s="24"/>
      <c r="B81" s="25">
        <v>2186.0</v>
      </c>
      <c r="C81" s="26" t="s">
        <v>40</v>
      </c>
      <c r="D81" s="27">
        <v>46029.0</v>
      </c>
      <c r="E81" s="28" t="str">
        <f t="shared" si="1"/>
        <v>2026</v>
      </c>
      <c r="F81" s="28" t="str">
        <f t="shared" si="2"/>
        <v>01 Jan</v>
      </c>
      <c r="G81" s="29" t="s">
        <v>41</v>
      </c>
      <c r="H81" s="29" t="s">
        <v>35</v>
      </c>
      <c r="I81" s="29" t="s">
        <v>135</v>
      </c>
      <c r="J81" s="26" t="s">
        <v>25</v>
      </c>
      <c r="K81" s="26" t="s">
        <v>26</v>
      </c>
      <c r="L81" s="28" t="str">
        <f t="shared" si="3"/>
        <v>TA KLINIK</v>
      </c>
      <c r="M81" s="26" t="s">
        <v>27</v>
      </c>
      <c r="N81" s="30">
        <v>250000.0</v>
      </c>
      <c r="O81" s="31">
        <v>0.0</v>
      </c>
      <c r="P81" s="32">
        <f t="array" ref="P81">IFNA(XLOOKUP(K81,'⚙️ Pengaturan'!$E$2:$E800,'⚙️ Pengaturan'!$F$2:$F800),"")</f>
        <v>250000</v>
      </c>
      <c r="Q81" s="33">
        <f t="shared" si="4"/>
        <v>0</v>
      </c>
      <c r="R81" s="26" t="s">
        <v>33</v>
      </c>
      <c r="S81" s="38" t="s">
        <v>34</v>
      </c>
      <c r="T81" s="35" t="b">
        <v>1</v>
      </c>
      <c r="U81" s="36"/>
    </row>
    <row r="82" ht="30.0" customHeight="1">
      <c r="A82" s="24"/>
      <c r="B82" s="25">
        <v>2187.0</v>
      </c>
      <c r="C82" s="26" t="s">
        <v>40</v>
      </c>
      <c r="D82" s="27">
        <v>46029.0</v>
      </c>
      <c r="E82" s="28" t="str">
        <f t="shared" si="1"/>
        <v>2026</v>
      </c>
      <c r="F82" s="28" t="str">
        <f t="shared" si="2"/>
        <v>01 Jan</v>
      </c>
      <c r="G82" s="29" t="s">
        <v>41</v>
      </c>
      <c r="H82" s="29" t="s">
        <v>48</v>
      </c>
      <c r="I82" s="29" t="s">
        <v>50</v>
      </c>
      <c r="J82" s="37"/>
      <c r="K82" s="26" t="s">
        <v>39</v>
      </c>
      <c r="L82" s="28" t="str">
        <f t="shared" si="3"/>
        <v>PAKET KLINIK</v>
      </c>
      <c r="M82" s="26" t="s">
        <v>63</v>
      </c>
      <c r="N82" s="30">
        <v>450000.0</v>
      </c>
      <c r="O82" s="31">
        <v>200000.0</v>
      </c>
      <c r="P82" s="32">
        <f t="array" ref="P82">IFNA(XLOOKUP(K82,'⚙️ Pengaturan'!$E$2:$E800,'⚙️ Pengaturan'!$F$2:$F800),"")</f>
        <v>650000</v>
      </c>
      <c r="Q82" s="33">
        <f t="shared" si="4"/>
        <v>0</v>
      </c>
      <c r="R82" s="26" t="s">
        <v>28</v>
      </c>
      <c r="S82" s="38" t="s">
        <v>50</v>
      </c>
      <c r="T82" s="35" t="b">
        <v>1</v>
      </c>
      <c r="U82" s="36"/>
    </row>
    <row r="83" ht="30.0" customHeight="1">
      <c r="A83" s="24"/>
      <c r="B83" s="25">
        <v>2188.0</v>
      </c>
      <c r="C83" s="26" t="s">
        <v>40</v>
      </c>
      <c r="D83" s="27">
        <v>46029.0</v>
      </c>
      <c r="E83" s="28" t="str">
        <f t="shared" si="1"/>
        <v>2026</v>
      </c>
      <c r="F83" s="28" t="str">
        <f t="shared" si="2"/>
        <v>01 Jan</v>
      </c>
      <c r="G83" s="29" t="s">
        <v>95</v>
      </c>
      <c r="H83" s="29" t="s">
        <v>42</v>
      </c>
      <c r="I83" s="29" t="s">
        <v>136</v>
      </c>
      <c r="J83" s="37"/>
      <c r="K83" s="26" t="s">
        <v>39</v>
      </c>
      <c r="L83" s="28" t="str">
        <f t="shared" si="3"/>
        <v>PAKET KLINIK</v>
      </c>
      <c r="M83" s="26" t="s">
        <v>27</v>
      </c>
      <c r="N83" s="30">
        <v>650000.0</v>
      </c>
      <c r="O83" s="31">
        <v>0.0</v>
      </c>
      <c r="P83" s="32">
        <f t="array" ref="P83">IFNA(XLOOKUP(K83,'⚙️ Pengaturan'!$E$2:$E800,'⚙️ Pengaturan'!$F$2:$F800),"")</f>
        <v>650000</v>
      </c>
      <c r="Q83" s="33">
        <f t="shared" si="4"/>
        <v>0</v>
      </c>
      <c r="R83" s="26" t="s">
        <v>28</v>
      </c>
      <c r="S83" s="38" t="s">
        <v>129</v>
      </c>
      <c r="T83" s="35" t="b">
        <v>1</v>
      </c>
      <c r="U83" s="36"/>
    </row>
    <row r="84" ht="30.0" customHeight="1">
      <c r="A84" s="24"/>
      <c r="B84" s="25">
        <v>2189.0</v>
      </c>
      <c r="C84" s="26" t="s">
        <v>40</v>
      </c>
      <c r="D84" s="27">
        <v>46029.0</v>
      </c>
      <c r="E84" s="28" t="str">
        <f t="shared" si="1"/>
        <v>2026</v>
      </c>
      <c r="F84" s="28" t="str">
        <f t="shared" si="2"/>
        <v>01 Jan</v>
      </c>
      <c r="G84" s="29" t="s">
        <v>89</v>
      </c>
      <c r="H84" s="29" t="s">
        <v>68</v>
      </c>
      <c r="I84" s="29" t="s">
        <v>137</v>
      </c>
      <c r="J84" s="37"/>
      <c r="K84" s="26" t="s">
        <v>32</v>
      </c>
      <c r="L84" s="28" t="str">
        <f t="shared" si="3"/>
        <v>SESI KLINIK</v>
      </c>
      <c r="M84" s="26" t="s">
        <v>27</v>
      </c>
      <c r="N84" s="30">
        <v>150000.0</v>
      </c>
      <c r="O84" s="31">
        <v>0.0</v>
      </c>
      <c r="P84" s="32">
        <f t="array" ref="P84">IFNA(XLOOKUP(K84,'⚙️ Pengaturan'!$E$2:$E800,'⚙️ Pengaturan'!$F$2:$F800),"")</f>
        <v>150000</v>
      </c>
      <c r="Q84" s="33">
        <f t="shared" si="4"/>
        <v>0</v>
      </c>
      <c r="R84" s="26" t="s">
        <v>33</v>
      </c>
      <c r="S84" s="38" t="s">
        <v>34</v>
      </c>
      <c r="T84" s="35" t="b">
        <v>1</v>
      </c>
      <c r="U84" s="36"/>
    </row>
    <row r="85" ht="30.0" customHeight="1">
      <c r="A85" s="24"/>
      <c r="B85" s="25">
        <v>2190.0</v>
      </c>
      <c r="C85" s="26" t="s">
        <v>40</v>
      </c>
      <c r="D85" s="27">
        <v>46029.0</v>
      </c>
      <c r="E85" s="28" t="str">
        <f t="shared" si="1"/>
        <v>2026</v>
      </c>
      <c r="F85" s="28" t="str">
        <f t="shared" si="2"/>
        <v>01 Jan</v>
      </c>
      <c r="G85" s="29" t="s">
        <v>56</v>
      </c>
      <c r="H85" s="29" t="s">
        <v>51</v>
      </c>
      <c r="I85" s="29" t="s">
        <v>138</v>
      </c>
      <c r="J85" s="37"/>
      <c r="K85" s="26" t="s">
        <v>44</v>
      </c>
      <c r="L85" s="28" t="str">
        <f t="shared" si="3"/>
        <v>PAKET KLINIK</v>
      </c>
      <c r="M85" s="26" t="s">
        <v>27</v>
      </c>
      <c r="N85" s="30">
        <v>1200000.0</v>
      </c>
      <c r="O85" s="31">
        <v>0.0</v>
      </c>
      <c r="P85" s="32">
        <f t="array" ref="P85">IFNA(XLOOKUP(K85,'⚙️ Pengaturan'!$E$2:$E800,'⚙️ Pengaturan'!$F$2:$F800),"")</f>
        <v>1200000</v>
      </c>
      <c r="Q85" s="33">
        <f t="shared" si="4"/>
        <v>0</v>
      </c>
      <c r="R85" s="26" t="s">
        <v>33</v>
      </c>
      <c r="S85" s="38" t="s">
        <v>34</v>
      </c>
      <c r="T85" s="35" t="b">
        <v>1</v>
      </c>
      <c r="U85" s="36"/>
    </row>
    <row r="86" ht="30.0" customHeight="1">
      <c r="A86" s="24"/>
      <c r="B86" s="25">
        <v>2191.0</v>
      </c>
      <c r="C86" s="26" t="s">
        <v>40</v>
      </c>
      <c r="D86" s="27">
        <v>46029.0</v>
      </c>
      <c r="E86" s="28" t="str">
        <f t="shared" si="1"/>
        <v>2026</v>
      </c>
      <c r="F86" s="28" t="str">
        <f t="shared" si="2"/>
        <v>01 Jan</v>
      </c>
      <c r="G86" s="29" t="s">
        <v>56</v>
      </c>
      <c r="H86" s="29" t="s">
        <v>42</v>
      </c>
      <c r="I86" s="29" t="s">
        <v>139</v>
      </c>
      <c r="J86" s="26" t="s">
        <v>25</v>
      </c>
      <c r="K86" s="26" t="s">
        <v>26</v>
      </c>
      <c r="L86" s="28" t="str">
        <f t="shared" si="3"/>
        <v>TA KLINIK</v>
      </c>
      <c r="M86" s="26" t="s">
        <v>27</v>
      </c>
      <c r="N86" s="30">
        <v>250000.0</v>
      </c>
      <c r="O86" s="31">
        <v>0.0</v>
      </c>
      <c r="P86" s="32">
        <f t="array" ref="P86">IFNA(XLOOKUP(K86,'⚙️ Pengaturan'!$E$2:$E800,'⚙️ Pengaturan'!$F$2:$F800),"")</f>
        <v>250000</v>
      </c>
      <c r="Q86" s="33">
        <f t="shared" si="4"/>
        <v>0</v>
      </c>
      <c r="R86" s="26" t="s">
        <v>33</v>
      </c>
      <c r="S86" s="38" t="s">
        <v>34</v>
      </c>
      <c r="T86" s="35" t="b">
        <v>1</v>
      </c>
      <c r="U86" s="36"/>
    </row>
    <row r="87" ht="30.0" customHeight="1">
      <c r="A87" s="24"/>
      <c r="B87" s="25">
        <v>2192.0</v>
      </c>
      <c r="C87" s="26" t="s">
        <v>40</v>
      </c>
      <c r="D87" s="27">
        <v>46029.0</v>
      </c>
      <c r="E87" s="28" t="str">
        <f t="shared" si="1"/>
        <v>2026</v>
      </c>
      <c r="F87" s="28" t="str">
        <f t="shared" si="2"/>
        <v>01 Jan</v>
      </c>
      <c r="G87" s="29" t="s">
        <v>56</v>
      </c>
      <c r="H87" s="29" t="s">
        <v>58</v>
      </c>
      <c r="I87" s="29" t="s">
        <v>140</v>
      </c>
      <c r="J87" s="37"/>
      <c r="K87" s="26" t="s">
        <v>39</v>
      </c>
      <c r="L87" s="28" t="str">
        <f t="shared" si="3"/>
        <v>PAKET KLINIK</v>
      </c>
      <c r="M87" s="26" t="s">
        <v>86</v>
      </c>
      <c r="N87" s="30">
        <v>200000.0</v>
      </c>
      <c r="O87" s="31">
        <v>0.0</v>
      </c>
      <c r="P87" s="32">
        <f t="array" ref="P87">IFNA(XLOOKUP(K87,'⚙️ Pengaturan'!$E$2:$E800,'⚙️ Pengaturan'!$F$2:$F800),"")</f>
        <v>650000</v>
      </c>
      <c r="Q87" s="33">
        <f t="shared" si="4"/>
        <v>-450000</v>
      </c>
      <c r="R87" s="26" t="s">
        <v>33</v>
      </c>
      <c r="S87" s="38" t="s">
        <v>34</v>
      </c>
      <c r="T87" s="35" t="b">
        <v>1</v>
      </c>
      <c r="U87" s="36"/>
    </row>
    <row r="88" ht="30.0" customHeight="1">
      <c r="A88" s="24"/>
      <c r="B88" s="25">
        <v>2193.0</v>
      </c>
      <c r="C88" s="26" t="s">
        <v>21</v>
      </c>
      <c r="D88" s="27">
        <v>46030.0</v>
      </c>
      <c r="E88" s="28" t="str">
        <f t="shared" si="1"/>
        <v>2026</v>
      </c>
      <c r="F88" s="28" t="str">
        <f t="shared" si="2"/>
        <v>01 Jan</v>
      </c>
      <c r="G88" s="29" t="s">
        <v>22</v>
      </c>
      <c r="H88" s="29" t="s">
        <v>51</v>
      </c>
      <c r="I88" s="45" t="s">
        <v>141</v>
      </c>
      <c r="J88" s="26" t="s">
        <v>25</v>
      </c>
      <c r="K88" s="26" t="s">
        <v>26</v>
      </c>
      <c r="L88" s="28" t="str">
        <f t="shared" si="3"/>
        <v>TA KLINIK</v>
      </c>
      <c r="M88" s="26" t="s">
        <v>27</v>
      </c>
      <c r="N88" s="30">
        <v>250000.0</v>
      </c>
      <c r="O88" s="31">
        <v>0.0</v>
      </c>
      <c r="P88" s="32">
        <f t="array" ref="P88">IFNA(XLOOKUP(K88,'⚙️ Pengaturan'!$E$2:$E800,'⚙️ Pengaturan'!$F$2:$F800),"")</f>
        <v>250000</v>
      </c>
      <c r="Q88" s="33">
        <f t="shared" si="4"/>
        <v>0</v>
      </c>
      <c r="R88" s="26" t="s">
        <v>33</v>
      </c>
      <c r="S88" s="38" t="s">
        <v>34</v>
      </c>
      <c r="T88" s="35" t="b">
        <v>1</v>
      </c>
      <c r="U88" s="36"/>
    </row>
    <row r="89" ht="30.0" customHeight="1">
      <c r="A89" s="24"/>
      <c r="B89" s="25">
        <v>2194.0</v>
      </c>
      <c r="C89" s="26" t="s">
        <v>21</v>
      </c>
      <c r="D89" s="27">
        <v>46030.0</v>
      </c>
      <c r="E89" s="28" t="str">
        <f t="shared" si="1"/>
        <v>2026</v>
      </c>
      <c r="F89" s="28" t="str">
        <f t="shared" si="2"/>
        <v>01 Jan</v>
      </c>
      <c r="G89" s="29" t="s">
        <v>22</v>
      </c>
      <c r="H89" s="29" t="s">
        <v>58</v>
      </c>
      <c r="I89" s="29" t="s">
        <v>105</v>
      </c>
      <c r="J89" s="37"/>
      <c r="K89" s="26" t="s">
        <v>39</v>
      </c>
      <c r="L89" s="28" t="str">
        <f t="shared" si="3"/>
        <v>PAKET KLINIK</v>
      </c>
      <c r="M89" s="26" t="s">
        <v>27</v>
      </c>
      <c r="N89" s="30">
        <v>650000.0</v>
      </c>
      <c r="O89" s="31">
        <v>0.0</v>
      </c>
      <c r="P89" s="32">
        <f t="array" ref="P89">IFNA(XLOOKUP(K89,'⚙️ Pengaturan'!$E$2:$E800,'⚙️ Pengaturan'!$F$2:$F800),"")</f>
        <v>650000</v>
      </c>
      <c r="Q89" s="33">
        <f t="shared" si="4"/>
        <v>0</v>
      </c>
      <c r="R89" s="26" t="s">
        <v>28</v>
      </c>
      <c r="S89" s="38" t="s">
        <v>106</v>
      </c>
      <c r="T89" s="35" t="b">
        <v>1</v>
      </c>
      <c r="U89" s="36"/>
    </row>
    <row r="90" ht="30.0" customHeight="1">
      <c r="A90" s="24"/>
      <c r="B90" s="25">
        <v>2195.0</v>
      </c>
      <c r="C90" s="26" t="s">
        <v>21</v>
      </c>
      <c r="D90" s="27">
        <v>46030.0</v>
      </c>
      <c r="E90" s="28" t="str">
        <f t="shared" si="1"/>
        <v>2026</v>
      </c>
      <c r="F90" s="28" t="str">
        <f t="shared" si="2"/>
        <v>01 Jan</v>
      </c>
      <c r="G90" s="29" t="s">
        <v>22</v>
      </c>
      <c r="H90" s="29" t="s">
        <v>48</v>
      </c>
      <c r="I90" s="29" t="s">
        <v>142</v>
      </c>
      <c r="J90" s="26" t="s">
        <v>25</v>
      </c>
      <c r="K90" s="26" t="s">
        <v>26</v>
      </c>
      <c r="L90" s="28" t="str">
        <f t="shared" si="3"/>
        <v>TA KLINIK</v>
      </c>
      <c r="M90" s="26" t="s">
        <v>27</v>
      </c>
      <c r="N90" s="30">
        <v>250000.0</v>
      </c>
      <c r="O90" s="31">
        <v>0.0</v>
      </c>
      <c r="P90" s="32">
        <f t="array" ref="P90">IFNA(XLOOKUP(K90,'⚙️ Pengaturan'!$E$2:$E800,'⚙️ Pengaturan'!$F$2:$F800),"")</f>
        <v>250000</v>
      </c>
      <c r="Q90" s="33">
        <f t="shared" si="4"/>
        <v>0</v>
      </c>
      <c r="R90" s="26" t="s">
        <v>28</v>
      </c>
      <c r="S90" s="38" t="s">
        <v>143</v>
      </c>
      <c r="T90" s="35" t="b">
        <v>1</v>
      </c>
      <c r="U90" s="36"/>
    </row>
    <row r="91" ht="30.0" customHeight="1">
      <c r="A91" s="24"/>
      <c r="B91" s="25">
        <v>2196.0</v>
      </c>
      <c r="C91" s="26" t="s">
        <v>21</v>
      </c>
      <c r="D91" s="27">
        <v>46030.0</v>
      </c>
      <c r="E91" s="28" t="str">
        <f t="shared" si="1"/>
        <v>2026</v>
      </c>
      <c r="F91" s="28" t="str">
        <f t="shared" si="2"/>
        <v>01 Jan</v>
      </c>
      <c r="G91" s="29" t="s">
        <v>22</v>
      </c>
      <c r="H91" s="29" t="s">
        <v>48</v>
      </c>
      <c r="I91" s="29" t="s">
        <v>142</v>
      </c>
      <c r="J91" s="26" t="s">
        <v>25</v>
      </c>
      <c r="K91" s="26" t="s">
        <v>39</v>
      </c>
      <c r="L91" s="28" t="str">
        <f t="shared" si="3"/>
        <v>PAKET KLINIK</v>
      </c>
      <c r="M91" s="26" t="s">
        <v>27</v>
      </c>
      <c r="N91" s="30">
        <v>650000.0</v>
      </c>
      <c r="O91" s="31">
        <v>0.0</v>
      </c>
      <c r="P91" s="32">
        <f t="array" ref="P91">IFNA(XLOOKUP(K91,'⚙️ Pengaturan'!$E$2:$E800,'⚙️ Pengaturan'!$F$2:$F800),"")</f>
        <v>650000</v>
      </c>
      <c r="Q91" s="33">
        <f t="shared" si="4"/>
        <v>0</v>
      </c>
      <c r="R91" s="26" t="s">
        <v>28</v>
      </c>
      <c r="S91" s="38" t="s">
        <v>143</v>
      </c>
      <c r="T91" s="35" t="b">
        <v>1</v>
      </c>
      <c r="U91" s="36"/>
    </row>
    <row r="92" ht="30.0" customHeight="1">
      <c r="A92" s="24"/>
      <c r="B92" s="25">
        <v>2197.0</v>
      </c>
      <c r="C92" s="26" t="s">
        <v>40</v>
      </c>
      <c r="D92" s="27">
        <v>46030.0</v>
      </c>
      <c r="E92" s="28" t="str">
        <f t="shared" si="1"/>
        <v>2026</v>
      </c>
      <c r="F92" s="28" t="str">
        <f t="shared" si="2"/>
        <v>01 Jan</v>
      </c>
      <c r="G92" s="29" t="s">
        <v>41</v>
      </c>
      <c r="H92" s="29" t="s">
        <v>70</v>
      </c>
      <c r="I92" s="29" t="s">
        <v>144</v>
      </c>
      <c r="J92" s="26" t="s">
        <v>25</v>
      </c>
      <c r="K92" s="26" t="s">
        <v>26</v>
      </c>
      <c r="L92" s="28" t="str">
        <f t="shared" si="3"/>
        <v>TA KLINIK</v>
      </c>
      <c r="M92" s="26" t="s">
        <v>27</v>
      </c>
      <c r="N92" s="30">
        <v>250000.0</v>
      </c>
      <c r="O92" s="31">
        <v>0.0</v>
      </c>
      <c r="P92" s="32">
        <f t="array" ref="P92">IFNA(XLOOKUP(K92,'⚙️ Pengaturan'!$E$2:$E800,'⚙️ Pengaturan'!$F$2:$F800),"")</f>
        <v>250000</v>
      </c>
      <c r="Q92" s="33">
        <f t="shared" si="4"/>
        <v>0</v>
      </c>
      <c r="R92" s="26" t="s">
        <v>45</v>
      </c>
      <c r="S92" s="38" t="s">
        <v>145</v>
      </c>
      <c r="T92" s="35" t="b">
        <v>1</v>
      </c>
      <c r="U92" s="36"/>
    </row>
    <row r="93" ht="30.0" customHeight="1">
      <c r="A93" s="24"/>
      <c r="B93" s="25">
        <v>2198.0</v>
      </c>
      <c r="C93" s="26" t="s">
        <v>40</v>
      </c>
      <c r="D93" s="27">
        <v>46030.0</v>
      </c>
      <c r="E93" s="28" t="str">
        <f t="shared" si="1"/>
        <v>2026</v>
      </c>
      <c r="F93" s="28" t="str">
        <f t="shared" si="2"/>
        <v>01 Jan</v>
      </c>
      <c r="G93" s="29" t="s">
        <v>82</v>
      </c>
      <c r="H93" s="29" t="s">
        <v>58</v>
      </c>
      <c r="I93" s="29" t="s">
        <v>112</v>
      </c>
      <c r="J93" s="37"/>
      <c r="K93" s="26" t="s">
        <v>32</v>
      </c>
      <c r="L93" s="28" t="str">
        <f t="shared" si="3"/>
        <v>SESI KLINIK</v>
      </c>
      <c r="M93" s="26" t="s">
        <v>27</v>
      </c>
      <c r="N93" s="30">
        <v>150000.0</v>
      </c>
      <c r="O93" s="31">
        <v>0.0</v>
      </c>
      <c r="P93" s="44">
        <v>150000.0</v>
      </c>
      <c r="Q93" s="33">
        <f t="shared" si="4"/>
        <v>0</v>
      </c>
      <c r="R93" s="26" t="s">
        <v>33</v>
      </c>
      <c r="S93" s="38" t="s">
        <v>34</v>
      </c>
      <c r="T93" s="35" t="b">
        <v>1</v>
      </c>
      <c r="U93" s="36"/>
    </row>
    <row r="94" ht="30.0" customHeight="1">
      <c r="A94" s="24"/>
      <c r="B94" s="25">
        <v>2199.0</v>
      </c>
      <c r="C94" s="26" t="s">
        <v>40</v>
      </c>
      <c r="D94" s="27">
        <v>46031.0</v>
      </c>
      <c r="E94" s="28" t="str">
        <f t="shared" si="1"/>
        <v>2026</v>
      </c>
      <c r="F94" s="28" t="str">
        <f t="shared" si="2"/>
        <v>01 Jan</v>
      </c>
      <c r="G94" s="29" t="s">
        <v>22</v>
      </c>
      <c r="H94" s="29" t="s">
        <v>48</v>
      </c>
      <c r="I94" s="29" t="s">
        <v>119</v>
      </c>
      <c r="J94" s="37"/>
      <c r="K94" s="26" t="s">
        <v>92</v>
      </c>
      <c r="L94" s="28" t="str">
        <f t="shared" si="3"/>
        <v>SESI VISIT</v>
      </c>
      <c r="M94" s="26" t="s">
        <v>27</v>
      </c>
      <c r="N94" s="30">
        <v>200000.0</v>
      </c>
      <c r="O94" s="31">
        <v>0.0</v>
      </c>
      <c r="P94" s="32">
        <f t="array" ref="P94">IFNA(XLOOKUP(K94,'⚙️ Pengaturan'!$E$2:$E800,'⚙️ Pengaturan'!$F$2:$F800),"")</f>
        <v>200000</v>
      </c>
      <c r="Q94" s="33">
        <f t="shared" si="4"/>
        <v>0</v>
      </c>
      <c r="R94" s="26" t="s">
        <v>28</v>
      </c>
      <c r="S94" s="38" t="s">
        <v>119</v>
      </c>
      <c r="T94" s="35" t="b">
        <v>1</v>
      </c>
      <c r="U94" s="36"/>
    </row>
    <row r="95" ht="30.0" customHeight="1">
      <c r="A95" s="24"/>
      <c r="B95" s="25">
        <v>2200.0</v>
      </c>
      <c r="C95" s="26" t="s">
        <v>118</v>
      </c>
      <c r="D95" s="27">
        <v>46031.0</v>
      </c>
      <c r="E95" s="28" t="str">
        <f t="shared" si="1"/>
        <v>2026</v>
      </c>
      <c r="F95" s="28" t="str">
        <f t="shared" si="2"/>
        <v>01 Jan</v>
      </c>
      <c r="G95" s="29" t="s">
        <v>41</v>
      </c>
      <c r="H95" s="29" t="s">
        <v>35</v>
      </c>
      <c r="I95" s="29" t="s">
        <v>88</v>
      </c>
      <c r="J95" s="26" t="s">
        <v>25</v>
      </c>
      <c r="K95" s="26" t="s">
        <v>32</v>
      </c>
      <c r="L95" s="28" t="str">
        <f t="shared" si="3"/>
        <v>SESI KLINIK</v>
      </c>
      <c r="M95" s="26" t="s">
        <v>27</v>
      </c>
      <c r="N95" s="30">
        <v>150000.0</v>
      </c>
      <c r="O95" s="31">
        <v>0.0</v>
      </c>
      <c r="P95" s="32">
        <f t="array" ref="P95">IFNA(XLOOKUP(K95,'⚙️ Pengaturan'!$E$2:$E800,'⚙️ Pengaturan'!$F$2:$F800),"")</f>
        <v>150000</v>
      </c>
      <c r="Q95" s="33">
        <f t="shared" si="4"/>
        <v>0</v>
      </c>
      <c r="R95" s="26" t="s">
        <v>28</v>
      </c>
      <c r="S95" s="38" t="s">
        <v>88</v>
      </c>
      <c r="T95" s="35" t="b">
        <v>1</v>
      </c>
      <c r="U95" s="36"/>
    </row>
    <row r="96" ht="30.0" customHeight="1">
      <c r="A96" s="24"/>
      <c r="B96" s="25">
        <v>2201.0</v>
      </c>
      <c r="C96" s="26" t="s">
        <v>118</v>
      </c>
      <c r="D96" s="27">
        <v>46031.0</v>
      </c>
      <c r="E96" s="28" t="str">
        <f t="shared" si="1"/>
        <v>2026</v>
      </c>
      <c r="F96" s="28" t="str">
        <f t="shared" si="2"/>
        <v>01 Jan</v>
      </c>
      <c r="G96" s="29" t="s">
        <v>41</v>
      </c>
      <c r="H96" s="29" t="s">
        <v>68</v>
      </c>
      <c r="I96" s="29" t="s">
        <v>137</v>
      </c>
      <c r="J96" s="37"/>
      <c r="K96" s="26" t="s">
        <v>32</v>
      </c>
      <c r="L96" s="28" t="str">
        <f t="shared" si="3"/>
        <v>SESI KLINIK</v>
      </c>
      <c r="M96" s="26" t="s">
        <v>27</v>
      </c>
      <c r="N96" s="30">
        <v>150000.0</v>
      </c>
      <c r="O96" s="31">
        <v>0.0</v>
      </c>
      <c r="P96" s="32">
        <f t="array" ref="P96">IFNA(XLOOKUP(K96,'⚙️ Pengaturan'!$E$2:$E800,'⚙️ Pengaturan'!$F$2:$F800),"")</f>
        <v>150000</v>
      </c>
      <c r="Q96" s="33">
        <f t="shared" si="4"/>
        <v>0</v>
      </c>
      <c r="R96" s="26" t="s">
        <v>33</v>
      </c>
      <c r="S96" s="38" t="s">
        <v>34</v>
      </c>
      <c r="T96" s="35" t="b">
        <v>1</v>
      </c>
      <c r="U96" s="36"/>
    </row>
    <row r="97" ht="30.0" customHeight="1">
      <c r="A97" s="24"/>
      <c r="B97" s="25">
        <v>2202.0</v>
      </c>
      <c r="C97" s="26" t="s">
        <v>118</v>
      </c>
      <c r="D97" s="27">
        <v>46031.0</v>
      </c>
      <c r="E97" s="28" t="str">
        <f t="shared" si="1"/>
        <v>2026</v>
      </c>
      <c r="F97" s="28" t="str">
        <f t="shared" si="2"/>
        <v>01 Jan</v>
      </c>
      <c r="G97" s="29" t="s">
        <v>53</v>
      </c>
      <c r="H97" s="29" t="s">
        <v>68</v>
      </c>
      <c r="I97" s="29" t="s">
        <v>146</v>
      </c>
      <c r="J97" s="26" t="s">
        <v>25</v>
      </c>
      <c r="K97" s="26" t="s">
        <v>26</v>
      </c>
      <c r="L97" s="28" t="str">
        <f t="shared" si="3"/>
        <v>TA KLINIK</v>
      </c>
      <c r="M97" s="26" t="s">
        <v>27</v>
      </c>
      <c r="N97" s="30">
        <v>250000.0</v>
      </c>
      <c r="O97" s="31">
        <v>0.0</v>
      </c>
      <c r="P97" s="32">
        <f t="array" ref="P97">IFNA(XLOOKUP(K97,'⚙️ Pengaturan'!$E$2:$E800,'⚙️ Pengaturan'!$F$2:$F800),"")</f>
        <v>250000</v>
      </c>
      <c r="Q97" s="33">
        <f t="shared" si="4"/>
        <v>0</v>
      </c>
      <c r="R97" s="26" t="s">
        <v>33</v>
      </c>
      <c r="S97" s="38" t="s">
        <v>34</v>
      </c>
      <c r="T97" s="35" t="b">
        <v>1</v>
      </c>
      <c r="U97" s="36"/>
    </row>
    <row r="98" ht="30.0" customHeight="1">
      <c r="A98" s="24"/>
      <c r="B98" s="25">
        <v>2203.0</v>
      </c>
      <c r="C98" s="26" t="s">
        <v>118</v>
      </c>
      <c r="D98" s="27">
        <v>46031.0</v>
      </c>
      <c r="E98" s="28" t="str">
        <f t="shared" si="1"/>
        <v>2026</v>
      </c>
      <c r="F98" s="28" t="str">
        <f t="shared" si="2"/>
        <v>01 Jan</v>
      </c>
      <c r="G98" s="29" t="s">
        <v>56</v>
      </c>
      <c r="H98" s="29" t="s">
        <v>68</v>
      </c>
      <c r="I98" s="29" t="s">
        <v>139</v>
      </c>
      <c r="J98" s="37"/>
      <c r="K98" s="26" t="s">
        <v>39</v>
      </c>
      <c r="L98" s="28" t="str">
        <f t="shared" si="3"/>
        <v>PAKET KLINIK</v>
      </c>
      <c r="M98" s="26" t="s">
        <v>86</v>
      </c>
      <c r="N98" s="30">
        <v>200000.0</v>
      </c>
      <c r="O98" s="31">
        <v>0.0</v>
      </c>
      <c r="P98" s="32">
        <f t="array" ref="P98">IFNA(XLOOKUP(K98,'⚙️ Pengaturan'!$E$2:$E800,'⚙️ Pengaturan'!$F$2:$F800),"")</f>
        <v>650000</v>
      </c>
      <c r="Q98" s="33">
        <f t="shared" si="4"/>
        <v>-450000</v>
      </c>
      <c r="R98" s="26" t="s">
        <v>33</v>
      </c>
      <c r="S98" s="38" t="s">
        <v>34</v>
      </c>
      <c r="T98" s="35" t="b">
        <v>1</v>
      </c>
      <c r="U98" s="36"/>
    </row>
    <row r="99" ht="30.0" customHeight="1">
      <c r="A99" s="24"/>
      <c r="B99" s="25">
        <v>2204.0</v>
      </c>
      <c r="C99" s="26" t="s">
        <v>21</v>
      </c>
      <c r="D99" s="27">
        <v>46032.0</v>
      </c>
      <c r="E99" s="28" t="str">
        <f t="shared" si="1"/>
        <v>2026</v>
      </c>
      <c r="F99" s="28" t="str">
        <f t="shared" si="2"/>
        <v>01 Jan</v>
      </c>
      <c r="G99" s="29" t="s">
        <v>67</v>
      </c>
      <c r="H99" s="29" t="s">
        <v>68</v>
      </c>
      <c r="I99" s="29" t="s">
        <v>147</v>
      </c>
      <c r="J99" s="26" t="s">
        <v>25</v>
      </c>
      <c r="K99" s="26" t="s">
        <v>26</v>
      </c>
      <c r="L99" s="28" t="str">
        <f t="shared" si="3"/>
        <v>TA KLINIK</v>
      </c>
      <c r="M99" s="26" t="s">
        <v>27</v>
      </c>
      <c r="N99" s="30">
        <v>250000.0</v>
      </c>
      <c r="O99" s="31">
        <v>0.0</v>
      </c>
      <c r="P99" s="32">
        <f t="array" ref="P99">IFNA(XLOOKUP(K99,'⚙️ Pengaturan'!$E$2:$E800,'⚙️ Pengaturan'!$F$2:$F800),"")</f>
        <v>250000</v>
      </c>
      <c r="Q99" s="33">
        <f t="shared" si="4"/>
        <v>0</v>
      </c>
      <c r="R99" s="26" t="s">
        <v>28</v>
      </c>
      <c r="S99" s="38" t="s">
        <v>147</v>
      </c>
      <c r="T99" s="35" t="b">
        <v>1</v>
      </c>
      <c r="U99" s="36"/>
    </row>
    <row r="100" ht="30.0" customHeight="1">
      <c r="A100" s="24"/>
      <c r="B100" s="25">
        <v>2205.0</v>
      </c>
      <c r="C100" s="26" t="s">
        <v>21</v>
      </c>
      <c r="D100" s="27">
        <v>46032.0</v>
      </c>
      <c r="E100" s="28" t="str">
        <f t="shared" si="1"/>
        <v>2026</v>
      </c>
      <c r="F100" s="28" t="str">
        <f t="shared" si="2"/>
        <v>01 Jan</v>
      </c>
      <c r="G100" s="29" t="s">
        <v>22</v>
      </c>
      <c r="H100" s="29" t="s">
        <v>70</v>
      </c>
      <c r="I100" s="29" t="s">
        <v>121</v>
      </c>
      <c r="J100" s="37"/>
      <c r="K100" s="26" t="s">
        <v>32</v>
      </c>
      <c r="L100" s="28" t="str">
        <f t="shared" si="3"/>
        <v>SESI KLINIK</v>
      </c>
      <c r="M100" s="26" t="s">
        <v>27</v>
      </c>
      <c r="N100" s="30">
        <v>150000.0</v>
      </c>
      <c r="O100" s="31">
        <v>0.0</v>
      </c>
      <c r="P100" s="32">
        <f t="array" ref="P100">IFNA(XLOOKUP(K100,'⚙️ Pengaturan'!$E$2:$E800,'⚙️ Pengaturan'!$F$2:$F800),"")</f>
        <v>150000</v>
      </c>
      <c r="Q100" s="33">
        <f t="shared" si="4"/>
        <v>0</v>
      </c>
      <c r="R100" s="26" t="s">
        <v>28</v>
      </c>
      <c r="S100" s="38" t="s">
        <v>121</v>
      </c>
      <c r="T100" s="35" t="b">
        <v>1</v>
      </c>
      <c r="U100" s="36"/>
    </row>
    <row r="101" ht="30.0" customHeight="1">
      <c r="A101" s="24"/>
      <c r="B101" s="25">
        <v>2206.0</v>
      </c>
      <c r="C101" s="26" t="s">
        <v>21</v>
      </c>
      <c r="D101" s="27">
        <v>46032.0</v>
      </c>
      <c r="E101" s="28" t="str">
        <f t="shared" si="1"/>
        <v>2026</v>
      </c>
      <c r="F101" s="28" t="str">
        <f t="shared" si="2"/>
        <v>01 Jan</v>
      </c>
      <c r="G101" s="29" t="s">
        <v>67</v>
      </c>
      <c r="H101" s="29" t="s">
        <v>148</v>
      </c>
      <c r="I101" s="29" t="s">
        <v>149</v>
      </c>
      <c r="J101" s="37"/>
      <c r="K101" s="26" t="s">
        <v>44</v>
      </c>
      <c r="L101" s="28" t="str">
        <f t="shared" si="3"/>
        <v>PAKET KLINIK</v>
      </c>
      <c r="M101" s="26" t="s">
        <v>63</v>
      </c>
      <c r="N101" s="30">
        <v>600000.0</v>
      </c>
      <c r="O101" s="31">
        <v>600000.0</v>
      </c>
      <c r="P101" s="32">
        <f t="array" ref="P101">IFNA(XLOOKUP(K101,'⚙️ Pengaturan'!$E$2:$E800,'⚙️ Pengaturan'!$F$2:$F800),"")</f>
        <v>1200000</v>
      </c>
      <c r="Q101" s="33">
        <f t="shared" si="4"/>
        <v>0</v>
      </c>
      <c r="R101" s="26" t="s">
        <v>33</v>
      </c>
      <c r="S101" s="38" t="s">
        <v>34</v>
      </c>
      <c r="T101" s="35" t="b">
        <v>1</v>
      </c>
      <c r="U101" s="36"/>
    </row>
    <row r="102" ht="30.0" customHeight="1">
      <c r="A102" s="24"/>
      <c r="B102" s="25">
        <v>2207.0</v>
      </c>
      <c r="C102" s="26" t="s">
        <v>21</v>
      </c>
      <c r="D102" s="27">
        <v>46032.0</v>
      </c>
      <c r="E102" s="28" t="str">
        <f t="shared" si="1"/>
        <v>2026</v>
      </c>
      <c r="F102" s="28" t="str">
        <f t="shared" si="2"/>
        <v>01 Jan</v>
      </c>
      <c r="G102" s="29" t="s">
        <v>29</v>
      </c>
      <c r="H102" s="29" t="s">
        <v>68</v>
      </c>
      <c r="I102" s="29" t="s">
        <v>150</v>
      </c>
      <c r="J102" s="26" t="s">
        <v>25</v>
      </c>
      <c r="K102" s="26" t="s">
        <v>26</v>
      </c>
      <c r="L102" s="28" t="str">
        <f t="shared" si="3"/>
        <v>TA KLINIK</v>
      </c>
      <c r="M102" s="26" t="s">
        <v>27</v>
      </c>
      <c r="N102" s="30">
        <v>250000.0</v>
      </c>
      <c r="O102" s="31">
        <v>0.0</v>
      </c>
      <c r="P102" s="32">
        <f t="array" ref="P102">IFNA(XLOOKUP(K102,'⚙️ Pengaturan'!$E$2:$E800,'⚙️ Pengaturan'!$F$2:$F800),"")</f>
        <v>250000</v>
      </c>
      <c r="Q102" s="33">
        <f t="shared" si="4"/>
        <v>0</v>
      </c>
      <c r="R102" s="26" t="s">
        <v>33</v>
      </c>
      <c r="S102" s="38" t="s">
        <v>34</v>
      </c>
      <c r="T102" s="35" t="b">
        <v>1</v>
      </c>
      <c r="U102" s="36"/>
    </row>
    <row r="103" ht="30.0" customHeight="1">
      <c r="A103" s="24"/>
      <c r="B103" s="25">
        <v>2208.0</v>
      </c>
      <c r="C103" s="26" t="s">
        <v>21</v>
      </c>
      <c r="D103" s="27">
        <v>46032.0</v>
      </c>
      <c r="E103" s="28" t="str">
        <f t="shared" si="1"/>
        <v>2026</v>
      </c>
      <c r="F103" s="28" t="str">
        <f t="shared" si="2"/>
        <v>01 Jan</v>
      </c>
      <c r="G103" s="29" t="s">
        <v>29</v>
      </c>
      <c r="H103" s="29" t="s">
        <v>23</v>
      </c>
      <c r="I103" s="29" t="s">
        <v>151</v>
      </c>
      <c r="J103" s="26" t="s">
        <v>25</v>
      </c>
      <c r="K103" s="26" t="s">
        <v>26</v>
      </c>
      <c r="L103" s="28" t="str">
        <f t="shared" si="3"/>
        <v>TA KLINIK</v>
      </c>
      <c r="M103" s="26" t="s">
        <v>27</v>
      </c>
      <c r="N103" s="30">
        <v>250000.0</v>
      </c>
      <c r="O103" s="31">
        <v>0.0</v>
      </c>
      <c r="P103" s="32">
        <f t="array" ref="P103">IFNA(XLOOKUP(K103,'⚙️ Pengaturan'!$E$2:$E800,'⚙️ Pengaturan'!$F$2:$F800),"")</f>
        <v>250000</v>
      </c>
      <c r="Q103" s="33">
        <f t="shared" si="4"/>
        <v>0</v>
      </c>
      <c r="R103" s="26" t="s">
        <v>45</v>
      </c>
      <c r="S103" s="38" t="s">
        <v>152</v>
      </c>
      <c r="T103" s="35" t="b">
        <v>1</v>
      </c>
      <c r="U103" s="36"/>
    </row>
    <row r="104" ht="30.0" customHeight="1">
      <c r="A104" s="24"/>
      <c r="B104" s="25">
        <v>2209.0</v>
      </c>
      <c r="C104" s="26" t="s">
        <v>21</v>
      </c>
      <c r="D104" s="27">
        <v>46032.0</v>
      </c>
      <c r="E104" s="28" t="str">
        <f t="shared" si="1"/>
        <v>2026</v>
      </c>
      <c r="F104" s="28" t="str">
        <f t="shared" si="2"/>
        <v>01 Jan</v>
      </c>
      <c r="G104" s="29" t="s">
        <v>29</v>
      </c>
      <c r="H104" s="29" t="s">
        <v>23</v>
      </c>
      <c r="I104" s="29" t="s">
        <v>151</v>
      </c>
      <c r="J104" s="26" t="s">
        <v>25</v>
      </c>
      <c r="K104" s="26" t="s">
        <v>44</v>
      </c>
      <c r="L104" s="28" t="str">
        <f t="shared" si="3"/>
        <v>PAKET KLINIK</v>
      </c>
      <c r="M104" s="26" t="s">
        <v>27</v>
      </c>
      <c r="N104" s="30">
        <v>1200000.0</v>
      </c>
      <c r="O104" s="31">
        <v>0.0</v>
      </c>
      <c r="P104" s="32">
        <f t="array" ref="P104">IFNA(XLOOKUP(K104,'⚙️ Pengaturan'!$E$2:$E800,'⚙️ Pengaturan'!$F$2:$F800),"")</f>
        <v>1200000</v>
      </c>
      <c r="Q104" s="33">
        <f t="shared" si="4"/>
        <v>0</v>
      </c>
      <c r="R104" s="26" t="s">
        <v>45</v>
      </c>
      <c r="S104" s="38" t="s">
        <v>152</v>
      </c>
      <c r="T104" s="35" t="b">
        <v>1</v>
      </c>
      <c r="U104" s="36"/>
    </row>
    <row r="105" ht="30.0" customHeight="1">
      <c r="A105" s="24"/>
      <c r="B105" s="25">
        <v>2210.0</v>
      </c>
      <c r="C105" s="26" t="s">
        <v>21</v>
      </c>
      <c r="D105" s="27">
        <v>46032.0</v>
      </c>
      <c r="E105" s="28" t="str">
        <f t="shared" si="1"/>
        <v>2026</v>
      </c>
      <c r="F105" s="28" t="str">
        <f t="shared" si="2"/>
        <v>01 Jan</v>
      </c>
      <c r="G105" s="29" t="s">
        <v>29</v>
      </c>
      <c r="H105" s="29" t="s">
        <v>70</v>
      </c>
      <c r="I105" s="29" t="s">
        <v>153</v>
      </c>
      <c r="J105" s="26" t="s">
        <v>25</v>
      </c>
      <c r="K105" s="26" t="s">
        <v>26</v>
      </c>
      <c r="L105" s="28" t="str">
        <f t="shared" si="3"/>
        <v>TA KLINIK</v>
      </c>
      <c r="M105" s="26" t="s">
        <v>27</v>
      </c>
      <c r="N105" s="30">
        <v>250000.0</v>
      </c>
      <c r="O105" s="31">
        <v>0.0</v>
      </c>
      <c r="P105" s="32">
        <f t="array" ref="P105">IFNA(XLOOKUP(K105,'⚙️ Pengaturan'!$E$2:$E800,'⚙️ Pengaturan'!$F$2:$F800),"")</f>
        <v>250000</v>
      </c>
      <c r="Q105" s="33">
        <f t="shared" si="4"/>
        <v>0</v>
      </c>
      <c r="R105" s="26" t="s">
        <v>45</v>
      </c>
      <c r="S105" s="38" t="s">
        <v>153</v>
      </c>
      <c r="T105" s="35" t="b">
        <v>1</v>
      </c>
      <c r="U105" s="36"/>
    </row>
    <row r="106" ht="30.0" customHeight="1">
      <c r="A106" s="24"/>
      <c r="B106" s="25">
        <v>2211.0</v>
      </c>
      <c r="C106" s="26" t="s">
        <v>21</v>
      </c>
      <c r="D106" s="27">
        <v>46032.0</v>
      </c>
      <c r="E106" s="28" t="str">
        <f t="shared" si="1"/>
        <v>2026</v>
      </c>
      <c r="F106" s="28" t="str">
        <f t="shared" si="2"/>
        <v>01 Jan</v>
      </c>
      <c r="G106" s="29" t="s">
        <v>82</v>
      </c>
      <c r="H106" s="29" t="s">
        <v>51</v>
      </c>
      <c r="I106" s="29" t="s">
        <v>90</v>
      </c>
      <c r="J106" s="37"/>
      <c r="K106" s="26" t="s">
        <v>39</v>
      </c>
      <c r="L106" s="28" t="str">
        <f t="shared" si="3"/>
        <v>PAKET KLINIK</v>
      </c>
      <c r="M106" s="26" t="s">
        <v>63</v>
      </c>
      <c r="N106" s="30">
        <v>450000.0</v>
      </c>
      <c r="O106" s="31">
        <v>200000.0</v>
      </c>
      <c r="P106" s="32">
        <v>650000.0</v>
      </c>
      <c r="Q106" s="33">
        <v>0.0</v>
      </c>
      <c r="R106" s="26" t="s">
        <v>33</v>
      </c>
      <c r="S106" s="38" t="s">
        <v>34</v>
      </c>
      <c r="T106" s="35" t="b">
        <v>1</v>
      </c>
      <c r="U106" s="36"/>
    </row>
    <row r="107" ht="30.0" customHeight="1">
      <c r="A107" s="24"/>
      <c r="B107" s="25">
        <v>2212.0</v>
      </c>
      <c r="C107" s="26" t="s">
        <v>21</v>
      </c>
      <c r="D107" s="27">
        <v>46032.0</v>
      </c>
      <c r="E107" s="28" t="str">
        <f t="shared" si="1"/>
        <v>2026</v>
      </c>
      <c r="F107" s="28" t="str">
        <f t="shared" si="2"/>
        <v>01 Jan</v>
      </c>
      <c r="G107" s="29" t="s">
        <v>37</v>
      </c>
      <c r="H107" s="29" t="s">
        <v>68</v>
      </c>
      <c r="I107" s="29" t="s">
        <v>144</v>
      </c>
      <c r="J107" s="37"/>
      <c r="K107" s="26" t="s">
        <v>39</v>
      </c>
      <c r="L107" s="28" t="str">
        <f t="shared" si="3"/>
        <v>PAKET KLINIK</v>
      </c>
      <c r="M107" s="26" t="s">
        <v>86</v>
      </c>
      <c r="N107" s="30">
        <v>200000.0</v>
      </c>
      <c r="O107" s="31">
        <v>0.0</v>
      </c>
      <c r="P107" s="32">
        <f t="array" ref="P107">IFNA(XLOOKUP(K107,'⚙️ Pengaturan'!$E$2:$E800,'⚙️ Pengaturan'!$F$2:$F800),"")</f>
        <v>650000</v>
      </c>
      <c r="Q107" s="33">
        <f t="shared" ref="Q107:Q429" si="5">IF(I107="","",(N107+O107)-P107)</f>
        <v>-450000</v>
      </c>
      <c r="R107" s="26" t="s">
        <v>45</v>
      </c>
      <c r="S107" s="38" t="s">
        <v>145</v>
      </c>
      <c r="T107" s="35" t="b">
        <v>1</v>
      </c>
      <c r="U107" s="36"/>
    </row>
    <row r="108" ht="30.0" customHeight="1">
      <c r="A108" s="24"/>
      <c r="B108" s="25">
        <v>2213.0</v>
      </c>
      <c r="C108" s="26" t="s">
        <v>21</v>
      </c>
      <c r="D108" s="27">
        <v>46032.0</v>
      </c>
      <c r="E108" s="28" t="str">
        <f t="shared" si="1"/>
        <v>2026</v>
      </c>
      <c r="F108" s="28" t="str">
        <f t="shared" si="2"/>
        <v>01 Jan</v>
      </c>
      <c r="G108" s="29" t="s">
        <v>37</v>
      </c>
      <c r="H108" s="29" t="s">
        <v>23</v>
      </c>
      <c r="I108" s="29" t="s">
        <v>125</v>
      </c>
      <c r="J108" s="37"/>
      <c r="K108" s="26" t="s">
        <v>32</v>
      </c>
      <c r="L108" s="28" t="str">
        <f t="shared" si="3"/>
        <v>SESI KLINIK</v>
      </c>
      <c r="M108" s="26" t="s">
        <v>27</v>
      </c>
      <c r="N108" s="30">
        <v>150000.0</v>
      </c>
      <c r="O108" s="31">
        <v>0.0</v>
      </c>
      <c r="P108" s="32">
        <f t="array" ref="P108">IFNA(XLOOKUP(K108,'⚙️ Pengaturan'!$E$2:$E800,'⚙️ Pengaturan'!$F$2:$F800),"")</f>
        <v>150000</v>
      </c>
      <c r="Q108" s="33">
        <f t="shared" si="5"/>
        <v>0</v>
      </c>
      <c r="R108" s="26" t="s">
        <v>33</v>
      </c>
      <c r="S108" s="38" t="s">
        <v>34</v>
      </c>
      <c r="T108" s="35" t="b">
        <v>1</v>
      </c>
      <c r="U108" s="36"/>
    </row>
    <row r="109" ht="30.0" customHeight="1">
      <c r="A109" s="24"/>
      <c r="B109" s="25">
        <v>2214.0</v>
      </c>
      <c r="C109" s="26" t="s">
        <v>21</v>
      </c>
      <c r="D109" s="27">
        <v>46032.0</v>
      </c>
      <c r="E109" s="28" t="str">
        <f t="shared" si="1"/>
        <v>2026</v>
      </c>
      <c r="F109" s="28" t="str">
        <f t="shared" si="2"/>
        <v>01 Jan</v>
      </c>
      <c r="G109" s="29" t="s">
        <v>37</v>
      </c>
      <c r="H109" s="29" t="s">
        <v>42</v>
      </c>
      <c r="I109" s="29" t="s">
        <v>154</v>
      </c>
      <c r="J109" s="26" t="s">
        <v>76</v>
      </c>
      <c r="K109" s="26" t="s">
        <v>44</v>
      </c>
      <c r="L109" s="28" t="str">
        <f t="shared" si="3"/>
        <v>PAKET KLINIK</v>
      </c>
      <c r="M109" s="26" t="s">
        <v>27</v>
      </c>
      <c r="N109" s="30">
        <v>1200000.0</v>
      </c>
      <c r="O109" s="31">
        <v>0.0</v>
      </c>
      <c r="P109" s="32">
        <f t="array" ref="P109">IFNA(XLOOKUP(K109,'⚙️ Pengaturan'!$E$2:$E800,'⚙️ Pengaturan'!$F$2:$F800),"")</f>
        <v>1200000</v>
      </c>
      <c r="Q109" s="33">
        <f t="shared" si="5"/>
        <v>0</v>
      </c>
      <c r="R109" s="26" t="s">
        <v>45</v>
      </c>
      <c r="S109" s="38" t="s">
        <v>154</v>
      </c>
      <c r="T109" s="35" t="b">
        <v>1</v>
      </c>
      <c r="U109" s="36"/>
    </row>
    <row r="110" ht="30.0" customHeight="1">
      <c r="A110" s="24"/>
      <c r="B110" s="25">
        <v>2215.0</v>
      </c>
      <c r="C110" s="26" t="s">
        <v>21</v>
      </c>
      <c r="D110" s="27">
        <v>46032.0</v>
      </c>
      <c r="E110" s="28" t="str">
        <f t="shared" si="1"/>
        <v>2026</v>
      </c>
      <c r="F110" s="28" t="str">
        <f t="shared" si="2"/>
        <v>01 Jan</v>
      </c>
      <c r="G110" s="29" t="s">
        <v>37</v>
      </c>
      <c r="H110" s="29" t="s">
        <v>51</v>
      </c>
      <c r="I110" s="29" t="s">
        <v>52</v>
      </c>
      <c r="J110" s="37"/>
      <c r="K110" s="26" t="s">
        <v>32</v>
      </c>
      <c r="L110" s="28" t="str">
        <f t="shared" si="3"/>
        <v>SESI KLINIK</v>
      </c>
      <c r="M110" s="26" t="s">
        <v>27</v>
      </c>
      <c r="N110" s="30">
        <v>150000.0</v>
      </c>
      <c r="O110" s="31">
        <v>0.0</v>
      </c>
      <c r="P110" s="32">
        <f t="array" ref="P110">IFNA(XLOOKUP(K110,'⚙️ Pengaturan'!$E$2:$E800,'⚙️ Pengaturan'!$F$2:$F800),"")</f>
        <v>150000</v>
      </c>
      <c r="Q110" s="33">
        <f t="shared" si="5"/>
        <v>0</v>
      </c>
      <c r="R110" s="26" t="s">
        <v>33</v>
      </c>
      <c r="S110" s="38" t="s">
        <v>34</v>
      </c>
      <c r="T110" s="35" t="b">
        <v>1</v>
      </c>
      <c r="U110" s="36"/>
    </row>
    <row r="111" ht="30.0" customHeight="1">
      <c r="A111" s="24"/>
      <c r="B111" s="25">
        <v>2216.0</v>
      </c>
      <c r="C111" s="26" t="s">
        <v>40</v>
      </c>
      <c r="D111" s="27">
        <v>46032.0</v>
      </c>
      <c r="E111" s="28" t="str">
        <f t="shared" si="1"/>
        <v>2026</v>
      </c>
      <c r="F111" s="28" t="str">
        <f t="shared" si="2"/>
        <v>01 Jan</v>
      </c>
      <c r="G111" s="29" t="s">
        <v>41</v>
      </c>
      <c r="H111" s="29" t="s">
        <v>58</v>
      </c>
      <c r="I111" s="29" t="s">
        <v>69</v>
      </c>
      <c r="J111" s="37"/>
      <c r="K111" s="26" t="s">
        <v>32</v>
      </c>
      <c r="L111" s="28" t="str">
        <f t="shared" si="3"/>
        <v>SESI KLINIK</v>
      </c>
      <c r="M111" s="26" t="s">
        <v>27</v>
      </c>
      <c r="N111" s="30">
        <v>150000.0</v>
      </c>
      <c r="O111" s="31">
        <v>0.0</v>
      </c>
      <c r="P111" s="32">
        <f t="array" ref="P111">IFNA(XLOOKUP(K111,'⚙️ Pengaturan'!$E$2:$E800,'⚙️ Pengaturan'!$F$2:$F800),"")</f>
        <v>150000</v>
      </c>
      <c r="Q111" s="33">
        <f t="shared" si="5"/>
        <v>0</v>
      </c>
      <c r="R111" s="26" t="s">
        <v>33</v>
      </c>
      <c r="S111" s="38" t="s">
        <v>34</v>
      </c>
      <c r="T111" s="35" t="b">
        <v>1</v>
      </c>
      <c r="U111" s="36"/>
    </row>
    <row r="112" ht="30.0" customHeight="1">
      <c r="A112" s="24"/>
      <c r="B112" s="25">
        <v>2217.0</v>
      </c>
      <c r="C112" s="26" t="s">
        <v>40</v>
      </c>
      <c r="D112" s="27">
        <v>46032.0</v>
      </c>
      <c r="E112" s="28" t="str">
        <f t="shared" si="1"/>
        <v>2026</v>
      </c>
      <c r="F112" s="28" t="str">
        <f t="shared" si="2"/>
        <v>01 Jan</v>
      </c>
      <c r="G112" s="29" t="s">
        <v>41</v>
      </c>
      <c r="H112" s="29" t="s">
        <v>48</v>
      </c>
      <c r="I112" s="29" t="s">
        <v>109</v>
      </c>
      <c r="J112" s="37"/>
      <c r="K112" s="26" t="s">
        <v>32</v>
      </c>
      <c r="L112" s="28" t="str">
        <f t="shared" si="3"/>
        <v>SESI KLINIK</v>
      </c>
      <c r="M112" s="26" t="s">
        <v>27</v>
      </c>
      <c r="N112" s="30">
        <v>150000.0</v>
      </c>
      <c r="O112" s="31">
        <v>0.0</v>
      </c>
      <c r="P112" s="32">
        <f t="array" ref="P112">IFNA(XLOOKUP(K112,'⚙️ Pengaturan'!$E$2:$E800,'⚙️ Pengaturan'!$F$2:$F800),"")</f>
        <v>150000</v>
      </c>
      <c r="Q112" s="33">
        <f t="shared" si="5"/>
        <v>0</v>
      </c>
      <c r="R112" s="26" t="s">
        <v>33</v>
      </c>
      <c r="S112" s="38" t="s">
        <v>34</v>
      </c>
      <c r="T112" s="35" t="b">
        <v>1</v>
      </c>
      <c r="U112" s="36"/>
    </row>
    <row r="113" ht="30.0" customHeight="1">
      <c r="A113" s="24"/>
      <c r="B113" s="25">
        <v>2218.0</v>
      </c>
      <c r="C113" s="26" t="s">
        <v>40</v>
      </c>
      <c r="D113" s="27">
        <v>46032.0</v>
      </c>
      <c r="E113" s="28" t="str">
        <f t="shared" si="1"/>
        <v>2026</v>
      </c>
      <c r="F113" s="28" t="str">
        <f t="shared" si="2"/>
        <v>01 Jan</v>
      </c>
      <c r="G113" s="29" t="s">
        <v>53</v>
      </c>
      <c r="H113" s="29" t="s">
        <v>30</v>
      </c>
      <c r="I113" s="29" t="s">
        <v>155</v>
      </c>
      <c r="J113" s="26" t="s">
        <v>25</v>
      </c>
      <c r="K113" s="26" t="s">
        <v>26</v>
      </c>
      <c r="L113" s="28" t="str">
        <f t="shared" si="3"/>
        <v>TA KLINIK</v>
      </c>
      <c r="M113" s="26" t="s">
        <v>27</v>
      </c>
      <c r="N113" s="30">
        <v>250000.0</v>
      </c>
      <c r="O113" s="31">
        <v>0.0</v>
      </c>
      <c r="P113" s="32">
        <f t="array" ref="P113">IFNA(XLOOKUP(K113,'⚙️ Pengaturan'!$E$2:$E800,'⚙️ Pengaturan'!$F$2:$F800),"")</f>
        <v>250000</v>
      </c>
      <c r="Q113" s="33">
        <f t="shared" si="5"/>
        <v>0</v>
      </c>
      <c r="R113" s="26" t="s">
        <v>33</v>
      </c>
      <c r="S113" s="38" t="s">
        <v>34</v>
      </c>
      <c r="T113" s="35" t="b">
        <v>1</v>
      </c>
      <c r="U113" s="36"/>
    </row>
    <row r="114" ht="30.0" customHeight="1">
      <c r="A114" s="24"/>
      <c r="B114" s="25">
        <v>2219.0</v>
      </c>
      <c r="C114" s="26" t="s">
        <v>40</v>
      </c>
      <c r="D114" s="27">
        <v>46032.0</v>
      </c>
      <c r="E114" s="28" t="str">
        <f t="shared" si="1"/>
        <v>2026</v>
      </c>
      <c r="F114" s="28" t="str">
        <f t="shared" si="2"/>
        <v>01 Jan</v>
      </c>
      <c r="G114" s="29" t="s">
        <v>53</v>
      </c>
      <c r="H114" s="29" t="s">
        <v>42</v>
      </c>
      <c r="I114" s="29" t="s">
        <v>131</v>
      </c>
      <c r="J114" s="37"/>
      <c r="K114" s="26" t="s">
        <v>39</v>
      </c>
      <c r="L114" s="28" t="str">
        <f t="shared" si="3"/>
        <v>PAKET KLINIK</v>
      </c>
      <c r="M114" s="26" t="s">
        <v>27</v>
      </c>
      <c r="N114" s="30">
        <v>650000.0</v>
      </c>
      <c r="O114" s="31">
        <v>0.0</v>
      </c>
      <c r="P114" s="32">
        <f t="array" ref="P114">IFNA(XLOOKUP(K114,'⚙️ Pengaturan'!$E$2:$E800,'⚙️ Pengaturan'!$F$2:$F800),"")</f>
        <v>650000</v>
      </c>
      <c r="Q114" s="33">
        <f t="shared" si="5"/>
        <v>0</v>
      </c>
      <c r="R114" s="26" t="s">
        <v>28</v>
      </c>
      <c r="S114" s="38" t="s">
        <v>131</v>
      </c>
      <c r="T114" s="35" t="b">
        <v>1</v>
      </c>
      <c r="U114" s="36"/>
    </row>
    <row r="115" ht="30.0" customHeight="1">
      <c r="A115" s="24"/>
      <c r="B115" s="25">
        <v>2220.0</v>
      </c>
      <c r="C115" s="26" t="s">
        <v>40</v>
      </c>
      <c r="D115" s="27">
        <v>46032.0</v>
      </c>
      <c r="E115" s="28" t="str">
        <f t="shared" si="1"/>
        <v>2026</v>
      </c>
      <c r="F115" s="28" t="str">
        <f t="shared" si="2"/>
        <v>01 Jan</v>
      </c>
      <c r="G115" s="29" t="s">
        <v>53</v>
      </c>
      <c r="H115" s="29" t="s">
        <v>58</v>
      </c>
      <c r="I115" s="29" t="s">
        <v>81</v>
      </c>
      <c r="J115" s="37"/>
      <c r="K115" s="26" t="s">
        <v>32</v>
      </c>
      <c r="L115" s="28" t="str">
        <f t="shared" si="3"/>
        <v>SESI KLINIK</v>
      </c>
      <c r="M115" s="26" t="s">
        <v>27</v>
      </c>
      <c r="N115" s="30">
        <v>150000.0</v>
      </c>
      <c r="O115" s="31">
        <v>0.0</v>
      </c>
      <c r="P115" s="32">
        <f t="array" ref="P115">IFNA(XLOOKUP(K115,'⚙️ Pengaturan'!$E$2:$E800,'⚙️ Pengaturan'!$F$2:$F800),"")</f>
        <v>150000</v>
      </c>
      <c r="Q115" s="33">
        <f t="shared" si="5"/>
        <v>0</v>
      </c>
      <c r="R115" s="26" t="s">
        <v>28</v>
      </c>
      <c r="S115" s="38" t="s">
        <v>81</v>
      </c>
      <c r="T115" s="35" t="b">
        <v>1</v>
      </c>
      <c r="U115" s="36"/>
    </row>
    <row r="116" ht="30.0" customHeight="1">
      <c r="A116" s="24"/>
      <c r="B116" s="25">
        <v>2221.0</v>
      </c>
      <c r="C116" s="26" t="s">
        <v>40</v>
      </c>
      <c r="D116" s="27">
        <v>46032.0</v>
      </c>
      <c r="E116" s="28" t="str">
        <f t="shared" si="1"/>
        <v>2026</v>
      </c>
      <c r="F116" s="28" t="str">
        <f t="shared" si="2"/>
        <v>01 Jan</v>
      </c>
      <c r="G116" s="29" t="s">
        <v>95</v>
      </c>
      <c r="H116" s="29" t="s">
        <v>42</v>
      </c>
      <c r="I116" s="29" t="s">
        <v>60</v>
      </c>
      <c r="J116" s="37"/>
      <c r="K116" s="26" t="s">
        <v>44</v>
      </c>
      <c r="L116" s="28" t="str">
        <f t="shared" si="3"/>
        <v>PAKET KLINIK</v>
      </c>
      <c r="M116" s="26" t="s">
        <v>63</v>
      </c>
      <c r="N116" s="30">
        <v>700000.0</v>
      </c>
      <c r="O116" s="31">
        <v>500000.0</v>
      </c>
      <c r="P116" s="32">
        <f t="array" ref="P116">IFNA(XLOOKUP(K116,'⚙️ Pengaturan'!$E$2:$E800,'⚙️ Pengaturan'!$F$2:$F800),"")</f>
        <v>1200000</v>
      </c>
      <c r="Q116" s="33">
        <f t="shared" si="5"/>
        <v>0</v>
      </c>
      <c r="R116" s="26" t="s">
        <v>33</v>
      </c>
      <c r="S116" s="38" t="s">
        <v>34</v>
      </c>
      <c r="T116" s="35" t="b">
        <v>1</v>
      </c>
      <c r="U116" s="36"/>
    </row>
    <row r="117" ht="30.0" customHeight="1">
      <c r="A117" s="24"/>
      <c r="B117" s="25">
        <v>2222.0</v>
      </c>
      <c r="C117" s="26" t="s">
        <v>40</v>
      </c>
      <c r="D117" s="27">
        <v>46032.0</v>
      </c>
      <c r="E117" s="28" t="str">
        <f t="shared" si="1"/>
        <v>2026</v>
      </c>
      <c r="F117" s="28" t="str">
        <f t="shared" si="2"/>
        <v>01 Jan</v>
      </c>
      <c r="G117" s="29" t="s">
        <v>67</v>
      </c>
      <c r="H117" s="29" t="s">
        <v>51</v>
      </c>
      <c r="I117" s="29" t="s">
        <v>130</v>
      </c>
      <c r="J117" s="37"/>
      <c r="K117" s="26" t="s">
        <v>32</v>
      </c>
      <c r="L117" s="28" t="str">
        <f t="shared" si="3"/>
        <v>SESI KLINIK</v>
      </c>
      <c r="M117" s="26" t="s">
        <v>27</v>
      </c>
      <c r="N117" s="30">
        <v>150000.0</v>
      </c>
      <c r="O117" s="31">
        <v>0.0</v>
      </c>
      <c r="P117" s="32">
        <f t="array" ref="P117">IFNA(XLOOKUP(K117,'⚙️ Pengaturan'!$E$2:$E800,'⚙️ Pengaturan'!$F$2:$F800),"")</f>
        <v>150000</v>
      </c>
      <c r="Q117" s="33">
        <f t="shared" si="5"/>
        <v>0</v>
      </c>
      <c r="R117" s="26" t="s">
        <v>45</v>
      </c>
      <c r="S117" s="38" t="s">
        <v>130</v>
      </c>
      <c r="T117" s="35" t="b">
        <v>1</v>
      </c>
      <c r="U117" s="36"/>
    </row>
    <row r="118" ht="30.0" customHeight="1">
      <c r="A118" s="24"/>
      <c r="B118" s="25">
        <v>2223.0</v>
      </c>
      <c r="C118" s="26" t="s">
        <v>40</v>
      </c>
      <c r="D118" s="27">
        <v>46032.0</v>
      </c>
      <c r="E118" s="28" t="str">
        <f t="shared" si="1"/>
        <v>2026</v>
      </c>
      <c r="F118" s="28" t="str">
        <f t="shared" si="2"/>
        <v>01 Jan</v>
      </c>
      <c r="G118" s="29" t="s">
        <v>56</v>
      </c>
      <c r="H118" s="29" t="s">
        <v>58</v>
      </c>
      <c r="I118" s="29" t="s">
        <v>59</v>
      </c>
      <c r="J118" s="37"/>
      <c r="K118" s="26" t="s">
        <v>39</v>
      </c>
      <c r="L118" s="28" t="str">
        <f t="shared" si="3"/>
        <v>PAKET KLINIK</v>
      </c>
      <c r="M118" s="26" t="s">
        <v>63</v>
      </c>
      <c r="N118" s="30">
        <v>450000.0</v>
      </c>
      <c r="O118" s="31">
        <v>200000.0</v>
      </c>
      <c r="P118" s="32">
        <f t="array" ref="P118">IFNA(XLOOKUP(K118,'⚙️ Pengaturan'!$E$2:$E800,'⚙️ Pengaturan'!$F$2:$F800),"")</f>
        <v>650000</v>
      </c>
      <c r="Q118" s="33">
        <f t="shared" si="5"/>
        <v>0</v>
      </c>
      <c r="R118" s="26" t="s">
        <v>33</v>
      </c>
      <c r="S118" s="38" t="s">
        <v>34</v>
      </c>
      <c r="T118" s="35" t="b">
        <v>1</v>
      </c>
      <c r="U118" s="36"/>
    </row>
    <row r="119" ht="30.0" customHeight="1">
      <c r="A119" s="24"/>
      <c r="B119" s="25">
        <v>2224.0</v>
      </c>
      <c r="C119" s="26" t="s">
        <v>40</v>
      </c>
      <c r="D119" s="27">
        <v>46032.0</v>
      </c>
      <c r="E119" s="28" t="str">
        <f t="shared" si="1"/>
        <v>2026</v>
      </c>
      <c r="F119" s="28" t="str">
        <f t="shared" si="2"/>
        <v>01 Jan</v>
      </c>
      <c r="G119" s="29" t="s">
        <v>61</v>
      </c>
      <c r="H119" s="29" t="s">
        <v>30</v>
      </c>
      <c r="I119" s="29" t="s">
        <v>156</v>
      </c>
      <c r="J119" s="26" t="s">
        <v>25</v>
      </c>
      <c r="K119" s="26" t="s">
        <v>26</v>
      </c>
      <c r="L119" s="28" t="str">
        <f t="shared" si="3"/>
        <v>TA KLINIK</v>
      </c>
      <c r="M119" s="26" t="s">
        <v>27</v>
      </c>
      <c r="N119" s="30">
        <v>250000.0</v>
      </c>
      <c r="O119" s="31">
        <v>0.0</v>
      </c>
      <c r="P119" s="32">
        <f t="array" ref="P119">IFNA(XLOOKUP(K119,'⚙️ Pengaturan'!$E$2:$E800,'⚙️ Pengaturan'!$F$2:$F800),"")</f>
        <v>250000</v>
      </c>
      <c r="Q119" s="33">
        <f t="shared" si="5"/>
        <v>0</v>
      </c>
      <c r="R119" s="26" t="s">
        <v>28</v>
      </c>
      <c r="S119" s="38" t="s">
        <v>156</v>
      </c>
      <c r="T119" s="35" t="b">
        <v>1</v>
      </c>
      <c r="U119" s="36"/>
    </row>
    <row r="120" ht="30.0" customHeight="1">
      <c r="A120" s="24"/>
      <c r="B120" s="25">
        <v>2225.0</v>
      </c>
      <c r="C120" s="26" t="s">
        <v>40</v>
      </c>
      <c r="D120" s="27">
        <v>46032.0</v>
      </c>
      <c r="E120" s="28" t="str">
        <f t="shared" si="1"/>
        <v>2026</v>
      </c>
      <c r="F120" s="28" t="str">
        <f t="shared" si="2"/>
        <v>01 Jan</v>
      </c>
      <c r="G120" s="29" t="s">
        <v>61</v>
      </c>
      <c r="H120" s="29" t="s">
        <v>42</v>
      </c>
      <c r="I120" s="29" t="s">
        <v>157</v>
      </c>
      <c r="J120" s="26" t="s">
        <v>25</v>
      </c>
      <c r="K120" s="26" t="s">
        <v>26</v>
      </c>
      <c r="L120" s="28" t="str">
        <f t="shared" si="3"/>
        <v>TA KLINIK</v>
      </c>
      <c r="M120" s="26" t="s">
        <v>27</v>
      </c>
      <c r="N120" s="30">
        <v>250000.0</v>
      </c>
      <c r="O120" s="31">
        <v>0.0</v>
      </c>
      <c r="P120" s="32">
        <f t="array" ref="P120">IFNA(XLOOKUP(K120,'⚙️ Pengaturan'!$E$2:$E800,'⚙️ Pengaturan'!$F$2:$F800),"")</f>
        <v>250000</v>
      </c>
      <c r="Q120" s="33">
        <f t="shared" si="5"/>
        <v>0</v>
      </c>
      <c r="R120" s="26" t="s">
        <v>28</v>
      </c>
      <c r="S120" s="38" t="s">
        <v>157</v>
      </c>
      <c r="T120" s="35" t="b">
        <v>1</v>
      </c>
      <c r="U120" s="36"/>
    </row>
    <row r="121" ht="30.0" customHeight="1">
      <c r="A121" s="24"/>
      <c r="B121" s="25">
        <v>2226.0</v>
      </c>
      <c r="C121" s="26" t="s">
        <v>21</v>
      </c>
      <c r="D121" s="27">
        <v>46033.0</v>
      </c>
      <c r="E121" s="28" t="str">
        <f t="shared" si="1"/>
        <v>2026</v>
      </c>
      <c r="F121" s="28" t="str">
        <f t="shared" si="2"/>
        <v>01 Jan</v>
      </c>
      <c r="G121" s="29" t="s">
        <v>67</v>
      </c>
      <c r="H121" s="29" t="s">
        <v>30</v>
      </c>
      <c r="I121" s="29" t="s">
        <v>135</v>
      </c>
      <c r="J121" s="37"/>
      <c r="K121" s="26" t="s">
        <v>39</v>
      </c>
      <c r="L121" s="28" t="str">
        <f t="shared" si="3"/>
        <v>PAKET KLINIK</v>
      </c>
      <c r="M121" s="26" t="s">
        <v>27</v>
      </c>
      <c r="N121" s="30">
        <v>650000.0</v>
      </c>
      <c r="O121" s="31">
        <v>0.0</v>
      </c>
      <c r="P121" s="32">
        <f t="array" ref="P121">IFNA(XLOOKUP(K121,'⚙️ Pengaturan'!$E$2:$E800,'⚙️ Pengaturan'!$F$2:$F800),"")</f>
        <v>650000</v>
      </c>
      <c r="Q121" s="33">
        <f t="shared" si="5"/>
        <v>0</v>
      </c>
      <c r="R121" s="26" t="s">
        <v>33</v>
      </c>
      <c r="S121" s="38" t="s">
        <v>34</v>
      </c>
      <c r="T121" s="35" t="b">
        <v>1</v>
      </c>
      <c r="U121" s="36"/>
    </row>
    <row r="122" ht="30.0" customHeight="1">
      <c r="A122" s="24"/>
      <c r="B122" s="25">
        <v>2227.0</v>
      </c>
      <c r="C122" s="26" t="s">
        <v>21</v>
      </c>
      <c r="D122" s="27">
        <v>46033.0</v>
      </c>
      <c r="E122" s="28" t="str">
        <f t="shared" si="1"/>
        <v>2026</v>
      </c>
      <c r="F122" s="28" t="str">
        <f t="shared" si="2"/>
        <v>01 Jan</v>
      </c>
      <c r="G122" s="29" t="s">
        <v>67</v>
      </c>
      <c r="H122" s="29" t="s">
        <v>148</v>
      </c>
      <c r="I122" s="29" t="s">
        <v>158</v>
      </c>
      <c r="J122" s="26" t="s">
        <v>25</v>
      </c>
      <c r="K122" s="26" t="s">
        <v>26</v>
      </c>
      <c r="L122" s="28" t="str">
        <f t="shared" si="3"/>
        <v>TA KLINIK</v>
      </c>
      <c r="M122" s="26" t="s">
        <v>27</v>
      </c>
      <c r="N122" s="30">
        <v>250000.0</v>
      </c>
      <c r="O122" s="31">
        <v>0.0</v>
      </c>
      <c r="P122" s="32">
        <f t="array" ref="P122">IFNA(XLOOKUP(K122,'⚙️ Pengaturan'!$E$2:$E800,'⚙️ Pengaturan'!$F$2:$F800),"")</f>
        <v>250000</v>
      </c>
      <c r="Q122" s="33">
        <f t="shared" si="5"/>
        <v>0</v>
      </c>
      <c r="R122" s="26" t="s">
        <v>33</v>
      </c>
      <c r="S122" s="38" t="s">
        <v>34</v>
      </c>
      <c r="T122" s="35" t="b">
        <v>1</v>
      </c>
      <c r="U122" s="36"/>
    </row>
    <row r="123" ht="30.0" customHeight="1">
      <c r="A123" s="24"/>
      <c r="B123" s="25">
        <v>2228.0</v>
      </c>
      <c r="C123" s="26" t="s">
        <v>21</v>
      </c>
      <c r="D123" s="27">
        <v>46033.0</v>
      </c>
      <c r="E123" s="28" t="str">
        <f t="shared" si="1"/>
        <v>2026</v>
      </c>
      <c r="F123" s="28" t="str">
        <f t="shared" si="2"/>
        <v>01 Jan</v>
      </c>
      <c r="G123" s="29" t="s">
        <v>67</v>
      </c>
      <c r="H123" s="29" t="s">
        <v>23</v>
      </c>
      <c r="I123" s="29" t="s">
        <v>159</v>
      </c>
      <c r="J123" s="26" t="s">
        <v>25</v>
      </c>
      <c r="K123" s="26" t="s">
        <v>26</v>
      </c>
      <c r="L123" s="28" t="str">
        <f t="shared" si="3"/>
        <v>TA KLINIK</v>
      </c>
      <c r="M123" s="26" t="s">
        <v>27</v>
      </c>
      <c r="N123" s="30">
        <v>250000.0</v>
      </c>
      <c r="O123" s="31">
        <v>0.0</v>
      </c>
      <c r="P123" s="32">
        <f t="array" ref="P123">IFNA(XLOOKUP(K123,'⚙️ Pengaturan'!$E$2:$E800,'⚙️ Pengaturan'!$F$2:$F800),"")</f>
        <v>250000</v>
      </c>
      <c r="Q123" s="33">
        <f t="shared" si="5"/>
        <v>0</v>
      </c>
      <c r="R123" s="26" t="s">
        <v>33</v>
      </c>
      <c r="S123" s="38" t="s">
        <v>34</v>
      </c>
      <c r="T123" s="35" t="b">
        <v>1</v>
      </c>
      <c r="U123" s="36"/>
    </row>
    <row r="124" ht="30.0" customHeight="1">
      <c r="A124" s="24"/>
      <c r="B124" s="25">
        <v>2229.0</v>
      </c>
      <c r="C124" s="26" t="s">
        <v>21</v>
      </c>
      <c r="D124" s="27">
        <v>46033.0</v>
      </c>
      <c r="E124" s="28" t="str">
        <f t="shared" si="1"/>
        <v>2026</v>
      </c>
      <c r="F124" s="28" t="str">
        <f t="shared" si="2"/>
        <v>01 Jan</v>
      </c>
      <c r="G124" s="29" t="s">
        <v>29</v>
      </c>
      <c r="H124" s="29" t="s">
        <v>70</v>
      </c>
      <c r="I124" s="29" t="s">
        <v>160</v>
      </c>
      <c r="J124" s="26" t="s">
        <v>25</v>
      </c>
      <c r="K124" s="26" t="s">
        <v>26</v>
      </c>
      <c r="L124" s="28" t="str">
        <f t="shared" si="3"/>
        <v>TA KLINIK</v>
      </c>
      <c r="M124" s="26" t="s">
        <v>86</v>
      </c>
      <c r="N124" s="30">
        <v>100000.0</v>
      </c>
      <c r="O124" s="31">
        <v>0.0</v>
      </c>
      <c r="P124" s="32">
        <f t="array" ref="P124">IFNA(XLOOKUP(K124,'⚙️ Pengaturan'!$E$2:$E800,'⚙️ Pengaturan'!$F$2:$F800),"")</f>
        <v>250000</v>
      </c>
      <c r="Q124" s="33">
        <f t="shared" si="5"/>
        <v>-150000</v>
      </c>
      <c r="R124" s="26" t="s">
        <v>33</v>
      </c>
      <c r="S124" s="38" t="s">
        <v>34</v>
      </c>
      <c r="T124" s="35" t="b">
        <v>1</v>
      </c>
      <c r="U124" s="36"/>
    </row>
    <row r="125" ht="30.0" customHeight="1">
      <c r="A125" s="24"/>
      <c r="B125" s="25">
        <v>2230.0</v>
      </c>
      <c r="C125" s="26" t="s">
        <v>21</v>
      </c>
      <c r="D125" s="27">
        <v>46033.0</v>
      </c>
      <c r="E125" s="28" t="str">
        <f t="shared" si="1"/>
        <v>2026</v>
      </c>
      <c r="F125" s="28" t="str">
        <f t="shared" si="2"/>
        <v>01 Jan</v>
      </c>
      <c r="G125" s="29" t="s">
        <v>29</v>
      </c>
      <c r="H125" s="29" t="s">
        <v>70</v>
      </c>
      <c r="I125" s="29" t="s">
        <v>160</v>
      </c>
      <c r="J125" s="26" t="s">
        <v>25</v>
      </c>
      <c r="K125" s="26" t="s">
        <v>26</v>
      </c>
      <c r="L125" s="28" t="str">
        <f t="shared" si="3"/>
        <v>TA KLINIK</v>
      </c>
      <c r="M125" s="26" t="s">
        <v>63</v>
      </c>
      <c r="N125" s="30">
        <v>150000.0</v>
      </c>
      <c r="O125" s="31">
        <v>100000.0</v>
      </c>
      <c r="P125" s="32">
        <f t="array" ref="P125">IFNA(XLOOKUP(K125,'⚙️ Pengaturan'!$E$2:$E800,'⚙️ Pengaturan'!$F$2:$F800),"")</f>
        <v>250000</v>
      </c>
      <c r="Q125" s="33">
        <f t="shared" si="5"/>
        <v>0</v>
      </c>
      <c r="R125" s="26" t="s">
        <v>28</v>
      </c>
      <c r="S125" s="38" t="s">
        <v>160</v>
      </c>
      <c r="T125" s="35" t="b">
        <v>1</v>
      </c>
      <c r="U125" s="36"/>
    </row>
    <row r="126" ht="30.0" customHeight="1">
      <c r="A126" s="24"/>
      <c r="B126" s="25">
        <v>2231.0</v>
      </c>
      <c r="C126" s="26" t="s">
        <v>21</v>
      </c>
      <c r="D126" s="27">
        <v>46033.0</v>
      </c>
      <c r="E126" s="28" t="str">
        <f t="shared" si="1"/>
        <v>2026</v>
      </c>
      <c r="F126" s="28" t="str">
        <f t="shared" si="2"/>
        <v>01 Jan</v>
      </c>
      <c r="G126" s="29" t="s">
        <v>29</v>
      </c>
      <c r="H126" s="29" t="s">
        <v>23</v>
      </c>
      <c r="I126" s="29" t="s">
        <v>24</v>
      </c>
      <c r="J126" s="26" t="s">
        <v>76</v>
      </c>
      <c r="K126" s="26" t="s">
        <v>32</v>
      </c>
      <c r="L126" s="28" t="str">
        <f t="shared" si="3"/>
        <v>SESI KLINIK</v>
      </c>
      <c r="M126" s="26" t="s">
        <v>27</v>
      </c>
      <c r="N126" s="30">
        <v>150000.0</v>
      </c>
      <c r="O126" s="31">
        <v>0.0</v>
      </c>
      <c r="P126" s="32">
        <f t="array" ref="P126">IFNA(XLOOKUP(K126,'⚙️ Pengaturan'!$E$2:$E800,'⚙️ Pengaturan'!$F$2:$F800),"")</f>
        <v>150000</v>
      </c>
      <c r="Q126" s="33">
        <f t="shared" si="5"/>
        <v>0</v>
      </c>
      <c r="R126" s="26" t="s">
        <v>28</v>
      </c>
      <c r="S126" s="38" t="s">
        <v>24</v>
      </c>
      <c r="T126" s="35" t="b">
        <v>1</v>
      </c>
      <c r="U126" s="36"/>
    </row>
    <row r="127" ht="30.0" customHeight="1">
      <c r="A127" s="24"/>
      <c r="B127" s="25">
        <v>2232.0</v>
      </c>
      <c r="C127" s="26" t="s">
        <v>40</v>
      </c>
      <c r="D127" s="27">
        <v>46033.0</v>
      </c>
      <c r="E127" s="28" t="str">
        <f t="shared" si="1"/>
        <v>2026</v>
      </c>
      <c r="F127" s="28" t="str">
        <f t="shared" si="2"/>
        <v>01 Jan</v>
      </c>
      <c r="G127" s="29" t="s">
        <v>37</v>
      </c>
      <c r="H127" s="29" t="s">
        <v>23</v>
      </c>
      <c r="I127" s="29" t="s">
        <v>161</v>
      </c>
      <c r="J127" s="26" t="s">
        <v>76</v>
      </c>
      <c r="K127" s="26" t="s">
        <v>39</v>
      </c>
      <c r="L127" s="28" t="str">
        <f t="shared" si="3"/>
        <v>PAKET KLINIK</v>
      </c>
      <c r="M127" s="26" t="s">
        <v>27</v>
      </c>
      <c r="N127" s="30">
        <v>650000.0</v>
      </c>
      <c r="O127" s="31">
        <v>0.0</v>
      </c>
      <c r="P127" s="32">
        <f t="array" ref="P127">IFNA(XLOOKUP(K127,'⚙️ Pengaturan'!$E$2:$E800,'⚙️ Pengaturan'!$F$2:$F800),"")</f>
        <v>650000</v>
      </c>
      <c r="Q127" s="33">
        <f t="shared" si="5"/>
        <v>0</v>
      </c>
      <c r="R127" s="26" t="s">
        <v>28</v>
      </c>
      <c r="S127" s="38" t="s">
        <v>161</v>
      </c>
      <c r="T127" s="35" t="b">
        <v>1</v>
      </c>
      <c r="U127" s="36"/>
    </row>
    <row r="128" ht="30.0" customHeight="1">
      <c r="A128" s="24"/>
      <c r="B128" s="25">
        <v>2233.0</v>
      </c>
      <c r="C128" s="26" t="s">
        <v>40</v>
      </c>
      <c r="D128" s="27">
        <v>46033.0</v>
      </c>
      <c r="E128" s="28" t="str">
        <f t="shared" si="1"/>
        <v>2026</v>
      </c>
      <c r="F128" s="28" t="str">
        <f t="shared" si="2"/>
        <v>01 Jan</v>
      </c>
      <c r="G128" s="29" t="s">
        <v>46</v>
      </c>
      <c r="H128" s="29" t="s">
        <v>58</v>
      </c>
      <c r="I128" s="29" t="s">
        <v>162</v>
      </c>
      <c r="J128" s="26" t="s">
        <v>76</v>
      </c>
      <c r="K128" s="26" t="s">
        <v>44</v>
      </c>
      <c r="L128" s="28" t="str">
        <f t="shared" si="3"/>
        <v>PAKET KLINIK</v>
      </c>
      <c r="M128" s="26" t="s">
        <v>86</v>
      </c>
      <c r="N128" s="30">
        <v>500000.0</v>
      </c>
      <c r="O128" s="31">
        <v>0.0</v>
      </c>
      <c r="P128" s="32">
        <f t="array" ref="P128">IFNA(XLOOKUP(K128,'⚙️ Pengaturan'!$E$2:$E800,'⚙️ Pengaturan'!$F$2:$F800),"")</f>
        <v>1200000</v>
      </c>
      <c r="Q128" s="33">
        <f t="shared" si="5"/>
        <v>-700000</v>
      </c>
      <c r="R128" s="26" t="s">
        <v>33</v>
      </c>
      <c r="S128" s="38" t="s">
        <v>34</v>
      </c>
      <c r="T128" s="35" t="b">
        <v>1</v>
      </c>
      <c r="U128" s="36"/>
    </row>
    <row r="129" ht="30.0" customHeight="1">
      <c r="A129" s="24"/>
      <c r="B129" s="25">
        <v>2234.0</v>
      </c>
      <c r="C129" s="26" t="s">
        <v>40</v>
      </c>
      <c r="D129" s="27">
        <v>46033.0</v>
      </c>
      <c r="E129" s="28" t="str">
        <f t="shared" si="1"/>
        <v>2026</v>
      </c>
      <c r="F129" s="28" t="str">
        <f t="shared" si="2"/>
        <v>01 Jan</v>
      </c>
      <c r="G129" s="29" t="s">
        <v>41</v>
      </c>
      <c r="H129" s="29" t="s">
        <v>48</v>
      </c>
      <c r="I129" s="29" t="s">
        <v>163</v>
      </c>
      <c r="J129" s="26" t="s">
        <v>76</v>
      </c>
      <c r="K129" s="26" t="s">
        <v>32</v>
      </c>
      <c r="L129" s="28" t="str">
        <f t="shared" si="3"/>
        <v>SESI KLINIK</v>
      </c>
      <c r="M129" s="26" t="s">
        <v>27</v>
      </c>
      <c r="N129" s="30">
        <v>150000.0</v>
      </c>
      <c r="O129" s="31">
        <v>0.0</v>
      </c>
      <c r="P129" s="32">
        <f t="array" ref="P129">IFNA(XLOOKUP(K129,'⚙️ Pengaturan'!$E$2:$E800,'⚙️ Pengaturan'!$F$2:$F800),"")</f>
        <v>150000</v>
      </c>
      <c r="Q129" s="33">
        <f t="shared" si="5"/>
        <v>0</v>
      </c>
      <c r="R129" s="26" t="s">
        <v>33</v>
      </c>
      <c r="S129" s="38" t="s">
        <v>34</v>
      </c>
      <c r="T129" s="35" t="b">
        <v>1</v>
      </c>
      <c r="U129" s="36"/>
    </row>
    <row r="130" ht="30.0" customHeight="1">
      <c r="A130" s="24"/>
      <c r="B130" s="25">
        <v>2235.0</v>
      </c>
      <c r="C130" s="26" t="s">
        <v>40</v>
      </c>
      <c r="D130" s="27">
        <v>46033.0</v>
      </c>
      <c r="E130" s="28" t="str">
        <f t="shared" si="1"/>
        <v>2026</v>
      </c>
      <c r="F130" s="28" t="str">
        <f t="shared" si="2"/>
        <v>01 Jan</v>
      </c>
      <c r="G130" s="29" t="s">
        <v>41</v>
      </c>
      <c r="H130" s="29" t="s">
        <v>48</v>
      </c>
      <c r="I130" s="29" t="s">
        <v>163</v>
      </c>
      <c r="J130" s="26" t="s">
        <v>76</v>
      </c>
      <c r="K130" s="26" t="s">
        <v>32</v>
      </c>
      <c r="L130" s="28" t="str">
        <f t="shared" si="3"/>
        <v>SESI KLINIK</v>
      </c>
      <c r="M130" s="26" t="s">
        <v>27</v>
      </c>
      <c r="N130" s="30">
        <v>150000.0</v>
      </c>
      <c r="O130" s="31">
        <v>0.0</v>
      </c>
      <c r="P130" s="32">
        <f t="array" ref="P130">IFNA(XLOOKUP(K130,'⚙️ Pengaturan'!$E$2:$E800,'⚙️ Pengaturan'!$F$2:$F800),"")</f>
        <v>150000</v>
      </c>
      <c r="Q130" s="33">
        <f t="shared" si="5"/>
        <v>0</v>
      </c>
      <c r="R130" s="26" t="s">
        <v>33</v>
      </c>
      <c r="S130" s="38" t="s">
        <v>34</v>
      </c>
      <c r="T130" s="35" t="b">
        <v>1</v>
      </c>
      <c r="U130" s="36"/>
    </row>
    <row r="131" ht="30.0" customHeight="1">
      <c r="A131" s="24"/>
      <c r="B131" s="25">
        <v>2236.0</v>
      </c>
      <c r="C131" s="26" t="s">
        <v>40</v>
      </c>
      <c r="D131" s="27">
        <v>46033.0</v>
      </c>
      <c r="E131" s="28" t="str">
        <f t="shared" si="1"/>
        <v>2026</v>
      </c>
      <c r="F131" s="28" t="str">
        <f t="shared" si="2"/>
        <v>01 Jan</v>
      </c>
      <c r="G131" s="29" t="s">
        <v>41</v>
      </c>
      <c r="H131" s="29" t="s">
        <v>42</v>
      </c>
      <c r="I131" s="29" t="s">
        <v>164</v>
      </c>
      <c r="J131" s="26" t="s">
        <v>25</v>
      </c>
      <c r="K131" s="26" t="s">
        <v>26</v>
      </c>
      <c r="L131" s="28" t="str">
        <f t="shared" si="3"/>
        <v>TA KLINIK</v>
      </c>
      <c r="M131" s="26" t="s">
        <v>27</v>
      </c>
      <c r="N131" s="30">
        <v>250000.0</v>
      </c>
      <c r="O131" s="31">
        <v>0.0</v>
      </c>
      <c r="P131" s="32">
        <f t="array" ref="P131">IFNA(XLOOKUP(K131,'⚙️ Pengaturan'!$E$2:$E800,'⚙️ Pengaturan'!$F$2:$F800),"")</f>
        <v>250000</v>
      </c>
      <c r="Q131" s="33">
        <f t="shared" si="5"/>
        <v>0</v>
      </c>
      <c r="R131" s="26" t="s">
        <v>33</v>
      </c>
      <c r="S131" s="38" t="s">
        <v>34</v>
      </c>
      <c r="T131" s="35" t="b">
        <v>1</v>
      </c>
      <c r="U131" s="36"/>
    </row>
    <row r="132" ht="30.0" customHeight="1">
      <c r="A132" s="24"/>
      <c r="B132" s="25">
        <v>2237.0</v>
      </c>
      <c r="C132" s="26" t="s">
        <v>40</v>
      </c>
      <c r="D132" s="27">
        <v>46033.0</v>
      </c>
      <c r="E132" s="28" t="str">
        <f t="shared" si="1"/>
        <v>2026</v>
      </c>
      <c r="F132" s="28" t="str">
        <f t="shared" si="2"/>
        <v>01 Jan</v>
      </c>
      <c r="G132" s="29" t="s">
        <v>56</v>
      </c>
      <c r="H132" s="29" t="s">
        <v>51</v>
      </c>
      <c r="I132" s="29" t="s">
        <v>165</v>
      </c>
      <c r="J132" s="26" t="s">
        <v>25</v>
      </c>
      <c r="K132" s="26" t="s">
        <v>26</v>
      </c>
      <c r="L132" s="28" t="str">
        <f t="shared" si="3"/>
        <v>TA KLINIK</v>
      </c>
      <c r="M132" s="26" t="s">
        <v>27</v>
      </c>
      <c r="N132" s="30">
        <v>250000.0</v>
      </c>
      <c r="O132" s="31">
        <v>0.0</v>
      </c>
      <c r="P132" s="32">
        <f t="array" ref="P132">IFNA(XLOOKUP(K132,'⚙️ Pengaturan'!$E$2:$E800,'⚙️ Pengaturan'!$F$2:$F800),"")</f>
        <v>250000</v>
      </c>
      <c r="Q132" s="33">
        <f t="shared" si="5"/>
        <v>0</v>
      </c>
      <c r="R132" s="26" t="s">
        <v>33</v>
      </c>
      <c r="S132" s="38" t="s">
        <v>34</v>
      </c>
      <c r="T132" s="35" t="b">
        <v>1</v>
      </c>
      <c r="U132" s="36"/>
    </row>
    <row r="133" ht="30.0" customHeight="1">
      <c r="A133" s="24"/>
      <c r="B133" s="25">
        <v>2238.0</v>
      </c>
      <c r="C133" s="26" t="s">
        <v>40</v>
      </c>
      <c r="D133" s="27">
        <v>46033.0</v>
      </c>
      <c r="E133" s="28" t="str">
        <f t="shared" si="1"/>
        <v>2026</v>
      </c>
      <c r="F133" s="28" t="str">
        <f t="shared" si="2"/>
        <v>01 Jan</v>
      </c>
      <c r="G133" s="29" t="s">
        <v>56</v>
      </c>
      <c r="H133" s="29" t="s">
        <v>51</v>
      </c>
      <c r="I133" s="29" t="s">
        <v>165</v>
      </c>
      <c r="J133" s="26" t="s">
        <v>25</v>
      </c>
      <c r="K133" s="26" t="s">
        <v>39</v>
      </c>
      <c r="L133" s="28" t="str">
        <f t="shared" si="3"/>
        <v>PAKET KLINIK</v>
      </c>
      <c r="M133" s="26" t="s">
        <v>86</v>
      </c>
      <c r="N133" s="30">
        <v>200000.0</v>
      </c>
      <c r="O133" s="31">
        <v>0.0</v>
      </c>
      <c r="P133" s="32">
        <f t="array" ref="P133">IFNA(XLOOKUP(K133,'⚙️ Pengaturan'!$E$2:$E800,'⚙️ Pengaturan'!$F$2:$F800),"")</f>
        <v>650000</v>
      </c>
      <c r="Q133" s="33">
        <f t="shared" si="5"/>
        <v>-450000</v>
      </c>
      <c r="R133" s="26" t="s">
        <v>33</v>
      </c>
      <c r="S133" s="38" t="s">
        <v>34</v>
      </c>
      <c r="T133" s="35" t="b">
        <v>1</v>
      </c>
      <c r="U133" s="36"/>
    </row>
    <row r="134" ht="30.0" customHeight="1">
      <c r="A134" s="24"/>
      <c r="B134" s="25">
        <v>2239.0</v>
      </c>
      <c r="C134" s="26" t="s">
        <v>40</v>
      </c>
      <c r="D134" s="27">
        <v>46033.0</v>
      </c>
      <c r="E134" s="28" t="str">
        <f t="shared" si="1"/>
        <v>2026</v>
      </c>
      <c r="F134" s="28" t="str">
        <f t="shared" si="2"/>
        <v>01 Jan</v>
      </c>
      <c r="G134" s="29" t="s">
        <v>56</v>
      </c>
      <c r="H134" s="29" t="s">
        <v>42</v>
      </c>
      <c r="I134" s="29" t="s">
        <v>139</v>
      </c>
      <c r="J134" s="26" t="s">
        <v>25</v>
      </c>
      <c r="K134" s="26" t="s">
        <v>39</v>
      </c>
      <c r="L134" s="28" t="str">
        <f t="shared" si="3"/>
        <v>PAKET KLINIK</v>
      </c>
      <c r="M134" s="26" t="s">
        <v>132</v>
      </c>
      <c r="N134" s="30">
        <v>300000.0</v>
      </c>
      <c r="O134" s="31">
        <v>200000.0</v>
      </c>
      <c r="P134" s="32">
        <f t="array" ref="P134">IFNA(XLOOKUP(K134,'⚙️ Pengaturan'!$E$2:$E800,'⚙️ Pengaturan'!$F$2:$F800),"")</f>
        <v>650000</v>
      </c>
      <c r="Q134" s="33">
        <f t="shared" si="5"/>
        <v>-150000</v>
      </c>
      <c r="R134" s="26" t="s">
        <v>33</v>
      </c>
      <c r="S134" s="38" t="s">
        <v>34</v>
      </c>
      <c r="T134" s="35" t="b">
        <v>1</v>
      </c>
      <c r="U134" s="36"/>
    </row>
    <row r="135" ht="30.0" customHeight="1">
      <c r="A135" s="24"/>
      <c r="B135" s="25">
        <v>2240.0</v>
      </c>
      <c r="C135" s="26" t="s">
        <v>21</v>
      </c>
      <c r="D135" s="27">
        <v>46034.0</v>
      </c>
      <c r="E135" s="28" t="str">
        <f t="shared" si="1"/>
        <v>2026</v>
      </c>
      <c r="F135" s="28" t="str">
        <f t="shared" si="2"/>
        <v>01 Jan</v>
      </c>
      <c r="G135" s="29" t="s">
        <v>118</v>
      </c>
      <c r="H135" s="29" t="s">
        <v>68</v>
      </c>
      <c r="I135" s="29" t="s">
        <v>166</v>
      </c>
      <c r="J135" s="26" t="s">
        <v>76</v>
      </c>
      <c r="K135" s="26" t="s">
        <v>39</v>
      </c>
      <c r="L135" s="28" t="str">
        <f t="shared" si="3"/>
        <v>PAKET KLINIK</v>
      </c>
      <c r="M135" s="26" t="s">
        <v>27</v>
      </c>
      <c r="N135" s="30">
        <v>650000.0</v>
      </c>
      <c r="O135" s="31">
        <v>0.0</v>
      </c>
      <c r="P135" s="32">
        <f t="array" ref="P135">IFNA(XLOOKUP(K135,'⚙️ Pengaturan'!$E$2:$E800,'⚙️ Pengaturan'!$F$2:$F800),"")</f>
        <v>650000</v>
      </c>
      <c r="Q135" s="33">
        <f t="shared" si="5"/>
        <v>0</v>
      </c>
      <c r="R135" s="26" t="s">
        <v>45</v>
      </c>
      <c r="S135" s="38" t="s">
        <v>166</v>
      </c>
      <c r="T135" s="35" t="b">
        <v>1</v>
      </c>
      <c r="U135" s="36"/>
    </row>
    <row r="136" ht="30.0" customHeight="1">
      <c r="A136" s="24"/>
      <c r="B136" s="25">
        <v>2241.0</v>
      </c>
      <c r="C136" s="26" t="s">
        <v>21</v>
      </c>
      <c r="D136" s="27">
        <v>46034.0</v>
      </c>
      <c r="E136" s="28" t="str">
        <f t="shared" si="1"/>
        <v>2026</v>
      </c>
      <c r="F136" s="28" t="str">
        <f t="shared" si="2"/>
        <v>01 Jan</v>
      </c>
      <c r="G136" s="29" t="s">
        <v>67</v>
      </c>
      <c r="H136" s="29" t="s">
        <v>58</v>
      </c>
      <c r="I136" s="29" t="s">
        <v>167</v>
      </c>
      <c r="J136" s="26" t="s">
        <v>25</v>
      </c>
      <c r="K136" s="26" t="s">
        <v>26</v>
      </c>
      <c r="L136" s="28" t="str">
        <f t="shared" si="3"/>
        <v>TA KLINIK</v>
      </c>
      <c r="M136" s="26" t="s">
        <v>27</v>
      </c>
      <c r="N136" s="30">
        <v>250000.0</v>
      </c>
      <c r="O136" s="31">
        <v>0.0</v>
      </c>
      <c r="P136" s="32">
        <f t="array" ref="P136">IFNA(XLOOKUP(K136,'⚙️ Pengaturan'!$E$2:$E800,'⚙️ Pengaturan'!$F$2:$F800),"")</f>
        <v>250000</v>
      </c>
      <c r="Q136" s="33">
        <f t="shared" si="5"/>
        <v>0</v>
      </c>
      <c r="R136" s="26" t="s">
        <v>28</v>
      </c>
      <c r="S136" s="38" t="s">
        <v>167</v>
      </c>
      <c r="T136" s="35" t="b">
        <v>1</v>
      </c>
      <c r="U136" s="36"/>
    </row>
    <row r="137" ht="30.0" customHeight="1">
      <c r="A137" s="24"/>
      <c r="B137" s="25">
        <v>2242.0</v>
      </c>
      <c r="C137" s="26" t="s">
        <v>21</v>
      </c>
      <c r="D137" s="27">
        <v>46034.0</v>
      </c>
      <c r="E137" s="28" t="str">
        <f t="shared" si="1"/>
        <v>2026</v>
      </c>
      <c r="F137" s="28" t="str">
        <f t="shared" si="2"/>
        <v>01 Jan</v>
      </c>
      <c r="G137" s="29" t="s">
        <v>67</v>
      </c>
      <c r="H137" s="29" t="s">
        <v>48</v>
      </c>
      <c r="I137" s="29" t="s">
        <v>168</v>
      </c>
      <c r="J137" s="26" t="s">
        <v>25</v>
      </c>
      <c r="K137" s="26" t="s">
        <v>26</v>
      </c>
      <c r="L137" s="28" t="str">
        <f t="shared" si="3"/>
        <v>TA KLINIK</v>
      </c>
      <c r="M137" s="26" t="s">
        <v>27</v>
      </c>
      <c r="N137" s="30">
        <v>250000.0</v>
      </c>
      <c r="O137" s="31">
        <v>0.0</v>
      </c>
      <c r="P137" s="32">
        <f t="array" ref="P137">IFNA(XLOOKUP(K137,'⚙️ Pengaturan'!$E$2:$E800,'⚙️ Pengaturan'!$F$2:$F800),"")</f>
        <v>250000</v>
      </c>
      <c r="Q137" s="33">
        <f t="shared" si="5"/>
        <v>0</v>
      </c>
      <c r="R137" s="26" t="s">
        <v>33</v>
      </c>
      <c r="S137" s="38" t="s">
        <v>34</v>
      </c>
      <c r="T137" s="35" t="b">
        <v>1</v>
      </c>
      <c r="U137" s="36"/>
    </row>
    <row r="138" ht="30.0" customHeight="1">
      <c r="A138" s="24"/>
      <c r="B138" s="25">
        <v>2243.0</v>
      </c>
      <c r="C138" s="26" t="s">
        <v>21</v>
      </c>
      <c r="D138" s="27">
        <v>46034.0</v>
      </c>
      <c r="E138" s="28" t="str">
        <f t="shared" si="1"/>
        <v>2026</v>
      </c>
      <c r="F138" s="28" t="str">
        <f t="shared" si="2"/>
        <v>01 Jan</v>
      </c>
      <c r="G138" s="29" t="s">
        <v>22</v>
      </c>
      <c r="H138" s="29" t="s">
        <v>51</v>
      </c>
      <c r="I138" s="29" t="s">
        <v>169</v>
      </c>
      <c r="J138" s="26" t="s">
        <v>25</v>
      </c>
      <c r="K138" s="26" t="s">
        <v>26</v>
      </c>
      <c r="L138" s="28" t="str">
        <f t="shared" si="3"/>
        <v>TA KLINIK</v>
      </c>
      <c r="M138" s="26" t="s">
        <v>27</v>
      </c>
      <c r="N138" s="30">
        <v>250000.0</v>
      </c>
      <c r="O138" s="31">
        <v>0.0</v>
      </c>
      <c r="P138" s="32">
        <f t="array" ref="P138">IFNA(XLOOKUP(K138,'⚙️ Pengaturan'!$E$2:$E800,'⚙️ Pengaturan'!$F$2:$F800),"")</f>
        <v>250000</v>
      </c>
      <c r="Q138" s="33">
        <f t="shared" si="5"/>
        <v>0</v>
      </c>
      <c r="R138" s="26" t="s">
        <v>33</v>
      </c>
      <c r="S138" s="38" t="s">
        <v>34</v>
      </c>
      <c r="T138" s="35" t="b">
        <v>1</v>
      </c>
      <c r="U138" s="36"/>
    </row>
    <row r="139" ht="30.0" customHeight="1">
      <c r="A139" s="24"/>
      <c r="B139" s="25">
        <v>2244.0</v>
      </c>
      <c r="C139" s="26" t="s">
        <v>21</v>
      </c>
      <c r="D139" s="27">
        <v>46034.0</v>
      </c>
      <c r="E139" s="28" t="str">
        <f t="shared" si="1"/>
        <v>2026</v>
      </c>
      <c r="F139" s="28" t="str">
        <f t="shared" si="2"/>
        <v>01 Jan</v>
      </c>
      <c r="G139" s="29" t="s">
        <v>22</v>
      </c>
      <c r="H139" s="29" t="s">
        <v>58</v>
      </c>
      <c r="I139" s="29" t="s">
        <v>112</v>
      </c>
      <c r="J139" s="26" t="s">
        <v>25</v>
      </c>
      <c r="K139" s="26" t="s">
        <v>32</v>
      </c>
      <c r="L139" s="28" t="str">
        <f t="shared" si="3"/>
        <v>SESI KLINIK</v>
      </c>
      <c r="M139" s="26" t="s">
        <v>27</v>
      </c>
      <c r="N139" s="30">
        <v>150000.0</v>
      </c>
      <c r="O139" s="31">
        <v>0.0</v>
      </c>
      <c r="P139" s="32">
        <f t="array" ref="P139">IFNA(XLOOKUP(K139,'⚙️ Pengaturan'!$E$2:$E800,'⚙️ Pengaturan'!$F$2:$F800),"")</f>
        <v>150000</v>
      </c>
      <c r="Q139" s="33">
        <f t="shared" si="5"/>
        <v>0</v>
      </c>
      <c r="R139" s="26" t="s">
        <v>28</v>
      </c>
      <c r="S139" s="38" t="s">
        <v>112</v>
      </c>
      <c r="T139" s="35" t="b">
        <v>1</v>
      </c>
      <c r="U139" s="36"/>
    </row>
    <row r="140" ht="30.0" customHeight="1">
      <c r="A140" s="24"/>
      <c r="B140" s="25">
        <v>2245.0</v>
      </c>
      <c r="C140" s="26" t="s">
        <v>21</v>
      </c>
      <c r="D140" s="27">
        <v>46034.0</v>
      </c>
      <c r="E140" s="28" t="str">
        <f t="shared" si="1"/>
        <v>2026</v>
      </c>
      <c r="F140" s="28" t="str">
        <f t="shared" si="2"/>
        <v>01 Jan</v>
      </c>
      <c r="G140" s="29" t="s">
        <v>29</v>
      </c>
      <c r="H140" s="29" t="s">
        <v>51</v>
      </c>
      <c r="I140" s="29" t="s">
        <v>170</v>
      </c>
      <c r="J140" s="26" t="s">
        <v>25</v>
      </c>
      <c r="K140" s="26" t="s">
        <v>26</v>
      </c>
      <c r="L140" s="28" t="str">
        <f t="shared" si="3"/>
        <v>TA KLINIK</v>
      </c>
      <c r="M140" s="26" t="s">
        <v>27</v>
      </c>
      <c r="N140" s="30">
        <v>250000.0</v>
      </c>
      <c r="O140" s="31">
        <v>0.0</v>
      </c>
      <c r="P140" s="32">
        <f t="array" ref="P140">IFNA(XLOOKUP(K140,'⚙️ Pengaturan'!$E$2:$E800,'⚙️ Pengaturan'!$F$2:$F800),"")</f>
        <v>250000</v>
      </c>
      <c r="Q140" s="33">
        <f t="shared" si="5"/>
        <v>0</v>
      </c>
      <c r="R140" s="26" t="s">
        <v>113</v>
      </c>
      <c r="S140" s="38" t="s">
        <v>170</v>
      </c>
      <c r="T140" s="35" t="b">
        <v>1</v>
      </c>
      <c r="U140" s="36"/>
    </row>
    <row r="141" ht="30.0" customHeight="1">
      <c r="A141" s="24"/>
      <c r="B141" s="25">
        <v>2246.0</v>
      </c>
      <c r="C141" s="26" t="s">
        <v>21</v>
      </c>
      <c r="D141" s="27">
        <v>46034.0</v>
      </c>
      <c r="E141" s="28" t="str">
        <f t="shared" si="1"/>
        <v>2026</v>
      </c>
      <c r="F141" s="28" t="str">
        <f t="shared" si="2"/>
        <v>01 Jan</v>
      </c>
      <c r="G141" s="29" t="s">
        <v>29</v>
      </c>
      <c r="H141" s="29" t="s">
        <v>48</v>
      </c>
      <c r="I141" s="29" t="s">
        <v>171</v>
      </c>
      <c r="J141" s="26" t="s">
        <v>25</v>
      </c>
      <c r="K141" s="26" t="s">
        <v>26</v>
      </c>
      <c r="L141" s="28" t="str">
        <f t="shared" si="3"/>
        <v>TA KLINIK</v>
      </c>
      <c r="M141" s="26" t="s">
        <v>27</v>
      </c>
      <c r="N141" s="30">
        <v>250000.0</v>
      </c>
      <c r="O141" s="31">
        <v>0.0</v>
      </c>
      <c r="P141" s="32">
        <f t="array" ref="P141">IFNA(XLOOKUP(K141,'⚙️ Pengaturan'!$E$2:$E800,'⚙️ Pengaturan'!$F$2:$F800),"")</f>
        <v>250000</v>
      </c>
      <c r="Q141" s="33">
        <f t="shared" si="5"/>
        <v>0</v>
      </c>
      <c r="R141" s="26" t="s">
        <v>28</v>
      </c>
      <c r="S141" s="38" t="s">
        <v>171</v>
      </c>
      <c r="T141" s="35" t="b">
        <v>1</v>
      </c>
      <c r="U141" s="36"/>
    </row>
    <row r="142" ht="30.0" customHeight="1">
      <c r="A142" s="24"/>
      <c r="B142" s="25">
        <v>2247.0</v>
      </c>
      <c r="C142" s="26" t="s">
        <v>21</v>
      </c>
      <c r="D142" s="27">
        <v>46034.0</v>
      </c>
      <c r="E142" s="28" t="str">
        <f t="shared" si="1"/>
        <v>2026</v>
      </c>
      <c r="F142" s="28" t="str">
        <f t="shared" si="2"/>
        <v>01 Jan</v>
      </c>
      <c r="G142" s="29" t="s">
        <v>37</v>
      </c>
      <c r="H142" s="29" t="s">
        <v>51</v>
      </c>
      <c r="I142" s="29" t="s">
        <v>172</v>
      </c>
      <c r="J142" s="26" t="s">
        <v>25</v>
      </c>
      <c r="K142" s="40" t="s">
        <v>26</v>
      </c>
      <c r="L142" s="41" t="str">
        <f t="shared" si="3"/>
        <v>TA KLINIK</v>
      </c>
      <c r="M142" s="40" t="s">
        <v>27</v>
      </c>
      <c r="N142" s="42">
        <v>250000.0</v>
      </c>
      <c r="O142" s="43">
        <v>0.0</v>
      </c>
      <c r="P142" s="32">
        <f t="array" ref="P142">IFNA(XLOOKUP(K142,'⚙️ Pengaturan'!$E$2:$E800,'⚙️ Pengaturan'!$F$2:$F800),"")</f>
        <v>250000</v>
      </c>
      <c r="Q142" s="33">
        <f t="shared" si="5"/>
        <v>0</v>
      </c>
      <c r="R142" s="26" t="s">
        <v>28</v>
      </c>
      <c r="S142" s="38" t="s">
        <v>173</v>
      </c>
      <c r="T142" s="35" t="b">
        <v>1</v>
      </c>
      <c r="U142" s="36"/>
    </row>
    <row r="143" ht="30.0" customHeight="1">
      <c r="A143" s="24"/>
      <c r="B143" s="25">
        <v>2248.0</v>
      </c>
      <c r="C143" s="26" t="s">
        <v>21</v>
      </c>
      <c r="D143" s="27">
        <v>46034.0</v>
      </c>
      <c r="E143" s="28" t="str">
        <f t="shared" si="1"/>
        <v>2026</v>
      </c>
      <c r="F143" s="28" t="str">
        <f t="shared" si="2"/>
        <v>01 Jan</v>
      </c>
      <c r="G143" s="29" t="s">
        <v>37</v>
      </c>
      <c r="H143" s="29" t="s">
        <v>58</v>
      </c>
      <c r="I143" s="29" t="s">
        <v>174</v>
      </c>
      <c r="J143" s="26" t="s">
        <v>25</v>
      </c>
      <c r="K143" s="46" t="s">
        <v>26</v>
      </c>
      <c r="L143" s="47" t="str">
        <f t="shared" si="3"/>
        <v>TA KLINIK</v>
      </c>
      <c r="M143" s="46" t="s">
        <v>27</v>
      </c>
      <c r="N143" s="48">
        <v>250000.0</v>
      </c>
      <c r="O143" s="49">
        <v>0.0</v>
      </c>
      <c r="P143" s="32">
        <f t="array" ref="P143">IFNA(XLOOKUP(K143,'⚙️ Pengaturan'!$E$2:$E800,'⚙️ Pengaturan'!$F$2:$F800),"")</f>
        <v>250000</v>
      </c>
      <c r="Q143" s="33">
        <f t="shared" si="5"/>
        <v>0</v>
      </c>
      <c r="R143" s="26" t="s">
        <v>113</v>
      </c>
      <c r="S143" s="38" t="s">
        <v>174</v>
      </c>
      <c r="T143" s="35" t="b">
        <v>1</v>
      </c>
      <c r="U143" s="36"/>
    </row>
    <row r="144" ht="30.0" customHeight="1">
      <c r="A144" s="24"/>
      <c r="B144" s="25">
        <v>2249.0</v>
      </c>
      <c r="C144" s="26" t="s">
        <v>40</v>
      </c>
      <c r="D144" s="27">
        <v>46034.0</v>
      </c>
      <c r="E144" s="28" t="str">
        <f t="shared" si="1"/>
        <v>2026</v>
      </c>
      <c r="F144" s="28" t="str">
        <f t="shared" si="2"/>
        <v>01 Jan</v>
      </c>
      <c r="G144" s="29" t="s">
        <v>46</v>
      </c>
      <c r="H144" s="29" t="s">
        <v>23</v>
      </c>
      <c r="I144" s="29" t="s">
        <v>175</v>
      </c>
      <c r="J144" s="26" t="s">
        <v>25</v>
      </c>
      <c r="K144" s="26" t="s">
        <v>26</v>
      </c>
      <c r="L144" s="28" t="str">
        <f t="shared" si="3"/>
        <v>TA KLINIK</v>
      </c>
      <c r="M144" s="26" t="s">
        <v>27</v>
      </c>
      <c r="N144" s="48">
        <v>250000.0</v>
      </c>
      <c r="O144" s="49">
        <v>0.0</v>
      </c>
      <c r="P144" s="32">
        <f t="array" ref="P144">IFNA(XLOOKUP(K144,'⚙️ Pengaturan'!$E$2:$E800,'⚙️ Pengaturan'!$F$2:$F800),"")</f>
        <v>250000</v>
      </c>
      <c r="Q144" s="33">
        <f t="shared" si="5"/>
        <v>0</v>
      </c>
      <c r="R144" s="26" t="s">
        <v>33</v>
      </c>
      <c r="S144" s="38" t="s">
        <v>34</v>
      </c>
      <c r="T144" s="35" t="b">
        <v>1</v>
      </c>
      <c r="U144" s="36"/>
    </row>
    <row r="145" ht="30.0" customHeight="1">
      <c r="A145" s="24"/>
      <c r="B145" s="25">
        <v>2250.0</v>
      </c>
      <c r="C145" s="26" t="s">
        <v>40</v>
      </c>
      <c r="D145" s="27">
        <v>46034.0</v>
      </c>
      <c r="E145" s="28" t="str">
        <f t="shared" si="1"/>
        <v>2026</v>
      </c>
      <c r="F145" s="28" t="str">
        <f t="shared" si="2"/>
        <v>01 Jan</v>
      </c>
      <c r="G145" s="29" t="s">
        <v>46</v>
      </c>
      <c r="H145" s="29" t="s">
        <v>68</v>
      </c>
      <c r="I145" s="29" t="s">
        <v>176</v>
      </c>
      <c r="J145" s="26" t="s">
        <v>76</v>
      </c>
      <c r="K145" s="26" t="s">
        <v>32</v>
      </c>
      <c r="L145" s="28" t="str">
        <f t="shared" si="3"/>
        <v>SESI KLINIK</v>
      </c>
      <c r="M145" s="26" t="s">
        <v>27</v>
      </c>
      <c r="N145" s="30">
        <v>150000.0</v>
      </c>
      <c r="O145" s="31">
        <v>0.0</v>
      </c>
      <c r="P145" s="32">
        <f t="array" ref="P145">IFNA(XLOOKUP(K145,'⚙️ Pengaturan'!$E$2:$E800,'⚙️ Pengaturan'!$F$2:$F800),"")</f>
        <v>150000</v>
      </c>
      <c r="Q145" s="33">
        <f t="shared" si="5"/>
        <v>0</v>
      </c>
      <c r="R145" s="26" t="s">
        <v>28</v>
      </c>
      <c r="S145" s="38" t="s">
        <v>176</v>
      </c>
      <c r="T145" s="35" t="b">
        <v>1</v>
      </c>
      <c r="U145" s="36"/>
    </row>
    <row r="146" ht="30.0" customHeight="1">
      <c r="A146" s="24"/>
      <c r="B146" s="25">
        <v>2251.0</v>
      </c>
      <c r="C146" s="26" t="s">
        <v>40</v>
      </c>
      <c r="D146" s="27">
        <v>46034.0</v>
      </c>
      <c r="E146" s="28" t="str">
        <f t="shared" si="1"/>
        <v>2026</v>
      </c>
      <c r="F146" s="28" t="str">
        <f t="shared" si="2"/>
        <v>01 Jan</v>
      </c>
      <c r="G146" s="29" t="s">
        <v>41</v>
      </c>
      <c r="H146" s="29" t="s">
        <v>23</v>
      </c>
      <c r="I146" s="29" t="s">
        <v>177</v>
      </c>
      <c r="J146" s="26" t="s">
        <v>25</v>
      </c>
      <c r="K146" s="26" t="s">
        <v>26</v>
      </c>
      <c r="L146" s="28" t="str">
        <f t="shared" si="3"/>
        <v>TA KLINIK</v>
      </c>
      <c r="M146" s="26" t="s">
        <v>27</v>
      </c>
      <c r="N146" s="30">
        <v>250000.0</v>
      </c>
      <c r="O146" s="31">
        <v>0.0</v>
      </c>
      <c r="P146" s="32">
        <f t="array" ref="P146">IFNA(XLOOKUP(K146,'⚙️ Pengaturan'!$E$2:$E800,'⚙️ Pengaturan'!$F$2:$F800),"")</f>
        <v>250000</v>
      </c>
      <c r="Q146" s="33">
        <f t="shared" si="5"/>
        <v>0</v>
      </c>
      <c r="R146" s="26" t="s">
        <v>28</v>
      </c>
      <c r="S146" s="38" t="s">
        <v>177</v>
      </c>
      <c r="T146" s="35" t="b">
        <v>1</v>
      </c>
      <c r="U146" s="36"/>
    </row>
    <row r="147" ht="30.0" customHeight="1">
      <c r="A147" s="24"/>
      <c r="B147" s="25">
        <v>2252.0</v>
      </c>
      <c r="C147" s="26" t="s">
        <v>40</v>
      </c>
      <c r="D147" s="27">
        <v>46034.0</v>
      </c>
      <c r="E147" s="28" t="str">
        <f t="shared" si="1"/>
        <v>2026</v>
      </c>
      <c r="F147" s="28" t="str">
        <f t="shared" si="2"/>
        <v>01 Jan</v>
      </c>
      <c r="G147" s="29" t="s">
        <v>41</v>
      </c>
      <c r="H147" s="29" t="s">
        <v>68</v>
      </c>
      <c r="I147" s="29" t="s">
        <v>137</v>
      </c>
      <c r="J147" s="26" t="s">
        <v>76</v>
      </c>
      <c r="K147" s="26" t="s">
        <v>32</v>
      </c>
      <c r="L147" s="28" t="str">
        <f t="shared" si="3"/>
        <v>SESI KLINIK</v>
      </c>
      <c r="M147" s="26" t="s">
        <v>27</v>
      </c>
      <c r="N147" s="30">
        <v>150000.0</v>
      </c>
      <c r="O147" s="31">
        <v>0.0</v>
      </c>
      <c r="P147" s="32">
        <f t="array" ref="P147">IFNA(XLOOKUP(K147,'⚙️ Pengaturan'!$E$2:$E800,'⚙️ Pengaturan'!$F$2:$F800),"")</f>
        <v>150000</v>
      </c>
      <c r="Q147" s="33">
        <f t="shared" si="5"/>
        <v>0</v>
      </c>
      <c r="R147" s="26" t="s">
        <v>33</v>
      </c>
      <c r="S147" s="38" t="s">
        <v>34</v>
      </c>
      <c r="T147" s="35" t="b">
        <v>1</v>
      </c>
      <c r="U147" s="36"/>
    </row>
    <row r="148" ht="30.0" customHeight="1">
      <c r="A148" s="24"/>
      <c r="B148" s="25">
        <v>2253.0</v>
      </c>
      <c r="C148" s="26" t="s">
        <v>40</v>
      </c>
      <c r="D148" s="27">
        <v>46034.0</v>
      </c>
      <c r="E148" s="28" t="str">
        <f t="shared" si="1"/>
        <v>2026</v>
      </c>
      <c r="F148" s="28" t="str">
        <f t="shared" si="2"/>
        <v>01 Jan</v>
      </c>
      <c r="G148" s="29" t="s">
        <v>41</v>
      </c>
      <c r="H148" s="29" t="s">
        <v>30</v>
      </c>
      <c r="I148" s="29" t="s">
        <v>31</v>
      </c>
      <c r="J148" s="26" t="s">
        <v>76</v>
      </c>
      <c r="K148" s="26" t="s">
        <v>32</v>
      </c>
      <c r="L148" s="28" t="str">
        <f t="shared" si="3"/>
        <v>SESI KLINIK</v>
      </c>
      <c r="M148" s="26" t="s">
        <v>27</v>
      </c>
      <c r="N148" s="30">
        <v>150000.0</v>
      </c>
      <c r="O148" s="31">
        <v>0.0</v>
      </c>
      <c r="P148" s="32">
        <f t="array" ref="P148">IFNA(XLOOKUP(K148,'⚙️ Pengaturan'!$E$2:$E800,'⚙️ Pengaturan'!$F$2:$F800),"")</f>
        <v>150000</v>
      </c>
      <c r="Q148" s="33">
        <f t="shared" si="5"/>
        <v>0</v>
      </c>
      <c r="R148" s="26" t="s">
        <v>33</v>
      </c>
      <c r="S148" s="38" t="s">
        <v>34</v>
      </c>
      <c r="T148" s="35" t="b">
        <v>1</v>
      </c>
      <c r="U148" s="36"/>
    </row>
    <row r="149" ht="30.0" customHeight="1">
      <c r="A149" s="24"/>
      <c r="B149" s="25">
        <v>2254.0</v>
      </c>
      <c r="C149" s="26" t="s">
        <v>40</v>
      </c>
      <c r="D149" s="27">
        <v>46034.0</v>
      </c>
      <c r="E149" s="28" t="str">
        <f t="shared" si="1"/>
        <v>2026</v>
      </c>
      <c r="F149" s="28" t="str">
        <f t="shared" si="2"/>
        <v>01 Jan</v>
      </c>
      <c r="G149" s="29" t="s">
        <v>41</v>
      </c>
      <c r="H149" s="29" t="s">
        <v>70</v>
      </c>
      <c r="I149" s="29" t="s">
        <v>121</v>
      </c>
      <c r="J149" s="26" t="s">
        <v>76</v>
      </c>
      <c r="K149" s="26" t="s">
        <v>32</v>
      </c>
      <c r="L149" s="28" t="str">
        <f t="shared" si="3"/>
        <v>SESI KLINIK</v>
      </c>
      <c r="M149" s="26" t="s">
        <v>27</v>
      </c>
      <c r="N149" s="30">
        <v>150000.0</v>
      </c>
      <c r="O149" s="31">
        <v>0.0</v>
      </c>
      <c r="P149" s="32">
        <f t="array" ref="P149">IFNA(XLOOKUP(K149,'⚙️ Pengaturan'!$E$2:$E800,'⚙️ Pengaturan'!$F$2:$F800),"")</f>
        <v>150000</v>
      </c>
      <c r="Q149" s="33">
        <f t="shared" si="5"/>
        <v>0</v>
      </c>
      <c r="R149" s="26" t="s">
        <v>28</v>
      </c>
      <c r="S149" s="38" t="s">
        <v>121</v>
      </c>
      <c r="T149" s="35" t="b">
        <v>1</v>
      </c>
      <c r="U149" s="36"/>
    </row>
    <row r="150" ht="30.0" customHeight="1">
      <c r="A150" s="24"/>
      <c r="B150" s="25">
        <v>2255.0</v>
      </c>
      <c r="C150" s="26" t="s">
        <v>40</v>
      </c>
      <c r="D150" s="27">
        <v>46034.0</v>
      </c>
      <c r="E150" s="28" t="str">
        <f t="shared" si="1"/>
        <v>2026</v>
      </c>
      <c r="F150" s="28" t="str">
        <f t="shared" si="2"/>
        <v>01 Jan</v>
      </c>
      <c r="G150" s="29" t="s">
        <v>41</v>
      </c>
      <c r="H150" s="29" t="s">
        <v>58</v>
      </c>
      <c r="I150" s="29" t="s">
        <v>93</v>
      </c>
      <c r="J150" s="26" t="s">
        <v>25</v>
      </c>
      <c r="K150" s="26" t="s">
        <v>178</v>
      </c>
      <c r="L150" s="28" t="str">
        <f t="shared" si="3"/>
        <v>PAKET VISIT</v>
      </c>
      <c r="M150" s="26" t="s">
        <v>27</v>
      </c>
      <c r="N150" s="30">
        <v>2300000.0</v>
      </c>
      <c r="O150" s="31">
        <v>0.0</v>
      </c>
      <c r="P150" s="32">
        <f t="array" ref="P150">IFNA(XLOOKUP(K150,'⚙️ Pengaturan'!$E$2:$E800,'⚙️ Pengaturan'!$F$2:$F800),"")</f>
        <v>2300000</v>
      </c>
      <c r="Q150" s="33">
        <f t="shared" si="5"/>
        <v>0</v>
      </c>
      <c r="R150" s="26" t="s">
        <v>28</v>
      </c>
      <c r="S150" s="38" t="s">
        <v>94</v>
      </c>
      <c r="T150" s="35" t="b">
        <v>1</v>
      </c>
      <c r="U150" s="36"/>
    </row>
    <row r="151" ht="30.0" customHeight="1">
      <c r="A151" s="24"/>
      <c r="B151" s="25">
        <v>2256.0</v>
      </c>
      <c r="C151" s="26" t="s">
        <v>40</v>
      </c>
      <c r="D151" s="27">
        <v>46034.0</v>
      </c>
      <c r="E151" s="28" t="str">
        <f t="shared" si="1"/>
        <v>2026</v>
      </c>
      <c r="F151" s="28" t="str">
        <f t="shared" si="2"/>
        <v>01 Jan</v>
      </c>
      <c r="G151" s="29" t="s">
        <v>41</v>
      </c>
      <c r="H151" s="29" t="s">
        <v>148</v>
      </c>
      <c r="I151" s="29" t="s">
        <v>179</v>
      </c>
      <c r="J151" s="26" t="s">
        <v>25</v>
      </c>
      <c r="K151" s="26" t="s">
        <v>39</v>
      </c>
      <c r="L151" s="28" t="str">
        <f t="shared" si="3"/>
        <v>PAKET KLINIK</v>
      </c>
      <c r="M151" s="26" t="s">
        <v>27</v>
      </c>
      <c r="N151" s="30">
        <v>650000.0</v>
      </c>
      <c r="O151" s="31">
        <v>0.0</v>
      </c>
      <c r="P151" s="32">
        <f t="array" ref="P151">IFNA(XLOOKUP(K151,'⚙️ Pengaturan'!$E$2:$E800,'⚙️ Pengaturan'!$F$2:$F800),"")</f>
        <v>650000</v>
      </c>
      <c r="Q151" s="33">
        <f t="shared" si="5"/>
        <v>0</v>
      </c>
      <c r="R151" s="26" t="s">
        <v>28</v>
      </c>
      <c r="S151" s="38" t="s">
        <v>180</v>
      </c>
      <c r="T151" s="35" t="b">
        <v>1</v>
      </c>
      <c r="U151" s="36"/>
    </row>
    <row r="152" ht="30.0" customHeight="1">
      <c r="A152" s="24"/>
      <c r="B152" s="25">
        <v>2257.0</v>
      </c>
      <c r="C152" s="26" t="s">
        <v>40</v>
      </c>
      <c r="D152" s="27">
        <v>46034.0</v>
      </c>
      <c r="E152" s="28" t="str">
        <f t="shared" si="1"/>
        <v>2026</v>
      </c>
      <c r="F152" s="28" t="str">
        <f t="shared" si="2"/>
        <v>01 Jan</v>
      </c>
      <c r="G152" s="29" t="s">
        <v>56</v>
      </c>
      <c r="H152" s="29" t="s">
        <v>23</v>
      </c>
      <c r="I152" s="29" t="s">
        <v>157</v>
      </c>
      <c r="J152" s="26" t="s">
        <v>76</v>
      </c>
      <c r="K152" s="26" t="s">
        <v>32</v>
      </c>
      <c r="L152" s="28" t="str">
        <f t="shared" si="3"/>
        <v>SESI KLINIK</v>
      </c>
      <c r="M152" s="26" t="s">
        <v>27</v>
      </c>
      <c r="N152" s="30">
        <v>150000.0</v>
      </c>
      <c r="O152" s="31">
        <v>0.0</v>
      </c>
      <c r="P152" s="32">
        <f t="array" ref="P152">IFNA(XLOOKUP(K152,'⚙️ Pengaturan'!$E$2:$E800,'⚙️ Pengaturan'!$F$2:$F800),"")</f>
        <v>150000</v>
      </c>
      <c r="Q152" s="33">
        <f t="shared" si="5"/>
        <v>0</v>
      </c>
      <c r="R152" s="26" t="s">
        <v>28</v>
      </c>
      <c r="S152" s="38" t="s">
        <v>157</v>
      </c>
      <c r="T152" s="35" t="b">
        <v>1</v>
      </c>
      <c r="U152" s="36"/>
    </row>
    <row r="153" ht="30.0" customHeight="1">
      <c r="A153" s="24"/>
      <c r="B153" s="25">
        <v>2258.0</v>
      </c>
      <c r="C153" s="26" t="s">
        <v>40</v>
      </c>
      <c r="D153" s="27">
        <v>46034.0</v>
      </c>
      <c r="E153" s="28" t="str">
        <f t="shared" si="1"/>
        <v>2026</v>
      </c>
      <c r="F153" s="28" t="str">
        <f t="shared" si="2"/>
        <v>01 Jan</v>
      </c>
      <c r="G153" s="29" t="s">
        <v>56</v>
      </c>
      <c r="H153" s="29" t="s">
        <v>68</v>
      </c>
      <c r="I153" s="29" t="s">
        <v>181</v>
      </c>
      <c r="J153" s="26" t="s">
        <v>76</v>
      </c>
      <c r="K153" s="26" t="s">
        <v>44</v>
      </c>
      <c r="L153" s="28" t="str">
        <f t="shared" si="3"/>
        <v>PAKET KLINIK</v>
      </c>
      <c r="M153" s="26" t="s">
        <v>27</v>
      </c>
      <c r="N153" s="30">
        <v>1200000.0</v>
      </c>
      <c r="O153" s="31">
        <v>0.0</v>
      </c>
      <c r="P153" s="32">
        <f t="array" ref="P153">IFNA(XLOOKUP(K153,'⚙️ Pengaturan'!$E$2:$E800,'⚙️ Pengaturan'!$F$2:$F800),"")</f>
        <v>1200000</v>
      </c>
      <c r="Q153" s="33">
        <f t="shared" si="5"/>
        <v>0</v>
      </c>
      <c r="R153" s="26" t="s">
        <v>28</v>
      </c>
      <c r="S153" s="38" t="s">
        <v>181</v>
      </c>
      <c r="T153" s="35" t="b">
        <v>1</v>
      </c>
      <c r="U153" s="36"/>
    </row>
    <row r="154" ht="30.0" customHeight="1">
      <c r="A154" s="24"/>
      <c r="B154" s="25">
        <v>2259.0</v>
      </c>
      <c r="C154" s="26" t="s">
        <v>40</v>
      </c>
      <c r="D154" s="27">
        <v>46034.0</v>
      </c>
      <c r="E154" s="28" t="str">
        <f t="shared" si="1"/>
        <v>2026</v>
      </c>
      <c r="F154" s="28" t="str">
        <f t="shared" si="2"/>
        <v>01 Jan</v>
      </c>
      <c r="G154" s="29" t="s">
        <v>56</v>
      </c>
      <c r="H154" s="29" t="s">
        <v>70</v>
      </c>
      <c r="I154" s="29" t="s">
        <v>96</v>
      </c>
      <c r="J154" s="26" t="s">
        <v>76</v>
      </c>
      <c r="K154" s="26" t="s">
        <v>39</v>
      </c>
      <c r="L154" s="28" t="str">
        <f t="shared" si="3"/>
        <v>PAKET KLINIK</v>
      </c>
      <c r="M154" s="26" t="s">
        <v>63</v>
      </c>
      <c r="N154" s="30">
        <v>450000.0</v>
      </c>
      <c r="O154" s="31">
        <v>200000.0</v>
      </c>
      <c r="P154" s="32">
        <f t="array" ref="P154">IFNA(XLOOKUP(K154,'⚙️ Pengaturan'!$E$2:$E800,'⚙️ Pengaturan'!$F$2:$F800),"")</f>
        <v>650000</v>
      </c>
      <c r="Q154" s="33">
        <f t="shared" si="5"/>
        <v>0</v>
      </c>
      <c r="R154" s="26" t="s">
        <v>28</v>
      </c>
      <c r="S154" s="38" t="s">
        <v>96</v>
      </c>
      <c r="T154" s="35" t="b">
        <v>1</v>
      </c>
      <c r="U154" s="36"/>
    </row>
    <row r="155" ht="30.0" customHeight="1">
      <c r="A155" s="24"/>
      <c r="B155" s="25">
        <v>2260.0</v>
      </c>
      <c r="C155" s="26" t="s">
        <v>40</v>
      </c>
      <c r="D155" s="27">
        <v>46034.0</v>
      </c>
      <c r="E155" s="28" t="str">
        <f t="shared" si="1"/>
        <v>2026</v>
      </c>
      <c r="F155" s="28" t="str">
        <f t="shared" si="2"/>
        <v>01 Jan</v>
      </c>
      <c r="G155" s="29" t="s">
        <v>61</v>
      </c>
      <c r="H155" s="29" t="s">
        <v>30</v>
      </c>
      <c r="I155" s="29" t="s">
        <v>130</v>
      </c>
      <c r="J155" s="26" t="s">
        <v>76</v>
      </c>
      <c r="K155" s="26" t="s">
        <v>32</v>
      </c>
      <c r="L155" s="28" t="str">
        <f t="shared" si="3"/>
        <v>SESI KLINIK</v>
      </c>
      <c r="M155" s="26" t="s">
        <v>27</v>
      </c>
      <c r="N155" s="30">
        <v>150000.0</v>
      </c>
      <c r="O155" s="31">
        <v>0.0</v>
      </c>
      <c r="P155" s="32">
        <f t="array" ref="P155">IFNA(XLOOKUP(K155,'⚙️ Pengaturan'!$E$2:$E800,'⚙️ Pengaturan'!$F$2:$F800),"")</f>
        <v>150000</v>
      </c>
      <c r="Q155" s="33">
        <f t="shared" si="5"/>
        <v>0</v>
      </c>
      <c r="R155" s="26" t="s">
        <v>33</v>
      </c>
      <c r="S155" s="38" t="s">
        <v>34</v>
      </c>
      <c r="T155" s="35" t="b">
        <v>1</v>
      </c>
      <c r="U155" s="36"/>
    </row>
    <row r="156" ht="30.0" customHeight="1">
      <c r="A156" s="24"/>
      <c r="B156" s="25">
        <v>2261.0</v>
      </c>
      <c r="C156" s="26" t="s">
        <v>40</v>
      </c>
      <c r="D156" s="27">
        <v>46034.0</v>
      </c>
      <c r="E156" s="28" t="str">
        <f t="shared" si="1"/>
        <v>2026</v>
      </c>
      <c r="F156" s="28" t="str">
        <f t="shared" si="2"/>
        <v>01 Jan</v>
      </c>
      <c r="G156" s="29" t="s">
        <v>61</v>
      </c>
      <c r="H156" s="29" t="s">
        <v>48</v>
      </c>
      <c r="I156" s="29" t="s">
        <v>182</v>
      </c>
      <c r="J156" s="26" t="s">
        <v>25</v>
      </c>
      <c r="K156" s="26" t="s">
        <v>178</v>
      </c>
      <c r="L156" s="28" t="str">
        <f t="shared" si="3"/>
        <v>PAKET VISIT</v>
      </c>
      <c r="M156" s="26" t="s">
        <v>27</v>
      </c>
      <c r="N156" s="30">
        <v>2300000.0</v>
      </c>
      <c r="O156" s="31">
        <v>0.0</v>
      </c>
      <c r="P156" s="32">
        <f t="array" ref="P156">IFNA(XLOOKUP(K156,'⚙️ Pengaturan'!$E$2:$E800,'⚙️ Pengaturan'!$F$2:$F800),"")</f>
        <v>2300000</v>
      </c>
      <c r="Q156" s="33">
        <f t="shared" si="5"/>
        <v>0</v>
      </c>
      <c r="R156" s="26" t="s">
        <v>28</v>
      </c>
      <c r="S156" s="38" t="s">
        <v>182</v>
      </c>
      <c r="T156" s="35" t="b">
        <v>1</v>
      </c>
      <c r="U156" s="36"/>
    </row>
    <row r="157" ht="30.0" customHeight="1">
      <c r="A157" s="24"/>
      <c r="B157" s="25">
        <v>2262.0</v>
      </c>
      <c r="C157" s="26" t="s">
        <v>40</v>
      </c>
      <c r="D157" s="27">
        <v>46034.0</v>
      </c>
      <c r="E157" s="28" t="str">
        <f t="shared" si="1"/>
        <v>2026</v>
      </c>
      <c r="F157" s="28" t="str">
        <f t="shared" si="2"/>
        <v>01 Jan</v>
      </c>
      <c r="G157" s="29" t="s">
        <v>61</v>
      </c>
      <c r="H157" s="29" t="s">
        <v>70</v>
      </c>
      <c r="I157" s="29" t="s">
        <v>59</v>
      </c>
      <c r="J157" s="26" t="s">
        <v>76</v>
      </c>
      <c r="K157" s="26" t="s">
        <v>39</v>
      </c>
      <c r="L157" s="28" t="str">
        <f t="shared" si="3"/>
        <v>PAKET KLINIK</v>
      </c>
      <c r="M157" s="26" t="s">
        <v>86</v>
      </c>
      <c r="N157" s="30">
        <v>200000.0</v>
      </c>
      <c r="O157" s="31">
        <v>0.0</v>
      </c>
      <c r="P157" s="32">
        <f t="array" ref="P157">IFNA(XLOOKUP(K157,'⚙️ Pengaturan'!$E$2:$E800,'⚙️ Pengaturan'!$F$2:$F800),"")</f>
        <v>650000</v>
      </c>
      <c r="Q157" s="33">
        <f t="shared" si="5"/>
        <v>-450000</v>
      </c>
      <c r="R157" s="26" t="s">
        <v>33</v>
      </c>
      <c r="S157" s="38" t="s">
        <v>34</v>
      </c>
      <c r="T157" s="35" t="b">
        <v>1</v>
      </c>
      <c r="U157" s="36"/>
    </row>
    <row r="158" ht="30.0" customHeight="1">
      <c r="A158" s="24"/>
      <c r="B158" s="25">
        <v>2263.0</v>
      </c>
      <c r="C158" s="26" t="s">
        <v>40</v>
      </c>
      <c r="D158" s="27">
        <v>46035.0</v>
      </c>
      <c r="E158" s="28" t="str">
        <f t="shared" si="1"/>
        <v>2026</v>
      </c>
      <c r="F158" s="28" t="str">
        <f t="shared" si="2"/>
        <v>01 Jan</v>
      </c>
      <c r="G158" s="29" t="s">
        <v>29</v>
      </c>
      <c r="H158" s="29" t="s">
        <v>148</v>
      </c>
      <c r="I158" s="29" t="s">
        <v>183</v>
      </c>
      <c r="J158" s="26" t="s">
        <v>76</v>
      </c>
      <c r="K158" s="26" t="s">
        <v>44</v>
      </c>
      <c r="L158" s="28" t="str">
        <f t="shared" si="3"/>
        <v>PAKET KLINIK</v>
      </c>
      <c r="M158" s="26" t="s">
        <v>27</v>
      </c>
      <c r="N158" s="30">
        <v>1200000.0</v>
      </c>
      <c r="O158" s="31">
        <v>0.0</v>
      </c>
      <c r="P158" s="32">
        <f t="array" ref="P158">IFNA(XLOOKUP(K158,'⚙️ Pengaturan'!$E$2:$E800,'⚙️ Pengaturan'!$F$2:$F800),"")</f>
        <v>1200000</v>
      </c>
      <c r="Q158" s="33">
        <f t="shared" si="5"/>
        <v>0</v>
      </c>
      <c r="R158" s="26" t="s">
        <v>33</v>
      </c>
      <c r="S158" s="38" t="s">
        <v>34</v>
      </c>
      <c r="T158" s="35" t="b">
        <v>1</v>
      </c>
      <c r="U158" s="36"/>
    </row>
    <row r="159" ht="30.0" customHeight="1">
      <c r="A159" s="24"/>
      <c r="B159" s="25">
        <v>2264.0</v>
      </c>
      <c r="C159" s="26" t="s">
        <v>40</v>
      </c>
      <c r="D159" s="27">
        <v>46035.0</v>
      </c>
      <c r="E159" s="28" t="str">
        <f t="shared" si="1"/>
        <v>2026</v>
      </c>
      <c r="F159" s="28" t="str">
        <f t="shared" si="2"/>
        <v>01 Jan</v>
      </c>
      <c r="G159" s="29" t="s">
        <v>29</v>
      </c>
      <c r="H159" s="29" t="s">
        <v>30</v>
      </c>
      <c r="I159" s="29" t="s">
        <v>184</v>
      </c>
      <c r="J159" s="26" t="s">
        <v>25</v>
      </c>
      <c r="K159" s="26" t="s">
        <v>26</v>
      </c>
      <c r="L159" s="28" t="str">
        <f t="shared" si="3"/>
        <v>TA KLINIK</v>
      </c>
      <c r="M159" s="26" t="s">
        <v>27</v>
      </c>
      <c r="N159" s="30">
        <v>250000.0</v>
      </c>
      <c r="O159" s="31">
        <v>0.0</v>
      </c>
      <c r="P159" s="32">
        <f t="array" ref="P159">IFNA(XLOOKUP(K159,'⚙️ Pengaturan'!$E$2:$E800,'⚙️ Pengaturan'!$F$2:$F800),"")</f>
        <v>250000</v>
      </c>
      <c r="Q159" s="33">
        <f t="shared" si="5"/>
        <v>0</v>
      </c>
      <c r="R159" s="26" t="s">
        <v>33</v>
      </c>
      <c r="S159" s="38" t="s">
        <v>34</v>
      </c>
      <c r="T159" s="35" t="b">
        <v>1</v>
      </c>
      <c r="U159" s="36"/>
    </row>
    <row r="160" ht="30.0" customHeight="1">
      <c r="A160" s="24"/>
      <c r="B160" s="25">
        <v>2265.0</v>
      </c>
      <c r="C160" s="26" t="s">
        <v>40</v>
      </c>
      <c r="D160" s="27">
        <v>46035.0</v>
      </c>
      <c r="E160" s="28" t="str">
        <f t="shared" si="1"/>
        <v>2026</v>
      </c>
      <c r="F160" s="28" t="str">
        <f t="shared" si="2"/>
        <v>01 Jan</v>
      </c>
      <c r="G160" s="29" t="s">
        <v>29</v>
      </c>
      <c r="H160" s="29" t="s">
        <v>70</v>
      </c>
      <c r="I160" s="29" t="s">
        <v>185</v>
      </c>
      <c r="J160" s="26" t="s">
        <v>25</v>
      </c>
      <c r="K160" s="26" t="s">
        <v>73</v>
      </c>
      <c r="L160" s="28" t="str">
        <f t="shared" si="3"/>
        <v>TA VISIT</v>
      </c>
      <c r="M160" s="26" t="s">
        <v>27</v>
      </c>
      <c r="N160" s="30">
        <v>350000.0</v>
      </c>
      <c r="O160" s="31">
        <v>0.0</v>
      </c>
      <c r="P160" s="32">
        <f t="array" ref="P160">IFNA(XLOOKUP(K160,'⚙️ Pengaturan'!$E$2:$E800,'⚙️ Pengaturan'!$F$2:$F800),"")</f>
        <v>350000</v>
      </c>
      <c r="Q160" s="33">
        <f t="shared" si="5"/>
        <v>0</v>
      </c>
      <c r="R160" s="26" t="s">
        <v>28</v>
      </c>
      <c r="S160" s="38" t="s">
        <v>186</v>
      </c>
      <c r="T160" s="35" t="b">
        <v>1</v>
      </c>
      <c r="U160" s="36"/>
    </row>
    <row r="161" ht="30.0" customHeight="1">
      <c r="A161" s="24"/>
      <c r="B161" s="25">
        <v>2266.0</v>
      </c>
      <c r="C161" s="26" t="s">
        <v>40</v>
      </c>
      <c r="D161" s="27">
        <v>46035.0</v>
      </c>
      <c r="E161" s="28" t="str">
        <f t="shared" si="1"/>
        <v>2026</v>
      </c>
      <c r="F161" s="28" t="str">
        <f t="shared" si="2"/>
        <v>01 Jan</v>
      </c>
      <c r="G161" s="29" t="s">
        <v>29</v>
      </c>
      <c r="H161" s="29" t="s">
        <v>68</v>
      </c>
      <c r="I161" s="29" t="s">
        <v>150</v>
      </c>
      <c r="J161" s="26" t="s">
        <v>76</v>
      </c>
      <c r="K161" s="26" t="s">
        <v>39</v>
      </c>
      <c r="L161" s="28" t="str">
        <f t="shared" si="3"/>
        <v>PAKET KLINIK</v>
      </c>
      <c r="M161" s="26" t="s">
        <v>27</v>
      </c>
      <c r="N161" s="30">
        <v>650000.0</v>
      </c>
      <c r="O161" s="31">
        <v>0.0</v>
      </c>
      <c r="P161" s="32">
        <f t="array" ref="P161">IFNA(XLOOKUP(K161,'⚙️ Pengaturan'!$E$2:$E800,'⚙️ Pengaturan'!$F$2:$F800),"")</f>
        <v>650000</v>
      </c>
      <c r="Q161" s="33">
        <f t="shared" si="5"/>
        <v>0</v>
      </c>
      <c r="R161" s="26" t="s">
        <v>28</v>
      </c>
      <c r="S161" s="38" t="s">
        <v>150</v>
      </c>
      <c r="T161" s="35" t="b">
        <v>1</v>
      </c>
      <c r="U161" s="36"/>
    </row>
    <row r="162" ht="30.0" customHeight="1">
      <c r="A162" s="24"/>
      <c r="B162" s="25">
        <v>2267.0</v>
      </c>
      <c r="C162" s="26" t="s">
        <v>40</v>
      </c>
      <c r="D162" s="27">
        <v>46035.0</v>
      </c>
      <c r="E162" s="28" t="str">
        <f t="shared" si="1"/>
        <v>2026</v>
      </c>
      <c r="F162" s="28" t="str">
        <f t="shared" si="2"/>
        <v>01 Jan</v>
      </c>
      <c r="G162" s="29" t="s">
        <v>82</v>
      </c>
      <c r="H162" s="29" t="s">
        <v>23</v>
      </c>
      <c r="I162" s="29" t="s">
        <v>187</v>
      </c>
      <c r="J162" s="26" t="s">
        <v>76</v>
      </c>
      <c r="K162" s="26" t="s">
        <v>32</v>
      </c>
      <c r="L162" s="28" t="str">
        <f t="shared" si="3"/>
        <v>SESI KLINIK</v>
      </c>
      <c r="M162" s="26" t="s">
        <v>27</v>
      </c>
      <c r="N162" s="30">
        <v>150000.0</v>
      </c>
      <c r="O162" s="31">
        <v>0.0</v>
      </c>
      <c r="P162" s="32">
        <f t="array" ref="P162">IFNA(XLOOKUP(K162,'⚙️ Pengaturan'!$E$2:$E800,'⚙️ Pengaturan'!$F$2:$F800),"")</f>
        <v>150000</v>
      </c>
      <c r="Q162" s="33">
        <f t="shared" si="5"/>
        <v>0</v>
      </c>
      <c r="R162" s="26" t="s">
        <v>28</v>
      </c>
      <c r="S162" s="38" t="s">
        <v>187</v>
      </c>
      <c r="T162" s="35" t="b">
        <v>1</v>
      </c>
      <c r="U162" s="36"/>
    </row>
    <row r="163" ht="30.0" customHeight="1">
      <c r="A163" s="24"/>
      <c r="B163" s="25">
        <v>2268.0</v>
      </c>
      <c r="C163" s="26" t="s">
        <v>40</v>
      </c>
      <c r="D163" s="27">
        <v>46035.0</v>
      </c>
      <c r="E163" s="28" t="str">
        <f t="shared" si="1"/>
        <v>2026</v>
      </c>
      <c r="F163" s="28" t="str">
        <f t="shared" si="2"/>
        <v>01 Jan</v>
      </c>
      <c r="G163" s="29" t="s">
        <v>82</v>
      </c>
      <c r="H163" s="29" t="s">
        <v>68</v>
      </c>
      <c r="I163" s="29" t="s">
        <v>146</v>
      </c>
      <c r="J163" s="26" t="s">
        <v>76</v>
      </c>
      <c r="K163" s="26" t="s">
        <v>44</v>
      </c>
      <c r="L163" s="28" t="str">
        <f t="shared" si="3"/>
        <v>PAKET KLINIK</v>
      </c>
      <c r="M163" s="26" t="s">
        <v>27</v>
      </c>
      <c r="N163" s="30">
        <v>1200000.0</v>
      </c>
      <c r="O163" s="31">
        <v>0.0</v>
      </c>
      <c r="P163" s="32">
        <f t="array" ref="P163">IFNA(XLOOKUP(K163,'⚙️ Pengaturan'!$E$2:$E800,'⚙️ Pengaturan'!$F$2:$F800),"")</f>
        <v>1200000</v>
      </c>
      <c r="Q163" s="33">
        <f t="shared" si="5"/>
        <v>0</v>
      </c>
      <c r="R163" s="26" t="s">
        <v>33</v>
      </c>
      <c r="S163" s="38" t="s">
        <v>34</v>
      </c>
      <c r="T163" s="35" t="b">
        <v>1</v>
      </c>
      <c r="U163" s="36"/>
    </row>
    <row r="164" ht="30.0" customHeight="1">
      <c r="A164" s="24"/>
      <c r="B164" s="25">
        <v>2269.0</v>
      </c>
      <c r="C164" s="26" t="s">
        <v>21</v>
      </c>
      <c r="D164" s="27">
        <v>46035.0</v>
      </c>
      <c r="E164" s="28" t="str">
        <f t="shared" si="1"/>
        <v>2026</v>
      </c>
      <c r="F164" s="28" t="str">
        <f t="shared" si="2"/>
        <v>01 Jan</v>
      </c>
      <c r="G164" s="29" t="s">
        <v>46</v>
      </c>
      <c r="H164" s="29" t="s">
        <v>48</v>
      </c>
      <c r="I164" s="29" t="s">
        <v>188</v>
      </c>
      <c r="J164" s="26" t="s">
        <v>25</v>
      </c>
      <c r="K164" s="26" t="s">
        <v>26</v>
      </c>
      <c r="L164" s="28" t="str">
        <f t="shared" si="3"/>
        <v>TA KLINIK</v>
      </c>
      <c r="M164" s="26" t="s">
        <v>27</v>
      </c>
      <c r="N164" s="30">
        <v>250000.0</v>
      </c>
      <c r="O164" s="31">
        <v>0.0</v>
      </c>
      <c r="P164" s="32">
        <f t="array" ref="P164">IFNA(XLOOKUP(K164,'⚙️ Pengaturan'!$E$2:$E800,'⚙️ Pengaturan'!$F$2:$F800),"")</f>
        <v>250000</v>
      </c>
      <c r="Q164" s="33">
        <f t="shared" si="5"/>
        <v>0</v>
      </c>
      <c r="R164" s="26" t="s">
        <v>28</v>
      </c>
      <c r="S164" s="38" t="s">
        <v>188</v>
      </c>
      <c r="T164" s="35" t="b">
        <v>1</v>
      </c>
      <c r="U164" s="36"/>
    </row>
    <row r="165" ht="30.0" customHeight="1">
      <c r="A165" s="24"/>
      <c r="B165" s="25">
        <v>2270.0</v>
      </c>
      <c r="C165" s="26" t="s">
        <v>21</v>
      </c>
      <c r="D165" s="27">
        <v>46035.0</v>
      </c>
      <c r="E165" s="28" t="str">
        <f t="shared" si="1"/>
        <v>2026</v>
      </c>
      <c r="F165" s="28" t="str">
        <f t="shared" si="2"/>
        <v>01 Jan</v>
      </c>
      <c r="G165" s="29" t="s">
        <v>46</v>
      </c>
      <c r="H165" s="29" t="s">
        <v>51</v>
      </c>
      <c r="I165" s="29" t="s">
        <v>189</v>
      </c>
      <c r="J165" s="26" t="s">
        <v>25</v>
      </c>
      <c r="K165" s="26" t="s">
        <v>26</v>
      </c>
      <c r="L165" s="28" t="str">
        <f t="shared" si="3"/>
        <v>TA KLINIK</v>
      </c>
      <c r="M165" s="26" t="s">
        <v>27</v>
      </c>
      <c r="N165" s="30">
        <v>250000.0</v>
      </c>
      <c r="O165" s="31">
        <v>0.0</v>
      </c>
      <c r="P165" s="32">
        <f t="array" ref="P165">IFNA(XLOOKUP(K165,'⚙️ Pengaturan'!$E$2:$E800,'⚙️ Pengaturan'!$F$2:$F800),"")</f>
        <v>250000</v>
      </c>
      <c r="Q165" s="33">
        <f t="shared" si="5"/>
        <v>0</v>
      </c>
      <c r="R165" s="26" t="s">
        <v>33</v>
      </c>
      <c r="S165" s="38" t="s">
        <v>34</v>
      </c>
      <c r="T165" s="35" t="b">
        <v>1</v>
      </c>
      <c r="U165" s="36"/>
    </row>
    <row r="166" ht="30.0" customHeight="1">
      <c r="A166" s="24"/>
      <c r="B166" s="25">
        <v>2271.0</v>
      </c>
      <c r="C166" s="26" t="s">
        <v>21</v>
      </c>
      <c r="D166" s="27">
        <v>46035.0</v>
      </c>
      <c r="E166" s="28" t="str">
        <f t="shared" si="1"/>
        <v>2026</v>
      </c>
      <c r="F166" s="28" t="str">
        <f t="shared" si="2"/>
        <v>01 Jan</v>
      </c>
      <c r="G166" s="29" t="s">
        <v>46</v>
      </c>
      <c r="H166" s="29" t="s">
        <v>58</v>
      </c>
      <c r="I166" s="29" t="s">
        <v>160</v>
      </c>
      <c r="J166" s="26" t="s">
        <v>25</v>
      </c>
      <c r="K166" s="26" t="s">
        <v>32</v>
      </c>
      <c r="L166" s="28" t="str">
        <f t="shared" si="3"/>
        <v>SESI KLINIK</v>
      </c>
      <c r="M166" s="26" t="s">
        <v>27</v>
      </c>
      <c r="N166" s="30">
        <v>150000.0</v>
      </c>
      <c r="O166" s="31">
        <v>0.0</v>
      </c>
      <c r="P166" s="32">
        <f t="array" ref="P166">IFNA(XLOOKUP(K166,'⚙️ Pengaturan'!$E$2:$E800,'⚙️ Pengaturan'!$F$2:$F800),"")</f>
        <v>150000</v>
      </c>
      <c r="Q166" s="33">
        <f t="shared" si="5"/>
        <v>0</v>
      </c>
      <c r="R166" s="26" t="s">
        <v>28</v>
      </c>
      <c r="S166" s="38" t="s">
        <v>160</v>
      </c>
      <c r="T166" s="35" t="b">
        <v>1</v>
      </c>
      <c r="U166" s="36"/>
    </row>
    <row r="167" ht="30.0" customHeight="1">
      <c r="A167" s="24"/>
      <c r="B167" s="25">
        <v>2272.0</v>
      </c>
      <c r="C167" s="26" t="s">
        <v>21</v>
      </c>
      <c r="D167" s="27">
        <v>46035.0</v>
      </c>
      <c r="E167" s="28" t="str">
        <f t="shared" si="1"/>
        <v>2026</v>
      </c>
      <c r="F167" s="28" t="str">
        <f t="shared" si="2"/>
        <v>01 Jan</v>
      </c>
      <c r="G167" s="29" t="s">
        <v>53</v>
      </c>
      <c r="H167" s="29" t="s">
        <v>42</v>
      </c>
      <c r="I167" s="29" t="s">
        <v>190</v>
      </c>
      <c r="J167" s="26" t="s">
        <v>25</v>
      </c>
      <c r="K167" s="26" t="s">
        <v>26</v>
      </c>
      <c r="L167" s="28" t="str">
        <f t="shared" si="3"/>
        <v>TA KLINIK</v>
      </c>
      <c r="M167" s="26" t="s">
        <v>27</v>
      </c>
      <c r="N167" s="30">
        <v>250000.0</v>
      </c>
      <c r="O167" s="31">
        <v>0.0</v>
      </c>
      <c r="P167" s="32">
        <f t="array" ref="P167">IFNA(XLOOKUP(K167,'⚙️ Pengaturan'!$E$2:$E800,'⚙️ Pengaturan'!$F$2:$F800),"")</f>
        <v>250000</v>
      </c>
      <c r="Q167" s="33">
        <f t="shared" si="5"/>
        <v>0</v>
      </c>
      <c r="R167" s="26" t="s">
        <v>28</v>
      </c>
      <c r="S167" s="38" t="s">
        <v>190</v>
      </c>
      <c r="T167" s="35" t="b">
        <v>1</v>
      </c>
      <c r="U167" s="36"/>
    </row>
    <row r="168" ht="30.0" customHeight="1">
      <c r="A168" s="24"/>
      <c r="B168" s="25">
        <v>2273.0</v>
      </c>
      <c r="C168" s="26" t="s">
        <v>21</v>
      </c>
      <c r="D168" s="27">
        <v>46035.0</v>
      </c>
      <c r="E168" s="28" t="str">
        <f t="shared" si="1"/>
        <v>2026</v>
      </c>
      <c r="F168" s="28" t="str">
        <f t="shared" si="2"/>
        <v>01 Jan</v>
      </c>
      <c r="G168" s="29" t="s">
        <v>67</v>
      </c>
      <c r="H168" s="29" t="s">
        <v>42</v>
      </c>
      <c r="I168" s="29" t="s">
        <v>190</v>
      </c>
      <c r="J168" s="26" t="s">
        <v>25</v>
      </c>
      <c r="K168" s="26" t="s">
        <v>44</v>
      </c>
      <c r="L168" s="28" t="str">
        <f t="shared" si="3"/>
        <v>PAKET KLINIK</v>
      </c>
      <c r="M168" s="26" t="s">
        <v>27</v>
      </c>
      <c r="N168" s="30">
        <v>1200000.0</v>
      </c>
      <c r="O168" s="31">
        <v>0.0</v>
      </c>
      <c r="P168" s="32">
        <f t="array" ref="P168">IFNA(XLOOKUP(K168,'⚙️ Pengaturan'!$E$2:$E800,'⚙️ Pengaturan'!$F$2:$F800),"")</f>
        <v>1200000</v>
      </c>
      <c r="Q168" s="33">
        <f t="shared" si="5"/>
        <v>0</v>
      </c>
      <c r="R168" s="26" t="s">
        <v>28</v>
      </c>
      <c r="S168" s="38" t="s">
        <v>190</v>
      </c>
      <c r="T168" s="35" t="b">
        <v>1</v>
      </c>
      <c r="U168" s="36"/>
    </row>
    <row r="169" ht="30.0" customHeight="1">
      <c r="A169" s="24"/>
      <c r="B169" s="25">
        <v>2274.0</v>
      </c>
      <c r="C169" s="26" t="s">
        <v>21</v>
      </c>
      <c r="D169" s="27">
        <v>46035.0</v>
      </c>
      <c r="E169" s="28" t="str">
        <f t="shared" si="1"/>
        <v>2026</v>
      </c>
      <c r="F169" s="28" t="str">
        <f t="shared" si="2"/>
        <v>01 Jan</v>
      </c>
      <c r="G169" s="29" t="s">
        <v>53</v>
      </c>
      <c r="H169" s="29" t="s">
        <v>51</v>
      </c>
      <c r="I169" s="29" t="s">
        <v>191</v>
      </c>
      <c r="J169" s="26" t="s">
        <v>25</v>
      </c>
      <c r="K169" s="26" t="s">
        <v>26</v>
      </c>
      <c r="L169" s="28" t="str">
        <f t="shared" si="3"/>
        <v>TA KLINIK</v>
      </c>
      <c r="M169" s="26" t="s">
        <v>27</v>
      </c>
      <c r="N169" s="30">
        <v>250000.0</v>
      </c>
      <c r="O169" s="31">
        <v>0.0</v>
      </c>
      <c r="P169" s="32">
        <f t="array" ref="P169">IFNA(XLOOKUP(K169,'⚙️ Pengaturan'!$E$2:$E800,'⚙️ Pengaturan'!$F$2:$F800),"")</f>
        <v>250000</v>
      </c>
      <c r="Q169" s="33">
        <f t="shared" si="5"/>
        <v>0</v>
      </c>
      <c r="R169" s="26" t="s">
        <v>28</v>
      </c>
      <c r="S169" s="38" t="s">
        <v>192</v>
      </c>
      <c r="T169" s="35" t="b">
        <v>1</v>
      </c>
      <c r="U169" s="36"/>
    </row>
    <row r="170" ht="30.0" customHeight="1">
      <c r="A170" s="24"/>
      <c r="B170" s="25">
        <v>2275.0</v>
      </c>
      <c r="C170" s="26" t="s">
        <v>21</v>
      </c>
      <c r="D170" s="27">
        <v>46035.0</v>
      </c>
      <c r="E170" s="28" t="str">
        <f t="shared" si="1"/>
        <v>2026</v>
      </c>
      <c r="F170" s="28" t="str">
        <f t="shared" si="2"/>
        <v>01 Jan</v>
      </c>
      <c r="G170" s="29" t="s">
        <v>53</v>
      </c>
      <c r="H170" s="29" t="s">
        <v>58</v>
      </c>
      <c r="I170" s="29" t="s">
        <v>167</v>
      </c>
      <c r="J170" s="26" t="s">
        <v>25</v>
      </c>
      <c r="K170" s="26" t="s">
        <v>32</v>
      </c>
      <c r="L170" s="28" t="str">
        <f t="shared" si="3"/>
        <v>SESI KLINIK</v>
      </c>
      <c r="M170" s="26" t="s">
        <v>27</v>
      </c>
      <c r="N170" s="30">
        <v>150000.0</v>
      </c>
      <c r="O170" s="31">
        <v>0.0</v>
      </c>
      <c r="P170" s="32">
        <f t="array" ref="P170">IFNA(XLOOKUP(K170,'⚙️ Pengaturan'!$E$2:$E800,'⚙️ Pengaturan'!$F$2:$F800),"")</f>
        <v>150000</v>
      </c>
      <c r="Q170" s="33">
        <f t="shared" si="5"/>
        <v>0</v>
      </c>
      <c r="R170" s="26" t="s">
        <v>33</v>
      </c>
      <c r="S170" s="38" t="s">
        <v>34</v>
      </c>
      <c r="T170" s="35" t="b">
        <v>1</v>
      </c>
      <c r="U170" s="36"/>
    </row>
    <row r="171" ht="30.0" customHeight="1">
      <c r="A171" s="24"/>
      <c r="B171" s="25">
        <v>2276.0</v>
      </c>
      <c r="C171" s="26" t="s">
        <v>21</v>
      </c>
      <c r="D171" s="27">
        <v>46035.0</v>
      </c>
      <c r="E171" s="28" t="str">
        <f t="shared" si="1"/>
        <v>2026</v>
      </c>
      <c r="F171" s="28" t="str">
        <f t="shared" si="2"/>
        <v>01 Jan</v>
      </c>
      <c r="G171" s="29" t="s">
        <v>56</v>
      </c>
      <c r="H171" s="29" t="s">
        <v>48</v>
      </c>
      <c r="I171" s="29" t="s">
        <v>193</v>
      </c>
      <c r="J171" s="26" t="s">
        <v>76</v>
      </c>
      <c r="K171" s="26" t="s">
        <v>44</v>
      </c>
      <c r="L171" s="28" t="str">
        <f t="shared" si="3"/>
        <v>PAKET KLINIK</v>
      </c>
      <c r="M171" s="26" t="s">
        <v>27</v>
      </c>
      <c r="N171" s="30">
        <v>1200000.0</v>
      </c>
      <c r="O171" s="31">
        <v>0.0</v>
      </c>
      <c r="P171" s="32">
        <f t="array" ref="P171">IFNA(XLOOKUP(K171,'⚙️ Pengaturan'!$E$2:$E800,'⚙️ Pengaturan'!$F$2:$F800),"")</f>
        <v>1200000</v>
      </c>
      <c r="Q171" s="33">
        <f t="shared" si="5"/>
        <v>0</v>
      </c>
      <c r="R171" s="26" t="s">
        <v>28</v>
      </c>
      <c r="S171" s="38" t="s">
        <v>193</v>
      </c>
      <c r="T171" s="35" t="b">
        <v>1</v>
      </c>
      <c r="U171" s="36"/>
    </row>
    <row r="172" ht="30.0" customHeight="1">
      <c r="A172" s="24"/>
      <c r="B172" s="25">
        <v>2277.0</v>
      </c>
      <c r="C172" s="26" t="s">
        <v>21</v>
      </c>
      <c r="D172" s="27">
        <v>46035.0</v>
      </c>
      <c r="E172" s="28" t="str">
        <f t="shared" si="1"/>
        <v>2026</v>
      </c>
      <c r="F172" s="28" t="str">
        <f t="shared" si="2"/>
        <v>01 Jan</v>
      </c>
      <c r="G172" s="29" t="s">
        <v>56</v>
      </c>
      <c r="H172" s="29" t="s">
        <v>48</v>
      </c>
      <c r="I172" s="29" t="s">
        <v>193</v>
      </c>
      <c r="J172" s="26" t="s">
        <v>76</v>
      </c>
      <c r="K172" s="26" t="s">
        <v>44</v>
      </c>
      <c r="L172" s="28" t="str">
        <f t="shared" si="3"/>
        <v>PAKET KLINIK</v>
      </c>
      <c r="M172" s="26" t="s">
        <v>27</v>
      </c>
      <c r="N172" s="30">
        <v>1200000.0</v>
      </c>
      <c r="O172" s="31">
        <v>0.0</v>
      </c>
      <c r="P172" s="32">
        <f t="array" ref="P172">IFNA(XLOOKUP(K172,'⚙️ Pengaturan'!$E$2:$E800,'⚙️ Pengaturan'!$F$2:$F800),"")</f>
        <v>1200000</v>
      </c>
      <c r="Q172" s="33">
        <f t="shared" si="5"/>
        <v>0</v>
      </c>
      <c r="R172" s="26" t="s">
        <v>28</v>
      </c>
      <c r="S172" s="38" t="s">
        <v>193</v>
      </c>
      <c r="T172" s="35" t="b">
        <v>1</v>
      </c>
      <c r="U172" s="36"/>
    </row>
    <row r="173" ht="30.0" customHeight="1">
      <c r="A173" s="24"/>
      <c r="B173" s="25">
        <v>2278.0</v>
      </c>
      <c r="C173" s="26" t="s">
        <v>21</v>
      </c>
      <c r="D173" s="27">
        <v>46035.0</v>
      </c>
      <c r="E173" s="28" t="str">
        <f t="shared" si="1"/>
        <v>2026</v>
      </c>
      <c r="F173" s="28" t="str">
        <f t="shared" si="2"/>
        <v>01 Jan</v>
      </c>
      <c r="G173" s="29" t="s">
        <v>56</v>
      </c>
      <c r="H173" s="29" t="s">
        <v>58</v>
      </c>
      <c r="I173" s="29" t="s">
        <v>194</v>
      </c>
      <c r="J173" s="26" t="s">
        <v>25</v>
      </c>
      <c r="K173" s="26" t="s">
        <v>26</v>
      </c>
      <c r="L173" s="28" t="str">
        <f t="shared" si="3"/>
        <v>TA KLINIK</v>
      </c>
      <c r="M173" s="26" t="s">
        <v>27</v>
      </c>
      <c r="N173" s="30">
        <v>250000.0</v>
      </c>
      <c r="O173" s="31">
        <v>0.0</v>
      </c>
      <c r="P173" s="32">
        <f t="array" ref="P173">IFNA(XLOOKUP(K173,'⚙️ Pengaturan'!$E$2:$E800,'⚙️ Pengaturan'!$F$2:$F800),"")</f>
        <v>250000</v>
      </c>
      <c r="Q173" s="33">
        <f t="shared" si="5"/>
        <v>0</v>
      </c>
      <c r="R173" s="26" t="s">
        <v>33</v>
      </c>
      <c r="S173" s="38" t="s">
        <v>34</v>
      </c>
      <c r="T173" s="35" t="b">
        <v>1</v>
      </c>
      <c r="U173" s="36"/>
    </row>
    <row r="174" ht="30.0" customHeight="1">
      <c r="A174" s="24"/>
      <c r="B174" s="25">
        <v>2279.0</v>
      </c>
      <c r="C174" s="26" t="s">
        <v>21</v>
      </c>
      <c r="D174" s="27">
        <v>46035.0</v>
      </c>
      <c r="E174" s="28" t="str">
        <f t="shared" si="1"/>
        <v>2026</v>
      </c>
      <c r="F174" s="28" t="str">
        <f t="shared" si="2"/>
        <v>01 Jan</v>
      </c>
      <c r="G174" s="29" t="s">
        <v>56</v>
      </c>
      <c r="H174" s="29" t="s">
        <v>42</v>
      </c>
      <c r="I174" s="29" t="s">
        <v>195</v>
      </c>
      <c r="J174" s="26" t="s">
        <v>76</v>
      </c>
      <c r="K174" s="26" t="s">
        <v>44</v>
      </c>
      <c r="L174" s="28" t="str">
        <f t="shared" si="3"/>
        <v>PAKET KLINIK</v>
      </c>
      <c r="M174" s="26" t="s">
        <v>27</v>
      </c>
      <c r="N174" s="30">
        <v>1200000.0</v>
      </c>
      <c r="O174" s="31">
        <v>0.0</v>
      </c>
      <c r="P174" s="32">
        <f t="array" ref="P174">IFNA(XLOOKUP(K174,'⚙️ Pengaturan'!$E$2:$E800,'⚙️ Pengaturan'!$F$2:$F800),"")</f>
        <v>1200000</v>
      </c>
      <c r="Q174" s="33">
        <f t="shared" si="5"/>
        <v>0</v>
      </c>
      <c r="R174" s="26" t="s">
        <v>28</v>
      </c>
      <c r="S174" s="38" t="s">
        <v>195</v>
      </c>
      <c r="T174" s="35" t="b">
        <v>1</v>
      </c>
      <c r="U174" s="36"/>
    </row>
    <row r="175" ht="30.0" customHeight="1">
      <c r="A175" s="24"/>
      <c r="B175" s="25">
        <v>2280.0</v>
      </c>
      <c r="C175" s="26" t="s">
        <v>21</v>
      </c>
      <c r="D175" s="27">
        <v>46035.0</v>
      </c>
      <c r="E175" s="28" t="str">
        <f t="shared" si="1"/>
        <v>2026</v>
      </c>
      <c r="F175" s="28" t="str">
        <f t="shared" si="2"/>
        <v>01 Jan</v>
      </c>
      <c r="G175" s="29" t="s">
        <v>61</v>
      </c>
      <c r="H175" s="29" t="s">
        <v>42</v>
      </c>
      <c r="I175" s="29" t="s">
        <v>164</v>
      </c>
      <c r="J175" s="26" t="s">
        <v>25</v>
      </c>
      <c r="K175" s="26" t="s">
        <v>32</v>
      </c>
      <c r="L175" s="28" t="str">
        <f t="shared" si="3"/>
        <v>SESI KLINIK</v>
      </c>
      <c r="M175" s="26" t="s">
        <v>27</v>
      </c>
      <c r="N175" s="30">
        <v>150000.0</v>
      </c>
      <c r="O175" s="31">
        <v>0.0</v>
      </c>
      <c r="P175" s="32">
        <f t="array" ref="P175">IFNA(XLOOKUP(K175,'⚙️ Pengaturan'!$E$2:$E800,'⚙️ Pengaturan'!$F$2:$F800),"")</f>
        <v>150000</v>
      </c>
      <c r="Q175" s="33">
        <f t="shared" si="5"/>
        <v>0</v>
      </c>
      <c r="R175" s="26" t="s">
        <v>33</v>
      </c>
      <c r="S175" s="38" t="s">
        <v>34</v>
      </c>
      <c r="T175" s="35" t="b">
        <v>1</v>
      </c>
      <c r="U175" s="36"/>
    </row>
    <row r="176" ht="30.0" customHeight="1">
      <c r="A176" s="24"/>
      <c r="B176" s="25">
        <v>2281.0</v>
      </c>
      <c r="C176" s="26" t="s">
        <v>21</v>
      </c>
      <c r="D176" s="27">
        <v>46036.0</v>
      </c>
      <c r="E176" s="28" t="str">
        <f t="shared" si="1"/>
        <v>2026</v>
      </c>
      <c r="F176" s="28" t="str">
        <f t="shared" si="2"/>
        <v>01 Jan</v>
      </c>
      <c r="G176" s="29" t="s">
        <v>118</v>
      </c>
      <c r="H176" s="29" t="s">
        <v>68</v>
      </c>
      <c r="I176" s="29" t="s">
        <v>196</v>
      </c>
      <c r="J176" s="26" t="s">
        <v>25</v>
      </c>
      <c r="K176" s="26" t="s">
        <v>197</v>
      </c>
      <c r="L176" s="28" t="str">
        <f t="shared" si="3"/>
        <v>PAKET VISIT</v>
      </c>
      <c r="M176" s="26" t="s">
        <v>63</v>
      </c>
      <c r="N176" s="30">
        <v>800000.0</v>
      </c>
      <c r="O176" s="31">
        <v>1000000.0</v>
      </c>
      <c r="P176" s="32">
        <f t="array" ref="P176">IFNA(XLOOKUP(K176,'⚙️ Pengaturan'!$E$2:$E800,'⚙️ Pengaturan'!$F$2:$F800),"")</f>
        <v>1800000</v>
      </c>
      <c r="Q176" s="33">
        <f t="shared" si="5"/>
        <v>0</v>
      </c>
      <c r="R176" s="26" t="s">
        <v>33</v>
      </c>
      <c r="S176" s="38" t="s">
        <v>34</v>
      </c>
      <c r="T176" s="35" t="b">
        <v>1</v>
      </c>
      <c r="U176" s="36"/>
    </row>
    <row r="177" ht="30.0" customHeight="1">
      <c r="A177" s="24"/>
      <c r="B177" s="25">
        <v>2282.0</v>
      </c>
      <c r="C177" s="26" t="s">
        <v>21</v>
      </c>
      <c r="D177" s="27">
        <v>46036.0</v>
      </c>
      <c r="E177" s="28" t="str">
        <f t="shared" si="1"/>
        <v>2026</v>
      </c>
      <c r="F177" s="28" t="str">
        <f t="shared" si="2"/>
        <v>01 Jan</v>
      </c>
      <c r="G177" s="29" t="s">
        <v>67</v>
      </c>
      <c r="H177" s="29" t="s">
        <v>30</v>
      </c>
      <c r="I177" s="29" t="s">
        <v>169</v>
      </c>
      <c r="J177" s="26" t="s">
        <v>25</v>
      </c>
      <c r="K177" s="26" t="s">
        <v>39</v>
      </c>
      <c r="L177" s="28" t="str">
        <f t="shared" si="3"/>
        <v>PAKET KLINIK</v>
      </c>
      <c r="M177" s="26" t="s">
        <v>86</v>
      </c>
      <c r="N177" s="30">
        <v>200000.0</v>
      </c>
      <c r="O177" s="31">
        <v>0.0</v>
      </c>
      <c r="P177" s="32">
        <f t="array" ref="P177">IFNA(XLOOKUP(K177,'⚙️ Pengaturan'!$E$2:$E800,'⚙️ Pengaturan'!$F$2:$F800),"")</f>
        <v>650000</v>
      </c>
      <c r="Q177" s="33">
        <f t="shared" si="5"/>
        <v>-450000</v>
      </c>
      <c r="R177" s="26" t="s">
        <v>33</v>
      </c>
      <c r="S177" s="38" t="s">
        <v>34</v>
      </c>
      <c r="T177" s="35" t="b">
        <v>1</v>
      </c>
      <c r="U177" s="36"/>
    </row>
    <row r="178" ht="30.0" customHeight="1">
      <c r="A178" s="24"/>
      <c r="B178" s="25">
        <v>2283.0</v>
      </c>
      <c r="C178" s="26" t="s">
        <v>21</v>
      </c>
      <c r="D178" s="27">
        <v>46036.0</v>
      </c>
      <c r="E178" s="28" t="str">
        <f t="shared" si="1"/>
        <v>2026</v>
      </c>
      <c r="F178" s="28" t="str">
        <f t="shared" si="2"/>
        <v>01 Jan</v>
      </c>
      <c r="G178" s="50" t="s">
        <v>22</v>
      </c>
      <c r="H178" s="29" t="s">
        <v>30</v>
      </c>
      <c r="I178" s="29" t="s">
        <v>171</v>
      </c>
      <c r="J178" s="26" t="s">
        <v>25</v>
      </c>
      <c r="K178" s="26" t="s">
        <v>32</v>
      </c>
      <c r="L178" s="28" t="str">
        <f t="shared" si="3"/>
        <v>SESI KLINIK</v>
      </c>
      <c r="M178" s="26" t="s">
        <v>27</v>
      </c>
      <c r="N178" s="30">
        <v>150000.0</v>
      </c>
      <c r="O178" s="31">
        <v>0.0</v>
      </c>
      <c r="P178" s="32">
        <f t="array" ref="P178">IFNA(XLOOKUP(K178,'⚙️ Pengaturan'!$E$2:$E800,'⚙️ Pengaturan'!$F$2:$F800),"")</f>
        <v>150000</v>
      </c>
      <c r="Q178" s="33">
        <f t="shared" si="5"/>
        <v>0</v>
      </c>
      <c r="R178" s="26" t="s">
        <v>28</v>
      </c>
      <c r="S178" s="38" t="s">
        <v>198</v>
      </c>
      <c r="T178" s="35" t="b">
        <v>1</v>
      </c>
      <c r="U178" s="36"/>
    </row>
    <row r="179" ht="30.0" customHeight="1">
      <c r="A179" s="24"/>
      <c r="B179" s="25">
        <v>2284.0</v>
      </c>
      <c r="C179" s="26" t="s">
        <v>21</v>
      </c>
      <c r="D179" s="27">
        <v>46036.0</v>
      </c>
      <c r="E179" s="28" t="str">
        <f t="shared" si="1"/>
        <v>2026</v>
      </c>
      <c r="F179" s="28" t="str">
        <f t="shared" si="2"/>
        <v>01 Jan</v>
      </c>
      <c r="G179" s="50" t="s">
        <v>22</v>
      </c>
      <c r="H179" s="29" t="s">
        <v>70</v>
      </c>
      <c r="I179" s="29" t="s">
        <v>121</v>
      </c>
      <c r="J179" s="26" t="s">
        <v>25</v>
      </c>
      <c r="K179" s="26" t="s">
        <v>32</v>
      </c>
      <c r="L179" s="28" t="str">
        <f t="shared" si="3"/>
        <v>SESI KLINIK</v>
      </c>
      <c r="M179" s="26" t="s">
        <v>27</v>
      </c>
      <c r="N179" s="30">
        <v>150000.0</v>
      </c>
      <c r="O179" s="31">
        <v>0.0</v>
      </c>
      <c r="P179" s="32">
        <f t="array" ref="P179">IFNA(XLOOKUP(K179,'⚙️ Pengaturan'!$E$2:$E800,'⚙️ Pengaturan'!$F$2:$F800),"")</f>
        <v>150000</v>
      </c>
      <c r="Q179" s="33">
        <f t="shared" si="5"/>
        <v>0</v>
      </c>
      <c r="R179" s="26" t="s">
        <v>28</v>
      </c>
      <c r="S179" s="38" t="s">
        <v>121</v>
      </c>
      <c r="T179" s="35" t="b">
        <v>1</v>
      </c>
      <c r="U179" s="36"/>
    </row>
    <row r="180" ht="30.0" customHeight="1">
      <c r="A180" s="24"/>
      <c r="B180" s="25">
        <v>2285.0</v>
      </c>
      <c r="C180" s="26" t="s">
        <v>21</v>
      </c>
      <c r="D180" s="27">
        <v>46036.0</v>
      </c>
      <c r="E180" s="28" t="str">
        <f t="shared" si="1"/>
        <v>2026</v>
      </c>
      <c r="F180" s="28" t="str">
        <f t="shared" si="2"/>
        <v>01 Jan</v>
      </c>
      <c r="G180" s="50" t="s">
        <v>82</v>
      </c>
      <c r="H180" s="29" t="s">
        <v>30</v>
      </c>
      <c r="I180" s="29" t="s">
        <v>199</v>
      </c>
      <c r="J180" s="26" t="s">
        <v>25</v>
      </c>
      <c r="K180" s="26" t="s">
        <v>26</v>
      </c>
      <c r="L180" s="28" t="str">
        <f t="shared" si="3"/>
        <v>TA KLINIK</v>
      </c>
      <c r="M180" s="26" t="s">
        <v>27</v>
      </c>
      <c r="N180" s="30">
        <v>250000.0</v>
      </c>
      <c r="O180" s="31">
        <v>0.0</v>
      </c>
      <c r="P180" s="32">
        <f t="array" ref="P180">IFNA(XLOOKUP(K180,'⚙️ Pengaturan'!$E$2:$E800,'⚙️ Pengaturan'!$F$2:$F800),"")</f>
        <v>250000</v>
      </c>
      <c r="Q180" s="33">
        <f t="shared" si="5"/>
        <v>0</v>
      </c>
      <c r="R180" s="26" t="s">
        <v>28</v>
      </c>
      <c r="S180" s="38" t="s">
        <v>199</v>
      </c>
      <c r="T180" s="35" t="b">
        <v>1</v>
      </c>
      <c r="U180" s="36"/>
    </row>
    <row r="181" ht="30.0" customHeight="1">
      <c r="A181" s="24"/>
      <c r="B181" s="25">
        <v>2286.0</v>
      </c>
      <c r="C181" s="26" t="s">
        <v>21</v>
      </c>
      <c r="D181" s="27">
        <v>46036.0</v>
      </c>
      <c r="E181" s="28" t="str">
        <f t="shared" si="1"/>
        <v>2026</v>
      </c>
      <c r="F181" s="28" t="str">
        <f t="shared" si="2"/>
        <v>01 Jan</v>
      </c>
      <c r="G181" s="50" t="s">
        <v>82</v>
      </c>
      <c r="H181" s="29" t="s">
        <v>23</v>
      </c>
      <c r="I181" s="29" t="s">
        <v>200</v>
      </c>
      <c r="J181" s="26" t="s">
        <v>25</v>
      </c>
      <c r="K181" s="26" t="s">
        <v>26</v>
      </c>
      <c r="L181" s="28" t="str">
        <f t="shared" si="3"/>
        <v>TA KLINIK</v>
      </c>
      <c r="M181" s="26" t="s">
        <v>27</v>
      </c>
      <c r="N181" s="30">
        <v>250000.0</v>
      </c>
      <c r="O181" s="31">
        <v>0.0</v>
      </c>
      <c r="P181" s="32">
        <f t="array" ref="P181">IFNA(XLOOKUP(K181,'⚙️ Pengaturan'!$E$2:$E800,'⚙️ Pengaturan'!$F$2:$F800),"")</f>
        <v>250000</v>
      </c>
      <c r="Q181" s="33">
        <f t="shared" si="5"/>
        <v>0</v>
      </c>
      <c r="R181" s="26" t="s">
        <v>28</v>
      </c>
      <c r="S181" s="38" t="s">
        <v>201</v>
      </c>
      <c r="T181" s="35" t="b">
        <v>1</v>
      </c>
      <c r="U181" s="36"/>
    </row>
    <row r="182" ht="30.0" customHeight="1">
      <c r="A182" s="24"/>
      <c r="B182" s="25">
        <v>2287.0</v>
      </c>
      <c r="C182" s="26" t="s">
        <v>21</v>
      </c>
      <c r="D182" s="27">
        <v>46036.0</v>
      </c>
      <c r="E182" s="28" t="str">
        <f t="shared" si="1"/>
        <v>2026</v>
      </c>
      <c r="F182" s="28" t="str">
        <f t="shared" si="2"/>
        <v>01 Jan</v>
      </c>
      <c r="G182" s="50" t="s">
        <v>37</v>
      </c>
      <c r="H182" s="29" t="s">
        <v>30</v>
      </c>
      <c r="I182" s="29" t="s">
        <v>202</v>
      </c>
      <c r="J182" s="26" t="s">
        <v>25</v>
      </c>
      <c r="K182" s="26" t="s">
        <v>26</v>
      </c>
      <c r="L182" s="28" t="str">
        <f t="shared" si="3"/>
        <v>TA KLINIK</v>
      </c>
      <c r="M182" s="26" t="s">
        <v>27</v>
      </c>
      <c r="N182" s="30">
        <v>250000.0</v>
      </c>
      <c r="O182" s="31">
        <v>0.0</v>
      </c>
      <c r="P182" s="32">
        <f t="array" ref="P182">IFNA(XLOOKUP(K182,'⚙️ Pengaturan'!$E$2:$E800,'⚙️ Pengaturan'!$F$2:$F800),"")</f>
        <v>250000</v>
      </c>
      <c r="Q182" s="33">
        <f t="shared" si="5"/>
        <v>0</v>
      </c>
      <c r="R182" s="26" t="s">
        <v>28</v>
      </c>
      <c r="S182" s="38" t="s">
        <v>202</v>
      </c>
      <c r="T182" s="35" t="b">
        <v>1</v>
      </c>
      <c r="U182" s="36"/>
    </row>
    <row r="183" ht="30.0" customHeight="1">
      <c r="A183" s="24"/>
      <c r="B183" s="25">
        <v>2288.0</v>
      </c>
      <c r="C183" s="26" t="s">
        <v>40</v>
      </c>
      <c r="D183" s="27">
        <v>46036.0</v>
      </c>
      <c r="E183" s="28" t="str">
        <f t="shared" si="1"/>
        <v>2026</v>
      </c>
      <c r="F183" s="28" t="str">
        <f t="shared" si="2"/>
        <v>01 Jan</v>
      </c>
      <c r="G183" s="50" t="s">
        <v>46</v>
      </c>
      <c r="H183" s="29" t="s">
        <v>51</v>
      </c>
      <c r="I183" s="29" t="s">
        <v>189</v>
      </c>
      <c r="J183" s="26" t="s">
        <v>25</v>
      </c>
      <c r="K183" s="26" t="s">
        <v>39</v>
      </c>
      <c r="L183" s="28" t="str">
        <f t="shared" si="3"/>
        <v>PAKET KLINIK</v>
      </c>
      <c r="M183" s="26" t="s">
        <v>86</v>
      </c>
      <c r="N183" s="30">
        <v>200000.0</v>
      </c>
      <c r="O183" s="31">
        <v>0.0</v>
      </c>
      <c r="P183" s="32">
        <f t="array" ref="P183">IFNA(XLOOKUP(K183,'⚙️ Pengaturan'!$E$2:$E800,'⚙️ Pengaturan'!$F$2:$F800),"")</f>
        <v>650000</v>
      </c>
      <c r="Q183" s="33">
        <f t="shared" si="5"/>
        <v>-450000</v>
      </c>
      <c r="R183" s="26" t="s">
        <v>28</v>
      </c>
      <c r="S183" s="38" t="s">
        <v>189</v>
      </c>
      <c r="T183" s="35" t="b">
        <v>1</v>
      </c>
      <c r="U183" s="36"/>
    </row>
    <row r="184" ht="30.0" customHeight="1">
      <c r="A184" s="24"/>
      <c r="B184" s="25">
        <v>2289.0</v>
      </c>
      <c r="C184" s="26" t="s">
        <v>40</v>
      </c>
      <c r="D184" s="27">
        <v>46036.0</v>
      </c>
      <c r="E184" s="28" t="str">
        <f t="shared" si="1"/>
        <v>2026</v>
      </c>
      <c r="F184" s="28" t="str">
        <f t="shared" si="2"/>
        <v>01 Jan</v>
      </c>
      <c r="G184" s="50" t="s">
        <v>41</v>
      </c>
      <c r="H184" s="29" t="s">
        <v>51</v>
      </c>
      <c r="I184" s="29" t="s">
        <v>172</v>
      </c>
      <c r="J184" s="26" t="s">
        <v>25</v>
      </c>
      <c r="K184" s="26" t="s">
        <v>44</v>
      </c>
      <c r="L184" s="28" t="str">
        <f t="shared" si="3"/>
        <v>PAKET KLINIK</v>
      </c>
      <c r="M184" s="26" t="s">
        <v>86</v>
      </c>
      <c r="N184" s="30">
        <v>500000.0</v>
      </c>
      <c r="O184" s="31">
        <v>0.0</v>
      </c>
      <c r="P184" s="32">
        <f t="array" ref="P184">IFNA(XLOOKUP(K184,'⚙️ Pengaturan'!$E$2:$E800,'⚙️ Pengaturan'!$F$2:$F800),"")</f>
        <v>1200000</v>
      </c>
      <c r="Q184" s="33">
        <f t="shared" si="5"/>
        <v>-700000</v>
      </c>
      <c r="R184" s="26" t="s">
        <v>28</v>
      </c>
      <c r="S184" s="38" t="s">
        <v>203</v>
      </c>
      <c r="T184" s="35" t="b">
        <v>1</v>
      </c>
      <c r="U184" s="36"/>
    </row>
    <row r="185" ht="30.0" customHeight="1">
      <c r="A185" s="24"/>
      <c r="B185" s="25">
        <v>2290.0</v>
      </c>
      <c r="C185" s="26" t="s">
        <v>40</v>
      </c>
      <c r="D185" s="27">
        <v>46036.0</v>
      </c>
      <c r="E185" s="28" t="str">
        <f t="shared" si="1"/>
        <v>2026</v>
      </c>
      <c r="F185" s="28" t="str">
        <f t="shared" si="2"/>
        <v>01 Jan</v>
      </c>
      <c r="G185" s="50" t="s">
        <v>41</v>
      </c>
      <c r="H185" s="29" t="s">
        <v>48</v>
      </c>
      <c r="I185" s="29" t="s">
        <v>204</v>
      </c>
      <c r="J185" s="26" t="s">
        <v>25</v>
      </c>
      <c r="K185" s="26" t="s">
        <v>26</v>
      </c>
      <c r="L185" s="28" t="str">
        <f t="shared" si="3"/>
        <v>TA KLINIK</v>
      </c>
      <c r="M185" s="26" t="s">
        <v>27</v>
      </c>
      <c r="N185" s="30">
        <v>250000.0</v>
      </c>
      <c r="O185" s="31">
        <v>0.0</v>
      </c>
      <c r="P185" s="32">
        <f t="array" ref="P185">IFNA(XLOOKUP(K185,'⚙️ Pengaturan'!$E$2:$E800,'⚙️ Pengaturan'!$F$2:$F800),"")</f>
        <v>250000</v>
      </c>
      <c r="Q185" s="33">
        <f t="shared" si="5"/>
        <v>0</v>
      </c>
      <c r="R185" s="26" t="s">
        <v>28</v>
      </c>
      <c r="S185" s="38" t="s">
        <v>204</v>
      </c>
      <c r="T185" s="35" t="b">
        <v>1</v>
      </c>
      <c r="U185" s="36"/>
    </row>
    <row r="186" ht="30.0" customHeight="1">
      <c r="A186" s="24"/>
      <c r="B186" s="25">
        <v>2291.0</v>
      </c>
      <c r="C186" s="26" t="s">
        <v>40</v>
      </c>
      <c r="D186" s="27">
        <v>46036.0</v>
      </c>
      <c r="E186" s="28" t="str">
        <f t="shared" si="1"/>
        <v>2026</v>
      </c>
      <c r="F186" s="28" t="str">
        <f t="shared" si="2"/>
        <v>01 Jan</v>
      </c>
      <c r="G186" s="50" t="s">
        <v>53</v>
      </c>
      <c r="H186" s="29" t="s">
        <v>48</v>
      </c>
      <c r="I186" s="29" t="s">
        <v>168</v>
      </c>
      <c r="J186" s="26" t="s">
        <v>25</v>
      </c>
      <c r="K186" s="26" t="s">
        <v>44</v>
      </c>
      <c r="L186" s="28" t="str">
        <f t="shared" si="3"/>
        <v>PAKET KLINIK</v>
      </c>
      <c r="M186" s="26" t="s">
        <v>86</v>
      </c>
      <c r="N186" s="30">
        <v>500000.0</v>
      </c>
      <c r="O186" s="31">
        <v>0.0</v>
      </c>
      <c r="P186" s="32">
        <f t="array" ref="P186">IFNA(XLOOKUP(K186,'⚙️ Pengaturan'!$E$2:$E800,'⚙️ Pengaturan'!$F$2:$F800),"")</f>
        <v>1200000</v>
      </c>
      <c r="Q186" s="33">
        <f t="shared" si="5"/>
        <v>-700000</v>
      </c>
      <c r="R186" s="26" t="s">
        <v>28</v>
      </c>
      <c r="S186" s="38" t="s">
        <v>168</v>
      </c>
      <c r="T186" s="35" t="b">
        <v>1</v>
      </c>
      <c r="U186" s="36"/>
    </row>
    <row r="187" ht="30.0" customHeight="1">
      <c r="A187" s="24"/>
      <c r="B187" s="25">
        <v>2292.0</v>
      </c>
      <c r="C187" s="26" t="s">
        <v>40</v>
      </c>
      <c r="D187" s="27">
        <v>46036.0</v>
      </c>
      <c r="E187" s="28" t="str">
        <f t="shared" si="1"/>
        <v>2026</v>
      </c>
      <c r="F187" s="28" t="str">
        <f t="shared" si="2"/>
        <v>01 Jan</v>
      </c>
      <c r="G187" s="50" t="s">
        <v>53</v>
      </c>
      <c r="H187" s="29" t="s">
        <v>58</v>
      </c>
      <c r="I187" s="29" t="s">
        <v>205</v>
      </c>
      <c r="J187" s="26" t="s">
        <v>25</v>
      </c>
      <c r="K187" s="26" t="s">
        <v>26</v>
      </c>
      <c r="L187" s="28" t="str">
        <f t="shared" si="3"/>
        <v>TA KLINIK</v>
      </c>
      <c r="M187" s="26" t="s">
        <v>27</v>
      </c>
      <c r="N187" s="30">
        <v>250000.0</v>
      </c>
      <c r="O187" s="31">
        <v>0.0</v>
      </c>
      <c r="P187" s="32">
        <f t="array" ref="P187">IFNA(XLOOKUP(K187,'⚙️ Pengaturan'!$E$2:$E800,'⚙️ Pengaturan'!$F$2:$F800),"")</f>
        <v>250000</v>
      </c>
      <c r="Q187" s="33">
        <f t="shared" si="5"/>
        <v>0</v>
      </c>
      <c r="R187" s="26" t="s">
        <v>33</v>
      </c>
      <c r="S187" s="38" t="s">
        <v>34</v>
      </c>
      <c r="T187" s="35" t="b">
        <v>1</v>
      </c>
      <c r="U187" s="36"/>
    </row>
    <row r="188" ht="30.0" customHeight="1">
      <c r="A188" s="24"/>
      <c r="B188" s="25">
        <v>2293.0</v>
      </c>
      <c r="C188" s="26" t="s">
        <v>40</v>
      </c>
      <c r="D188" s="27">
        <v>46036.0</v>
      </c>
      <c r="E188" s="28" t="str">
        <f t="shared" si="1"/>
        <v>2026</v>
      </c>
      <c r="F188" s="28" t="str">
        <f t="shared" si="2"/>
        <v>01 Jan</v>
      </c>
      <c r="G188" s="50" t="s">
        <v>53</v>
      </c>
      <c r="H188" s="29" t="s">
        <v>58</v>
      </c>
      <c r="I188" s="29" t="s">
        <v>205</v>
      </c>
      <c r="J188" s="26" t="s">
        <v>25</v>
      </c>
      <c r="K188" s="26" t="s">
        <v>39</v>
      </c>
      <c r="L188" s="28" t="str">
        <f t="shared" si="3"/>
        <v>PAKET KLINIK</v>
      </c>
      <c r="M188" s="26" t="s">
        <v>27</v>
      </c>
      <c r="N188" s="30">
        <v>650000.0</v>
      </c>
      <c r="O188" s="31">
        <v>0.0</v>
      </c>
      <c r="P188" s="32">
        <f t="array" ref="P188">IFNA(XLOOKUP(K188,'⚙️ Pengaturan'!$E$2:$E800,'⚙️ Pengaturan'!$F$2:$F800),"")</f>
        <v>650000</v>
      </c>
      <c r="Q188" s="33">
        <f t="shared" si="5"/>
        <v>0</v>
      </c>
      <c r="R188" s="26" t="s">
        <v>33</v>
      </c>
      <c r="S188" s="38" t="s">
        <v>34</v>
      </c>
      <c r="T188" s="35" t="b">
        <v>1</v>
      </c>
      <c r="U188" s="36"/>
    </row>
    <row r="189" ht="30.0" customHeight="1">
      <c r="A189" s="24"/>
      <c r="B189" s="25">
        <v>2294.0</v>
      </c>
      <c r="C189" s="26" t="s">
        <v>40</v>
      </c>
      <c r="D189" s="27">
        <v>46036.0</v>
      </c>
      <c r="E189" s="28" t="str">
        <f t="shared" si="1"/>
        <v>2026</v>
      </c>
      <c r="F189" s="28" t="str">
        <f t="shared" si="2"/>
        <v>01 Jan</v>
      </c>
      <c r="G189" s="50" t="s">
        <v>56</v>
      </c>
      <c r="H189" s="29" t="s">
        <v>58</v>
      </c>
      <c r="I189" s="29" t="s">
        <v>157</v>
      </c>
      <c r="J189" s="26" t="s">
        <v>25</v>
      </c>
      <c r="K189" s="26" t="s">
        <v>32</v>
      </c>
      <c r="L189" s="28" t="str">
        <f t="shared" si="3"/>
        <v>SESI KLINIK</v>
      </c>
      <c r="M189" s="26" t="s">
        <v>27</v>
      </c>
      <c r="N189" s="30">
        <v>150000.0</v>
      </c>
      <c r="O189" s="31">
        <v>0.0</v>
      </c>
      <c r="P189" s="32">
        <f t="array" ref="P189">IFNA(XLOOKUP(K189,'⚙️ Pengaturan'!$E$2:$E800,'⚙️ Pengaturan'!$F$2:$F800),"")</f>
        <v>150000</v>
      </c>
      <c r="Q189" s="33">
        <f t="shared" si="5"/>
        <v>0</v>
      </c>
      <c r="R189" s="26" t="s">
        <v>28</v>
      </c>
      <c r="S189" s="38" t="s">
        <v>157</v>
      </c>
      <c r="T189" s="35" t="b">
        <v>1</v>
      </c>
      <c r="U189" s="36"/>
    </row>
    <row r="190" ht="30.0" customHeight="1">
      <c r="A190" s="24"/>
      <c r="B190" s="25">
        <v>2295.0</v>
      </c>
      <c r="C190" s="26" t="s">
        <v>40</v>
      </c>
      <c r="D190" s="27">
        <v>46036.0</v>
      </c>
      <c r="E190" s="28" t="str">
        <f t="shared" si="1"/>
        <v>2026</v>
      </c>
      <c r="F190" s="28" t="str">
        <f t="shared" si="2"/>
        <v>01 Jan</v>
      </c>
      <c r="G190" s="50" t="s">
        <v>61</v>
      </c>
      <c r="H190" s="29" t="s">
        <v>51</v>
      </c>
      <c r="I190" s="29" t="s">
        <v>156</v>
      </c>
      <c r="J190" s="26" t="s">
        <v>25</v>
      </c>
      <c r="K190" s="26" t="s">
        <v>32</v>
      </c>
      <c r="L190" s="28" t="str">
        <f t="shared" si="3"/>
        <v>SESI KLINIK</v>
      </c>
      <c r="M190" s="26" t="s">
        <v>27</v>
      </c>
      <c r="N190" s="30">
        <v>150000.0</v>
      </c>
      <c r="O190" s="31">
        <v>0.0</v>
      </c>
      <c r="P190" s="32">
        <f t="array" ref="P190">IFNA(XLOOKUP(K190,'⚙️ Pengaturan'!$E$2:$E800,'⚙️ Pengaturan'!$F$2:$F800),"")</f>
        <v>150000</v>
      </c>
      <c r="Q190" s="33">
        <f t="shared" si="5"/>
        <v>0</v>
      </c>
      <c r="R190" s="26" t="s">
        <v>33</v>
      </c>
      <c r="S190" s="38" t="s">
        <v>34</v>
      </c>
      <c r="T190" s="35" t="b">
        <v>1</v>
      </c>
      <c r="U190" s="36"/>
    </row>
    <row r="191" ht="30.0" customHeight="1">
      <c r="A191" s="24"/>
      <c r="B191" s="25">
        <v>2296.0</v>
      </c>
      <c r="C191" s="26" t="s">
        <v>40</v>
      </c>
      <c r="D191" s="27">
        <v>46036.0</v>
      </c>
      <c r="E191" s="28" t="str">
        <f t="shared" si="1"/>
        <v>2026</v>
      </c>
      <c r="F191" s="28" t="str">
        <f t="shared" si="2"/>
        <v>01 Jan</v>
      </c>
      <c r="G191" s="50" t="s">
        <v>118</v>
      </c>
      <c r="H191" s="29" t="s">
        <v>30</v>
      </c>
      <c r="I191" s="29" t="s">
        <v>206</v>
      </c>
      <c r="J191" s="26" t="s">
        <v>76</v>
      </c>
      <c r="K191" s="26" t="s">
        <v>92</v>
      </c>
      <c r="L191" s="28" t="str">
        <f t="shared" si="3"/>
        <v>SESI VISIT</v>
      </c>
      <c r="M191" s="26" t="s">
        <v>27</v>
      </c>
      <c r="N191" s="30">
        <v>200000.0</v>
      </c>
      <c r="O191" s="31">
        <v>0.0</v>
      </c>
      <c r="P191" s="32">
        <f t="array" ref="P191">IFNA(XLOOKUP(K191,'⚙️ Pengaturan'!$E$2:$E800,'⚙️ Pengaturan'!$F$2:$F800),"")</f>
        <v>200000</v>
      </c>
      <c r="Q191" s="33">
        <f t="shared" si="5"/>
        <v>0</v>
      </c>
      <c r="R191" s="26" t="s">
        <v>33</v>
      </c>
      <c r="S191" s="38" t="s">
        <v>34</v>
      </c>
      <c r="T191" s="35" t="b">
        <v>1</v>
      </c>
      <c r="U191" s="36"/>
    </row>
    <row r="192" ht="30.0" customHeight="1">
      <c r="A192" s="24"/>
      <c r="B192" s="25">
        <v>2297.0</v>
      </c>
      <c r="C192" s="26" t="s">
        <v>21</v>
      </c>
      <c r="D192" s="27">
        <v>46037.0</v>
      </c>
      <c r="E192" s="28" t="str">
        <f t="shared" si="1"/>
        <v>2026</v>
      </c>
      <c r="F192" s="28" t="str">
        <f t="shared" si="2"/>
        <v>01 Jan</v>
      </c>
      <c r="G192" s="50" t="s">
        <v>67</v>
      </c>
      <c r="H192" s="29" t="s">
        <v>48</v>
      </c>
      <c r="I192" s="29" t="s">
        <v>207</v>
      </c>
      <c r="J192" s="26" t="s">
        <v>25</v>
      </c>
      <c r="K192" s="26" t="s">
        <v>26</v>
      </c>
      <c r="L192" s="28" t="str">
        <f t="shared" si="3"/>
        <v>TA KLINIK</v>
      </c>
      <c r="M192" s="26" t="s">
        <v>27</v>
      </c>
      <c r="N192" s="30">
        <v>250000.0</v>
      </c>
      <c r="O192" s="31">
        <v>0.0</v>
      </c>
      <c r="P192" s="32">
        <f t="array" ref="P192">IFNA(XLOOKUP(K192,'⚙️ Pengaturan'!$E$2:$E800,'⚙️ Pengaturan'!$F$2:$F800),"")</f>
        <v>250000</v>
      </c>
      <c r="Q192" s="33">
        <f t="shared" si="5"/>
        <v>0</v>
      </c>
      <c r="R192" s="26" t="s">
        <v>33</v>
      </c>
      <c r="S192" s="38" t="s">
        <v>34</v>
      </c>
      <c r="T192" s="35" t="b">
        <v>1</v>
      </c>
      <c r="U192" s="36"/>
    </row>
    <row r="193" ht="30.0" customHeight="1">
      <c r="A193" s="24"/>
      <c r="B193" s="25">
        <v>2298.0</v>
      </c>
      <c r="C193" s="26" t="s">
        <v>21</v>
      </c>
      <c r="D193" s="27">
        <v>46037.0</v>
      </c>
      <c r="E193" s="28" t="str">
        <f t="shared" si="1"/>
        <v>2026</v>
      </c>
      <c r="F193" s="28" t="str">
        <f t="shared" si="2"/>
        <v>01 Jan</v>
      </c>
      <c r="G193" s="50" t="s">
        <v>67</v>
      </c>
      <c r="H193" s="29" t="s">
        <v>51</v>
      </c>
      <c r="I193" s="29" t="s">
        <v>191</v>
      </c>
      <c r="J193" s="26" t="s">
        <v>25</v>
      </c>
      <c r="K193" s="26" t="s">
        <v>32</v>
      </c>
      <c r="L193" s="28" t="str">
        <f t="shared" si="3"/>
        <v>SESI KLINIK</v>
      </c>
      <c r="M193" s="26" t="s">
        <v>27</v>
      </c>
      <c r="N193" s="30">
        <v>150000.0</v>
      </c>
      <c r="O193" s="31">
        <v>0.0</v>
      </c>
      <c r="P193" s="32">
        <f t="array" ref="P193">IFNA(XLOOKUP(K193,'⚙️ Pengaturan'!$E$2:$E800,'⚙️ Pengaturan'!$F$2:$F800),"")</f>
        <v>150000</v>
      </c>
      <c r="Q193" s="33">
        <f t="shared" si="5"/>
        <v>0</v>
      </c>
      <c r="R193" s="26" t="s">
        <v>28</v>
      </c>
      <c r="S193" s="38" t="s">
        <v>192</v>
      </c>
      <c r="T193" s="35" t="b">
        <v>1</v>
      </c>
      <c r="U193" s="36"/>
    </row>
    <row r="194" ht="30.0" customHeight="1">
      <c r="A194" s="24"/>
      <c r="B194" s="25">
        <v>2299.0</v>
      </c>
      <c r="C194" s="26" t="s">
        <v>21</v>
      </c>
      <c r="D194" s="27">
        <v>46037.0</v>
      </c>
      <c r="E194" s="28" t="str">
        <f t="shared" si="1"/>
        <v>2026</v>
      </c>
      <c r="F194" s="28" t="str">
        <f t="shared" si="2"/>
        <v>01 Jan</v>
      </c>
      <c r="G194" s="50" t="s">
        <v>22</v>
      </c>
      <c r="H194" s="29" t="s">
        <v>51</v>
      </c>
      <c r="I194" s="29" t="s">
        <v>208</v>
      </c>
      <c r="J194" s="26" t="s">
        <v>25</v>
      </c>
      <c r="K194" s="26" t="s">
        <v>26</v>
      </c>
      <c r="L194" s="28" t="str">
        <f t="shared" si="3"/>
        <v>TA KLINIK</v>
      </c>
      <c r="M194" s="26" t="s">
        <v>27</v>
      </c>
      <c r="N194" s="30">
        <v>250000.0</v>
      </c>
      <c r="O194" s="31">
        <v>0.0</v>
      </c>
      <c r="P194" s="32">
        <f t="array" ref="P194">IFNA(XLOOKUP(K194,'⚙️ Pengaturan'!$E$2:$E800,'⚙️ Pengaturan'!$F$2:$F800),"")</f>
        <v>250000</v>
      </c>
      <c r="Q194" s="33">
        <f t="shared" si="5"/>
        <v>0</v>
      </c>
      <c r="R194" s="26" t="s">
        <v>33</v>
      </c>
      <c r="S194" s="38" t="s">
        <v>34</v>
      </c>
      <c r="T194" s="35" t="b">
        <v>1</v>
      </c>
      <c r="U194" s="36"/>
    </row>
    <row r="195" ht="30.0" customHeight="1">
      <c r="A195" s="24"/>
      <c r="B195" s="25">
        <v>2300.0</v>
      </c>
      <c r="C195" s="26" t="s">
        <v>21</v>
      </c>
      <c r="D195" s="27">
        <v>46037.0</v>
      </c>
      <c r="E195" s="28" t="str">
        <f t="shared" si="1"/>
        <v>2026</v>
      </c>
      <c r="F195" s="28" t="str">
        <f t="shared" si="2"/>
        <v>01 Jan</v>
      </c>
      <c r="G195" s="50" t="s">
        <v>29</v>
      </c>
      <c r="H195" s="29" t="s">
        <v>42</v>
      </c>
      <c r="I195" s="29" t="s">
        <v>139</v>
      </c>
      <c r="J195" s="26" t="s">
        <v>25</v>
      </c>
      <c r="K195" s="26" t="s">
        <v>39</v>
      </c>
      <c r="L195" s="28" t="str">
        <f t="shared" si="3"/>
        <v>PAKET KLINIK</v>
      </c>
      <c r="M195" s="26" t="s">
        <v>63</v>
      </c>
      <c r="N195" s="30">
        <v>150000.0</v>
      </c>
      <c r="O195" s="31">
        <v>500000.0</v>
      </c>
      <c r="P195" s="32">
        <f t="array" ref="P195">IFNA(XLOOKUP(K195,'⚙️ Pengaturan'!$E$2:$E800,'⚙️ Pengaturan'!$F$2:$F800),"")</f>
        <v>650000</v>
      </c>
      <c r="Q195" s="33">
        <f t="shared" si="5"/>
        <v>0</v>
      </c>
      <c r="R195" s="26" t="s">
        <v>33</v>
      </c>
      <c r="S195" s="38" t="s">
        <v>34</v>
      </c>
      <c r="T195" s="35" t="b">
        <v>1</v>
      </c>
      <c r="U195" s="36"/>
    </row>
    <row r="196" ht="30.0" customHeight="1">
      <c r="A196" s="24"/>
      <c r="B196" s="25">
        <v>2301.0</v>
      </c>
      <c r="C196" s="26" t="s">
        <v>21</v>
      </c>
      <c r="D196" s="27">
        <v>46037.0</v>
      </c>
      <c r="E196" s="28" t="str">
        <f t="shared" si="1"/>
        <v>2026</v>
      </c>
      <c r="F196" s="28" t="str">
        <f t="shared" si="2"/>
        <v>01 Jan</v>
      </c>
      <c r="G196" s="50" t="s">
        <v>29</v>
      </c>
      <c r="H196" s="29" t="s">
        <v>48</v>
      </c>
      <c r="I196" s="29" t="s">
        <v>209</v>
      </c>
      <c r="J196" s="26" t="s">
        <v>25</v>
      </c>
      <c r="K196" s="26" t="s">
        <v>26</v>
      </c>
      <c r="L196" s="28" t="str">
        <f t="shared" si="3"/>
        <v>TA KLINIK</v>
      </c>
      <c r="M196" s="26" t="s">
        <v>27</v>
      </c>
      <c r="N196" s="30">
        <v>250000.0</v>
      </c>
      <c r="O196" s="31">
        <v>0.0</v>
      </c>
      <c r="P196" s="32">
        <f t="array" ref="P196">IFNA(XLOOKUP(K196,'⚙️ Pengaturan'!$E$2:$E800,'⚙️ Pengaturan'!$F$2:$F800),"")</f>
        <v>250000</v>
      </c>
      <c r="Q196" s="33">
        <f t="shared" si="5"/>
        <v>0</v>
      </c>
      <c r="R196" s="26" t="s">
        <v>28</v>
      </c>
      <c r="S196" s="38" t="s">
        <v>209</v>
      </c>
      <c r="T196" s="35" t="b">
        <v>1</v>
      </c>
      <c r="U196" s="36"/>
    </row>
    <row r="197" ht="30.0" customHeight="1">
      <c r="A197" s="24"/>
      <c r="B197" s="25">
        <v>2302.0</v>
      </c>
      <c r="C197" s="26" t="s">
        <v>21</v>
      </c>
      <c r="D197" s="27">
        <v>46037.0</v>
      </c>
      <c r="E197" s="28" t="str">
        <f t="shared" si="1"/>
        <v>2026</v>
      </c>
      <c r="F197" s="28" t="str">
        <f t="shared" si="2"/>
        <v>01 Jan</v>
      </c>
      <c r="G197" s="50" t="s">
        <v>89</v>
      </c>
      <c r="H197" s="29" t="s">
        <v>48</v>
      </c>
      <c r="I197" s="29" t="s">
        <v>165</v>
      </c>
      <c r="J197" s="26" t="s">
        <v>25</v>
      </c>
      <c r="K197" s="26" t="s">
        <v>39</v>
      </c>
      <c r="L197" s="28" t="str">
        <f t="shared" si="3"/>
        <v>PAKET KLINIK</v>
      </c>
      <c r="M197" s="26" t="s">
        <v>63</v>
      </c>
      <c r="N197" s="30">
        <v>450000.0</v>
      </c>
      <c r="O197" s="31">
        <v>200000.0</v>
      </c>
      <c r="P197" s="32">
        <f t="array" ref="P197">IFNA(XLOOKUP(K197,'⚙️ Pengaturan'!$E$2:$E800,'⚙️ Pengaturan'!$F$2:$F800),"")</f>
        <v>650000</v>
      </c>
      <c r="Q197" s="33">
        <f t="shared" si="5"/>
        <v>0</v>
      </c>
      <c r="R197" s="26" t="s">
        <v>33</v>
      </c>
      <c r="S197" s="38" t="s">
        <v>34</v>
      </c>
      <c r="T197" s="35" t="b">
        <v>1</v>
      </c>
      <c r="U197" s="36"/>
    </row>
    <row r="198" ht="30.0" customHeight="1">
      <c r="A198" s="24"/>
      <c r="B198" s="25">
        <v>2303.0</v>
      </c>
      <c r="C198" s="26" t="s">
        <v>21</v>
      </c>
      <c r="D198" s="27">
        <v>46037.0</v>
      </c>
      <c r="E198" s="28" t="str">
        <f t="shared" si="1"/>
        <v>2026</v>
      </c>
      <c r="F198" s="28" t="str">
        <f t="shared" si="2"/>
        <v>01 Jan</v>
      </c>
      <c r="G198" s="50" t="s">
        <v>89</v>
      </c>
      <c r="H198" s="29" t="s">
        <v>58</v>
      </c>
      <c r="I198" s="29" t="s">
        <v>59</v>
      </c>
      <c r="J198" s="26" t="s">
        <v>25</v>
      </c>
      <c r="K198" s="26" t="s">
        <v>39</v>
      </c>
      <c r="L198" s="28" t="str">
        <f t="shared" si="3"/>
        <v>PAKET KLINIK</v>
      </c>
      <c r="M198" s="26" t="s">
        <v>63</v>
      </c>
      <c r="N198" s="30">
        <v>450000.0</v>
      </c>
      <c r="O198" s="31">
        <v>200000.0</v>
      </c>
      <c r="P198" s="32">
        <f t="array" ref="P198">IFNA(XLOOKUP(K198,'⚙️ Pengaturan'!$E$2:$E800,'⚙️ Pengaturan'!$F$2:$F800),"")</f>
        <v>650000</v>
      </c>
      <c r="Q198" s="33">
        <f t="shared" si="5"/>
        <v>0</v>
      </c>
      <c r="R198" s="26" t="s">
        <v>33</v>
      </c>
      <c r="S198" s="51"/>
      <c r="T198" s="35" t="b">
        <v>1</v>
      </c>
      <c r="U198" s="36"/>
    </row>
    <row r="199" ht="30.0" customHeight="1">
      <c r="A199" s="24"/>
      <c r="B199" s="25">
        <v>2304.0</v>
      </c>
      <c r="C199" s="26" t="s">
        <v>21</v>
      </c>
      <c r="D199" s="27">
        <v>46037.0</v>
      </c>
      <c r="E199" s="28" t="str">
        <f t="shared" si="1"/>
        <v>2026</v>
      </c>
      <c r="F199" s="28" t="str">
        <f t="shared" si="2"/>
        <v>01 Jan</v>
      </c>
      <c r="G199" s="50" t="s">
        <v>82</v>
      </c>
      <c r="H199" s="29" t="s">
        <v>48</v>
      </c>
      <c r="I199" s="29" t="s">
        <v>210</v>
      </c>
      <c r="J199" s="26" t="s">
        <v>25</v>
      </c>
      <c r="K199" s="26" t="s">
        <v>26</v>
      </c>
      <c r="L199" s="28" t="str">
        <f t="shared" si="3"/>
        <v>TA KLINIK</v>
      </c>
      <c r="M199" s="26" t="s">
        <v>27</v>
      </c>
      <c r="N199" s="30">
        <v>250000.0</v>
      </c>
      <c r="O199" s="31">
        <v>0.0</v>
      </c>
      <c r="P199" s="32">
        <f t="array" ref="P199">IFNA(XLOOKUP(K199,'⚙️ Pengaturan'!$E$2:$E800,'⚙️ Pengaturan'!$F$2:$F800),"")</f>
        <v>250000</v>
      </c>
      <c r="Q199" s="33">
        <f t="shared" si="5"/>
        <v>0</v>
      </c>
      <c r="R199" s="26" t="s">
        <v>33</v>
      </c>
      <c r="S199" s="38" t="s">
        <v>34</v>
      </c>
      <c r="T199" s="35" t="b">
        <v>1</v>
      </c>
      <c r="U199" s="36"/>
    </row>
    <row r="200" ht="30.0" customHeight="1">
      <c r="A200" s="24"/>
      <c r="B200" s="25">
        <v>2305.0</v>
      </c>
      <c r="C200" s="26" t="s">
        <v>21</v>
      </c>
      <c r="D200" s="27">
        <v>46037.0</v>
      </c>
      <c r="E200" s="28" t="str">
        <f t="shared" si="1"/>
        <v>2026</v>
      </c>
      <c r="F200" s="28" t="str">
        <f t="shared" si="2"/>
        <v>01 Jan</v>
      </c>
      <c r="G200" s="50" t="s">
        <v>82</v>
      </c>
      <c r="H200" s="29" t="s">
        <v>58</v>
      </c>
      <c r="I200" s="29" t="s">
        <v>211</v>
      </c>
      <c r="J200" s="26" t="s">
        <v>25</v>
      </c>
      <c r="K200" s="26" t="s">
        <v>26</v>
      </c>
      <c r="L200" s="28" t="str">
        <f t="shared" si="3"/>
        <v>TA KLINIK</v>
      </c>
      <c r="M200" s="26" t="s">
        <v>27</v>
      </c>
      <c r="N200" s="30">
        <v>250000.0</v>
      </c>
      <c r="O200" s="31">
        <v>0.0</v>
      </c>
      <c r="P200" s="32">
        <f t="array" ref="P200">IFNA(XLOOKUP(K200,'⚙️ Pengaturan'!$E$2:$E800,'⚙️ Pengaturan'!$F$2:$F800),"")</f>
        <v>250000</v>
      </c>
      <c r="Q200" s="33">
        <f t="shared" si="5"/>
        <v>0</v>
      </c>
      <c r="R200" s="26" t="s">
        <v>28</v>
      </c>
      <c r="S200" s="38" t="s">
        <v>211</v>
      </c>
      <c r="T200" s="35" t="b">
        <v>1</v>
      </c>
      <c r="U200" s="36"/>
    </row>
    <row r="201" ht="30.0" customHeight="1">
      <c r="A201" s="24"/>
      <c r="B201" s="25">
        <v>2306.0</v>
      </c>
      <c r="C201" s="26" t="s">
        <v>21</v>
      </c>
      <c r="D201" s="27">
        <v>46037.0</v>
      </c>
      <c r="E201" s="28" t="str">
        <f t="shared" si="1"/>
        <v>2026</v>
      </c>
      <c r="F201" s="28" t="str">
        <f t="shared" si="2"/>
        <v>01 Jan</v>
      </c>
      <c r="G201" s="50" t="s">
        <v>82</v>
      </c>
      <c r="H201" s="29" t="s">
        <v>42</v>
      </c>
      <c r="I201" s="29" t="s">
        <v>212</v>
      </c>
      <c r="J201" s="26" t="s">
        <v>76</v>
      </c>
      <c r="K201" s="26" t="s">
        <v>32</v>
      </c>
      <c r="L201" s="28" t="str">
        <f t="shared" si="3"/>
        <v>SESI KLINIK</v>
      </c>
      <c r="M201" s="26" t="s">
        <v>27</v>
      </c>
      <c r="N201" s="30">
        <v>150000.0</v>
      </c>
      <c r="O201" s="31">
        <v>0.0</v>
      </c>
      <c r="P201" s="32">
        <f t="array" ref="P201">IFNA(XLOOKUP(K201,'⚙️ Pengaturan'!$E$2:$E800,'⚙️ Pengaturan'!$F$2:$F800),"")</f>
        <v>150000</v>
      </c>
      <c r="Q201" s="33">
        <f t="shared" si="5"/>
        <v>0</v>
      </c>
      <c r="R201" s="26" t="s">
        <v>28</v>
      </c>
      <c r="S201" s="38" t="s">
        <v>212</v>
      </c>
      <c r="T201" s="35" t="b">
        <v>1</v>
      </c>
      <c r="U201" s="36"/>
    </row>
    <row r="202" ht="30.0" customHeight="1">
      <c r="A202" s="24"/>
      <c r="B202" s="25">
        <v>2307.0</v>
      </c>
      <c r="C202" s="26" t="s">
        <v>21</v>
      </c>
      <c r="D202" s="27">
        <v>46037.0</v>
      </c>
      <c r="E202" s="28" t="str">
        <f t="shared" si="1"/>
        <v>2026</v>
      </c>
      <c r="F202" s="28" t="str">
        <f t="shared" si="2"/>
        <v>01 Jan</v>
      </c>
      <c r="G202" s="50" t="s">
        <v>82</v>
      </c>
      <c r="H202" s="29" t="s">
        <v>51</v>
      </c>
      <c r="I202" s="29" t="s">
        <v>184</v>
      </c>
      <c r="J202" s="26" t="s">
        <v>76</v>
      </c>
      <c r="K202" s="26" t="s">
        <v>32</v>
      </c>
      <c r="L202" s="28" t="str">
        <f t="shared" si="3"/>
        <v>SESI KLINIK</v>
      </c>
      <c r="M202" s="26" t="s">
        <v>27</v>
      </c>
      <c r="N202" s="30">
        <v>150000.0</v>
      </c>
      <c r="O202" s="31">
        <v>0.0</v>
      </c>
      <c r="P202" s="32">
        <f t="array" ref="P202">IFNA(XLOOKUP(K202,'⚙️ Pengaturan'!$E$2:$E800,'⚙️ Pengaturan'!$F$2:$F800),"")</f>
        <v>150000</v>
      </c>
      <c r="Q202" s="33">
        <f t="shared" si="5"/>
        <v>0</v>
      </c>
      <c r="R202" s="26" t="s">
        <v>33</v>
      </c>
      <c r="S202" s="38" t="s">
        <v>34</v>
      </c>
      <c r="T202" s="35" t="b">
        <v>1</v>
      </c>
      <c r="U202" s="36"/>
    </row>
    <row r="203" ht="30.0" customHeight="1">
      <c r="A203" s="24"/>
      <c r="B203" s="25">
        <v>2308.0</v>
      </c>
      <c r="C203" s="26" t="s">
        <v>21</v>
      </c>
      <c r="D203" s="27">
        <v>46037.0</v>
      </c>
      <c r="E203" s="28" t="str">
        <f t="shared" si="1"/>
        <v>2026</v>
      </c>
      <c r="F203" s="28" t="str">
        <f t="shared" si="2"/>
        <v>01 Jan</v>
      </c>
      <c r="G203" s="50" t="s">
        <v>118</v>
      </c>
      <c r="H203" s="29" t="s">
        <v>70</v>
      </c>
      <c r="I203" s="29" t="s">
        <v>213</v>
      </c>
      <c r="J203" s="26" t="s">
        <v>76</v>
      </c>
      <c r="K203" s="26" t="s">
        <v>197</v>
      </c>
      <c r="L203" s="28" t="str">
        <f t="shared" si="3"/>
        <v>PAKET VISIT</v>
      </c>
      <c r="M203" s="26" t="s">
        <v>86</v>
      </c>
      <c r="N203" s="30">
        <v>1000000.0</v>
      </c>
      <c r="O203" s="31">
        <v>0.0</v>
      </c>
      <c r="P203" s="32">
        <f t="array" ref="P203">IFNA(XLOOKUP(K203,'⚙️ Pengaturan'!$E$2:$E800,'⚙️ Pengaturan'!$F$2:$F800),"")</f>
        <v>1800000</v>
      </c>
      <c r="Q203" s="33">
        <f t="shared" si="5"/>
        <v>-800000</v>
      </c>
      <c r="R203" s="26" t="s">
        <v>33</v>
      </c>
      <c r="S203" s="38" t="s">
        <v>34</v>
      </c>
      <c r="T203" s="35" t="b">
        <v>1</v>
      </c>
      <c r="U203" s="36"/>
    </row>
    <row r="204" ht="30.0" customHeight="1">
      <c r="A204" s="24"/>
      <c r="B204" s="25">
        <v>2309.0</v>
      </c>
      <c r="C204" s="26" t="s">
        <v>40</v>
      </c>
      <c r="D204" s="27">
        <v>46037.0</v>
      </c>
      <c r="E204" s="28" t="str">
        <f t="shared" si="1"/>
        <v>2026</v>
      </c>
      <c r="F204" s="28" t="str">
        <f t="shared" si="2"/>
        <v>01 Jan</v>
      </c>
      <c r="G204" s="50" t="s">
        <v>46</v>
      </c>
      <c r="H204" s="29" t="s">
        <v>23</v>
      </c>
      <c r="I204" s="29" t="s">
        <v>214</v>
      </c>
      <c r="J204" s="26" t="s">
        <v>25</v>
      </c>
      <c r="K204" s="26" t="s">
        <v>26</v>
      </c>
      <c r="L204" s="28" t="str">
        <f t="shared" si="3"/>
        <v>TA KLINIK</v>
      </c>
      <c r="M204" s="26" t="s">
        <v>27</v>
      </c>
      <c r="N204" s="30">
        <v>250000.0</v>
      </c>
      <c r="O204" s="31">
        <v>0.0</v>
      </c>
      <c r="P204" s="32">
        <f t="array" ref="P204">IFNA(XLOOKUP(K204,'⚙️ Pengaturan'!$E$2:$E800,'⚙️ Pengaturan'!$F$2:$F800),"")</f>
        <v>250000</v>
      </c>
      <c r="Q204" s="33">
        <f t="shared" si="5"/>
        <v>0</v>
      </c>
      <c r="R204" s="26" t="s">
        <v>33</v>
      </c>
      <c r="S204" s="38" t="s">
        <v>34</v>
      </c>
      <c r="T204" s="35" t="b">
        <v>1</v>
      </c>
      <c r="U204" s="36"/>
    </row>
    <row r="205" ht="30.0" customHeight="1">
      <c r="A205" s="24"/>
      <c r="B205" s="25">
        <v>2310.0</v>
      </c>
      <c r="C205" s="26" t="s">
        <v>40</v>
      </c>
      <c r="D205" s="27">
        <v>46037.0</v>
      </c>
      <c r="E205" s="28" t="str">
        <f t="shared" si="1"/>
        <v>2026</v>
      </c>
      <c r="F205" s="28" t="str">
        <f t="shared" si="2"/>
        <v>01 Jan</v>
      </c>
      <c r="G205" s="50" t="s">
        <v>46</v>
      </c>
      <c r="H205" s="29" t="s">
        <v>68</v>
      </c>
      <c r="I205" s="29" t="s">
        <v>188</v>
      </c>
      <c r="J205" s="26" t="s">
        <v>76</v>
      </c>
      <c r="K205" s="26" t="s">
        <v>32</v>
      </c>
      <c r="L205" s="28" t="str">
        <f t="shared" si="3"/>
        <v>SESI KLINIK</v>
      </c>
      <c r="M205" s="26" t="s">
        <v>27</v>
      </c>
      <c r="N205" s="30">
        <v>150000.0</v>
      </c>
      <c r="O205" s="31">
        <v>0.0</v>
      </c>
      <c r="P205" s="32">
        <f t="array" ref="P205">IFNA(XLOOKUP(K205,'⚙️ Pengaturan'!$E$2:$E800,'⚙️ Pengaturan'!$F$2:$F800),"")</f>
        <v>150000</v>
      </c>
      <c r="Q205" s="33">
        <f t="shared" si="5"/>
        <v>0</v>
      </c>
      <c r="R205" s="26" t="s">
        <v>28</v>
      </c>
      <c r="S205" s="38" t="s">
        <v>188</v>
      </c>
      <c r="T205" s="35" t="b">
        <v>1</v>
      </c>
      <c r="U205" s="36"/>
    </row>
    <row r="206" ht="30.0" customHeight="1">
      <c r="A206" s="24"/>
      <c r="B206" s="25">
        <v>2311.0</v>
      </c>
      <c r="C206" s="26" t="s">
        <v>40</v>
      </c>
      <c r="D206" s="27">
        <v>46037.0</v>
      </c>
      <c r="E206" s="28" t="str">
        <f t="shared" si="1"/>
        <v>2026</v>
      </c>
      <c r="F206" s="28" t="str">
        <f t="shared" si="2"/>
        <v>01 Jan</v>
      </c>
      <c r="G206" s="50" t="s">
        <v>41</v>
      </c>
      <c r="H206" s="29" t="s">
        <v>68</v>
      </c>
      <c r="I206" s="29" t="s">
        <v>164</v>
      </c>
      <c r="J206" s="26" t="s">
        <v>76</v>
      </c>
      <c r="K206" s="26" t="s">
        <v>32</v>
      </c>
      <c r="L206" s="28" t="str">
        <f t="shared" si="3"/>
        <v>SESI KLINIK</v>
      </c>
      <c r="M206" s="26" t="s">
        <v>27</v>
      </c>
      <c r="N206" s="30">
        <v>150000.0</v>
      </c>
      <c r="O206" s="31">
        <v>0.0</v>
      </c>
      <c r="P206" s="32">
        <f t="array" ref="P206">IFNA(XLOOKUP(K206,'⚙️ Pengaturan'!$E$2:$E800,'⚙️ Pengaturan'!$F$2:$F800),"")</f>
        <v>150000</v>
      </c>
      <c r="Q206" s="33">
        <f t="shared" si="5"/>
        <v>0</v>
      </c>
      <c r="R206" s="26" t="s">
        <v>33</v>
      </c>
      <c r="S206" s="38" t="s">
        <v>34</v>
      </c>
      <c r="T206" s="35" t="b">
        <v>1</v>
      </c>
      <c r="U206" s="36"/>
    </row>
    <row r="207" ht="30.0" customHeight="1">
      <c r="A207" s="24"/>
      <c r="B207" s="25">
        <v>2312.0</v>
      </c>
      <c r="C207" s="26" t="s">
        <v>40</v>
      </c>
      <c r="D207" s="27">
        <v>46037.0</v>
      </c>
      <c r="E207" s="28" t="str">
        <f t="shared" si="1"/>
        <v>2026</v>
      </c>
      <c r="F207" s="28" t="str">
        <f t="shared" si="2"/>
        <v>01 Jan</v>
      </c>
      <c r="G207" s="50" t="s">
        <v>53</v>
      </c>
      <c r="H207" s="29" t="s">
        <v>68</v>
      </c>
      <c r="I207" s="29" t="s">
        <v>215</v>
      </c>
      <c r="J207" s="26" t="s">
        <v>25</v>
      </c>
      <c r="K207" s="26" t="s">
        <v>26</v>
      </c>
      <c r="L207" s="28" t="str">
        <f t="shared" si="3"/>
        <v>TA KLINIK</v>
      </c>
      <c r="M207" s="26" t="s">
        <v>27</v>
      </c>
      <c r="N207" s="30">
        <v>250000.0</v>
      </c>
      <c r="O207" s="31">
        <v>0.0</v>
      </c>
      <c r="P207" s="32">
        <f t="array" ref="P207">IFNA(XLOOKUP(K207,'⚙️ Pengaturan'!$E$2:$E800,'⚙️ Pengaturan'!$F$2:$F800),"")</f>
        <v>250000</v>
      </c>
      <c r="Q207" s="33">
        <f t="shared" si="5"/>
        <v>0</v>
      </c>
      <c r="R207" s="26" t="s">
        <v>28</v>
      </c>
      <c r="S207" s="52" t="s">
        <v>215</v>
      </c>
      <c r="T207" s="35" t="b">
        <v>1</v>
      </c>
      <c r="U207" s="36"/>
    </row>
    <row r="208" ht="30.0" customHeight="1">
      <c r="A208" s="24"/>
      <c r="B208" s="25">
        <v>2313.0</v>
      </c>
      <c r="C208" s="26" t="s">
        <v>40</v>
      </c>
      <c r="D208" s="27">
        <v>46037.0</v>
      </c>
      <c r="E208" s="28" t="str">
        <f t="shared" si="1"/>
        <v>2026</v>
      </c>
      <c r="F208" s="28" t="str">
        <f t="shared" si="2"/>
        <v>01 Jan</v>
      </c>
      <c r="G208" s="50" t="s">
        <v>53</v>
      </c>
      <c r="H208" s="29" t="s">
        <v>23</v>
      </c>
      <c r="I208" s="29" t="s">
        <v>216</v>
      </c>
      <c r="J208" s="26" t="s">
        <v>25</v>
      </c>
      <c r="K208" s="26" t="s">
        <v>26</v>
      </c>
      <c r="L208" s="28" t="str">
        <f t="shared" si="3"/>
        <v>TA KLINIK</v>
      </c>
      <c r="M208" s="26" t="s">
        <v>27</v>
      </c>
      <c r="N208" s="30">
        <v>250000.0</v>
      </c>
      <c r="O208" s="31">
        <v>0.0</v>
      </c>
      <c r="P208" s="32">
        <f t="array" ref="P208">IFNA(XLOOKUP(K208,'⚙️ Pengaturan'!$E$2:$E800,'⚙️ Pengaturan'!$F$2:$F800),"")</f>
        <v>250000</v>
      </c>
      <c r="Q208" s="33">
        <f t="shared" si="5"/>
        <v>0</v>
      </c>
      <c r="R208" s="26" t="s">
        <v>33</v>
      </c>
      <c r="S208" s="38" t="s">
        <v>34</v>
      </c>
      <c r="T208" s="35" t="b">
        <v>1</v>
      </c>
      <c r="U208" s="36"/>
    </row>
    <row r="209" ht="30.0" customHeight="1">
      <c r="A209" s="24"/>
      <c r="B209" s="25">
        <v>2314.0</v>
      </c>
      <c r="C209" s="26" t="s">
        <v>40</v>
      </c>
      <c r="D209" s="27">
        <v>46037.0</v>
      </c>
      <c r="E209" s="28" t="str">
        <f t="shared" si="1"/>
        <v>2026</v>
      </c>
      <c r="F209" s="28" t="str">
        <f t="shared" si="2"/>
        <v>01 Jan</v>
      </c>
      <c r="G209" s="50" t="s">
        <v>37</v>
      </c>
      <c r="H209" s="29" t="s">
        <v>42</v>
      </c>
      <c r="I209" s="29" t="s">
        <v>217</v>
      </c>
      <c r="J209" s="26" t="s">
        <v>25</v>
      </c>
      <c r="K209" s="26" t="s">
        <v>26</v>
      </c>
      <c r="L209" s="28" t="str">
        <f t="shared" si="3"/>
        <v>TA KLINIK</v>
      </c>
      <c r="M209" s="26" t="s">
        <v>27</v>
      </c>
      <c r="N209" s="30">
        <v>250000.0</v>
      </c>
      <c r="O209" s="31">
        <v>0.0</v>
      </c>
      <c r="P209" s="32">
        <f t="array" ref="P209">IFNA(XLOOKUP(K209,'⚙️ Pengaturan'!$E$2:$E800,'⚙️ Pengaturan'!$F$2:$F800),"")</f>
        <v>250000</v>
      </c>
      <c r="Q209" s="33">
        <f t="shared" si="5"/>
        <v>0</v>
      </c>
      <c r="R209" s="26" t="s">
        <v>33</v>
      </c>
      <c r="S209" s="38" t="s">
        <v>34</v>
      </c>
      <c r="T209" s="35" t="b">
        <v>1</v>
      </c>
      <c r="U209" s="36"/>
    </row>
    <row r="210" ht="30.0" customHeight="1">
      <c r="A210" s="24"/>
      <c r="B210" s="25">
        <v>2315.0</v>
      </c>
      <c r="C210" s="26" t="s">
        <v>40</v>
      </c>
      <c r="D210" s="27">
        <v>46037.0</v>
      </c>
      <c r="E210" s="28" t="str">
        <f t="shared" si="1"/>
        <v>2026</v>
      </c>
      <c r="F210" s="28" t="str">
        <f t="shared" si="2"/>
        <v>01 Jan</v>
      </c>
      <c r="G210" s="50" t="s">
        <v>118</v>
      </c>
      <c r="H210" s="29" t="s">
        <v>70</v>
      </c>
      <c r="I210" s="29" t="s">
        <v>185</v>
      </c>
      <c r="J210" s="26" t="s">
        <v>76</v>
      </c>
      <c r="K210" s="26" t="s">
        <v>178</v>
      </c>
      <c r="L210" s="28" t="str">
        <f t="shared" si="3"/>
        <v>PAKET VISIT</v>
      </c>
      <c r="M210" s="26" t="s">
        <v>27</v>
      </c>
      <c r="N210" s="30">
        <v>2300000.0</v>
      </c>
      <c r="O210" s="31">
        <v>0.0</v>
      </c>
      <c r="P210" s="32">
        <f t="array" ref="P210">IFNA(XLOOKUP(K210,'⚙️ Pengaturan'!$E$2:$E800,'⚙️ Pengaturan'!$F$2:$F800),"")</f>
        <v>2300000</v>
      </c>
      <c r="Q210" s="33">
        <f t="shared" si="5"/>
        <v>0</v>
      </c>
      <c r="R210" s="26" t="s">
        <v>45</v>
      </c>
      <c r="S210" s="38" t="s">
        <v>186</v>
      </c>
      <c r="T210" s="35" t="b">
        <v>1</v>
      </c>
      <c r="U210" s="36"/>
    </row>
    <row r="211" ht="30.0" customHeight="1">
      <c r="A211" s="24"/>
      <c r="B211" s="25">
        <v>2316.0</v>
      </c>
      <c r="C211" s="26" t="s">
        <v>40</v>
      </c>
      <c r="D211" s="27">
        <v>46037.0</v>
      </c>
      <c r="E211" s="28" t="str">
        <f t="shared" si="1"/>
        <v>2026</v>
      </c>
      <c r="F211" s="28" t="str">
        <f t="shared" si="2"/>
        <v>01 Jan</v>
      </c>
      <c r="G211" s="50" t="s">
        <v>61</v>
      </c>
      <c r="H211" s="29" t="s">
        <v>68</v>
      </c>
      <c r="I211" s="29" t="s">
        <v>137</v>
      </c>
      <c r="J211" s="26" t="s">
        <v>76</v>
      </c>
      <c r="K211" s="26" t="s">
        <v>32</v>
      </c>
      <c r="L211" s="28" t="str">
        <f t="shared" si="3"/>
        <v>SESI KLINIK</v>
      </c>
      <c r="M211" s="26" t="s">
        <v>27</v>
      </c>
      <c r="N211" s="30">
        <v>150000.0</v>
      </c>
      <c r="O211" s="31">
        <v>0.0</v>
      </c>
      <c r="P211" s="32">
        <f t="array" ref="P211">IFNA(XLOOKUP(K211,'⚙️ Pengaturan'!$E$2:$E800,'⚙️ Pengaturan'!$F$2:$F800),"")</f>
        <v>150000</v>
      </c>
      <c r="Q211" s="33">
        <f t="shared" si="5"/>
        <v>0</v>
      </c>
      <c r="R211" s="26" t="s">
        <v>33</v>
      </c>
      <c r="S211" s="38" t="s">
        <v>34</v>
      </c>
      <c r="T211" s="35" t="b">
        <v>1</v>
      </c>
      <c r="U211" s="36"/>
    </row>
    <row r="212" ht="30.0" customHeight="1">
      <c r="A212" s="24"/>
      <c r="B212" s="25">
        <v>2317.0</v>
      </c>
      <c r="C212" s="26" t="s">
        <v>40</v>
      </c>
      <c r="D212" s="27">
        <v>46037.0</v>
      </c>
      <c r="E212" s="28" t="str">
        <f t="shared" si="1"/>
        <v>2026</v>
      </c>
      <c r="F212" s="28" t="str">
        <f t="shared" si="2"/>
        <v>01 Jan</v>
      </c>
      <c r="G212" s="50" t="s">
        <v>37</v>
      </c>
      <c r="H212" s="29" t="s">
        <v>51</v>
      </c>
      <c r="I212" s="29" t="s">
        <v>199</v>
      </c>
      <c r="J212" s="26" t="s">
        <v>25</v>
      </c>
      <c r="K212" s="26" t="s">
        <v>32</v>
      </c>
      <c r="L212" s="28" t="str">
        <f t="shared" si="3"/>
        <v>SESI KLINIK</v>
      </c>
      <c r="M212" s="26" t="s">
        <v>27</v>
      </c>
      <c r="N212" s="30">
        <v>150000.0</v>
      </c>
      <c r="O212" s="31">
        <v>0.0</v>
      </c>
      <c r="P212" s="32">
        <f t="array" ref="P212">IFNA(XLOOKUP(K212,'⚙️ Pengaturan'!$E$2:$E800,'⚙️ Pengaturan'!$F$2:$F800),"")</f>
        <v>150000</v>
      </c>
      <c r="Q212" s="33">
        <f t="shared" si="5"/>
        <v>0</v>
      </c>
      <c r="R212" s="26" t="s">
        <v>28</v>
      </c>
      <c r="S212" s="38" t="s">
        <v>199</v>
      </c>
      <c r="T212" s="35" t="b">
        <v>1</v>
      </c>
      <c r="U212" s="36"/>
    </row>
    <row r="213" ht="30.0" customHeight="1">
      <c r="A213" s="24"/>
      <c r="B213" s="25">
        <v>2318.0</v>
      </c>
      <c r="C213" s="26" t="s">
        <v>21</v>
      </c>
      <c r="D213" s="27">
        <v>46039.0</v>
      </c>
      <c r="E213" s="28" t="str">
        <f t="shared" si="1"/>
        <v>2026</v>
      </c>
      <c r="F213" s="28" t="str">
        <f t="shared" si="2"/>
        <v>01 Jan</v>
      </c>
      <c r="G213" s="50" t="s">
        <v>67</v>
      </c>
      <c r="H213" s="29" t="s">
        <v>68</v>
      </c>
      <c r="I213" s="29" t="s">
        <v>218</v>
      </c>
      <c r="J213" s="40" t="s">
        <v>25</v>
      </c>
      <c r="K213" s="40" t="s">
        <v>26</v>
      </c>
      <c r="L213" s="41" t="str">
        <f t="shared" si="3"/>
        <v>TA KLINIK</v>
      </c>
      <c r="M213" s="40" t="s">
        <v>27</v>
      </c>
      <c r="N213" s="42">
        <v>250000.0</v>
      </c>
      <c r="O213" s="43">
        <v>0.0</v>
      </c>
      <c r="P213" s="32">
        <f t="array" ref="P213">IFNA(XLOOKUP(K213,'⚙️ Pengaturan'!$E$2:$E800,'⚙️ Pengaturan'!$F$2:$F800),"")</f>
        <v>250000</v>
      </c>
      <c r="Q213" s="33">
        <f t="shared" si="5"/>
        <v>0</v>
      </c>
      <c r="R213" s="26" t="s">
        <v>33</v>
      </c>
      <c r="S213" s="38" t="s">
        <v>34</v>
      </c>
      <c r="T213" s="35" t="b">
        <v>1</v>
      </c>
      <c r="U213" s="36"/>
    </row>
    <row r="214" ht="30.0" customHeight="1">
      <c r="A214" s="24"/>
      <c r="B214" s="25">
        <v>2319.0</v>
      </c>
      <c r="C214" s="26" t="s">
        <v>21</v>
      </c>
      <c r="D214" s="27">
        <v>46039.0</v>
      </c>
      <c r="E214" s="28" t="str">
        <f t="shared" si="1"/>
        <v>2026</v>
      </c>
      <c r="F214" s="28" t="str">
        <f t="shared" si="2"/>
        <v>01 Jan</v>
      </c>
      <c r="G214" s="50" t="s">
        <v>67</v>
      </c>
      <c r="H214" s="29" t="s">
        <v>48</v>
      </c>
      <c r="I214" s="29" t="s">
        <v>207</v>
      </c>
      <c r="J214" s="26" t="s">
        <v>25</v>
      </c>
      <c r="K214" s="26" t="s">
        <v>39</v>
      </c>
      <c r="L214" s="28" t="str">
        <f t="shared" si="3"/>
        <v>PAKET KLINIK</v>
      </c>
      <c r="M214" s="26" t="s">
        <v>27</v>
      </c>
      <c r="N214" s="30">
        <v>650000.0</v>
      </c>
      <c r="O214" s="31">
        <v>0.0</v>
      </c>
      <c r="P214" s="32">
        <f t="array" ref="P214">IFNA(XLOOKUP(K214,'⚙️ Pengaturan'!$E$2:$E800,'⚙️ Pengaturan'!$F$2:$F800),"")</f>
        <v>650000</v>
      </c>
      <c r="Q214" s="33">
        <f t="shared" si="5"/>
        <v>0</v>
      </c>
      <c r="R214" s="26" t="s">
        <v>28</v>
      </c>
      <c r="S214" s="38" t="s">
        <v>219</v>
      </c>
      <c r="T214" s="35" t="b">
        <v>1</v>
      </c>
      <c r="U214" s="36"/>
    </row>
    <row r="215" ht="30.0" customHeight="1">
      <c r="A215" s="24"/>
      <c r="B215" s="25">
        <v>2320.0</v>
      </c>
      <c r="C215" s="26" t="s">
        <v>21</v>
      </c>
      <c r="D215" s="27">
        <v>46039.0</v>
      </c>
      <c r="E215" s="28" t="str">
        <f t="shared" si="1"/>
        <v>2026</v>
      </c>
      <c r="F215" s="28" t="str">
        <f t="shared" si="2"/>
        <v>01 Jan</v>
      </c>
      <c r="G215" s="50" t="s">
        <v>67</v>
      </c>
      <c r="H215" s="29" t="s">
        <v>48</v>
      </c>
      <c r="I215" s="29" t="s">
        <v>207</v>
      </c>
      <c r="J215" s="26" t="s">
        <v>25</v>
      </c>
      <c r="K215" s="26" t="s">
        <v>92</v>
      </c>
      <c r="L215" s="28" t="str">
        <f t="shared" si="3"/>
        <v>SESI VISIT</v>
      </c>
      <c r="M215" s="26" t="s">
        <v>27</v>
      </c>
      <c r="N215" s="30">
        <v>200000.0</v>
      </c>
      <c r="O215" s="31">
        <v>0.0</v>
      </c>
      <c r="P215" s="32">
        <f t="array" ref="P215">IFNA(XLOOKUP(K215,'⚙️ Pengaturan'!$E$2:$E800,'⚙️ Pengaturan'!$F$2:$F800),"")</f>
        <v>200000</v>
      </c>
      <c r="Q215" s="33">
        <f t="shared" si="5"/>
        <v>0</v>
      </c>
      <c r="R215" s="26" t="s">
        <v>28</v>
      </c>
      <c r="S215" s="38" t="s">
        <v>219</v>
      </c>
      <c r="T215" s="35" t="b">
        <v>1</v>
      </c>
      <c r="U215" s="36"/>
    </row>
    <row r="216" ht="30.0" customHeight="1">
      <c r="A216" s="24"/>
      <c r="B216" s="25">
        <v>2321.0</v>
      </c>
      <c r="C216" s="26" t="s">
        <v>21</v>
      </c>
      <c r="D216" s="27">
        <v>46039.0</v>
      </c>
      <c r="E216" s="28" t="str">
        <f t="shared" si="1"/>
        <v>2026</v>
      </c>
      <c r="F216" s="28" t="str">
        <f t="shared" si="2"/>
        <v>01 Jan</v>
      </c>
      <c r="G216" s="50" t="s">
        <v>29</v>
      </c>
      <c r="H216" s="29" t="s">
        <v>68</v>
      </c>
      <c r="I216" s="29" t="s">
        <v>220</v>
      </c>
      <c r="J216" s="26" t="s">
        <v>25</v>
      </c>
      <c r="K216" s="26" t="s">
        <v>26</v>
      </c>
      <c r="L216" s="28" t="str">
        <f t="shared" si="3"/>
        <v>TA KLINIK</v>
      </c>
      <c r="M216" s="26" t="s">
        <v>27</v>
      </c>
      <c r="N216" s="30">
        <v>250000.0</v>
      </c>
      <c r="O216" s="31">
        <v>0.0</v>
      </c>
      <c r="P216" s="32">
        <f t="array" ref="P216">IFNA(XLOOKUP(K216,'⚙️ Pengaturan'!$E$2:$E800,'⚙️ Pengaturan'!$F$2:$F800),"")</f>
        <v>250000</v>
      </c>
      <c r="Q216" s="33">
        <f t="shared" si="5"/>
        <v>0</v>
      </c>
      <c r="R216" s="26" t="s">
        <v>28</v>
      </c>
      <c r="S216" s="38" t="s">
        <v>221</v>
      </c>
      <c r="T216" s="35" t="b">
        <v>1</v>
      </c>
      <c r="U216" s="36"/>
    </row>
    <row r="217" ht="30.0" customHeight="1">
      <c r="A217" s="24"/>
      <c r="B217" s="25">
        <v>2322.0</v>
      </c>
      <c r="C217" s="26" t="s">
        <v>21</v>
      </c>
      <c r="D217" s="27">
        <v>46039.0</v>
      </c>
      <c r="E217" s="28" t="str">
        <f t="shared" si="1"/>
        <v>2026</v>
      </c>
      <c r="F217" s="28" t="str">
        <f t="shared" si="2"/>
        <v>01 Jan</v>
      </c>
      <c r="G217" s="50" t="s">
        <v>29</v>
      </c>
      <c r="H217" s="29" t="s">
        <v>42</v>
      </c>
      <c r="I217" s="29" t="s">
        <v>222</v>
      </c>
      <c r="J217" s="53" t="s">
        <v>25</v>
      </c>
      <c r="K217" s="40" t="s">
        <v>26</v>
      </c>
      <c r="L217" s="41" t="str">
        <f t="shared" si="3"/>
        <v>TA KLINIK</v>
      </c>
      <c r="M217" s="40" t="s">
        <v>27</v>
      </c>
      <c r="N217" s="42">
        <v>250000.0</v>
      </c>
      <c r="O217" s="43">
        <v>0.0</v>
      </c>
      <c r="P217" s="32">
        <f t="array" ref="P217">IFNA(XLOOKUP(K217,'⚙️ Pengaturan'!$E$2:$E800,'⚙️ Pengaturan'!$F$2:$F800),"")</f>
        <v>250000</v>
      </c>
      <c r="Q217" s="33">
        <f t="shared" si="5"/>
        <v>0</v>
      </c>
      <c r="R217" s="26" t="s">
        <v>28</v>
      </c>
      <c r="S217" s="38" t="s">
        <v>221</v>
      </c>
      <c r="T217" s="35" t="b">
        <v>1</v>
      </c>
      <c r="U217" s="36"/>
    </row>
    <row r="218" ht="30.0" customHeight="1">
      <c r="A218" s="24"/>
      <c r="B218" s="25">
        <v>2323.0</v>
      </c>
      <c r="C218" s="26" t="s">
        <v>21</v>
      </c>
      <c r="D218" s="27">
        <v>46039.0</v>
      </c>
      <c r="E218" s="28" t="str">
        <f t="shared" si="1"/>
        <v>2026</v>
      </c>
      <c r="F218" s="28" t="str">
        <f t="shared" si="2"/>
        <v>01 Jan</v>
      </c>
      <c r="G218" s="50" t="s">
        <v>118</v>
      </c>
      <c r="H218" s="29" t="s">
        <v>30</v>
      </c>
      <c r="I218" s="29" t="s">
        <v>223</v>
      </c>
      <c r="J218" s="26" t="s">
        <v>25</v>
      </c>
      <c r="K218" s="26" t="s">
        <v>128</v>
      </c>
      <c r="L218" s="28" t="str">
        <f t="shared" si="3"/>
        <v>TA VISIT</v>
      </c>
      <c r="M218" s="26" t="s">
        <v>27</v>
      </c>
      <c r="N218" s="30">
        <v>300000.0</v>
      </c>
      <c r="O218" s="31">
        <v>0.0</v>
      </c>
      <c r="P218" s="32">
        <f t="array" ref="P218">IFNA(XLOOKUP(K218,'⚙️ Pengaturan'!$E$2:$E800,'⚙️ Pengaturan'!$F$2:$F800),"")</f>
        <v>300000</v>
      </c>
      <c r="Q218" s="33">
        <f t="shared" si="5"/>
        <v>0</v>
      </c>
      <c r="R218" s="26" t="s">
        <v>33</v>
      </c>
      <c r="S218" s="38" t="s">
        <v>34</v>
      </c>
      <c r="T218" s="35" t="b">
        <v>1</v>
      </c>
      <c r="U218" s="36"/>
    </row>
    <row r="219" ht="30.0" customHeight="1">
      <c r="A219" s="24"/>
      <c r="B219" s="25">
        <v>2324.0</v>
      </c>
      <c r="C219" s="26" t="s">
        <v>21</v>
      </c>
      <c r="D219" s="27">
        <v>46039.0</v>
      </c>
      <c r="E219" s="28" t="str">
        <f t="shared" si="1"/>
        <v>2026</v>
      </c>
      <c r="F219" s="28" t="str">
        <f t="shared" si="2"/>
        <v>01 Jan</v>
      </c>
      <c r="G219" s="50" t="s">
        <v>118</v>
      </c>
      <c r="H219" s="29" t="s">
        <v>23</v>
      </c>
      <c r="I219" s="29" t="s">
        <v>224</v>
      </c>
      <c r="J219" s="26" t="s">
        <v>25</v>
      </c>
      <c r="K219" s="26" t="s">
        <v>128</v>
      </c>
      <c r="L219" s="28" t="str">
        <f t="shared" si="3"/>
        <v>TA VISIT</v>
      </c>
      <c r="M219" s="26" t="s">
        <v>27</v>
      </c>
      <c r="N219" s="30">
        <v>300000.0</v>
      </c>
      <c r="O219" s="31">
        <v>0.0</v>
      </c>
      <c r="P219" s="32">
        <f t="array" ref="P219">IFNA(XLOOKUP(K219,'⚙️ Pengaturan'!$E$2:$E800,'⚙️ Pengaturan'!$F$2:$F800),"")</f>
        <v>300000</v>
      </c>
      <c r="Q219" s="33">
        <f t="shared" si="5"/>
        <v>0</v>
      </c>
      <c r="R219" s="26" t="s">
        <v>33</v>
      </c>
      <c r="S219" s="38" t="s">
        <v>34</v>
      </c>
      <c r="T219" s="35" t="b">
        <v>1</v>
      </c>
      <c r="U219" s="36"/>
    </row>
    <row r="220" ht="30.0" customHeight="1">
      <c r="A220" s="24"/>
      <c r="B220" s="25">
        <v>2325.0</v>
      </c>
      <c r="C220" s="26" t="s">
        <v>21</v>
      </c>
      <c r="D220" s="27">
        <v>46039.0</v>
      </c>
      <c r="E220" s="28" t="str">
        <f t="shared" si="1"/>
        <v>2026</v>
      </c>
      <c r="F220" s="28" t="str">
        <f t="shared" si="2"/>
        <v>01 Jan</v>
      </c>
      <c r="G220" s="50" t="s">
        <v>37</v>
      </c>
      <c r="H220" s="29" t="s">
        <v>51</v>
      </c>
      <c r="I220" s="29" t="s">
        <v>52</v>
      </c>
      <c r="J220" s="26" t="s">
        <v>25</v>
      </c>
      <c r="K220" s="26" t="s">
        <v>32</v>
      </c>
      <c r="L220" s="28" t="str">
        <f t="shared" si="3"/>
        <v>SESI KLINIK</v>
      </c>
      <c r="M220" s="26" t="s">
        <v>27</v>
      </c>
      <c r="N220" s="30">
        <v>150000.0</v>
      </c>
      <c r="O220" s="31">
        <v>0.0</v>
      </c>
      <c r="P220" s="32">
        <f t="array" ref="P220">IFNA(XLOOKUP(K220,'⚙️ Pengaturan'!$E$2:$E800,'⚙️ Pengaturan'!$F$2:$F800),"")</f>
        <v>150000</v>
      </c>
      <c r="Q220" s="33">
        <f t="shared" si="5"/>
        <v>0</v>
      </c>
      <c r="R220" s="26" t="s">
        <v>33</v>
      </c>
      <c r="S220" s="38" t="s">
        <v>34</v>
      </c>
      <c r="T220" s="35" t="b">
        <v>1</v>
      </c>
      <c r="U220" s="36"/>
    </row>
    <row r="221" ht="30.0" customHeight="1">
      <c r="A221" s="24"/>
      <c r="B221" s="25">
        <v>2326.0</v>
      </c>
      <c r="C221" s="26" t="s">
        <v>21</v>
      </c>
      <c r="D221" s="27">
        <v>46039.0</v>
      </c>
      <c r="E221" s="28" t="str">
        <f t="shared" si="1"/>
        <v>2026</v>
      </c>
      <c r="F221" s="28" t="str">
        <f t="shared" si="2"/>
        <v>01 Jan</v>
      </c>
      <c r="G221" s="50" t="s">
        <v>118</v>
      </c>
      <c r="H221" s="29" t="s">
        <v>35</v>
      </c>
      <c r="I221" s="29" t="s">
        <v>225</v>
      </c>
      <c r="J221" s="26" t="s">
        <v>25</v>
      </c>
      <c r="K221" s="26" t="s">
        <v>26</v>
      </c>
      <c r="L221" s="28" t="str">
        <f t="shared" si="3"/>
        <v>TA KLINIK</v>
      </c>
      <c r="M221" s="26" t="s">
        <v>27</v>
      </c>
      <c r="N221" s="30">
        <v>250000.0</v>
      </c>
      <c r="O221" s="31">
        <v>0.0</v>
      </c>
      <c r="P221" s="32">
        <f t="array" ref="P221">IFNA(XLOOKUP(K221,'⚙️ Pengaturan'!$E$2:$E800,'⚙️ Pengaturan'!$F$2:$F800),"")</f>
        <v>250000</v>
      </c>
      <c r="Q221" s="33">
        <f t="shared" si="5"/>
        <v>0</v>
      </c>
      <c r="R221" s="26" t="s">
        <v>28</v>
      </c>
      <c r="S221" s="38" t="s">
        <v>225</v>
      </c>
      <c r="T221" s="35" t="b">
        <v>1</v>
      </c>
      <c r="U221" s="36"/>
    </row>
    <row r="222" ht="30.0" customHeight="1">
      <c r="A222" s="24"/>
      <c r="B222" s="25">
        <v>2327.0</v>
      </c>
      <c r="C222" s="26" t="s">
        <v>21</v>
      </c>
      <c r="D222" s="27">
        <v>46039.0</v>
      </c>
      <c r="E222" s="28" t="str">
        <f t="shared" si="1"/>
        <v>2026</v>
      </c>
      <c r="F222" s="28" t="str">
        <f t="shared" si="2"/>
        <v>01 Jan</v>
      </c>
      <c r="G222" s="50" t="s">
        <v>118</v>
      </c>
      <c r="H222" s="29" t="s">
        <v>35</v>
      </c>
      <c r="I222" s="29" t="s">
        <v>225</v>
      </c>
      <c r="J222" s="26" t="s">
        <v>25</v>
      </c>
      <c r="K222" s="26" t="s">
        <v>32</v>
      </c>
      <c r="L222" s="28" t="str">
        <f t="shared" si="3"/>
        <v>SESI KLINIK</v>
      </c>
      <c r="M222" s="26" t="s">
        <v>27</v>
      </c>
      <c r="N222" s="30">
        <v>150000.0</v>
      </c>
      <c r="O222" s="31">
        <v>0.0</v>
      </c>
      <c r="P222" s="32">
        <f t="array" ref="P222">IFNA(XLOOKUP(K222,'⚙️ Pengaturan'!$E$2:$E800,'⚙️ Pengaturan'!$F$2:$F800),"")</f>
        <v>150000</v>
      </c>
      <c r="Q222" s="33">
        <f t="shared" si="5"/>
        <v>0</v>
      </c>
      <c r="R222" s="26" t="s">
        <v>28</v>
      </c>
      <c r="S222" s="38" t="s">
        <v>225</v>
      </c>
      <c r="T222" s="35" t="b">
        <v>1</v>
      </c>
      <c r="U222" s="36"/>
    </row>
    <row r="223" ht="30.0" customHeight="1">
      <c r="A223" s="24"/>
      <c r="B223" s="25">
        <v>2328.0</v>
      </c>
      <c r="C223" s="26" t="s">
        <v>21</v>
      </c>
      <c r="D223" s="27">
        <v>46039.0</v>
      </c>
      <c r="E223" s="28" t="str">
        <f t="shared" si="1"/>
        <v>2026</v>
      </c>
      <c r="F223" s="28" t="str">
        <f t="shared" si="2"/>
        <v>01 Jan</v>
      </c>
      <c r="G223" s="50" t="s">
        <v>118</v>
      </c>
      <c r="H223" s="29" t="s">
        <v>35</v>
      </c>
      <c r="I223" s="29" t="s">
        <v>225</v>
      </c>
      <c r="J223" s="26" t="s">
        <v>25</v>
      </c>
      <c r="K223" s="26" t="s">
        <v>32</v>
      </c>
      <c r="L223" s="28" t="str">
        <f t="shared" si="3"/>
        <v>SESI KLINIK</v>
      </c>
      <c r="M223" s="26" t="s">
        <v>27</v>
      </c>
      <c r="N223" s="30">
        <v>150000.0</v>
      </c>
      <c r="O223" s="31">
        <v>0.0</v>
      </c>
      <c r="P223" s="32">
        <f t="array" ref="P223">IFNA(XLOOKUP(K223,'⚙️ Pengaturan'!$E$2:$E800,'⚙️ Pengaturan'!$F$2:$F800),"")</f>
        <v>150000</v>
      </c>
      <c r="Q223" s="33">
        <f t="shared" si="5"/>
        <v>0</v>
      </c>
      <c r="R223" s="26" t="s">
        <v>28</v>
      </c>
      <c r="S223" s="38" t="s">
        <v>225</v>
      </c>
      <c r="T223" s="35" t="b">
        <v>1</v>
      </c>
      <c r="U223" s="36"/>
    </row>
    <row r="224" ht="30.0" customHeight="1">
      <c r="A224" s="24"/>
      <c r="B224" s="25">
        <v>2329.0</v>
      </c>
      <c r="C224" s="26" t="s">
        <v>21</v>
      </c>
      <c r="D224" s="27">
        <v>46039.0</v>
      </c>
      <c r="E224" s="28" t="str">
        <f t="shared" si="1"/>
        <v>2026</v>
      </c>
      <c r="F224" s="28" t="str">
        <f t="shared" si="2"/>
        <v>01 Jan</v>
      </c>
      <c r="G224" s="50" t="s">
        <v>118</v>
      </c>
      <c r="H224" s="29" t="s">
        <v>70</v>
      </c>
      <c r="I224" s="29" t="s">
        <v>226</v>
      </c>
      <c r="J224" s="26" t="s">
        <v>25</v>
      </c>
      <c r="K224" s="26" t="s">
        <v>26</v>
      </c>
      <c r="L224" s="28" t="str">
        <f t="shared" si="3"/>
        <v>TA KLINIK</v>
      </c>
      <c r="M224" s="26" t="s">
        <v>27</v>
      </c>
      <c r="N224" s="30">
        <v>250000.0</v>
      </c>
      <c r="O224" s="31">
        <v>0.0</v>
      </c>
      <c r="P224" s="32">
        <f t="array" ref="P224">IFNA(XLOOKUP(K224,'⚙️ Pengaturan'!$E$2:$E800,'⚙️ Pengaturan'!$F$2:$F800),"")</f>
        <v>250000</v>
      </c>
      <c r="Q224" s="33">
        <f t="shared" si="5"/>
        <v>0</v>
      </c>
      <c r="R224" s="26" t="s">
        <v>28</v>
      </c>
      <c r="S224" s="38" t="s">
        <v>226</v>
      </c>
      <c r="T224" s="35" t="b">
        <v>1</v>
      </c>
      <c r="U224" s="36"/>
    </row>
    <row r="225" ht="30.0" customHeight="1">
      <c r="A225" s="24"/>
      <c r="B225" s="25">
        <v>2330.0</v>
      </c>
      <c r="C225" s="26" t="s">
        <v>40</v>
      </c>
      <c r="D225" s="27">
        <v>46039.0</v>
      </c>
      <c r="E225" s="28" t="str">
        <f t="shared" si="1"/>
        <v>2026</v>
      </c>
      <c r="F225" s="28" t="str">
        <f t="shared" si="2"/>
        <v>01 Jan</v>
      </c>
      <c r="G225" s="50" t="s">
        <v>46</v>
      </c>
      <c r="H225" s="29" t="s">
        <v>23</v>
      </c>
      <c r="I225" s="29" t="s">
        <v>187</v>
      </c>
      <c r="J225" s="26" t="s">
        <v>76</v>
      </c>
      <c r="K225" s="26" t="s">
        <v>32</v>
      </c>
      <c r="L225" s="28" t="str">
        <f t="shared" si="3"/>
        <v>SESI KLINIK</v>
      </c>
      <c r="M225" s="26" t="s">
        <v>27</v>
      </c>
      <c r="N225" s="30">
        <v>150000.0</v>
      </c>
      <c r="O225" s="31">
        <v>0.0</v>
      </c>
      <c r="P225" s="32">
        <f t="array" ref="P225">IFNA(XLOOKUP(K225,'⚙️ Pengaturan'!$E$2:$E800,'⚙️ Pengaturan'!$F$2:$F800),"")</f>
        <v>150000</v>
      </c>
      <c r="Q225" s="33">
        <f t="shared" si="5"/>
        <v>0</v>
      </c>
      <c r="R225" s="26" t="s">
        <v>28</v>
      </c>
      <c r="S225" s="38" t="s">
        <v>187</v>
      </c>
      <c r="T225" s="35" t="b">
        <v>1</v>
      </c>
      <c r="U225" s="36"/>
    </row>
    <row r="226" ht="30.0" customHeight="1">
      <c r="A226" s="24"/>
      <c r="B226" s="25">
        <v>2331.0</v>
      </c>
      <c r="C226" s="26" t="s">
        <v>40</v>
      </c>
      <c r="D226" s="27">
        <v>46039.0</v>
      </c>
      <c r="E226" s="28" t="str">
        <f t="shared" si="1"/>
        <v>2026</v>
      </c>
      <c r="F226" s="28" t="str">
        <f t="shared" si="2"/>
        <v>01 Jan</v>
      </c>
      <c r="G226" s="50" t="s">
        <v>46</v>
      </c>
      <c r="H226" s="29" t="s">
        <v>30</v>
      </c>
      <c r="I226" s="29" t="s">
        <v>208</v>
      </c>
      <c r="J226" s="26" t="s">
        <v>76</v>
      </c>
      <c r="K226" s="26" t="s">
        <v>32</v>
      </c>
      <c r="L226" s="28" t="str">
        <f t="shared" si="3"/>
        <v>SESI KLINIK</v>
      </c>
      <c r="M226" s="26" t="s">
        <v>27</v>
      </c>
      <c r="N226" s="30">
        <v>150000.0</v>
      </c>
      <c r="O226" s="31">
        <v>0.0</v>
      </c>
      <c r="P226" s="32">
        <f t="array" ref="P226">IFNA(XLOOKUP(K226,'⚙️ Pengaturan'!$E$2:$E800,'⚙️ Pengaturan'!$F$2:$F800),"")</f>
        <v>150000</v>
      </c>
      <c r="Q226" s="33">
        <f t="shared" si="5"/>
        <v>0</v>
      </c>
      <c r="R226" s="26" t="s">
        <v>33</v>
      </c>
      <c r="S226" s="38" t="s">
        <v>34</v>
      </c>
      <c r="T226" s="35" t="b">
        <v>1</v>
      </c>
      <c r="U226" s="36"/>
    </row>
    <row r="227" ht="30.0" customHeight="1">
      <c r="A227" s="24"/>
      <c r="B227" s="25">
        <v>2332.0</v>
      </c>
      <c r="C227" s="26" t="s">
        <v>40</v>
      </c>
      <c r="D227" s="27">
        <v>46039.0</v>
      </c>
      <c r="E227" s="28" t="str">
        <f t="shared" si="1"/>
        <v>2026</v>
      </c>
      <c r="F227" s="28" t="str">
        <f t="shared" si="2"/>
        <v>01 Jan</v>
      </c>
      <c r="G227" s="50" t="s">
        <v>46</v>
      </c>
      <c r="H227" s="29" t="s">
        <v>58</v>
      </c>
      <c r="I227" s="29" t="s">
        <v>140</v>
      </c>
      <c r="J227" s="26" t="s">
        <v>76</v>
      </c>
      <c r="K227" s="26" t="s">
        <v>39</v>
      </c>
      <c r="L227" s="28" t="str">
        <f t="shared" si="3"/>
        <v>PAKET KLINIK</v>
      </c>
      <c r="M227" s="26" t="s">
        <v>63</v>
      </c>
      <c r="N227" s="30">
        <v>450000.0</v>
      </c>
      <c r="O227" s="31">
        <v>200000.0</v>
      </c>
      <c r="P227" s="32">
        <f t="array" ref="P227">IFNA(XLOOKUP(K227,'⚙️ Pengaturan'!$E$2:$E800,'⚙️ Pengaturan'!$F$2:$F800),"")</f>
        <v>650000</v>
      </c>
      <c r="Q227" s="33">
        <f t="shared" si="5"/>
        <v>0</v>
      </c>
      <c r="R227" s="26" t="s">
        <v>28</v>
      </c>
      <c r="S227" s="38" t="s">
        <v>140</v>
      </c>
      <c r="T227" s="35" t="b">
        <v>1</v>
      </c>
      <c r="U227" s="36"/>
    </row>
    <row r="228" ht="30.0" customHeight="1">
      <c r="A228" s="24"/>
      <c r="B228" s="25">
        <v>2333.0</v>
      </c>
      <c r="C228" s="26" t="s">
        <v>40</v>
      </c>
      <c r="D228" s="27">
        <v>46039.0</v>
      </c>
      <c r="E228" s="28" t="str">
        <f t="shared" si="1"/>
        <v>2026</v>
      </c>
      <c r="F228" s="28" t="str">
        <f t="shared" si="2"/>
        <v>01 Jan</v>
      </c>
      <c r="G228" s="50" t="s">
        <v>41</v>
      </c>
      <c r="H228" s="29" t="s">
        <v>58</v>
      </c>
      <c r="I228" s="29" t="s">
        <v>162</v>
      </c>
      <c r="J228" s="26" t="s">
        <v>76</v>
      </c>
      <c r="K228" s="26" t="s">
        <v>44</v>
      </c>
      <c r="L228" s="28" t="str">
        <f t="shared" si="3"/>
        <v>PAKET KLINIK</v>
      </c>
      <c r="M228" s="26" t="s">
        <v>63</v>
      </c>
      <c r="N228" s="30">
        <v>700000.0</v>
      </c>
      <c r="O228" s="31">
        <v>500000.0</v>
      </c>
      <c r="P228" s="32">
        <f t="array" ref="P228">IFNA(XLOOKUP(K228,'⚙️ Pengaturan'!$E$2:$E800,'⚙️ Pengaturan'!$F$2:$F800),"")</f>
        <v>1200000</v>
      </c>
      <c r="Q228" s="33">
        <f t="shared" si="5"/>
        <v>0</v>
      </c>
      <c r="R228" s="26" t="s">
        <v>33</v>
      </c>
      <c r="S228" s="38" t="s">
        <v>34</v>
      </c>
      <c r="T228" s="35" t="b">
        <v>1</v>
      </c>
      <c r="U228" s="36"/>
    </row>
    <row r="229" ht="30.0" customHeight="1">
      <c r="A229" s="24"/>
      <c r="B229" s="25">
        <v>2334.0</v>
      </c>
      <c r="C229" s="26" t="s">
        <v>40</v>
      </c>
      <c r="D229" s="27">
        <v>46039.0</v>
      </c>
      <c r="E229" s="28" t="str">
        <f t="shared" si="1"/>
        <v>2026</v>
      </c>
      <c r="F229" s="28" t="str">
        <f t="shared" si="2"/>
        <v>01 Jan</v>
      </c>
      <c r="G229" s="50" t="s">
        <v>41</v>
      </c>
      <c r="H229" s="29" t="s">
        <v>30</v>
      </c>
      <c r="I229" s="29" t="s">
        <v>130</v>
      </c>
      <c r="J229" s="26" t="s">
        <v>76</v>
      </c>
      <c r="K229" s="26" t="s">
        <v>32</v>
      </c>
      <c r="L229" s="28" t="str">
        <f t="shared" si="3"/>
        <v>SESI KLINIK</v>
      </c>
      <c r="M229" s="26" t="s">
        <v>27</v>
      </c>
      <c r="N229" s="30">
        <v>150000.0</v>
      </c>
      <c r="O229" s="31">
        <v>0.0</v>
      </c>
      <c r="P229" s="32">
        <f t="array" ref="P229">IFNA(XLOOKUP(K229,'⚙️ Pengaturan'!$E$2:$E800,'⚙️ Pengaturan'!$F$2:$F800),"")</f>
        <v>150000</v>
      </c>
      <c r="Q229" s="33">
        <f t="shared" si="5"/>
        <v>0</v>
      </c>
      <c r="R229" s="26" t="s">
        <v>33</v>
      </c>
      <c r="S229" s="38" t="s">
        <v>34</v>
      </c>
      <c r="T229" s="35" t="b">
        <v>1</v>
      </c>
      <c r="U229" s="36"/>
    </row>
    <row r="230" ht="30.0" customHeight="1">
      <c r="A230" s="24"/>
      <c r="B230" s="25">
        <v>2335.0</v>
      </c>
      <c r="C230" s="26" t="s">
        <v>40</v>
      </c>
      <c r="D230" s="27">
        <v>46039.0</v>
      </c>
      <c r="E230" s="28" t="str">
        <f t="shared" si="1"/>
        <v>2026</v>
      </c>
      <c r="F230" s="28" t="str">
        <f t="shared" si="2"/>
        <v>01 Jan</v>
      </c>
      <c r="G230" s="50" t="s">
        <v>41</v>
      </c>
      <c r="H230" s="29" t="s">
        <v>70</v>
      </c>
      <c r="I230" s="29" t="s">
        <v>83</v>
      </c>
      <c r="J230" s="26" t="s">
        <v>76</v>
      </c>
      <c r="K230" s="26" t="s">
        <v>39</v>
      </c>
      <c r="L230" s="28" t="str">
        <f t="shared" si="3"/>
        <v>PAKET KLINIK</v>
      </c>
      <c r="M230" s="26" t="s">
        <v>63</v>
      </c>
      <c r="N230" s="30">
        <v>200000.0</v>
      </c>
      <c r="O230" s="31">
        <v>450000.0</v>
      </c>
      <c r="P230" s="32">
        <f t="array" ref="P230">IFNA(XLOOKUP(K230,'⚙️ Pengaturan'!$E$2:$E800,'⚙️ Pengaturan'!$F$2:$F800),"")</f>
        <v>650000</v>
      </c>
      <c r="Q230" s="33">
        <f t="shared" si="5"/>
        <v>0</v>
      </c>
      <c r="R230" s="26" t="s">
        <v>28</v>
      </c>
      <c r="S230" s="38" t="s">
        <v>83</v>
      </c>
      <c r="T230" s="35" t="b">
        <v>1</v>
      </c>
      <c r="U230" s="36"/>
    </row>
    <row r="231" ht="30.0" customHeight="1">
      <c r="A231" s="24"/>
      <c r="B231" s="25">
        <v>2336.0</v>
      </c>
      <c r="C231" s="26" t="s">
        <v>40</v>
      </c>
      <c r="D231" s="27">
        <v>46039.0</v>
      </c>
      <c r="E231" s="28" t="str">
        <f t="shared" si="1"/>
        <v>2026</v>
      </c>
      <c r="F231" s="28" t="str">
        <f t="shared" si="2"/>
        <v>01 Jan</v>
      </c>
      <c r="G231" s="50" t="s">
        <v>53</v>
      </c>
      <c r="H231" s="29" t="s">
        <v>30</v>
      </c>
      <c r="I231" s="29" t="s">
        <v>202</v>
      </c>
      <c r="J231" s="26" t="s">
        <v>76</v>
      </c>
      <c r="K231" s="26" t="s">
        <v>32</v>
      </c>
      <c r="L231" s="28" t="str">
        <f t="shared" si="3"/>
        <v>SESI KLINIK</v>
      </c>
      <c r="M231" s="26" t="s">
        <v>27</v>
      </c>
      <c r="N231" s="30">
        <v>150000.0</v>
      </c>
      <c r="O231" s="31">
        <v>0.0</v>
      </c>
      <c r="P231" s="32">
        <f t="array" ref="P231">IFNA(XLOOKUP(K231,'⚙️ Pengaturan'!$E$2:$E800,'⚙️ Pengaturan'!$F$2:$F800),"")</f>
        <v>150000</v>
      </c>
      <c r="Q231" s="33">
        <f t="shared" si="5"/>
        <v>0</v>
      </c>
      <c r="R231" s="26" t="s">
        <v>28</v>
      </c>
      <c r="S231" s="38" t="s">
        <v>202</v>
      </c>
      <c r="T231" s="35" t="b">
        <v>1</v>
      </c>
      <c r="U231" s="36"/>
    </row>
    <row r="232" ht="30.0" customHeight="1">
      <c r="A232" s="24"/>
      <c r="B232" s="25">
        <v>2337.0</v>
      </c>
      <c r="C232" s="26" t="s">
        <v>40</v>
      </c>
      <c r="D232" s="27">
        <v>46039.0</v>
      </c>
      <c r="E232" s="28" t="str">
        <f t="shared" si="1"/>
        <v>2026</v>
      </c>
      <c r="F232" s="28" t="str">
        <f t="shared" si="2"/>
        <v>01 Jan</v>
      </c>
      <c r="G232" s="50" t="s">
        <v>53</v>
      </c>
      <c r="H232" s="29" t="s">
        <v>58</v>
      </c>
      <c r="I232" s="29" t="s">
        <v>227</v>
      </c>
      <c r="J232" s="26" t="s">
        <v>25</v>
      </c>
      <c r="K232" s="26" t="s">
        <v>26</v>
      </c>
      <c r="L232" s="28" t="str">
        <f t="shared" si="3"/>
        <v>TA KLINIK</v>
      </c>
      <c r="M232" s="26" t="s">
        <v>27</v>
      </c>
      <c r="N232" s="30">
        <v>250000.0</v>
      </c>
      <c r="O232" s="31">
        <v>0.0</v>
      </c>
      <c r="P232" s="32">
        <f t="array" ref="P232">IFNA(XLOOKUP(K232,'⚙️ Pengaturan'!$E$2:$E800,'⚙️ Pengaturan'!$F$2:$F800),"")</f>
        <v>250000</v>
      </c>
      <c r="Q232" s="33">
        <f t="shared" si="5"/>
        <v>0</v>
      </c>
      <c r="R232" s="26" t="s">
        <v>33</v>
      </c>
      <c r="S232" s="38" t="s">
        <v>34</v>
      </c>
      <c r="T232" s="35" t="b">
        <v>1</v>
      </c>
      <c r="U232" s="36"/>
    </row>
    <row r="233" ht="30.0" customHeight="1">
      <c r="A233" s="24"/>
      <c r="B233" s="25">
        <v>2338.0</v>
      </c>
      <c r="C233" s="26" t="s">
        <v>40</v>
      </c>
      <c r="D233" s="27">
        <v>46039.0</v>
      </c>
      <c r="E233" s="28" t="str">
        <f t="shared" si="1"/>
        <v>2026</v>
      </c>
      <c r="F233" s="28" t="str">
        <f t="shared" si="2"/>
        <v>01 Jan</v>
      </c>
      <c r="G233" s="50" t="s">
        <v>56</v>
      </c>
      <c r="H233" s="29" t="s">
        <v>23</v>
      </c>
      <c r="I233" s="29" t="s">
        <v>228</v>
      </c>
      <c r="J233" s="26" t="s">
        <v>25</v>
      </c>
      <c r="K233" s="26" t="s">
        <v>26</v>
      </c>
      <c r="L233" s="28" t="str">
        <f t="shared" si="3"/>
        <v>TA KLINIK</v>
      </c>
      <c r="M233" s="26" t="s">
        <v>27</v>
      </c>
      <c r="N233" s="30">
        <v>250000.0</v>
      </c>
      <c r="O233" s="31">
        <v>0.0</v>
      </c>
      <c r="P233" s="32">
        <f t="array" ref="P233">IFNA(XLOOKUP(K233,'⚙️ Pengaturan'!$E$2:$E800,'⚙️ Pengaturan'!$F$2:$F800),"")</f>
        <v>250000</v>
      </c>
      <c r="Q233" s="33">
        <f t="shared" si="5"/>
        <v>0</v>
      </c>
      <c r="R233" s="26" t="s">
        <v>33</v>
      </c>
      <c r="S233" s="38" t="s">
        <v>34</v>
      </c>
      <c r="T233" s="35" t="b">
        <v>1</v>
      </c>
      <c r="U233" s="36"/>
    </row>
    <row r="234" ht="30.0" customHeight="1">
      <c r="A234" s="24"/>
      <c r="B234" s="25">
        <v>2339.0</v>
      </c>
      <c r="C234" s="26" t="s">
        <v>40</v>
      </c>
      <c r="D234" s="27">
        <v>46039.0</v>
      </c>
      <c r="E234" s="28" t="str">
        <f t="shared" si="1"/>
        <v>2026</v>
      </c>
      <c r="F234" s="28" t="str">
        <f t="shared" si="2"/>
        <v>01 Jan</v>
      </c>
      <c r="G234" s="50" t="s">
        <v>61</v>
      </c>
      <c r="H234" s="29" t="s">
        <v>23</v>
      </c>
      <c r="I234" s="29" t="s">
        <v>229</v>
      </c>
      <c r="J234" s="26" t="s">
        <v>25</v>
      </c>
      <c r="K234" s="26" t="s">
        <v>26</v>
      </c>
      <c r="L234" s="28" t="str">
        <f t="shared" si="3"/>
        <v>TA KLINIK</v>
      </c>
      <c r="M234" s="26" t="s">
        <v>27</v>
      </c>
      <c r="N234" s="30">
        <v>250000.0</v>
      </c>
      <c r="O234" s="31">
        <v>0.0</v>
      </c>
      <c r="P234" s="32">
        <f t="array" ref="P234">IFNA(XLOOKUP(K234,'⚙️ Pengaturan'!$E$2:$E800,'⚙️ Pengaturan'!$F$2:$F800),"")</f>
        <v>250000</v>
      </c>
      <c r="Q234" s="33">
        <f t="shared" si="5"/>
        <v>0</v>
      </c>
      <c r="R234" s="26" t="s">
        <v>33</v>
      </c>
      <c r="S234" s="38" t="s">
        <v>34</v>
      </c>
      <c r="T234" s="35" t="b">
        <v>1</v>
      </c>
      <c r="U234" s="36"/>
    </row>
    <row r="235" ht="30.0" customHeight="1">
      <c r="A235" s="24"/>
      <c r="B235" s="25">
        <v>2340.0</v>
      </c>
      <c r="C235" s="26" t="s">
        <v>40</v>
      </c>
      <c r="D235" s="27">
        <v>46039.0</v>
      </c>
      <c r="E235" s="28" t="str">
        <f t="shared" si="1"/>
        <v>2026</v>
      </c>
      <c r="F235" s="28" t="str">
        <f t="shared" si="2"/>
        <v>01 Jan</v>
      </c>
      <c r="G235" s="50" t="s">
        <v>37</v>
      </c>
      <c r="H235" s="29" t="s">
        <v>48</v>
      </c>
      <c r="I235" s="29" t="s">
        <v>230</v>
      </c>
      <c r="J235" s="26" t="s">
        <v>25</v>
      </c>
      <c r="K235" s="26" t="s">
        <v>26</v>
      </c>
      <c r="L235" s="28" t="str">
        <f t="shared" si="3"/>
        <v>TA KLINIK</v>
      </c>
      <c r="M235" s="26" t="s">
        <v>27</v>
      </c>
      <c r="N235" s="30">
        <v>250000.0</v>
      </c>
      <c r="O235" s="31">
        <v>0.0</v>
      </c>
      <c r="P235" s="32">
        <f t="array" ref="P235">IFNA(XLOOKUP(K235,'⚙️ Pengaturan'!$E$2:$E800,'⚙️ Pengaturan'!$F$2:$F800),"")</f>
        <v>250000</v>
      </c>
      <c r="Q235" s="33">
        <f t="shared" si="5"/>
        <v>0</v>
      </c>
      <c r="R235" s="26" t="s">
        <v>33</v>
      </c>
      <c r="S235" s="38" t="s">
        <v>34</v>
      </c>
      <c r="T235" s="35" t="b">
        <v>1</v>
      </c>
      <c r="U235" s="36"/>
    </row>
    <row r="236" ht="30.0" customHeight="1">
      <c r="A236" s="24"/>
      <c r="B236" s="25">
        <v>2341.0</v>
      </c>
      <c r="C236" s="26" t="s">
        <v>40</v>
      </c>
      <c r="D236" s="27">
        <v>46039.0</v>
      </c>
      <c r="E236" s="28" t="str">
        <f t="shared" si="1"/>
        <v>2026</v>
      </c>
      <c r="F236" s="28" t="str">
        <f t="shared" si="2"/>
        <v>01 Jan</v>
      </c>
      <c r="G236" s="50" t="s">
        <v>118</v>
      </c>
      <c r="H236" s="29" t="s">
        <v>70</v>
      </c>
      <c r="I236" s="29" t="s">
        <v>231</v>
      </c>
      <c r="J236" s="26" t="s">
        <v>76</v>
      </c>
      <c r="K236" s="26" t="s">
        <v>232</v>
      </c>
      <c r="L236" s="28" t="str">
        <f t="shared" si="3"/>
        <v>SESI VISIT</v>
      </c>
      <c r="M236" s="26" t="s">
        <v>27</v>
      </c>
      <c r="N236" s="30">
        <v>250000.0</v>
      </c>
      <c r="O236" s="31">
        <v>0.0</v>
      </c>
      <c r="P236" s="32">
        <f t="array" ref="P236">IFNA(XLOOKUP(K236,'⚙️ Pengaturan'!$E$2:$E800,'⚙️ Pengaturan'!$F$2:$F800),"")</f>
        <v>250000</v>
      </c>
      <c r="Q236" s="33">
        <f t="shared" si="5"/>
        <v>0</v>
      </c>
      <c r="R236" s="26" t="s">
        <v>33</v>
      </c>
      <c r="S236" s="38" t="s">
        <v>34</v>
      </c>
      <c r="T236" s="35" t="b">
        <v>1</v>
      </c>
      <c r="U236" s="36"/>
    </row>
    <row r="237" ht="30.0" customHeight="1">
      <c r="A237" s="24"/>
      <c r="B237" s="25">
        <v>2342.0</v>
      </c>
      <c r="C237" s="26" t="s">
        <v>40</v>
      </c>
      <c r="D237" s="27">
        <v>46039.0</v>
      </c>
      <c r="E237" s="28" t="str">
        <f t="shared" si="1"/>
        <v>2026</v>
      </c>
      <c r="F237" s="28" t="str">
        <f t="shared" si="2"/>
        <v>01 Jan</v>
      </c>
      <c r="G237" s="50" t="s">
        <v>37</v>
      </c>
      <c r="H237" s="29" t="s">
        <v>68</v>
      </c>
      <c r="I237" s="29" t="s">
        <v>164</v>
      </c>
      <c r="J237" s="26" t="s">
        <v>76</v>
      </c>
      <c r="K237" s="26" t="s">
        <v>32</v>
      </c>
      <c r="L237" s="28" t="str">
        <f t="shared" si="3"/>
        <v>SESI KLINIK</v>
      </c>
      <c r="M237" s="26" t="s">
        <v>27</v>
      </c>
      <c r="N237" s="30">
        <v>150000.0</v>
      </c>
      <c r="O237" s="31">
        <v>0.0</v>
      </c>
      <c r="P237" s="32">
        <f t="array" ref="P237">IFNA(XLOOKUP(K237,'⚙️ Pengaturan'!$E$2:$E800,'⚙️ Pengaturan'!$F$2:$F800),"")</f>
        <v>150000</v>
      </c>
      <c r="Q237" s="33">
        <f t="shared" si="5"/>
        <v>0</v>
      </c>
      <c r="R237" s="26" t="s">
        <v>33</v>
      </c>
      <c r="S237" s="38" t="s">
        <v>34</v>
      </c>
      <c r="T237" s="35" t="b">
        <v>1</v>
      </c>
      <c r="U237" s="36"/>
    </row>
    <row r="238" ht="30.0" customHeight="1">
      <c r="A238" s="24"/>
      <c r="B238" s="25">
        <v>2343.0</v>
      </c>
      <c r="C238" s="26" t="s">
        <v>21</v>
      </c>
      <c r="D238" s="27">
        <v>46040.0</v>
      </c>
      <c r="E238" s="28" t="str">
        <f t="shared" si="1"/>
        <v>2026</v>
      </c>
      <c r="F238" s="28" t="str">
        <f t="shared" si="2"/>
        <v>01 Jan</v>
      </c>
      <c r="G238" s="50" t="s">
        <v>67</v>
      </c>
      <c r="H238" s="29" t="s">
        <v>23</v>
      </c>
      <c r="I238" s="29" t="s">
        <v>233</v>
      </c>
      <c r="J238" s="26" t="s">
        <v>25</v>
      </c>
      <c r="K238" s="26" t="s">
        <v>26</v>
      </c>
      <c r="L238" s="28" t="str">
        <f t="shared" si="3"/>
        <v>TA KLINIK</v>
      </c>
      <c r="M238" s="26" t="s">
        <v>27</v>
      </c>
      <c r="N238" s="30">
        <v>250000.0</v>
      </c>
      <c r="O238" s="31">
        <v>0.0</v>
      </c>
      <c r="P238" s="32">
        <f t="array" ref="P238">IFNA(XLOOKUP(K238,'⚙️ Pengaturan'!$E$2:$E800,'⚙️ Pengaturan'!$F$2:$F800),"")</f>
        <v>250000</v>
      </c>
      <c r="Q238" s="33">
        <f t="shared" si="5"/>
        <v>0</v>
      </c>
      <c r="R238" s="26" t="s">
        <v>28</v>
      </c>
      <c r="S238" s="38" t="s">
        <v>233</v>
      </c>
      <c r="T238" s="35" t="b">
        <v>1</v>
      </c>
      <c r="U238" s="36"/>
    </row>
    <row r="239" ht="30.0" customHeight="1">
      <c r="A239" s="24"/>
      <c r="B239" s="25">
        <v>2344.0</v>
      </c>
      <c r="C239" s="26" t="s">
        <v>21</v>
      </c>
      <c r="D239" s="27">
        <v>46040.0</v>
      </c>
      <c r="E239" s="28" t="str">
        <f t="shared" si="1"/>
        <v>2026</v>
      </c>
      <c r="F239" s="28" t="str">
        <f t="shared" si="2"/>
        <v>01 Jan</v>
      </c>
      <c r="G239" s="50" t="s">
        <v>67</v>
      </c>
      <c r="H239" s="29" t="s">
        <v>30</v>
      </c>
      <c r="I239" s="29" t="s">
        <v>234</v>
      </c>
      <c r="J239" s="54" t="s">
        <v>25</v>
      </c>
      <c r="K239" s="55" t="s">
        <v>26</v>
      </c>
      <c r="L239" s="56" t="str">
        <f t="shared" si="3"/>
        <v>TA KLINIK</v>
      </c>
      <c r="M239" s="57" t="s">
        <v>27</v>
      </c>
      <c r="N239" s="30">
        <v>250000.0</v>
      </c>
      <c r="O239" s="31">
        <v>0.0</v>
      </c>
      <c r="P239" s="32">
        <f t="array" ref="P239">IFNA(XLOOKUP(K239,'⚙️ Pengaturan'!$E$2:$E800,'⚙️ Pengaturan'!$F$2:$F800),"")</f>
        <v>250000</v>
      </c>
      <c r="Q239" s="33">
        <f t="shared" si="5"/>
        <v>0</v>
      </c>
      <c r="R239" s="26" t="s">
        <v>33</v>
      </c>
      <c r="S239" s="38" t="s">
        <v>34</v>
      </c>
      <c r="T239" s="35" t="b">
        <v>1</v>
      </c>
      <c r="U239" s="36"/>
    </row>
    <row r="240" ht="30.0" customHeight="1">
      <c r="A240" s="24"/>
      <c r="B240" s="25">
        <v>2345.0</v>
      </c>
      <c r="C240" s="26" t="s">
        <v>21</v>
      </c>
      <c r="D240" s="27">
        <v>46040.0</v>
      </c>
      <c r="E240" s="28" t="str">
        <f t="shared" si="1"/>
        <v>2026</v>
      </c>
      <c r="F240" s="28" t="str">
        <f t="shared" si="2"/>
        <v>01 Jan</v>
      </c>
      <c r="G240" s="50" t="s">
        <v>67</v>
      </c>
      <c r="H240" s="29" t="s">
        <v>68</v>
      </c>
      <c r="I240" s="29" t="s">
        <v>137</v>
      </c>
      <c r="J240" s="26" t="s">
        <v>76</v>
      </c>
      <c r="K240" s="26" t="s">
        <v>32</v>
      </c>
      <c r="L240" s="28" t="str">
        <f t="shared" si="3"/>
        <v>SESI KLINIK</v>
      </c>
      <c r="M240" s="26" t="s">
        <v>27</v>
      </c>
      <c r="N240" s="30">
        <v>150000.0</v>
      </c>
      <c r="O240" s="31">
        <v>0.0</v>
      </c>
      <c r="P240" s="32">
        <f t="array" ref="P240">IFNA(XLOOKUP(K240,'⚙️ Pengaturan'!$E$2:$E800,'⚙️ Pengaturan'!$F$2:$F800),"")</f>
        <v>150000</v>
      </c>
      <c r="Q240" s="33">
        <f t="shared" si="5"/>
        <v>0</v>
      </c>
      <c r="R240" s="26" t="s">
        <v>33</v>
      </c>
      <c r="S240" s="38" t="s">
        <v>34</v>
      </c>
      <c r="T240" s="35" t="b">
        <v>1</v>
      </c>
      <c r="U240" s="36"/>
    </row>
    <row r="241" ht="30.0" customHeight="1">
      <c r="A241" s="24"/>
      <c r="B241" s="25">
        <v>2346.0</v>
      </c>
      <c r="C241" s="26" t="s">
        <v>21</v>
      </c>
      <c r="D241" s="27">
        <v>46040.0</v>
      </c>
      <c r="E241" s="28" t="str">
        <f t="shared" si="1"/>
        <v>2026</v>
      </c>
      <c r="F241" s="28" t="str">
        <f t="shared" si="2"/>
        <v>01 Jan</v>
      </c>
      <c r="G241" s="50" t="s">
        <v>22</v>
      </c>
      <c r="H241" s="29" t="s">
        <v>23</v>
      </c>
      <c r="I241" s="29" t="s">
        <v>24</v>
      </c>
      <c r="J241" s="26" t="s">
        <v>76</v>
      </c>
      <c r="K241" s="26" t="s">
        <v>32</v>
      </c>
      <c r="L241" s="28" t="str">
        <f t="shared" si="3"/>
        <v>SESI KLINIK</v>
      </c>
      <c r="M241" s="26" t="s">
        <v>27</v>
      </c>
      <c r="N241" s="30">
        <v>150000.0</v>
      </c>
      <c r="O241" s="31">
        <v>0.0</v>
      </c>
      <c r="P241" s="32">
        <f t="array" ref="P241">IFNA(XLOOKUP(K241,'⚙️ Pengaturan'!$E$2:$E800,'⚙️ Pengaturan'!$F$2:$F800),"")</f>
        <v>150000</v>
      </c>
      <c r="Q241" s="33">
        <f t="shared" si="5"/>
        <v>0</v>
      </c>
      <c r="R241" s="26" t="s">
        <v>28</v>
      </c>
      <c r="S241" s="38" t="s">
        <v>24</v>
      </c>
      <c r="T241" s="35" t="b">
        <v>1</v>
      </c>
      <c r="U241" s="36"/>
    </row>
    <row r="242" ht="30.0" customHeight="1">
      <c r="A242" s="24"/>
      <c r="B242" s="25">
        <v>2347.0</v>
      </c>
      <c r="C242" s="26" t="s">
        <v>21</v>
      </c>
      <c r="D242" s="27">
        <v>46040.0</v>
      </c>
      <c r="E242" s="28" t="str">
        <f t="shared" si="1"/>
        <v>2026</v>
      </c>
      <c r="F242" s="28" t="str">
        <f t="shared" si="2"/>
        <v>01 Jan</v>
      </c>
      <c r="G242" s="50" t="s">
        <v>22</v>
      </c>
      <c r="H242" s="29" t="s">
        <v>68</v>
      </c>
      <c r="I242" s="29" t="s">
        <v>235</v>
      </c>
      <c r="J242" s="54" t="s">
        <v>25</v>
      </c>
      <c r="K242" s="55" t="s">
        <v>26</v>
      </c>
      <c r="L242" s="56" t="str">
        <f t="shared" si="3"/>
        <v>TA KLINIK</v>
      </c>
      <c r="M242" s="57" t="s">
        <v>27</v>
      </c>
      <c r="N242" s="58">
        <v>250000.0</v>
      </c>
      <c r="O242" s="59">
        <v>0.0</v>
      </c>
      <c r="P242" s="32">
        <f t="array" ref="P242">IFNA(XLOOKUP(K242,'⚙️ Pengaturan'!$E$2:$E800,'⚙️ Pengaturan'!$F$2:$F800),"")</f>
        <v>250000</v>
      </c>
      <c r="Q242" s="33">
        <f t="shared" si="5"/>
        <v>0</v>
      </c>
      <c r="R242" s="26" t="s">
        <v>33</v>
      </c>
      <c r="S242" s="38" t="s">
        <v>34</v>
      </c>
      <c r="T242" s="35" t="b">
        <v>1</v>
      </c>
      <c r="U242" s="36"/>
    </row>
    <row r="243" ht="30.0" customHeight="1">
      <c r="A243" s="24"/>
      <c r="B243" s="25">
        <v>2348.0</v>
      </c>
      <c r="C243" s="26" t="s">
        <v>21</v>
      </c>
      <c r="D243" s="27">
        <v>46040.0</v>
      </c>
      <c r="E243" s="28" t="str">
        <f t="shared" si="1"/>
        <v>2026</v>
      </c>
      <c r="F243" s="28" t="str">
        <f t="shared" si="2"/>
        <v>01 Jan</v>
      </c>
      <c r="G243" s="50" t="s">
        <v>22</v>
      </c>
      <c r="H243" s="29" t="s">
        <v>68</v>
      </c>
      <c r="I243" s="29" t="s">
        <v>235</v>
      </c>
      <c r="J243" s="26" t="s">
        <v>25</v>
      </c>
      <c r="K243" s="26" t="s">
        <v>39</v>
      </c>
      <c r="L243" s="28" t="str">
        <f t="shared" si="3"/>
        <v>PAKET KLINIK</v>
      </c>
      <c r="M243" s="26" t="s">
        <v>86</v>
      </c>
      <c r="N243" s="30">
        <v>250000.0</v>
      </c>
      <c r="O243" s="31">
        <v>0.0</v>
      </c>
      <c r="P243" s="32">
        <f t="array" ref="P243">IFNA(XLOOKUP(K243,'⚙️ Pengaturan'!$E$2:$E800,'⚙️ Pengaturan'!$F$2:$F800),"")</f>
        <v>650000</v>
      </c>
      <c r="Q243" s="33">
        <f t="shared" si="5"/>
        <v>-400000</v>
      </c>
      <c r="R243" s="26" t="s">
        <v>33</v>
      </c>
      <c r="S243" s="38" t="s">
        <v>34</v>
      </c>
      <c r="T243" s="35" t="b">
        <v>1</v>
      </c>
      <c r="U243" s="36"/>
    </row>
    <row r="244" ht="30.0" customHeight="1">
      <c r="A244" s="24"/>
      <c r="B244" s="25">
        <v>2349.0</v>
      </c>
      <c r="C244" s="26" t="s">
        <v>21</v>
      </c>
      <c r="D244" s="27">
        <v>46040.0</v>
      </c>
      <c r="E244" s="28" t="str">
        <f t="shared" si="1"/>
        <v>2026</v>
      </c>
      <c r="F244" s="28" t="str">
        <f t="shared" si="2"/>
        <v>01 Jan</v>
      </c>
      <c r="G244" s="50" t="s">
        <v>29</v>
      </c>
      <c r="H244" s="29" t="s">
        <v>68</v>
      </c>
      <c r="I244" s="29" t="s">
        <v>165</v>
      </c>
      <c r="J244" s="26" t="s">
        <v>76</v>
      </c>
      <c r="K244" s="26" t="s">
        <v>32</v>
      </c>
      <c r="L244" s="28" t="str">
        <f t="shared" si="3"/>
        <v>SESI KLINIK</v>
      </c>
      <c r="M244" s="26" t="s">
        <v>27</v>
      </c>
      <c r="N244" s="30">
        <v>150000.0</v>
      </c>
      <c r="O244" s="31">
        <v>0.0</v>
      </c>
      <c r="P244" s="32">
        <f t="array" ref="P244">IFNA(XLOOKUP(K244,'⚙️ Pengaturan'!$E$2:$E800,'⚙️ Pengaturan'!$F$2:$F800),"")</f>
        <v>150000</v>
      </c>
      <c r="Q244" s="33">
        <f t="shared" si="5"/>
        <v>0</v>
      </c>
      <c r="R244" s="26" t="s">
        <v>33</v>
      </c>
      <c r="S244" s="38" t="s">
        <v>34</v>
      </c>
      <c r="T244" s="35" t="b">
        <v>1</v>
      </c>
      <c r="U244" s="36"/>
    </row>
    <row r="245" ht="30.0" customHeight="1">
      <c r="A245" s="24"/>
      <c r="B245" s="25">
        <v>2350.0</v>
      </c>
      <c r="C245" s="26" t="s">
        <v>21</v>
      </c>
      <c r="D245" s="27">
        <v>46040.0</v>
      </c>
      <c r="E245" s="28" t="str">
        <f t="shared" si="1"/>
        <v>2026</v>
      </c>
      <c r="F245" s="28" t="str">
        <f t="shared" si="2"/>
        <v>01 Jan</v>
      </c>
      <c r="G245" s="50" t="s">
        <v>29</v>
      </c>
      <c r="H245" s="29" t="s">
        <v>30</v>
      </c>
      <c r="I245" s="29" t="s">
        <v>236</v>
      </c>
      <c r="J245" s="60" t="s">
        <v>25</v>
      </c>
      <c r="K245" s="46" t="s">
        <v>26</v>
      </c>
      <c r="L245" s="47" t="str">
        <f t="shared" si="3"/>
        <v>TA KLINIK</v>
      </c>
      <c r="M245" s="46" t="s">
        <v>27</v>
      </c>
      <c r="N245" s="48">
        <v>250000.0</v>
      </c>
      <c r="O245" s="49">
        <v>0.0</v>
      </c>
      <c r="P245" s="32">
        <f t="array" ref="P245">IFNA(XLOOKUP(K245,'⚙️ Pengaturan'!$E$2:$E800,'⚙️ Pengaturan'!$F$2:$F800),"")</f>
        <v>250000</v>
      </c>
      <c r="Q245" s="33">
        <f t="shared" si="5"/>
        <v>0</v>
      </c>
      <c r="R245" s="26" t="s">
        <v>33</v>
      </c>
      <c r="S245" s="38" t="s">
        <v>34</v>
      </c>
      <c r="T245" s="35" t="b">
        <v>1</v>
      </c>
      <c r="U245" s="36"/>
    </row>
    <row r="246" ht="30.0" customHeight="1">
      <c r="A246" s="24"/>
      <c r="B246" s="25">
        <v>2351.0</v>
      </c>
      <c r="C246" s="26" t="s">
        <v>40</v>
      </c>
      <c r="D246" s="27">
        <v>46040.0</v>
      </c>
      <c r="E246" s="28" t="str">
        <f t="shared" si="1"/>
        <v>2026</v>
      </c>
      <c r="F246" s="28" t="str">
        <f t="shared" si="2"/>
        <v>01 Jan</v>
      </c>
      <c r="G246" s="50" t="s">
        <v>46</v>
      </c>
      <c r="H246" s="29" t="s">
        <v>51</v>
      </c>
      <c r="I246" s="29" t="s">
        <v>191</v>
      </c>
      <c r="J246" s="26" t="s">
        <v>76</v>
      </c>
      <c r="K246" s="26" t="s">
        <v>32</v>
      </c>
      <c r="L246" s="28" t="str">
        <f t="shared" si="3"/>
        <v>SESI KLINIK</v>
      </c>
      <c r="M246" s="26" t="s">
        <v>27</v>
      </c>
      <c r="N246" s="30">
        <v>150000.0</v>
      </c>
      <c r="O246" s="31">
        <v>0.0</v>
      </c>
      <c r="P246" s="32">
        <f t="array" ref="P246">IFNA(XLOOKUP(K246,'⚙️ Pengaturan'!$E$2:$E800,'⚙️ Pengaturan'!$F$2:$F800),"")</f>
        <v>150000</v>
      </c>
      <c r="Q246" s="33">
        <f t="shared" si="5"/>
        <v>0</v>
      </c>
      <c r="R246" s="26" t="s">
        <v>28</v>
      </c>
      <c r="S246" s="38" t="s">
        <v>191</v>
      </c>
      <c r="T246" s="35" t="b">
        <v>1</v>
      </c>
      <c r="U246" s="36"/>
    </row>
    <row r="247" ht="30.0" customHeight="1">
      <c r="A247" s="24"/>
      <c r="B247" s="25">
        <v>2352.0</v>
      </c>
      <c r="C247" s="26" t="s">
        <v>40</v>
      </c>
      <c r="D247" s="27">
        <v>46040.0</v>
      </c>
      <c r="E247" s="28" t="str">
        <f t="shared" si="1"/>
        <v>2026</v>
      </c>
      <c r="F247" s="28" t="str">
        <f t="shared" si="2"/>
        <v>01 Jan</v>
      </c>
      <c r="G247" s="50" t="s">
        <v>41</v>
      </c>
      <c r="H247" s="29" t="s">
        <v>42</v>
      </c>
      <c r="I247" s="29" t="s">
        <v>237</v>
      </c>
      <c r="J247" s="26" t="s">
        <v>25</v>
      </c>
      <c r="K247" s="26" t="s">
        <v>26</v>
      </c>
      <c r="L247" s="28" t="str">
        <f t="shared" si="3"/>
        <v>TA KLINIK</v>
      </c>
      <c r="M247" s="26" t="s">
        <v>27</v>
      </c>
      <c r="N247" s="30">
        <v>250000.0</v>
      </c>
      <c r="O247" s="31">
        <v>0.0</v>
      </c>
      <c r="P247" s="32">
        <f t="array" ref="P247">IFNA(XLOOKUP(K247,'⚙️ Pengaturan'!$E$2:$E800,'⚙️ Pengaturan'!$F$2:$F800),"")</f>
        <v>250000</v>
      </c>
      <c r="Q247" s="33">
        <f t="shared" si="5"/>
        <v>0</v>
      </c>
      <c r="R247" s="26" t="s">
        <v>28</v>
      </c>
      <c r="S247" s="38" t="s">
        <v>237</v>
      </c>
      <c r="T247" s="35" t="b">
        <v>1</v>
      </c>
      <c r="U247" s="36"/>
    </row>
    <row r="248" ht="30.0" customHeight="1">
      <c r="A248" s="24"/>
      <c r="B248" s="25">
        <v>2353.0</v>
      </c>
      <c r="C248" s="26" t="s">
        <v>40</v>
      </c>
      <c r="D248" s="27">
        <v>46040.0</v>
      </c>
      <c r="E248" s="28" t="str">
        <f t="shared" si="1"/>
        <v>2026</v>
      </c>
      <c r="F248" s="28" t="str">
        <f t="shared" si="2"/>
        <v>01 Jan</v>
      </c>
      <c r="G248" s="50" t="s">
        <v>41</v>
      </c>
      <c r="H248" s="29" t="s">
        <v>48</v>
      </c>
      <c r="I248" s="29" t="s">
        <v>238</v>
      </c>
      <c r="J248" s="26" t="s">
        <v>25</v>
      </c>
      <c r="K248" s="26" t="s">
        <v>26</v>
      </c>
      <c r="L248" s="28" t="str">
        <f t="shared" si="3"/>
        <v>TA KLINIK</v>
      </c>
      <c r="M248" s="26" t="s">
        <v>27</v>
      </c>
      <c r="N248" s="30">
        <v>250000.0</v>
      </c>
      <c r="O248" s="31">
        <v>0.0</v>
      </c>
      <c r="P248" s="32">
        <f t="array" ref="P248">IFNA(XLOOKUP(K248,'⚙️ Pengaturan'!$E$2:$E800,'⚙️ Pengaturan'!$F$2:$F800),"")</f>
        <v>250000</v>
      </c>
      <c r="Q248" s="33">
        <f t="shared" si="5"/>
        <v>0</v>
      </c>
      <c r="R248" s="26" t="s">
        <v>28</v>
      </c>
      <c r="S248" s="38" t="s">
        <v>237</v>
      </c>
      <c r="T248" s="35" t="b">
        <v>1</v>
      </c>
      <c r="U248" s="36"/>
    </row>
    <row r="249" ht="30.0" customHeight="1">
      <c r="A249" s="24"/>
      <c r="B249" s="25">
        <v>2354.0</v>
      </c>
      <c r="C249" s="26" t="s">
        <v>40</v>
      </c>
      <c r="D249" s="27">
        <v>46040.0</v>
      </c>
      <c r="E249" s="28" t="str">
        <f t="shared" si="1"/>
        <v>2026</v>
      </c>
      <c r="F249" s="28" t="str">
        <f t="shared" si="2"/>
        <v>01 Jan</v>
      </c>
      <c r="G249" s="50" t="s">
        <v>41</v>
      </c>
      <c r="H249" s="29" t="s">
        <v>58</v>
      </c>
      <c r="I249" s="29" t="s">
        <v>239</v>
      </c>
      <c r="J249" s="26" t="s">
        <v>25</v>
      </c>
      <c r="K249" s="26" t="s">
        <v>26</v>
      </c>
      <c r="L249" s="28" t="str">
        <f t="shared" si="3"/>
        <v>TA KLINIK</v>
      </c>
      <c r="M249" s="26" t="s">
        <v>27</v>
      </c>
      <c r="N249" s="30">
        <v>250000.0</v>
      </c>
      <c r="O249" s="31">
        <v>0.0</v>
      </c>
      <c r="P249" s="32">
        <f t="array" ref="P249">IFNA(XLOOKUP(K249,'⚙️ Pengaturan'!$E$2:$E800,'⚙️ Pengaturan'!$F$2:$F800),"")</f>
        <v>250000</v>
      </c>
      <c r="Q249" s="33">
        <f t="shared" si="5"/>
        <v>0</v>
      </c>
      <c r="R249" s="26" t="s">
        <v>28</v>
      </c>
      <c r="S249" s="38" t="s">
        <v>239</v>
      </c>
      <c r="T249" s="35" t="b">
        <v>1</v>
      </c>
      <c r="U249" s="36"/>
    </row>
    <row r="250" ht="30.0" customHeight="1">
      <c r="A250" s="24"/>
      <c r="B250" s="25">
        <v>2355.0</v>
      </c>
      <c r="C250" s="26" t="s">
        <v>40</v>
      </c>
      <c r="D250" s="27">
        <v>46040.0</v>
      </c>
      <c r="E250" s="28" t="str">
        <f t="shared" si="1"/>
        <v>2026</v>
      </c>
      <c r="F250" s="28" t="str">
        <f t="shared" si="2"/>
        <v>01 Jan</v>
      </c>
      <c r="G250" s="50" t="s">
        <v>53</v>
      </c>
      <c r="H250" s="29" t="s">
        <v>51</v>
      </c>
      <c r="I250" s="29" t="s">
        <v>189</v>
      </c>
      <c r="J250" s="26" t="s">
        <v>76</v>
      </c>
      <c r="K250" s="26" t="s">
        <v>39</v>
      </c>
      <c r="L250" s="28" t="str">
        <f t="shared" si="3"/>
        <v>PAKET KLINIK</v>
      </c>
      <c r="M250" s="26" t="s">
        <v>63</v>
      </c>
      <c r="N250" s="30">
        <v>450000.0</v>
      </c>
      <c r="O250" s="31">
        <v>200000.0</v>
      </c>
      <c r="P250" s="32">
        <f t="array" ref="P250">IFNA(XLOOKUP(K250,'⚙️ Pengaturan'!$E$2:$E800,'⚙️ Pengaturan'!$F$2:$F800),"")</f>
        <v>650000</v>
      </c>
      <c r="Q250" s="33">
        <f t="shared" si="5"/>
        <v>0</v>
      </c>
      <c r="R250" s="26" t="s">
        <v>28</v>
      </c>
      <c r="S250" s="38" t="s">
        <v>189</v>
      </c>
      <c r="T250" s="35" t="b">
        <v>1</v>
      </c>
      <c r="U250" s="36"/>
    </row>
    <row r="251" ht="30.0" customHeight="1">
      <c r="A251" s="24"/>
      <c r="B251" s="25">
        <v>2356.0</v>
      </c>
      <c r="C251" s="26" t="s">
        <v>40</v>
      </c>
      <c r="D251" s="27">
        <v>46040.0</v>
      </c>
      <c r="E251" s="28" t="str">
        <f t="shared" si="1"/>
        <v>2026</v>
      </c>
      <c r="F251" s="28" t="str">
        <f t="shared" si="2"/>
        <v>01 Jan</v>
      </c>
      <c r="G251" s="50" t="s">
        <v>56</v>
      </c>
      <c r="H251" s="29" t="s">
        <v>48</v>
      </c>
      <c r="I251" s="29" t="s">
        <v>240</v>
      </c>
      <c r="J251" s="26" t="s">
        <v>25</v>
      </c>
      <c r="K251" s="26" t="s">
        <v>26</v>
      </c>
      <c r="L251" s="28" t="str">
        <f t="shared" si="3"/>
        <v>TA KLINIK</v>
      </c>
      <c r="M251" s="26" t="s">
        <v>27</v>
      </c>
      <c r="N251" s="30">
        <v>250000.0</v>
      </c>
      <c r="O251" s="31">
        <v>0.0</v>
      </c>
      <c r="P251" s="32">
        <f t="array" ref="P251">IFNA(XLOOKUP(K251,'⚙️ Pengaturan'!$E$2:$E800,'⚙️ Pengaturan'!$F$2:$F800),"")</f>
        <v>250000</v>
      </c>
      <c r="Q251" s="33">
        <f t="shared" si="5"/>
        <v>0</v>
      </c>
      <c r="R251" s="26" t="s">
        <v>28</v>
      </c>
      <c r="S251" s="38" t="s">
        <v>241</v>
      </c>
      <c r="T251" s="35" t="b">
        <v>1</v>
      </c>
      <c r="U251" s="36"/>
    </row>
    <row r="252" ht="30.0" customHeight="1">
      <c r="A252" s="24"/>
      <c r="B252" s="25">
        <v>2357.0</v>
      </c>
      <c r="C252" s="26" t="s">
        <v>40</v>
      </c>
      <c r="D252" s="27">
        <v>46040.0</v>
      </c>
      <c r="E252" s="28" t="str">
        <f t="shared" si="1"/>
        <v>2026</v>
      </c>
      <c r="F252" s="28" t="str">
        <f t="shared" si="2"/>
        <v>01 Jan</v>
      </c>
      <c r="G252" s="50" t="s">
        <v>56</v>
      </c>
      <c r="H252" s="29" t="s">
        <v>51</v>
      </c>
      <c r="I252" s="29" t="s">
        <v>242</v>
      </c>
      <c r="J252" s="26" t="s">
        <v>76</v>
      </c>
      <c r="K252" s="26" t="s">
        <v>39</v>
      </c>
      <c r="L252" s="28" t="str">
        <f t="shared" si="3"/>
        <v>PAKET KLINIK</v>
      </c>
      <c r="M252" s="26" t="s">
        <v>86</v>
      </c>
      <c r="N252" s="30">
        <v>200000.0</v>
      </c>
      <c r="O252" s="31">
        <v>0.0</v>
      </c>
      <c r="P252" s="32">
        <f t="array" ref="P252">IFNA(XLOOKUP(K252,'⚙️ Pengaturan'!$E$2:$E800,'⚙️ Pengaturan'!$F$2:$F800),"")</f>
        <v>650000</v>
      </c>
      <c r="Q252" s="33">
        <f t="shared" si="5"/>
        <v>-450000</v>
      </c>
      <c r="R252" s="26" t="s">
        <v>33</v>
      </c>
      <c r="S252" s="38" t="s">
        <v>34</v>
      </c>
      <c r="T252" s="35" t="b">
        <v>1</v>
      </c>
      <c r="U252" s="36"/>
    </row>
    <row r="253" ht="30.0" customHeight="1">
      <c r="A253" s="24"/>
      <c r="B253" s="25">
        <v>2358.0</v>
      </c>
      <c r="C253" s="26" t="s">
        <v>21</v>
      </c>
      <c r="D253" s="27">
        <v>46041.0</v>
      </c>
      <c r="E253" s="28" t="str">
        <f t="shared" si="1"/>
        <v>2026</v>
      </c>
      <c r="F253" s="28" t="str">
        <f t="shared" si="2"/>
        <v>01 Jan</v>
      </c>
      <c r="G253" s="50" t="s">
        <v>67</v>
      </c>
      <c r="H253" s="29" t="s">
        <v>48</v>
      </c>
      <c r="I253" s="29" t="s">
        <v>218</v>
      </c>
      <c r="J253" s="26" t="s">
        <v>25</v>
      </c>
      <c r="K253" s="26" t="s">
        <v>32</v>
      </c>
      <c r="L253" s="28" t="str">
        <f t="shared" si="3"/>
        <v>SESI KLINIK</v>
      </c>
      <c r="M253" s="26" t="s">
        <v>27</v>
      </c>
      <c r="N253" s="30">
        <v>150000.0</v>
      </c>
      <c r="O253" s="31">
        <v>0.0</v>
      </c>
      <c r="P253" s="32">
        <f t="array" ref="P253">IFNA(XLOOKUP(K253,'⚙️ Pengaturan'!$E$2:$E800,'⚙️ Pengaturan'!$F$2:$F800),"")</f>
        <v>150000</v>
      </c>
      <c r="Q253" s="33">
        <f t="shared" si="5"/>
        <v>0</v>
      </c>
      <c r="R253" s="26" t="s">
        <v>33</v>
      </c>
      <c r="S253" s="38" t="s">
        <v>34</v>
      </c>
      <c r="T253" s="35" t="b">
        <v>1</v>
      </c>
      <c r="U253" s="36"/>
    </row>
    <row r="254" ht="30.0" customHeight="1">
      <c r="A254" s="24"/>
      <c r="B254" s="25">
        <v>2359.0</v>
      </c>
      <c r="C254" s="26" t="s">
        <v>21</v>
      </c>
      <c r="D254" s="27">
        <v>46041.0</v>
      </c>
      <c r="E254" s="28" t="str">
        <f t="shared" si="1"/>
        <v>2026</v>
      </c>
      <c r="F254" s="28" t="str">
        <f t="shared" si="2"/>
        <v>01 Jan</v>
      </c>
      <c r="G254" s="50" t="s">
        <v>67</v>
      </c>
      <c r="H254" s="29" t="s">
        <v>148</v>
      </c>
      <c r="I254" s="29" t="s">
        <v>239</v>
      </c>
      <c r="J254" s="39" t="s">
        <v>25</v>
      </c>
      <c r="K254" s="39" t="s">
        <v>39</v>
      </c>
      <c r="L254" s="61" t="str">
        <f t="shared" si="3"/>
        <v>PAKET KLINIK</v>
      </c>
      <c r="M254" s="39" t="s">
        <v>86</v>
      </c>
      <c r="N254" s="42">
        <v>150000.0</v>
      </c>
      <c r="O254" s="43">
        <v>0.0</v>
      </c>
      <c r="P254" s="32">
        <f t="array" ref="P254">IFNA(XLOOKUP(K254,'⚙️ Pengaturan'!$E$2:$E800,'⚙️ Pengaturan'!$F$2:$F800),"")</f>
        <v>650000</v>
      </c>
      <c r="Q254" s="33">
        <f t="shared" si="5"/>
        <v>-500000</v>
      </c>
      <c r="R254" s="26" t="s">
        <v>28</v>
      </c>
      <c r="S254" s="38" t="s">
        <v>239</v>
      </c>
      <c r="T254" s="35" t="b">
        <v>1</v>
      </c>
      <c r="U254" s="36"/>
    </row>
    <row r="255" ht="30.0" customHeight="1">
      <c r="A255" s="24"/>
      <c r="B255" s="25">
        <v>2360.0</v>
      </c>
      <c r="C255" s="26" t="s">
        <v>21</v>
      </c>
      <c r="D255" s="27">
        <v>46041.0</v>
      </c>
      <c r="E255" s="28" t="str">
        <f t="shared" si="1"/>
        <v>2026</v>
      </c>
      <c r="F255" s="28" t="str">
        <f t="shared" si="2"/>
        <v>01 Jan</v>
      </c>
      <c r="G255" s="50" t="s">
        <v>67</v>
      </c>
      <c r="H255" s="29" t="s">
        <v>42</v>
      </c>
      <c r="I255" s="29" t="s">
        <v>243</v>
      </c>
      <c r="J255" s="39" t="s">
        <v>25</v>
      </c>
      <c r="K255" s="40" t="s">
        <v>32</v>
      </c>
      <c r="L255" s="41" t="str">
        <f t="shared" si="3"/>
        <v>SESI KLINIK</v>
      </c>
      <c r="M255" s="40" t="s">
        <v>27</v>
      </c>
      <c r="N255" s="42">
        <v>150000.0</v>
      </c>
      <c r="O255" s="43">
        <v>0.0</v>
      </c>
      <c r="P255" s="32">
        <f t="array" ref="P255">IFNA(XLOOKUP(K255,'⚙️ Pengaturan'!$E$2:$E800,'⚙️ Pengaturan'!$F$2:$F800),"")</f>
        <v>150000</v>
      </c>
      <c r="Q255" s="33">
        <f t="shared" si="5"/>
        <v>0</v>
      </c>
      <c r="R255" s="26" t="s">
        <v>33</v>
      </c>
      <c r="S255" s="38" t="s">
        <v>34</v>
      </c>
      <c r="T255" s="35" t="b">
        <v>1</v>
      </c>
      <c r="U255" s="36"/>
    </row>
    <row r="256" ht="30.0" customHeight="1">
      <c r="A256" s="24"/>
      <c r="B256" s="25">
        <v>2361.0</v>
      </c>
      <c r="C256" s="26" t="s">
        <v>21</v>
      </c>
      <c r="D256" s="27">
        <v>46041.0</v>
      </c>
      <c r="E256" s="28" t="str">
        <f t="shared" si="1"/>
        <v>2026</v>
      </c>
      <c r="F256" s="28" t="str">
        <f t="shared" si="2"/>
        <v>01 Jan</v>
      </c>
      <c r="G256" s="50" t="s">
        <v>22</v>
      </c>
      <c r="H256" s="29" t="s">
        <v>48</v>
      </c>
      <c r="I256" s="29" t="s">
        <v>207</v>
      </c>
      <c r="J256" s="26" t="s">
        <v>76</v>
      </c>
      <c r="K256" s="26" t="s">
        <v>92</v>
      </c>
      <c r="L256" s="28" t="str">
        <f t="shared" si="3"/>
        <v>SESI VISIT</v>
      </c>
      <c r="M256" s="26" t="s">
        <v>27</v>
      </c>
      <c r="N256" s="30">
        <v>200000.0</v>
      </c>
      <c r="O256" s="31">
        <v>0.0</v>
      </c>
      <c r="P256" s="32">
        <f t="array" ref="P256">IFNA(XLOOKUP(K256,'⚙️ Pengaturan'!$E$2:$E800,'⚙️ Pengaturan'!$F$2:$F800),"")</f>
        <v>200000</v>
      </c>
      <c r="Q256" s="33">
        <f t="shared" si="5"/>
        <v>0</v>
      </c>
      <c r="R256" s="26" t="s">
        <v>28</v>
      </c>
      <c r="S256" s="38" t="s">
        <v>219</v>
      </c>
      <c r="T256" s="35" t="b">
        <v>1</v>
      </c>
      <c r="U256" s="36"/>
    </row>
    <row r="257" ht="30.0" customHeight="1">
      <c r="A257" s="24"/>
      <c r="B257" s="25">
        <v>2362.0</v>
      </c>
      <c r="C257" s="26" t="s">
        <v>21</v>
      </c>
      <c r="D257" s="27">
        <v>46041.0</v>
      </c>
      <c r="E257" s="28" t="str">
        <f t="shared" si="1"/>
        <v>2026</v>
      </c>
      <c r="F257" s="28" t="str">
        <f t="shared" si="2"/>
        <v>01 Jan</v>
      </c>
      <c r="G257" s="50" t="s">
        <v>22</v>
      </c>
      <c r="H257" s="29" t="s">
        <v>51</v>
      </c>
      <c r="I257" s="29" t="s">
        <v>169</v>
      </c>
      <c r="J257" s="26" t="s">
        <v>76</v>
      </c>
      <c r="K257" s="26" t="s">
        <v>39</v>
      </c>
      <c r="L257" s="28" t="str">
        <f t="shared" si="3"/>
        <v>PAKET KLINIK</v>
      </c>
      <c r="M257" s="26" t="s">
        <v>63</v>
      </c>
      <c r="N257" s="30">
        <v>450000.0</v>
      </c>
      <c r="O257" s="31">
        <v>200000.0</v>
      </c>
      <c r="P257" s="32">
        <f t="array" ref="P257">IFNA(XLOOKUP(K257,'⚙️ Pengaturan'!$E$2:$E800,'⚙️ Pengaturan'!$F$2:$F800),"")</f>
        <v>650000</v>
      </c>
      <c r="Q257" s="33">
        <f t="shared" si="5"/>
        <v>0</v>
      </c>
      <c r="R257" s="26" t="s">
        <v>33</v>
      </c>
      <c r="S257" s="38" t="s">
        <v>34</v>
      </c>
      <c r="T257" s="35" t="b">
        <v>1</v>
      </c>
      <c r="U257" s="36"/>
    </row>
    <row r="258" ht="30.0" customHeight="1">
      <c r="A258" s="24"/>
      <c r="B258" s="25">
        <v>2363.0</v>
      </c>
      <c r="C258" s="26" t="s">
        <v>40</v>
      </c>
      <c r="D258" s="27">
        <v>46041.0</v>
      </c>
      <c r="E258" s="28" t="str">
        <f t="shared" si="1"/>
        <v>2026</v>
      </c>
      <c r="F258" s="28" t="str">
        <f t="shared" si="2"/>
        <v>01 Jan</v>
      </c>
      <c r="G258" s="50" t="s">
        <v>41</v>
      </c>
      <c r="H258" s="29" t="s">
        <v>30</v>
      </c>
      <c r="I258" s="29" t="s">
        <v>244</v>
      </c>
      <c r="J258" s="26" t="s">
        <v>25</v>
      </c>
      <c r="K258" s="26" t="s">
        <v>44</v>
      </c>
      <c r="L258" s="28" t="str">
        <f t="shared" si="3"/>
        <v>PAKET KLINIK</v>
      </c>
      <c r="M258" s="26" t="s">
        <v>27</v>
      </c>
      <c r="N258" s="30">
        <v>1200000.0</v>
      </c>
      <c r="O258" s="31">
        <v>0.0</v>
      </c>
      <c r="P258" s="32">
        <f t="array" ref="P258">IFNA(XLOOKUP(K258,'⚙️ Pengaturan'!$E$2:$E800,'⚙️ Pengaturan'!$F$2:$F800),"")</f>
        <v>1200000</v>
      </c>
      <c r="Q258" s="33">
        <f t="shared" si="5"/>
        <v>0</v>
      </c>
      <c r="R258" s="26" t="s">
        <v>28</v>
      </c>
      <c r="S258" s="38" t="s">
        <v>245</v>
      </c>
      <c r="T258" s="35" t="b">
        <v>1</v>
      </c>
      <c r="U258" s="36"/>
    </row>
    <row r="259" ht="30.0" customHeight="1">
      <c r="A259" s="24"/>
      <c r="B259" s="25">
        <v>2364.0</v>
      </c>
      <c r="C259" s="26" t="s">
        <v>40</v>
      </c>
      <c r="D259" s="27">
        <v>46041.0</v>
      </c>
      <c r="E259" s="28" t="str">
        <f t="shared" si="1"/>
        <v>2026</v>
      </c>
      <c r="F259" s="28" t="str">
        <f t="shared" si="2"/>
        <v>01 Jan</v>
      </c>
      <c r="G259" s="50" t="s">
        <v>56</v>
      </c>
      <c r="H259" s="29" t="s">
        <v>30</v>
      </c>
      <c r="I259" s="29" t="s">
        <v>246</v>
      </c>
      <c r="J259" s="26" t="s">
        <v>76</v>
      </c>
      <c r="K259" s="26" t="s">
        <v>44</v>
      </c>
      <c r="L259" s="28" t="str">
        <f t="shared" si="3"/>
        <v>PAKET KLINIK</v>
      </c>
      <c r="M259" s="26" t="s">
        <v>27</v>
      </c>
      <c r="N259" s="30">
        <v>1200000.0</v>
      </c>
      <c r="O259" s="31">
        <v>0.0</v>
      </c>
      <c r="P259" s="32">
        <f t="array" ref="P259">IFNA(XLOOKUP(K259,'⚙️ Pengaturan'!$E$2:$E800,'⚙️ Pengaturan'!$F$2:$F800),"")</f>
        <v>1200000</v>
      </c>
      <c r="Q259" s="33">
        <f t="shared" si="5"/>
        <v>0</v>
      </c>
      <c r="R259" s="26" t="s">
        <v>28</v>
      </c>
      <c r="S259" s="38" t="s">
        <v>246</v>
      </c>
      <c r="T259" s="35" t="b">
        <v>1</v>
      </c>
      <c r="U259" s="36"/>
    </row>
    <row r="260" ht="30.0" customHeight="1">
      <c r="A260" s="24"/>
      <c r="B260" s="25">
        <v>2365.0</v>
      </c>
      <c r="C260" s="26" t="s">
        <v>40</v>
      </c>
      <c r="D260" s="27">
        <v>46041.0</v>
      </c>
      <c r="E260" s="28" t="str">
        <f t="shared" si="1"/>
        <v>2026</v>
      </c>
      <c r="F260" s="28" t="str">
        <f t="shared" si="2"/>
        <v>01 Jan</v>
      </c>
      <c r="G260" s="50" t="s">
        <v>56</v>
      </c>
      <c r="H260" s="29" t="s">
        <v>23</v>
      </c>
      <c r="I260" s="29" t="s">
        <v>247</v>
      </c>
      <c r="J260" s="26" t="s">
        <v>25</v>
      </c>
      <c r="K260" s="26" t="s">
        <v>26</v>
      </c>
      <c r="L260" s="28" t="str">
        <f t="shared" si="3"/>
        <v>TA KLINIK</v>
      </c>
      <c r="M260" s="26" t="s">
        <v>27</v>
      </c>
      <c r="N260" s="30">
        <v>250000.0</v>
      </c>
      <c r="O260" s="31">
        <v>0.0</v>
      </c>
      <c r="P260" s="32">
        <f t="array" ref="P260">IFNA(XLOOKUP(K260,'⚙️ Pengaturan'!$E$2:$E800,'⚙️ Pengaturan'!$F$2:$F800),"")</f>
        <v>250000</v>
      </c>
      <c r="Q260" s="33">
        <f t="shared" si="5"/>
        <v>0</v>
      </c>
      <c r="R260" s="26" t="s">
        <v>33</v>
      </c>
      <c r="S260" s="38" t="s">
        <v>34</v>
      </c>
      <c r="T260" s="35" t="b">
        <v>1</v>
      </c>
      <c r="U260" s="36"/>
    </row>
    <row r="261" ht="30.0" customHeight="1">
      <c r="A261" s="24"/>
      <c r="B261" s="25">
        <v>2366.0</v>
      </c>
      <c r="C261" s="26" t="s">
        <v>40</v>
      </c>
      <c r="D261" s="27">
        <v>46042.0</v>
      </c>
      <c r="E261" s="28" t="str">
        <f t="shared" si="1"/>
        <v>2026</v>
      </c>
      <c r="F261" s="28" t="str">
        <f t="shared" si="2"/>
        <v>01 Jan</v>
      </c>
      <c r="G261" s="50" t="s">
        <v>67</v>
      </c>
      <c r="H261" s="29" t="s">
        <v>23</v>
      </c>
      <c r="I261" s="29" t="s">
        <v>248</v>
      </c>
      <c r="J261" s="26" t="s">
        <v>25</v>
      </c>
      <c r="K261" s="26" t="s">
        <v>26</v>
      </c>
      <c r="L261" s="28" t="str">
        <f t="shared" si="3"/>
        <v>TA KLINIK</v>
      </c>
      <c r="M261" s="26" t="s">
        <v>27</v>
      </c>
      <c r="N261" s="30">
        <v>250000.0</v>
      </c>
      <c r="O261" s="31">
        <v>0.0</v>
      </c>
      <c r="P261" s="32">
        <f t="array" ref="P261">IFNA(XLOOKUP(K261,'⚙️ Pengaturan'!$E$2:$E800,'⚙️ Pengaturan'!$F$2:$F800),"")</f>
        <v>250000</v>
      </c>
      <c r="Q261" s="33">
        <f t="shared" si="5"/>
        <v>0</v>
      </c>
      <c r="R261" s="26" t="s">
        <v>113</v>
      </c>
      <c r="S261" s="38" t="s">
        <v>248</v>
      </c>
      <c r="T261" s="35" t="b">
        <v>1</v>
      </c>
      <c r="U261" s="36"/>
    </row>
    <row r="262" ht="30.0" customHeight="1">
      <c r="A262" s="24"/>
      <c r="B262" s="25">
        <v>2367.0</v>
      </c>
      <c r="C262" s="26" t="s">
        <v>40</v>
      </c>
      <c r="D262" s="27">
        <v>46042.0</v>
      </c>
      <c r="E262" s="28" t="str">
        <f t="shared" si="1"/>
        <v>2026</v>
      </c>
      <c r="F262" s="28" t="str">
        <f t="shared" si="2"/>
        <v>01 Jan</v>
      </c>
      <c r="G262" s="50" t="s">
        <v>22</v>
      </c>
      <c r="H262" s="29" t="s">
        <v>68</v>
      </c>
      <c r="I262" s="29" t="s">
        <v>94</v>
      </c>
      <c r="J262" s="26" t="s">
        <v>25</v>
      </c>
      <c r="K262" s="26" t="s">
        <v>26</v>
      </c>
      <c r="L262" s="28" t="str">
        <f t="shared" si="3"/>
        <v>TA KLINIK</v>
      </c>
      <c r="M262" s="26" t="s">
        <v>27</v>
      </c>
      <c r="N262" s="30">
        <v>250000.0</v>
      </c>
      <c r="O262" s="31">
        <v>0.0</v>
      </c>
      <c r="P262" s="32">
        <f t="array" ref="P262">IFNA(XLOOKUP(K262,'⚙️ Pengaturan'!$E$2:$E800,'⚙️ Pengaturan'!$F$2:$F800),"")</f>
        <v>250000</v>
      </c>
      <c r="Q262" s="33">
        <f t="shared" si="5"/>
        <v>0</v>
      </c>
      <c r="R262" s="26" t="s">
        <v>28</v>
      </c>
      <c r="S262" s="38" t="s">
        <v>94</v>
      </c>
      <c r="T262" s="35" t="b">
        <v>1</v>
      </c>
      <c r="U262" s="36"/>
    </row>
    <row r="263" ht="30.0" customHeight="1">
      <c r="A263" s="24"/>
      <c r="B263" s="25">
        <v>2368.0</v>
      </c>
      <c r="C263" s="26" t="s">
        <v>40</v>
      </c>
      <c r="D263" s="27">
        <v>46042.0</v>
      </c>
      <c r="E263" s="28" t="str">
        <f t="shared" si="1"/>
        <v>2026</v>
      </c>
      <c r="F263" s="28" t="str">
        <f t="shared" si="2"/>
        <v>01 Jan</v>
      </c>
      <c r="G263" s="50" t="s">
        <v>22</v>
      </c>
      <c r="H263" s="29" t="s">
        <v>35</v>
      </c>
      <c r="I263" s="29" t="s">
        <v>249</v>
      </c>
      <c r="J263" s="26" t="s">
        <v>76</v>
      </c>
      <c r="K263" s="26" t="s">
        <v>32</v>
      </c>
      <c r="L263" s="28" t="str">
        <f t="shared" si="3"/>
        <v>SESI KLINIK</v>
      </c>
      <c r="M263" s="26" t="s">
        <v>27</v>
      </c>
      <c r="N263" s="30">
        <v>150000.0</v>
      </c>
      <c r="O263" s="31">
        <v>0.0</v>
      </c>
      <c r="P263" s="32">
        <f t="array" ref="P263">IFNA(XLOOKUP(K263,'⚙️ Pengaturan'!$E$2:$E800,'⚙️ Pengaturan'!$F$2:$F800),"")</f>
        <v>150000</v>
      </c>
      <c r="Q263" s="33">
        <f t="shared" si="5"/>
        <v>0</v>
      </c>
      <c r="R263" s="26" t="s">
        <v>28</v>
      </c>
      <c r="S263" s="38" t="s">
        <v>249</v>
      </c>
      <c r="T263" s="35" t="b">
        <v>1</v>
      </c>
      <c r="U263" s="36"/>
    </row>
    <row r="264" ht="30.0" customHeight="1">
      <c r="A264" s="24"/>
      <c r="B264" s="25">
        <v>2369.0</v>
      </c>
      <c r="C264" s="26" t="s">
        <v>40</v>
      </c>
      <c r="D264" s="27">
        <v>46042.0</v>
      </c>
      <c r="E264" s="28" t="str">
        <f t="shared" si="1"/>
        <v>2026</v>
      </c>
      <c r="F264" s="28" t="str">
        <f t="shared" si="2"/>
        <v>01 Jan</v>
      </c>
      <c r="G264" s="50" t="s">
        <v>29</v>
      </c>
      <c r="H264" s="29" t="s">
        <v>68</v>
      </c>
      <c r="I264" s="29" t="s">
        <v>165</v>
      </c>
      <c r="J264" s="26" t="s">
        <v>76</v>
      </c>
      <c r="K264" s="26" t="s">
        <v>32</v>
      </c>
      <c r="L264" s="28" t="str">
        <f t="shared" si="3"/>
        <v>SESI KLINIK</v>
      </c>
      <c r="M264" s="26" t="s">
        <v>27</v>
      </c>
      <c r="N264" s="30">
        <v>150000.0</v>
      </c>
      <c r="O264" s="31">
        <v>0.0</v>
      </c>
      <c r="P264" s="32">
        <f t="array" ref="P264">IFNA(XLOOKUP(K264,'⚙️ Pengaturan'!$E$2:$E800,'⚙️ Pengaturan'!$F$2:$F800),"")</f>
        <v>150000</v>
      </c>
      <c r="Q264" s="33">
        <f t="shared" si="5"/>
        <v>0</v>
      </c>
      <c r="R264" s="26" t="s">
        <v>33</v>
      </c>
      <c r="S264" s="38" t="s">
        <v>34</v>
      </c>
      <c r="T264" s="35" t="b">
        <v>1</v>
      </c>
      <c r="U264" s="36"/>
    </row>
    <row r="265" ht="30.0" customHeight="1">
      <c r="A265" s="24"/>
      <c r="B265" s="25">
        <v>2370.0</v>
      </c>
      <c r="C265" s="26" t="s">
        <v>40</v>
      </c>
      <c r="D265" s="27">
        <v>46042.0</v>
      </c>
      <c r="E265" s="28" t="str">
        <f t="shared" si="1"/>
        <v>2026</v>
      </c>
      <c r="F265" s="28" t="str">
        <f t="shared" si="2"/>
        <v>01 Jan</v>
      </c>
      <c r="G265" s="50" t="s">
        <v>29</v>
      </c>
      <c r="H265" s="29" t="s">
        <v>23</v>
      </c>
      <c r="I265" s="29" t="s">
        <v>250</v>
      </c>
      <c r="J265" s="26" t="s">
        <v>25</v>
      </c>
      <c r="K265" s="26" t="s">
        <v>26</v>
      </c>
      <c r="L265" s="28" t="str">
        <f t="shared" si="3"/>
        <v>TA KLINIK</v>
      </c>
      <c r="M265" s="26" t="s">
        <v>27</v>
      </c>
      <c r="N265" s="30">
        <v>250000.0</v>
      </c>
      <c r="O265" s="31">
        <v>0.0</v>
      </c>
      <c r="P265" s="32">
        <f t="array" ref="P265">IFNA(XLOOKUP(K265,'⚙️ Pengaturan'!$E$2:$E800,'⚙️ Pengaturan'!$F$2:$F800),"")</f>
        <v>250000</v>
      </c>
      <c r="Q265" s="33">
        <f t="shared" si="5"/>
        <v>0</v>
      </c>
      <c r="R265" s="26" t="s">
        <v>28</v>
      </c>
      <c r="S265" s="38" t="s">
        <v>250</v>
      </c>
      <c r="T265" s="35" t="b">
        <v>1</v>
      </c>
      <c r="U265" s="36"/>
    </row>
    <row r="266" ht="30.0" customHeight="1">
      <c r="A266" s="24"/>
      <c r="B266" s="25">
        <v>2371.0</v>
      </c>
      <c r="C266" s="26" t="s">
        <v>40</v>
      </c>
      <c r="D266" s="27">
        <v>46042.0</v>
      </c>
      <c r="E266" s="28" t="str">
        <f t="shared" si="1"/>
        <v>2026</v>
      </c>
      <c r="F266" s="28" t="str">
        <f t="shared" si="2"/>
        <v>01 Jan</v>
      </c>
      <c r="G266" s="50" t="s">
        <v>82</v>
      </c>
      <c r="H266" s="29" t="s">
        <v>23</v>
      </c>
      <c r="I266" s="29" t="s">
        <v>251</v>
      </c>
      <c r="J266" s="26" t="s">
        <v>25</v>
      </c>
      <c r="K266" s="26" t="s">
        <v>26</v>
      </c>
      <c r="L266" s="28" t="str">
        <f t="shared" si="3"/>
        <v>TA KLINIK</v>
      </c>
      <c r="M266" s="26" t="s">
        <v>27</v>
      </c>
      <c r="N266" s="30">
        <v>250000.0</v>
      </c>
      <c r="O266" s="31">
        <v>0.0</v>
      </c>
      <c r="P266" s="32">
        <f t="array" ref="P266">IFNA(XLOOKUP(K266,'⚙️ Pengaturan'!$E$2:$E800,'⚙️ Pengaturan'!$F$2:$F800),"")</f>
        <v>250000</v>
      </c>
      <c r="Q266" s="33">
        <f t="shared" si="5"/>
        <v>0</v>
      </c>
      <c r="R266" s="26" t="s">
        <v>33</v>
      </c>
      <c r="S266" s="38" t="s">
        <v>34</v>
      </c>
      <c r="T266" s="35" t="b">
        <v>1</v>
      </c>
      <c r="U266" s="36"/>
    </row>
    <row r="267" ht="30.0" customHeight="1">
      <c r="A267" s="24"/>
      <c r="B267" s="25">
        <v>2372.0</v>
      </c>
      <c r="C267" s="26" t="s">
        <v>40</v>
      </c>
      <c r="D267" s="27">
        <v>46042.0</v>
      </c>
      <c r="E267" s="28" t="str">
        <f t="shared" si="1"/>
        <v>2026</v>
      </c>
      <c r="F267" s="28" t="str">
        <f t="shared" si="2"/>
        <v>01 Jan</v>
      </c>
      <c r="G267" s="50" t="s">
        <v>82</v>
      </c>
      <c r="H267" s="29" t="s">
        <v>30</v>
      </c>
      <c r="I267" s="29" t="s">
        <v>208</v>
      </c>
      <c r="J267" s="26" t="s">
        <v>76</v>
      </c>
      <c r="K267" s="26" t="s">
        <v>32</v>
      </c>
      <c r="L267" s="28" t="str">
        <f t="shared" si="3"/>
        <v>SESI KLINIK</v>
      </c>
      <c r="M267" s="26" t="s">
        <v>27</v>
      </c>
      <c r="N267" s="30">
        <v>150000.0</v>
      </c>
      <c r="O267" s="31">
        <v>0.0</v>
      </c>
      <c r="P267" s="32">
        <f t="array" ref="P267">IFNA(XLOOKUP(K267,'⚙️ Pengaturan'!$E$2:$E800,'⚙️ Pengaturan'!$F$2:$F800),"")</f>
        <v>150000</v>
      </c>
      <c r="Q267" s="33">
        <f t="shared" si="5"/>
        <v>0</v>
      </c>
      <c r="R267" s="26" t="s">
        <v>28</v>
      </c>
      <c r="S267" s="38" t="s">
        <v>208</v>
      </c>
      <c r="T267" s="35" t="b">
        <v>1</v>
      </c>
      <c r="U267" s="36"/>
    </row>
    <row r="268" ht="30.0" customHeight="1">
      <c r="A268" s="24"/>
      <c r="B268" s="25">
        <v>2373.0</v>
      </c>
      <c r="C268" s="26" t="s">
        <v>40</v>
      </c>
      <c r="D268" s="27">
        <v>46042.0</v>
      </c>
      <c r="E268" s="28" t="str">
        <f t="shared" si="1"/>
        <v>2026</v>
      </c>
      <c r="F268" s="28" t="str">
        <f t="shared" si="2"/>
        <v>01 Jan</v>
      </c>
      <c r="G268" s="50" t="s">
        <v>37</v>
      </c>
      <c r="H268" s="29" t="s">
        <v>68</v>
      </c>
      <c r="I268" s="29" t="s">
        <v>222</v>
      </c>
      <c r="J268" s="26" t="s">
        <v>25</v>
      </c>
      <c r="K268" s="26" t="s">
        <v>39</v>
      </c>
      <c r="L268" s="28" t="str">
        <f t="shared" si="3"/>
        <v>PAKET KLINIK</v>
      </c>
      <c r="M268" s="26" t="s">
        <v>27</v>
      </c>
      <c r="N268" s="30">
        <v>650000.0</v>
      </c>
      <c r="O268" s="31">
        <v>0.0</v>
      </c>
      <c r="P268" s="32">
        <f t="array" ref="P268">IFNA(XLOOKUP(K268,'⚙️ Pengaturan'!$E$2:$E800,'⚙️ Pengaturan'!$F$2:$F800),"")</f>
        <v>650000</v>
      </c>
      <c r="Q268" s="33">
        <f t="shared" si="5"/>
        <v>0</v>
      </c>
      <c r="R268" s="26" t="s">
        <v>33</v>
      </c>
      <c r="S268" s="38" t="s">
        <v>34</v>
      </c>
      <c r="T268" s="35" t="b">
        <v>1</v>
      </c>
      <c r="U268" s="36"/>
    </row>
    <row r="269" ht="30.0" customHeight="1">
      <c r="A269" s="24"/>
      <c r="B269" s="25">
        <v>2374.0</v>
      </c>
      <c r="C269" s="26" t="s">
        <v>40</v>
      </c>
      <c r="D269" s="27">
        <v>46042.0</v>
      </c>
      <c r="E269" s="28" t="str">
        <f t="shared" si="1"/>
        <v>2026</v>
      </c>
      <c r="F269" s="28" t="str">
        <f t="shared" si="2"/>
        <v>01 Jan</v>
      </c>
      <c r="G269" s="50" t="s">
        <v>37</v>
      </c>
      <c r="H269" s="29" t="s">
        <v>70</v>
      </c>
      <c r="I269" s="29" t="s">
        <v>59</v>
      </c>
      <c r="J269" s="26" t="s">
        <v>76</v>
      </c>
      <c r="K269" s="26" t="s">
        <v>32</v>
      </c>
      <c r="L269" s="28" t="str">
        <f t="shared" si="3"/>
        <v>SESI KLINIK</v>
      </c>
      <c r="M269" s="26" t="s">
        <v>27</v>
      </c>
      <c r="N269" s="30">
        <v>150000.0</v>
      </c>
      <c r="O269" s="31">
        <v>0.0</v>
      </c>
      <c r="P269" s="32">
        <f t="array" ref="P269">IFNA(XLOOKUP(K269,'⚙️ Pengaturan'!$E$2:$E800,'⚙️ Pengaturan'!$F$2:$F800),"")</f>
        <v>150000</v>
      </c>
      <c r="Q269" s="33">
        <f t="shared" si="5"/>
        <v>0</v>
      </c>
      <c r="R269" s="26" t="s">
        <v>33</v>
      </c>
      <c r="S269" s="38" t="s">
        <v>34</v>
      </c>
      <c r="T269" s="35" t="b">
        <v>1</v>
      </c>
      <c r="U269" s="36"/>
    </row>
    <row r="270" ht="30.0" customHeight="1">
      <c r="A270" s="24"/>
      <c r="B270" s="25">
        <v>2375.0</v>
      </c>
      <c r="C270" s="26" t="s">
        <v>21</v>
      </c>
      <c r="D270" s="27">
        <v>46042.0</v>
      </c>
      <c r="E270" s="28" t="str">
        <f t="shared" si="1"/>
        <v>2026</v>
      </c>
      <c r="F270" s="28" t="str">
        <f t="shared" si="2"/>
        <v>01 Jan</v>
      </c>
      <c r="G270" s="50" t="s">
        <v>46</v>
      </c>
      <c r="H270" s="29" t="s">
        <v>51</v>
      </c>
      <c r="I270" s="29" t="s">
        <v>184</v>
      </c>
      <c r="J270" s="26" t="s">
        <v>76</v>
      </c>
      <c r="K270" s="26" t="s">
        <v>32</v>
      </c>
      <c r="L270" s="28" t="str">
        <f t="shared" si="3"/>
        <v>SESI KLINIK</v>
      </c>
      <c r="M270" s="26" t="s">
        <v>27</v>
      </c>
      <c r="N270" s="30">
        <v>150000.0</v>
      </c>
      <c r="O270" s="31">
        <v>0.0</v>
      </c>
      <c r="P270" s="44">
        <v>150000.0</v>
      </c>
      <c r="Q270" s="33">
        <f t="shared" si="5"/>
        <v>0</v>
      </c>
      <c r="R270" s="26" t="s">
        <v>33</v>
      </c>
      <c r="S270" s="38" t="s">
        <v>34</v>
      </c>
      <c r="T270" s="35" t="b">
        <v>1</v>
      </c>
      <c r="U270" s="36"/>
    </row>
    <row r="271" ht="30.0" customHeight="1">
      <c r="A271" s="24"/>
      <c r="B271" s="25">
        <v>2376.0</v>
      </c>
      <c r="C271" s="26" t="s">
        <v>21</v>
      </c>
      <c r="D271" s="27">
        <v>46042.0</v>
      </c>
      <c r="E271" s="28" t="str">
        <f t="shared" si="1"/>
        <v>2026</v>
      </c>
      <c r="F271" s="28" t="str">
        <f t="shared" si="2"/>
        <v>01 Jan</v>
      </c>
      <c r="G271" s="50" t="s">
        <v>46</v>
      </c>
      <c r="H271" s="29" t="s">
        <v>48</v>
      </c>
      <c r="I271" s="29" t="s">
        <v>188</v>
      </c>
      <c r="J271" s="26" t="s">
        <v>76</v>
      </c>
      <c r="K271" s="26" t="s">
        <v>32</v>
      </c>
      <c r="L271" s="28" t="str">
        <f t="shared" si="3"/>
        <v>SESI KLINIK</v>
      </c>
      <c r="M271" s="26" t="s">
        <v>27</v>
      </c>
      <c r="N271" s="30">
        <v>150000.0</v>
      </c>
      <c r="O271" s="31">
        <v>0.0</v>
      </c>
      <c r="P271" s="32">
        <f t="array" ref="P271">IFNA(XLOOKUP(K271,'⚙️ Pengaturan'!$E$2:$E800,'⚙️ Pengaturan'!$F$2:$F800),"")</f>
        <v>150000</v>
      </c>
      <c r="Q271" s="33">
        <f t="shared" si="5"/>
        <v>0</v>
      </c>
      <c r="R271" s="26" t="s">
        <v>28</v>
      </c>
      <c r="S271" s="38" t="s">
        <v>34</v>
      </c>
      <c r="T271" s="35" t="b">
        <v>1</v>
      </c>
      <c r="U271" s="36"/>
    </row>
    <row r="272" ht="30.0" customHeight="1">
      <c r="A272" s="24"/>
      <c r="B272" s="25">
        <v>2377.0</v>
      </c>
      <c r="C272" s="26" t="s">
        <v>21</v>
      </c>
      <c r="D272" s="27">
        <v>46042.0</v>
      </c>
      <c r="E272" s="28" t="str">
        <f t="shared" si="1"/>
        <v>2026</v>
      </c>
      <c r="F272" s="28" t="str">
        <f t="shared" si="2"/>
        <v>01 Jan</v>
      </c>
      <c r="G272" s="50" t="s">
        <v>53</v>
      </c>
      <c r="H272" s="29" t="s">
        <v>51</v>
      </c>
      <c r="I272" s="29" t="s">
        <v>234</v>
      </c>
      <c r="J272" s="26" t="s">
        <v>25</v>
      </c>
      <c r="K272" s="26" t="s">
        <v>32</v>
      </c>
      <c r="L272" s="28" t="str">
        <f t="shared" si="3"/>
        <v>SESI KLINIK</v>
      </c>
      <c r="M272" s="26" t="s">
        <v>27</v>
      </c>
      <c r="N272" s="30">
        <v>150000.0</v>
      </c>
      <c r="O272" s="31">
        <v>0.0</v>
      </c>
      <c r="P272" s="32">
        <f t="array" ref="P272">IFNA(XLOOKUP(K272,'⚙️ Pengaturan'!$E$2:$E800,'⚙️ Pengaturan'!$F$2:$F800),"")</f>
        <v>150000</v>
      </c>
      <c r="Q272" s="33">
        <f t="shared" si="5"/>
        <v>0</v>
      </c>
      <c r="R272" s="26" t="s">
        <v>33</v>
      </c>
      <c r="S272" s="38" t="s">
        <v>34</v>
      </c>
      <c r="T272" s="35" t="b">
        <v>1</v>
      </c>
      <c r="U272" s="36"/>
    </row>
    <row r="273" ht="30.0" customHeight="1">
      <c r="A273" s="24"/>
      <c r="B273" s="25">
        <v>2378.0</v>
      </c>
      <c r="C273" s="26" t="s">
        <v>21</v>
      </c>
      <c r="D273" s="27">
        <v>46042.0</v>
      </c>
      <c r="E273" s="28" t="str">
        <f t="shared" si="1"/>
        <v>2026</v>
      </c>
      <c r="F273" s="28" t="str">
        <f t="shared" si="2"/>
        <v>01 Jan</v>
      </c>
      <c r="G273" s="50" t="s">
        <v>95</v>
      </c>
      <c r="H273" s="29" t="s">
        <v>48</v>
      </c>
      <c r="I273" s="29" t="s">
        <v>227</v>
      </c>
      <c r="J273" s="26" t="s">
        <v>25</v>
      </c>
      <c r="K273" s="26" t="s">
        <v>39</v>
      </c>
      <c r="L273" s="28" t="str">
        <f t="shared" si="3"/>
        <v>PAKET KLINIK</v>
      </c>
      <c r="M273" s="26" t="s">
        <v>86</v>
      </c>
      <c r="N273" s="30">
        <v>200000.0</v>
      </c>
      <c r="O273" s="31">
        <v>0.0</v>
      </c>
      <c r="P273" s="32">
        <f t="array" ref="P273">IFNA(XLOOKUP(K273,'⚙️ Pengaturan'!$E$2:$E800,'⚙️ Pengaturan'!$F$2:$F800),"")</f>
        <v>650000</v>
      </c>
      <c r="Q273" s="33">
        <f t="shared" si="5"/>
        <v>-450000</v>
      </c>
      <c r="R273" s="26" t="s">
        <v>33</v>
      </c>
      <c r="S273" s="38" t="s">
        <v>34</v>
      </c>
      <c r="T273" s="35" t="b">
        <v>1</v>
      </c>
      <c r="U273" s="36"/>
    </row>
    <row r="274" ht="30.0" customHeight="1">
      <c r="A274" s="24"/>
      <c r="B274" s="25">
        <v>2379.0</v>
      </c>
      <c r="C274" s="26" t="s">
        <v>21</v>
      </c>
      <c r="D274" s="27">
        <v>46042.0</v>
      </c>
      <c r="E274" s="28" t="str">
        <f t="shared" si="1"/>
        <v>2026</v>
      </c>
      <c r="F274" s="28" t="str">
        <f t="shared" si="2"/>
        <v>01 Jan</v>
      </c>
      <c r="G274" s="50" t="s">
        <v>41</v>
      </c>
      <c r="H274" s="29" t="s">
        <v>51</v>
      </c>
      <c r="I274" s="29" t="s">
        <v>252</v>
      </c>
      <c r="J274" s="26" t="s">
        <v>25</v>
      </c>
      <c r="K274" s="26" t="s">
        <v>26</v>
      </c>
      <c r="L274" s="28" t="str">
        <f t="shared" si="3"/>
        <v>TA KLINIK</v>
      </c>
      <c r="M274" s="26" t="s">
        <v>27</v>
      </c>
      <c r="N274" s="30">
        <v>250000.0</v>
      </c>
      <c r="O274" s="31">
        <v>0.0</v>
      </c>
      <c r="P274" s="32">
        <f t="array" ref="P274">IFNA(XLOOKUP(K274,'⚙️ Pengaturan'!$E$2:$E800,'⚙️ Pengaturan'!$F$2:$F800),"")</f>
        <v>250000</v>
      </c>
      <c r="Q274" s="33">
        <f t="shared" si="5"/>
        <v>0</v>
      </c>
      <c r="R274" s="26" t="s">
        <v>28</v>
      </c>
      <c r="S274" s="38" t="s">
        <v>252</v>
      </c>
      <c r="T274" s="35" t="b">
        <v>1</v>
      </c>
      <c r="U274" s="36"/>
    </row>
    <row r="275" ht="30.0" customHeight="1">
      <c r="A275" s="24"/>
      <c r="B275" s="25">
        <v>2380.0</v>
      </c>
      <c r="C275" s="26" t="s">
        <v>21</v>
      </c>
      <c r="D275" s="27">
        <v>46042.0</v>
      </c>
      <c r="E275" s="28" t="str">
        <f t="shared" si="1"/>
        <v>2026</v>
      </c>
      <c r="F275" s="28" t="str">
        <f t="shared" si="2"/>
        <v>01 Jan</v>
      </c>
      <c r="G275" s="50" t="s">
        <v>56</v>
      </c>
      <c r="H275" s="29" t="s">
        <v>51</v>
      </c>
      <c r="I275" s="29" t="s">
        <v>191</v>
      </c>
      <c r="J275" s="26" t="s">
        <v>25</v>
      </c>
      <c r="K275" s="26" t="s">
        <v>32</v>
      </c>
      <c r="L275" s="28" t="str">
        <f t="shared" si="3"/>
        <v>SESI KLINIK</v>
      </c>
      <c r="M275" s="26" t="s">
        <v>27</v>
      </c>
      <c r="N275" s="30">
        <v>150000.0</v>
      </c>
      <c r="O275" s="31">
        <v>0.0</v>
      </c>
      <c r="P275" s="32">
        <f t="array" ref="P275">IFNA(XLOOKUP(K275,'⚙️ Pengaturan'!$E$2:$E800,'⚙️ Pengaturan'!$F$2:$F800),"")</f>
        <v>150000</v>
      </c>
      <c r="Q275" s="33">
        <f t="shared" si="5"/>
        <v>0</v>
      </c>
      <c r="R275" s="26" t="s">
        <v>28</v>
      </c>
      <c r="S275" s="38" t="s">
        <v>253</v>
      </c>
      <c r="T275" s="35" t="b">
        <v>1</v>
      </c>
      <c r="U275" s="36"/>
    </row>
    <row r="276" ht="30.0" customHeight="1">
      <c r="A276" s="24"/>
      <c r="B276" s="25">
        <v>2381.0</v>
      </c>
      <c r="C276" s="26" t="s">
        <v>21</v>
      </c>
      <c r="D276" s="27">
        <v>46042.0</v>
      </c>
      <c r="E276" s="28" t="str">
        <f t="shared" si="1"/>
        <v>2026</v>
      </c>
      <c r="F276" s="28" t="str">
        <f t="shared" si="2"/>
        <v>01 Jan</v>
      </c>
      <c r="G276" s="50" t="s">
        <v>61</v>
      </c>
      <c r="H276" s="29" t="s">
        <v>48</v>
      </c>
      <c r="I276" s="29" t="s">
        <v>228</v>
      </c>
      <c r="J276" s="26" t="s">
        <v>25</v>
      </c>
      <c r="K276" s="26" t="s">
        <v>32</v>
      </c>
      <c r="L276" s="28" t="str">
        <f t="shared" si="3"/>
        <v>SESI KLINIK</v>
      </c>
      <c r="M276" s="26" t="s">
        <v>27</v>
      </c>
      <c r="N276" s="30">
        <v>150000.0</v>
      </c>
      <c r="O276" s="31">
        <v>0.0</v>
      </c>
      <c r="P276" s="32">
        <f t="array" ref="P276">IFNA(XLOOKUP(K276,'⚙️ Pengaturan'!$E$2:$E800,'⚙️ Pengaturan'!$F$2:$F800),"")</f>
        <v>150000</v>
      </c>
      <c r="Q276" s="33">
        <f t="shared" si="5"/>
        <v>0</v>
      </c>
      <c r="R276" s="26" t="s">
        <v>33</v>
      </c>
      <c r="S276" s="38" t="s">
        <v>34</v>
      </c>
      <c r="T276" s="35" t="b">
        <v>1</v>
      </c>
      <c r="U276" s="36"/>
    </row>
    <row r="277" ht="30.0" customHeight="1">
      <c r="A277" s="24"/>
      <c r="B277" s="25">
        <v>2382.0</v>
      </c>
      <c r="C277" s="26" t="s">
        <v>21</v>
      </c>
      <c r="D277" s="27">
        <v>46043.0</v>
      </c>
      <c r="E277" s="28" t="str">
        <f t="shared" si="1"/>
        <v>2026</v>
      </c>
      <c r="F277" s="28" t="str">
        <f t="shared" si="2"/>
        <v>01 Jan</v>
      </c>
      <c r="G277" s="50" t="s">
        <v>67</v>
      </c>
      <c r="H277" s="29" t="s">
        <v>148</v>
      </c>
      <c r="I277" s="29" t="s">
        <v>239</v>
      </c>
      <c r="J277" s="26" t="s">
        <v>25</v>
      </c>
      <c r="K277" s="26" t="s">
        <v>39</v>
      </c>
      <c r="L277" s="28" t="str">
        <f t="shared" si="3"/>
        <v>PAKET KLINIK</v>
      </c>
      <c r="M277" s="26" t="s">
        <v>63</v>
      </c>
      <c r="N277" s="30">
        <v>500000.0</v>
      </c>
      <c r="O277" s="31">
        <v>150000.0</v>
      </c>
      <c r="P277" s="32">
        <f t="array" ref="P277">IFNA(XLOOKUP(K277,'⚙️ Pengaturan'!$E$2:$E800,'⚙️ Pengaturan'!$F$2:$F800),"")</f>
        <v>650000</v>
      </c>
      <c r="Q277" s="33">
        <f t="shared" si="5"/>
        <v>0</v>
      </c>
      <c r="R277" s="26" t="s">
        <v>28</v>
      </c>
      <c r="S277" s="38" t="s">
        <v>239</v>
      </c>
      <c r="T277" s="35" t="b">
        <v>1</v>
      </c>
      <c r="U277" s="36"/>
    </row>
    <row r="278" ht="30.0" customHeight="1">
      <c r="A278" s="24"/>
      <c r="B278" s="25">
        <v>2383.0</v>
      </c>
      <c r="C278" s="26" t="s">
        <v>21</v>
      </c>
      <c r="D278" s="27">
        <v>46043.0</v>
      </c>
      <c r="E278" s="28" t="str">
        <f t="shared" si="1"/>
        <v>2026</v>
      </c>
      <c r="F278" s="28" t="str">
        <f t="shared" si="2"/>
        <v>01 Jan</v>
      </c>
      <c r="G278" s="50" t="s">
        <v>67</v>
      </c>
      <c r="H278" s="29" t="s">
        <v>68</v>
      </c>
      <c r="I278" s="29" t="s">
        <v>218</v>
      </c>
      <c r="J278" s="26" t="s">
        <v>76</v>
      </c>
      <c r="K278" s="26" t="s">
        <v>32</v>
      </c>
      <c r="L278" s="28" t="str">
        <f t="shared" si="3"/>
        <v>SESI KLINIK</v>
      </c>
      <c r="M278" s="26" t="s">
        <v>27</v>
      </c>
      <c r="N278" s="30">
        <v>150000.0</v>
      </c>
      <c r="O278" s="31">
        <v>0.0</v>
      </c>
      <c r="P278" s="32">
        <f t="array" ref="P278">IFNA(XLOOKUP(K278,'⚙️ Pengaturan'!$E$2:$E800,'⚙️ Pengaturan'!$F$2:$F800),"")</f>
        <v>150000</v>
      </c>
      <c r="Q278" s="33">
        <f t="shared" si="5"/>
        <v>0</v>
      </c>
      <c r="R278" s="26" t="s">
        <v>33</v>
      </c>
      <c r="S278" s="38" t="s">
        <v>34</v>
      </c>
      <c r="T278" s="35" t="b">
        <v>1</v>
      </c>
      <c r="U278" s="36"/>
    </row>
    <row r="279" ht="30.0" customHeight="1">
      <c r="A279" s="24"/>
      <c r="B279" s="25">
        <v>2384.0</v>
      </c>
      <c r="C279" s="26" t="s">
        <v>21</v>
      </c>
      <c r="D279" s="27">
        <v>46043.0</v>
      </c>
      <c r="E279" s="28" t="str">
        <f t="shared" si="1"/>
        <v>2026</v>
      </c>
      <c r="F279" s="28" t="str">
        <f t="shared" si="2"/>
        <v>01 Jan</v>
      </c>
      <c r="G279" s="50" t="s">
        <v>67</v>
      </c>
      <c r="H279" s="29" t="s">
        <v>23</v>
      </c>
      <c r="I279" s="29" t="s">
        <v>233</v>
      </c>
      <c r="J279" s="26" t="s">
        <v>25</v>
      </c>
      <c r="K279" s="26" t="s">
        <v>39</v>
      </c>
      <c r="L279" s="28" t="str">
        <f t="shared" si="3"/>
        <v>PAKET KLINIK</v>
      </c>
      <c r="M279" s="26" t="s">
        <v>86</v>
      </c>
      <c r="N279" s="30">
        <v>200000.0</v>
      </c>
      <c r="O279" s="31">
        <v>0.0</v>
      </c>
      <c r="P279" s="32">
        <f t="array" ref="P279">IFNA(XLOOKUP(K279,'⚙️ Pengaturan'!$E$2:$E800,'⚙️ Pengaturan'!$F$2:$F800),"")</f>
        <v>650000</v>
      </c>
      <c r="Q279" s="33">
        <f t="shared" si="5"/>
        <v>-450000</v>
      </c>
      <c r="R279" s="26" t="s">
        <v>28</v>
      </c>
      <c r="S279" s="38" t="s">
        <v>233</v>
      </c>
      <c r="T279" s="35" t="b">
        <v>1</v>
      </c>
      <c r="U279" s="36"/>
    </row>
    <row r="280" ht="30.0" customHeight="1">
      <c r="A280" s="24"/>
      <c r="B280" s="25">
        <v>2385.0</v>
      </c>
      <c r="C280" s="26" t="s">
        <v>21</v>
      </c>
      <c r="D280" s="27">
        <v>46043.0</v>
      </c>
      <c r="E280" s="28" t="str">
        <f t="shared" si="1"/>
        <v>2026</v>
      </c>
      <c r="F280" s="28" t="str">
        <f t="shared" si="2"/>
        <v>01 Jan</v>
      </c>
      <c r="G280" s="50" t="s">
        <v>67</v>
      </c>
      <c r="H280" s="29" t="s">
        <v>23</v>
      </c>
      <c r="I280" s="29" t="s">
        <v>209</v>
      </c>
      <c r="J280" s="26" t="s">
        <v>25</v>
      </c>
      <c r="K280" s="26" t="s">
        <v>39</v>
      </c>
      <c r="L280" s="28" t="str">
        <f t="shared" si="3"/>
        <v>PAKET KLINIK</v>
      </c>
      <c r="M280" s="26" t="s">
        <v>27</v>
      </c>
      <c r="N280" s="30">
        <v>650000.0</v>
      </c>
      <c r="O280" s="31">
        <v>0.0</v>
      </c>
      <c r="P280" s="32">
        <v>650000.0</v>
      </c>
      <c r="Q280" s="33">
        <f t="shared" si="5"/>
        <v>0</v>
      </c>
      <c r="R280" s="26" t="s">
        <v>28</v>
      </c>
      <c r="S280" s="38" t="s">
        <v>209</v>
      </c>
      <c r="T280" s="35" t="b">
        <v>1</v>
      </c>
      <c r="U280" s="36"/>
    </row>
    <row r="281" ht="30.0" customHeight="1">
      <c r="A281" s="24"/>
      <c r="B281" s="25">
        <v>2386.0</v>
      </c>
      <c r="C281" s="26" t="s">
        <v>21</v>
      </c>
      <c r="D281" s="27">
        <v>46043.0</v>
      </c>
      <c r="E281" s="28" t="str">
        <f t="shared" si="1"/>
        <v>2026</v>
      </c>
      <c r="F281" s="28" t="str">
        <f t="shared" si="2"/>
        <v>01 Jan</v>
      </c>
      <c r="G281" s="50" t="s">
        <v>29</v>
      </c>
      <c r="H281" s="29" t="s">
        <v>23</v>
      </c>
      <c r="I281" s="29" t="s">
        <v>250</v>
      </c>
      <c r="J281" s="26" t="s">
        <v>25</v>
      </c>
      <c r="K281" s="26" t="s">
        <v>32</v>
      </c>
      <c r="L281" s="28" t="str">
        <f t="shared" si="3"/>
        <v>SESI KLINIK</v>
      </c>
      <c r="M281" s="26" t="s">
        <v>27</v>
      </c>
      <c r="N281" s="30">
        <v>150000.0</v>
      </c>
      <c r="O281" s="31">
        <v>0.0</v>
      </c>
      <c r="P281" s="32">
        <f t="array" ref="P281">IFNA(XLOOKUP(K281,'⚙️ Pengaturan'!$E$2:$E800,'⚙️ Pengaturan'!$F$2:$F800),"")</f>
        <v>150000</v>
      </c>
      <c r="Q281" s="33">
        <f t="shared" si="5"/>
        <v>0</v>
      </c>
      <c r="R281" s="26" t="s">
        <v>28</v>
      </c>
      <c r="S281" s="38" t="s">
        <v>250</v>
      </c>
      <c r="T281" s="35" t="b">
        <v>1</v>
      </c>
      <c r="U281" s="36"/>
    </row>
    <row r="282" ht="30.0" customHeight="1">
      <c r="A282" s="24"/>
      <c r="B282" s="25">
        <v>2387.0</v>
      </c>
      <c r="C282" s="26" t="s">
        <v>21</v>
      </c>
      <c r="D282" s="27">
        <v>46043.0</v>
      </c>
      <c r="E282" s="28" t="str">
        <f t="shared" si="1"/>
        <v>2026</v>
      </c>
      <c r="F282" s="28" t="str">
        <f t="shared" si="2"/>
        <v>01 Jan</v>
      </c>
      <c r="G282" s="50" t="s">
        <v>82</v>
      </c>
      <c r="H282" s="29" t="s">
        <v>30</v>
      </c>
      <c r="I282" s="29" t="s">
        <v>236</v>
      </c>
      <c r="J282" s="26" t="s">
        <v>25</v>
      </c>
      <c r="K282" s="26" t="s">
        <v>32</v>
      </c>
      <c r="L282" s="28" t="str">
        <f t="shared" si="3"/>
        <v>SESI KLINIK</v>
      </c>
      <c r="M282" s="26" t="s">
        <v>27</v>
      </c>
      <c r="N282" s="30">
        <v>150000.0</v>
      </c>
      <c r="O282" s="31">
        <v>0.0</v>
      </c>
      <c r="P282" s="32">
        <v>150000.0</v>
      </c>
      <c r="Q282" s="33">
        <f t="shared" si="5"/>
        <v>0</v>
      </c>
      <c r="R282" s="26" t="s">
        <v>33</v>
      </c>
      <c r="S282" s="38" t="s">
        <v>34</v>
      </c>
      <c r="T282" s="35" t="b">
        <v>1</v>
      </c>
      <c r="U282" s="36"/>
    </row>
    <row r="283" ht="30.0" customHeight="1">
      <c r="A283" s="24"/>
      <c r="B283" s="25">
        <v>2388.0</v>
      </c>
      <c r="C283" s="26" t="s">
        <v>21</v>
      </c>
      <c r="D283" s="27">
        <v>46043.0</v>
      </c>
      <c r="E283" s="28" t="str">
        <f t="shared" si="1"/>
        <v>2026</v>
      </c>
      <c r="F283" s="28" t="str">
        <f t="shared" si="2"/>
        <v>01 Jan</v>
      </c>
      <c r="G283" s="50" t="s">
        <v>82</v>
      </c>
      <c r="H283" s="29" t="s">
        <v>35</v>
      </c>
      <c r="I283" s="29" t="s">
        <v>254</v>
      </c>
      <c r="J283" s="26" t="s">
        <v>25</v>
      </c>
      <c r="K283" s="26" t="s">
        <v>26</v>
      </c>
      <c r="L283" s="28" t="str">
        <f t="shared" si="3"/>
        <v>TA KLINIK</v>
      </c>
      <c r="M283" s="26" t="s">
        <v>27</v>
      </c>
      <c r="N283" s="30">
        <v>250000.0</v>
      </c>
      <c r="O283" s="31">
        <v>0.0</v>
      </c>
      <c r="P283" s="32">
        <v>250000.0</v>
      </c>
      <c r="Q283" s="33">
        <f t="shared" si="5"/>
        <v>0</v>
      </c>
      <c r="R283" s="26" t="s">
        <v>113</v>
      </c>
      <c r="S283" s="38" t="s">
        <v>255</v>
      </c>
      <c r="T283" s="35" t="b">
        <v>1</v>
      </c>
      <c r="U283" s="36"/>
    </row>
    <row r="284" ht="30.0" customHeight="1">
      <c r="A284" s="24"/>
      <c r="B284" s="25">
        <v>2389.0</v>
      </c>
      <c r="C284" s="26" t="s">
        <v>21</v>
      </c>
      <c r="D284" s="27">
        <v>46043.0</v>
      </c>
      <c r="E284" s="28" t="str">
        <f t="shared" si="1"/>
        <v>2026</v>
      </c>
      <c r="F284" s="28" t="str">
        <f t="shared" si="2"/>
        <v>01 Jan</v>
      </c>
      <c r="G284" s="50" t="s">
        <v>37</v>
      </c>
      <c r="H284" s="29" t="s">
        <v>68</v>
      </c>
      <c r="I284" s="29" t="s">
        <v>256</v>
      </c>
      <c r="J284" s="26" t="s">
        <v>25</v>
      </c>
      <c r="K284" s="26" t="s">
        <v>26</v>
      </c>
      <c r="L284" s="28" t="str">
        <f t="shared" si="3"/>
        <v>TA KLINIK</v>
      </c>
      <c r="M284" s="26" t="s">
        <v>27</v>
      </c>
      <c r="N284" s="30">
        <v>250000.0</v>
      </c>
      <c r="O284" s="31">
        <v>0.0</v>
      </c>
      <c r="P284" s="32">
        <v>250000.0</v>
      </c>
      <c r="Q284" s="33">
        <f t="shared" si="5"/>
        <v>0</v>
      </c>
      <c r="R284" s="26" t="s">
        <v>113</v>
      </c>
      <c r="S284" s="38" t="s">
        <v>256</v>
      </c>
      <c r="T284" s="35" t="b">
        <v>1</v>
      </c>
      <c r="U284" s="36"/>
    </row>
    <row r="285" ht="30.0" customHeight="1">
      <c r="A285" s="24"/>
      <c r="B285" s="25">
        <v>2390.0</v>
      </c>
      <c r="C285" s="26" t="s">
        <v>21</v>
      </c>
      <c r="D285" s="27">
        <v>46043.0</v>
      </c>
      <c r="E285" s="28" t="str">
        <f t="shared" si="1"/>
        <v>2026</v>
      </c>
      <c r="F285" s="28" t="str">
        <f t="shared" si="2"/>
        <v>01 Jan</v>
      </c>
      <c r="G285" s="50" t="s">
        <v>37</v>
      </c>
      <c r="H285" s="29" t="s">
        <v>70</v>
      </c>
      <c r="I285" s="29" t="s">
        <v>257</v>
      </c>
      <c r="J285" s="26" t="s">
        <v>25</v>
      </c>
      <c r="K285" s="26" t="s">
        <v>26</v>
      </c>
      <c r="L285" s="28" t="str">
        <f t="shared" si="3"/>
        <v>TA KLINIK</v>
      </c>
      <c r="M285" s="26" t="s">
        <v>27</v>
      </c>
      <c r="N285" s="30">
        <v>250000.0</v>
      </c>
      <c r="O285" s="31">
        <v>0.0</v>
      </c>
      <c r="P285" s="32">
        <f t="array" ref="P285">IFNA(XLOOKUP(K285,'⚙️ Pengaturan'!$E$2:$E800,'⚙️ Pengaturan'!$F$2:$F800),"")</f>
        <v>250000</v>
      </c>
      <c r="Q285" s="33">
        <f t="shared" si="5"/>
        <v>0</v>
      </c>
      <c r="R285" s="26" t="s">
        <v>33</v>
      </c>
      <c r="S285" s="38" t="s">
        <v>34</v>
      </c>
      <c r="T285" s="35" t="b">
        <v>1</v>
      </c>
      <c r="U285" s="36"/>
    </row>
    <row r="286" ht="30.0" customHeight="1">
      <c r="A286" s="24"/>
      <c r="B286" s="25">
        <v>2391.0</v>
      </c>
      <c r="C286" s="26" t="s">
        <v>21</v>
      </c>
      <c r="D286" s="27">
        <v>46043.0</v>
      </c>
      <c r="E286" s="28" t="str">
        <f t="shared" si="1"/>
        <v>2026</v>
      </c>
      <c r="F286" s="28" t="str">
        <f t="shared" si="2"/>
        <v>01 Jan</v>
      </c>
      <c r="G286" s="50" t="s">
        <v>118</v>
      </c>
      <c r="H286" s="29" t="s">
        <v>30</v>
      </c>
      <c r="I286" s="29" t="s">
        <v>258</v>
      </c>
      <c r="J286" s="26" t="s">
        <v>25</v>
      </c>
      <c r="K286" s="26" t="s">
        <v>73</v>
      </c>
      <c r="L286" s="28" t="str">
        <f t="shared" si="3"/>
        <v>TA VISIT</v>
      </c>
      <c r="M286" s="26" t="s">
        <v>27</v>
      </c>
      <c r="N286" s="30">
        <v>350000.0</v>
      </c>
      <c r="O286" s="31">
        <v>0.0</v>
      </c>
      <c r="P286" s="32">
        <f t="array" ref="P286">IFNA(XLOOKUP(K286,'⚙️ Pengaturan'!$E$2:$E800,'⚙️ Pengaturan'!$F$2:$F800),"")</f>
        <v>350000</v>
      </c>
      <c r="Q286" s="33">
        <f t="shared" si="5"/>
        <v>0</v>
      </c>
      <c r="R286" s="26" t="s">
        <v>33</v>
      </c>
      <c r="S286" s="38" t="s">
        <v>34</v>
      </c>
      <c r="T286" s="35" t="b">
        <v>1</v>
      </c>
      <c r="U286" s="36"/>
    </row>
    <row r="287" ht="30.0" customHeight="1">
      <c r="A287" s="24"/>
      <c r="B287" s="25">
        <v>2392.0</v>
      </c>
      <c r="C287" s="26" t="s">
        <v>40</v>
      </c>
      <c r="D287" s="27">
        <v>46043.0</v>
      </c>
      <c r="E287" s="28" t="str">
        <f t="shared" si="1"/>
        <v>2026</v>
      </c>
      <c r="F287" s="28" t="str">
        <f t="shared" si="2"/>
        <v>01 Jan</v>
      </c>
      <c r="G287" s="50" t="s">
        <v>41</v>
      </c>
      <c r="H287" s="29" t="s">
        <v>58</v>
      </c>
      <c r="I287" s="29" t="s">
        <v>205</v>
      </c>
      <c r="J287" s="26" t="s">
        <v>76</v>
      </c>
      <c r="K287" s="26" t="s">
        <v>39</v>
      </c>
      <c r="L287" s="28" t="str">
        <f t="shared" si="3"/>
        <v>PAKET KLINIK</v>
      </c>
      <c r="M287" s="26" t="s">
        <v>27</v>
      </c>
      <c r="N287" s="30">
        <v>650000.0</v>
      </c>
      <c r="O287" s="31">
        <v>0.0</v>
      </c>
      <c r="P287" s="32">
        <f t="array" ref="P287">IFNA(XLOOKUP(K287,'⚙️ Pengaturan'!$E$2:$E800,'⚙️ Pengaturan'!$F$2:$F800),"")</f>
        <v>650000</v>
      </c>
      <c r="Q287" s="33">
        <f t="shared" si="5"/>
        <v>0</v>
      </c>
      <c r="R287" s="26" t="s">
        <v>33</v>
      </c>
      <c r="S287" s="38" t="s">
        <v>34</v>
      </c>
      <c r="T287" s="35" t="b">
        <v>1</v>
      </c>
      <c r="U287" s="36"/>
    </row>
    <row r="288" ht="30.0" customHeight="1">
      <c r="A288" s="24"/>
      <c r="B288" s="25">
        <v>2393.0</v>
      </c>
      <c r="C288" s="26" t="s">
        <v>40</v>
      </c>
      <c r="D288" s="27">
        <v>46043.0</v>
      </c>
      <c r="E288" s="28" t="str">
        <f t="shared" si="1"/>
        <v>2026</v>
      </c>
      <c r="F288" s="28" t="str">
        <f t="shared" si="2"/>
        <v>01 Jan</v>
      </c>
      <c r="G288" s="50" t="s">
        <v>41</v>
      </c>
      <c r="H288" s="29" t="s">
        <v>51</v>
      </c>
      <c r="I288" s="29" t="s">
        <v>259</v>
      </c>
      <c r="J288" s="26" t="s">
        <v>76</v>
      </c>
      <c r="K288" s="26" t="s">
        <v>44</v>
      </c>
      <c r="L288" s="28" t="str">
        <f t="shared" si="3"/>
        <v>PAKET KLINIK</v>
      </c>
      <c r="M288" s="26" t="s">
        <v>27</v>
      </c>
      <c r="N288" s="30">
        <v>1200000.0</v>
      </c>
      <c r="O288" s="31">
        <v>0.0</v>
      </c>
      <c r="P288" s="32">
        <f t="array" ref="P288">IFNA(XLOOKUP(K288,'⚙️ Pengaturan'!$E$2:$E800,'⚙️ Pengaturan'!$F$2:$F800),"")</f>
        <v>1200000</v>
      </c>
      <c r="Q288" s="33">
        <f t="shared" si="5"/>
        <v>0</v>
      </c>
      <c r="R288" s="26" t="s">
        <v>33</v>
      </c>
      <c r="S288" s="38" t="s">
        <v>34</v>
      </c>
      <c r="T288" s="35" t="b">
        <v>1</v>
      </c>
      <c r="U288" s="36"/>
    </row>
    <row r="289" ht="30.0" customHeight="1">
      <c r="A289" s="24"/>
      <c r="B289" s="25">
        <v>2394.0</v>
      </c>
      <c r="C289" s="26" t="s">
        <v>40</v>
      </c>
      <c r="D289" s="27">
        <v>46043.0</v>
      </c>
      <c r="E289" s="28" t="str">
        <f t="shared" si="1"/>
        <v>2026</v>
      </c>
      <c r="F289" s="28" t="str">
        <f t="shared" si="2"/>
        <v>01 Jan</v>
      </c>
      <c r="G289" s="50" t="s">
        <v>53</v>
      </c>
      <c r="H289" s="29" t="s">
        <v>51</v>
      </c>
      <c r="I289" s="29" t="s">
        <v>215</v>
      </c>
      <c r="J289" s="26" t="s">
        <v>25</v>
      </c>
      <c r="K289" s="26" t="s">
        <v>32</v>
      </c>
      <c r="L289" s="28" t="str">
        <f t="shared" si="3"/>
        <v>SESI KLINIK</v>
      </c>
      <c r="M289" s="26" t="s">
        <v>27</v>
      </c>
      <c r="N289" s="30">
        <v>150000.0</v>
      </c>
      <c r="O289" s="31">
        <v>0.0</v>
      </c>
      <c r="P289" s="32">
        <f t="array" ref="P289">IFNA(XLOOKUP(K289,'⚙️ Pengaturan'!$E$2:$E800,'⚙️ Pengaturan'!$F$2:$F800),"")</f>
        <v>150000</v>
      </c>
      <c r="Q289" s="33">
        <f t="shared" si="5"/>
        <v>0</v>
      </c>
      <c r="R289" s="26" t="s">
        <v>28</v>
      </c>
      <c r="S289" s="38" t="s">
        <v>215</v>
      </c>
      <c r="T289" s="35" t="b">
        <v>1</v>
      </c>
      <c r="U289" s="36"/>
    </row>
    <row r="290" ht="30.0" customHeight="1">
      <c r="A290" s="24"/>
      <c r="B290" s="25">
        <v>2395.0</v>
      </c>
      <c r="C290" s="26" t="s">
        <v>40</v>
      </c>
      <c r="D290" s="27">
        <v>46043.0</v>
      </c>
      <c r="E290" s="28" t="str">
        <f t="shared" si="1"/>
        <v>2026</v>
      </c>
      <c r="F290" s="28" t="str">
        <f t="shared" si="2"/>
        <v>01 Jan</v>
      </c>
      <c r="G290" s="50" t="s">
        <v>56</v>
      </c>
      <c r="H290" s="29" t="s">
        <v>48</v>
      </c>
      <c r="I290" s="29" t="s">
        <v>260</v>
      </c>
      <c r="J290" s="26" t="s">
        <v>25</v>
      </c>
      <c r="K290" s="26" t="s">
        <v>26</v>
      </c>
      <c r="L290" s="28" t="str">
        <f t="shared" si="3"/>
        <v>TA KLINIK</v>
      </c>
      <c r="M290" s="26" t="s">
        <v>27</v>
      </c>
      <c r="N290" s="30">
        <v>250000.0</v>
      </c>
      <c r="O290" s="31">
        <v>0.0</v>
      </c>
      <c r="P290" s="32">
        <f t="array" ref="P290">IFNA(XLOOKUP(K290,'⚙️ Pengaturan'!$E$2:$E800,'⚙️ Pengaturan'!$F$2:$F800),"")</f>
        <v>250000</v>
      </c>
      <c r="Q290" s="33">
        <f t="shared" si="5"/>
        <v>0</v>
      </c>
      <c r="R290" s="26" t="s">
        <v>113</v>
      </c>
      <c r="S290" s="38" t="s">
        <v>260</v>
      </c>
      <c r="T290" s="35" t="b">
        <v>1</v>
      </c>
      <c r="U290" s="36"/>
    </row>
    <row r="291" ht="30.0" customHeight="1">
      <c r="A291" s="24"/>
      <c r="B291" s="25">
        <v>2396.0</v>
      </c>
      <c r="C291" s="26" t="s">
        <v>40</v>
      </c>
      <c r="D291" s="27">
        <v>46043.0</v>
      </c>
      <c r="E291" s="28" t="str">
        <f t="shared" si="1"/>
        <v>2026</v>
      </c>
      <c r="F291" s="28" t="str">
        <f t="shared" si="2"/>
        <v>01 Jan</v>
      </c>
      <c r="G291" s="50" t="s">
        <v>56</v>
      </c>
      <c r="H291" s="29" t="s">
        <v>51</v>
      </c>
      <c r="I291" s="29" t="s">
        <v>261</v>
      </c>
      <c r="J291" s="26" t="s">
        <v>25</v>
      </c>
      <c r="K291" s="26" t="s">
        <v>26</v>
      </c>
      <c r="L291" s="28" t="str">
        <f t="shared" si="3"/>
        <v>TA KLINIK</v>
      </c>
      <c r="M291" s="26" t="s">
        <v>27</v>
      </c>
      <c r="N291" s="30">
        <v>250000.0</v>
      </c>
      <c r="O291" s="31">
        <v>0.0</v>
      </c>
      <c r="P291" s="32">
        <f t="array" ref="P291">IFNA(XLOOKUP(K291,'⚙️ Pengaturan'!$E$2:$E800,'⚙️ Pengaturan'!$F$2:$F800),"")</f>
        <v>250000</v>
      </c>
      <c r="Q291" s="33">
        <f t="shared" si="5"/>
        <v>0</v>
      </c>
      <c r="R291" s="26" t="s">
        <v>28</v>
      </c>
      <c r="S291" s="38" t="s">
        <v>261</v>
      </c>
      <c r="T291" s="35" t="b">
        <v>1</v>
      </c>
      <c r="U291" s="36"/>
    </row>
    <row r="292" ht="30.0" customHeight="1">
      <c r="A292" s="24"/>
      <c r="B292" s="25">
        <v>2397.0</v>
      </c>
      <c r="C292" s="26" t="s">
        <v>40</v>
      </c>
      <c r="D292" s="27">
        <v>46043.0</v>
      </c>
      <c r="E292" s="28" t="str">
        <f t="shared" si="1"/>
        <v>2026</v>
      </c>
      <c r="F292" s="28" t="str">
        <f t="shared" si="2"/>
        <v>01 Jan</v>
      </c>
      <c r="G292" s="50" t="s">
        <v>61</v>
      </c>
      <c r="H292" s="29" t="s">
        <v>51</v>
      </c>
      <c r="I292" s="29" t="s">
        <v>155</v>
      </c>
      <c r="J292" s="26" t="s">
        <v>25</v>
      </c>
      <c r="K292" s="26" t="s">
        <v>44</v>
      </c>
      <c r="L292" s="28" t="str">
        <f t="shared" si="3"/>
        <v>PAKET KLINIK</v>
      </c>
      <c r="M292" s="26" t="s">
        <v>86</v>
      </c>
      <c r="N292" s="30">
        <v>500000.0</v>
      </c>
      <c r="O292" s="31">
        <v>0.0</v>
      </c>
      <c r="P292" s="32">
        <f t="array" ref="P292">IFNA(XLOOKUP(K292,'⚙️ Pengaturan'!$E$2:$E800,'⚙️ Pengaturan'!$F$2:$F800),"")</f>
        <v>1200000</v>
      </c>
      <c r="Q292" s="33">
        <f t="shared" si="5"/>
        <v>-700000</v>
      </c>
      <c r="R292" s="26" t="s">
        <v>28</v>
      </c>
      <c r="S292" s="38" t="s">
        <v>155</v>
      </c>
      <c r="T292" s="35" t="b">
        <v>1</v>
      </c>
      <c r="U292" s="36"/>
    </row>
    <row r="293" ht="30.0" customHeight="1">
      <c r="A293" s="24"/>
      <c r="B293" s="25">
        <v>2398.0</v>
      </c>
      <c r="C293" s="26" t="s">
        <v>40</v>
      </c>
      <c r="D293" s="27">
        <v>46043.0</v>
      </c>
      <c r="E293" s="28" t="str">
        <f t="shared" si="1"/>
        <v>2026</v>
      </c>
      <c r="F293" s="28" t="str">
        <f t="shared" si="2"/>
        <v>01 Jan</v>
      </c>
      <c r="G293" s="50" t="s">
        <v>29</v>
      </c>
      <c r="H293" s="29" t="s">
        <v>70</v>
      </c>
      <c r="I293" s="29" t="s">
        <v>59</v>
      </c>
      <c r="J293" s="26" t="s">
        <v>76</v>
      </c>
      <c r="K293" s="26" t="s">
        <v>32</v>
      </c>
      <c r="L293" s="28" t="str">
        <f t="shared" si="3"/>
        <v>SESI KLINIK</v>
      </c>
      <c r="M293" s="26" t="s">
        <v>27</v>
      </c>
      <c r="N293" s="30">
        <v>150000.0</v>
      </c>
      <c r="O293" s="31">
        <v>0.0</v>
      </c>
      <c r="P293" s="32">
        <f t="array" ref="P293">IFNA(XLOOKUP(K293,'⚙️ Pengaturan'!$E$2:$E800,'⚙️ Pengaturan'!$F$2:$F800),"")</f>
        <v>150000</v>
      </c>
      <c r="Q293" s="33">
        <f t="shared" si="5"/>
        <v>0</v>
      </c>
      <c r="R293" s="26" t="s">
        <v>33</v>
      </c>
      <c r="S293" s="38" t="s">
        <v>34</v>
      </c>
      <c r="T293" s="35" t="b">
        <v>1</v>
      </c>
      <c r="U293" s="36"/>
    </row>
    <row r="294" ht="30.0" customHeight="1">
      <c r="A294" s="24"/>
      <c r="B294" s="25">
        <v>2399.0</v>
      </c>
      <c r="C294" s="26" t="s">
        <v>40</v>
      </c>
      <c r="D294" s="27">
        <v>46043.0</v>
      </c>
      <c r="E294" s="28" t="str">
        <f t="shared" si="1"/>
        <v>2026</v>
      </c>
      <c r="F294" s="28" t="str">
        <f t="shared" si="2"/>
        <v>01 Jan</v>
      </c>
      <c r="G294" s="50" t="s">
        <v>82</v>
      </c>
      <c r="H294" s="29" t="s">
        <v>23</v>
      </c>
      <c r="I294" s="29" t="s">
        <v>187</v>
      </c>
      <c r="J294" s="26" t="s">
        <v>76</v>
      </c>
      <c r="K294" s="26" t="s">
        <v>32</v>
      </c>
      <c r="L294" s="28" t="str">
        <f t="shared" si="3"/>
        <v>SESI KLINIK</v>
      </c>
      <c r="M294" s="26" t="s">
        <v>27</v>
      </c>
      <c r="N294" s="30">
        <v>150000.0</v>
      </c>
      <c r="O294" s="31">
        <v>0.0</v>
      </c>
      <c r="P294" s="32">
        <f t="array" ref="P294">IFNA(XLOOKUP(K294,'⚙️ Pengaturan'!$E$2:$E800,'⚙️ Pengaturan'!$F$2:$F800),"")</f>
        <v>150000</v>
      </c>
      <c r="Q294" s="33">
        <f t="shared" si="5"/>
        <v>0</v>
      </c>
      <c r="R294" s="26" t="s">
        <v>28</v>
      </c>
      <c r="S294" s="38" t="s">
        <v>187</v>
      </c>
      <c r="T294" s="35" t="b">
        <v>1</v>
      </c>
      <c r="U294" s="36"/>
    </row>
    <row r="295" ht="30.0" customHeight="1">
      <c r="A295" s="24"/>
      <c r="B295" s="25">
        <v>2400.0</v>
      </c>
      <c r="C295" s="26" t="s">
        <v>21</v>
      </c>
      <c r="D295" s="27">
        <v>46044.0</v>
      </c>
      <c r="E295" s="28" t="str">
        <f t="shared" si="1"/>
        <v>2026</v>
      </c>
      <c r="F295" s="28" t="str">
        <f t="shared" si="2"/>
        <v>01 Jan</v>
      </c>
      <c r="G295" s="50" t="s">
        <v>67</v>
      </c>
      <c r="H295" s="29" t="s">
        <v>51</v>
      </c>
      <c r="I295" s="29" t="s">
        <v>252</v>
      </c>
      <c r="J295" s="26" t="s">
        <v>25</v>
      </c>
      <c r="K295" s="26" t="s">
        <v>39</v>
      </c>
      <c r="L295" s="28" t="str">
        <f t="shared" si="3"/>
        <v>PAKET KLINIK</v>
      </c>
      <c r="M295" s="26" t="s">
        <v>27</v>
      </c>
      <c r="N295" s="30">
        <v>650000.0</v>
      </c>
      <c r="O295" s="31">
        <v>0.0</v>
      </c>
      <c r="P295" s="32">
        <f t="array" ref="P295">IFNA(XLOOKUP(K295,'⚙️ Pengaturan'!$E$2:$E800,'⚙️ Pengaturan'!$F$2:$F800),"")</f>
        <v>650000</v>
      </c>
      <c r="Q295" s="33">
        <f t="shared" si="5"/>
        <v>0</v>
      </c>
      <c r="R295" s="26" t="s">
        <v>28</v>
      </c>
      <c r="S295" s="38" t="s">
        <v>252</v>
      </c>
      <c r="T295" s="35" t="b">
        <v>1</v>
      </c>
      <c r="U295" s="36"/>
    </row>
    <row r="296" ht="30.0" customHeight="1">
      <c r="A296" s="24"/>
      <c r="B296" s="25">
        <v>2401.0</v>
      </c>
      <c r="C296" s="26" t="s">
        <v>21</v>
      </c>
      <c r="D296" s="27">
        <v>46044.0</v>
      </c>
      <c r="E296" s="28" t="str">
        <f t="shared" si="1"/>
        <v>2026</v>
      </c>
      <c r="F296" s="28" t="str">
        <f t="shared" si="2"/>
        <v>01 Jan</v>
      </c>
      <c r="G296" s="50" t="s">
        <v>67</v>
      </c>
      <c r="H296" s="29" t="s">
        <v>58</v>
      </c>
      <c r="I296" s="29" t="s">
        <v>262</v>
      </c>
      <c r="J296" s="26" t="s">
        <v>25</v>
      </c>
      <c r="K296" s="26" t="s">
        <v>26</v>
      </c>
      <c r="L296" s="28" t="str">
        <f t="shared" si="3"/>
        <v>TA KLINIK</v>
      </c>
      <c r="M296" s="26" t="s">
        <v>27</v>
      </c>
      <c r="N296" s="30">
        <v>250000.0</v>
      </c>
      <c r="O296" s="31">
        <v>0.0</v>
      </c>
      <c r="P296" s="32">
        <f t="array" ref="P296">IFNA(XLOOKUP(K296,'⚙️ Pengaturan'!$E$2:$E800,'⚙️ Pengaturan'!$F$2:$F800),"")</f>
        <v>250000</v>
      </c>
      <c r="Q296" s="33">
        <f t="shared" si="5"/>
        <v>0</v>
      </c>
      <c r="R296" s="26" t="s">
        <v>33</v>
      </c>
      <c r="S296" s="38" t="s">
        <v>34</v>
      </c>
      <c r="T296" s="35" t="b">
        <v>1</v>
      </c>
      <c r="U296" s="36"/>
    </row>
    <row r="297" ht="30.0" customHeight="1">
      <c r="A297" s="24"/>
      <c r="B297" s="25">
        <v>2402.0</v>
      </c>
      <c r="C297" s="26" t="s">
        <v>21</v>
      </c>
      <c r="D297" s="27">
        <v>46044.0</v>
      </c>
      <c r="E297" s="28" t="str">
        <f t="shared" si="1"/>
        <v>2026</v>
      </c>
      <c r="F297" s="28" t="str">
        <f t="shared" si="2"/>
        <v>01 Jan</v>
      </c>
      <c r="G297" s="50" t="s">
        <v>22</v>
      </c>
      <c r="H297" s="29" t="s">
        <v>48</v>
      </c>
      <c r="I297" s="29" t="s">
        <v>248</v>
      </c>
      <c r="J297" s="26" t="s">
        <v>25</v>
      </c>
      <c r="K297" s="26" t="s">
        <v>39</v>
      </c>
      <c r="L297" s="28" t="str">
        <f t="shared" si="3"/>
        <v>PAKET KLINIK</v>
      </c>
      <c r="M297" s="26" t="s">
        <v>86</v>
      </c>
      <c r="N297" s="30">
        <v>200000.0</v>
      </c>
      <c r="O297" s="31">
        <v>0.0</v>
      </c>
      <c r="P297" s="32">
        <f t="array" ref="P297">IFNA(XLOOKUP(K297,'⚙️ Pengaturan'!$E$2:$E800,'⚙️ Pengaturan'!$F$2:$F800),"")</f>
        <v>650000</v>
      </c>
      <c r="Q297" s="33">
        <f t="shared" si="5"/>
        <v>-450000</v>
      </c>
      <c r="R297" s="26" t="s">
        <v>33</v>
      </c>
      <c r="S297" s="38" t="s">
        <v>34</v>
      </c>
      <c r="T297" s="35" t="b">
        <v>1</v>
      </c>
      <c r="U297" s="36"/>
    </row>
    <row r="298" ht="30.0" customHeight="1">
      <c r="A298" s="24"/>
      <c r="B298" s="25">
        <v>2403.0</v>
      </c>
      <c r="C298" s="26" t="s">
        <v>21</v>
      </c>
      <c r="D298" s="27">
        <v>46044.0</v>
      </c>
      <c r="E298" s="28" t="str">
        <f t="shared" si="1"/>
        <v>2026</v>
      </c>
      <c r="F298" s="28" t="str">
        <f t="shared" si="2"/>
        <v>01 Jan</v>
      </c>
      <c r="G298" s="50" t="s">
        <v>29</v>
      </c>
      <c r="H298" s="29" t="s">
        <v>51</v>
      </c>
      <c r="I298" s="29" t="s">
        <v>263</v>
      </c>
      <c r="J298" s="26" t="s">
        <v>25</v>
      </c>
      <c r="K298" s="26" t="s">
        <v>26</v>
      </c>
      <c r="L298" s="28" t="str">
        <f t="shared" si="3"/>
        <v>TA KLINIK</v>
      </c>
      <c r="M298" s="26" t="s">
        <v>27</v>
      </c>
      <c r="N298" s="30">
        <v>250000.0</v>
      </c>
      <c r="O298" s="31">
        <v>0.0</v>
      </c>
      <c r="P298" s="32">
        <f t="array" ref="P298">IFNA(XLOOKUP(K298,'⚙️ Pengaturan'!$E$2:$E800,'⚙️ Pengaturan'!$F$2:$F800),"")</f>
        <v>250000</v>
      </c>
      <c r="Q298" s="33">
        <f t="shared" si="5"/>
        <v>0</v>
      </c>
      <c r="R298" s="26" t="s">
        <v>33</v>
      </c>
      <c r="S298" s="38" t="s">
        <v>34</v>
      </c>
      <c r="T298" s="35" t="b">
        <v>1</v>
      </c>
      <c r="U298" s="36"/>
    </row>
    <row r="299" ht="30.0" customHeight="1">
      <c r="A299" s="24"/>
      <c r="B299" s="25">
        <v>2404.0</v>
      </c>
      <c r="C299" s="26" t="s">
        <v>21</v>
      </c>
      <c r="D299" s="27">
        <v>46044.0</v>
      </c>
      <c r="E299" s="28" t="str">
        <f t="shared" si="1"/>
        <v>2026</v>
      </c>
      <c r="F299" s="28" t="str">
        <f t="shared" si="2"/>
        <v>01 Jan</v>
      </c>
      <c r="G299" s="50" t="s">
        <v>82</v>
      </c>
      <c r="H299" s="29" t="s">
        <v>48</v>
      </c>
      <c r="I299" s="29" t="s">
        <v>230</v>
      </c>
      <c r="J299" s="26" t="s">
        <v>76</v>
      </c>
      <c r="K299" s="26" t="s">
        <v>32</v>
      </c>
      <c r="L299" s="28" t="str">
        <f t="shared" si="3"/>
        <v>SESI KLINIK</v>
      </c>
      <c r="M299" s="26" t="s">
        <v>27</v>
      </c>
      <c r="N299" s="30">
        <v>150000.0</v>
      </c>
      <c r="O299" s="31">
        <v>0.0</v>
      </c>
      <c r="P299" s="32">
        <f t="array" ref="P299">IFNA(XLOOKUP(K299,'⚙️ Pengaturan'!$E$2:$E800,'⚙️ Pengaturan'!$F$2:$F800),"")</f>
        <v>150000</v>
      </c>
      <c r="Q299" s="33">
        <f t="shared" si="5"/>
        <v>0</v>
      </c>
      <c r="R299" s="26" t="s">
        <v>33</v>
      </c>
      <c r="S299" s="38" t="s">
        <v>34</v>
      </c>
      <c r="T299" s="35" t="b">
        <v>1</v>
      </c>
      <c r="U299" s="36"/>
    </row>
    <row r="300" ht="30.0" customHeight="1">
      <c r="A300" s="24"/>
      <c r="B300" s="25">
        <v>2405.0</v>
      </c>
      <c r="C300" s="26" t="s">
        <v>21</v>
      </c>
      <c r="D300" s="27">
        <v>46044.0</v>
      </c>
      <c r="E300" s="28" t="str">
        <f t="shared" si="1"/>
        <v>2026</v>
      </c>
      <c r="F300" s="28" t="str">
        <f t="shared" si="2"/>
        <v>01 Jan</v>
      </c>
      <c r="G300" s="50" t="s">
        <v>29</v>
      </c>
      <c r="H300" s="29" t="s">
        <v>58</v>
      </c>
      <c r="I300" s="29" t="s">
        <v>264</v>
      </c>
      <c r="J300" s="26" t="s">
        <v>25</v>
      </c>
      <c r="K300" s="26" t="s">
        <v>26</v>
      </c>
      <c r="L300" s="28" t="str">
        <f t="shared" si="3"/>
        <v>TA KLINIK</v>
      </c>
      <c r="M300" s="26" t="s">
        <v>27</v>
      </c>
      <c r="N300" s="30">
        <v>250000.0</v>
      </c>
      <c r="O300" s="31">
        <v>0.0</v>
      </c>
      <c r="P300" s="32">
        <v>250000.0</v>
      </c>
      <c r="Q300" s="33">
        <f t="shared" si="5"/>
        <v>0</v>
      </c>
      <c r="R300" s="26" t="s">
        <v>33</v>
      </c>
      <c r="S300" s="38" t="s">
        <v>34</v>
      </c>
      <c r="T300" s="35" t="b">
        <v>1</v>
      </c>
      <c r="U300" s="36"/>
    </row>
    <row r="301" ht="30.0" customHeight="1">
      <c r="A301" s="24"/>
      <c r="B301" s="25">
        <v>2406.0</v>
      </c>
      <c r="C301" s="26" t="s">
        <v>40</v>
      </c>
      <c r="D301" s="27">
        <v>46044.0</v>
      </c>
      <c r="E301" s="28" t="str">
        <f t="shared" si="1"/>
        <v>2026</v>
      </c>
      <c r="F301" s="28" t="str">
        <f t="shared" si="2"/>
        <v>01 Jan</v>
      </c>
      <c r="G301" s="50" t="s">
        <v>46</v>
      </c>
      <c r="H301" s="29" t="s">
        <v>23</v>
      </c>
      <c r="I301" s="29" t="s">
        <v>265</v>
      </c>
      <c r="J301" s="26" t="s">
        <v>25</v>
      </c>
      <c r="K301" s="26" t="s">
        <v>26</v>
      </c>
      <c r="L301" s="28" t="str">
        <f t="shared" si="3"/>
        <v>TA KLINIK</v>
      </c>
      <c r="M301" s="26" t="s">
        <v>27</v>
      </c>
      <c r="N301" s="30">
        <v>250000.0</v>
      </c>
      <c r="O301" s="31">
        <v>0.0</v>
      </c>
      <c r="P301" s="32">
        <f t="array" ref="P301">IFNA(XLOOKUP(K301,'⚙️ Pengaturan'!$E$2:$E800,'⚙️ Pengaturan'!$F$2:$F800),"")</f>
        <v>250000</v>
      </c>
      <c r="Q301" s="33">
        <f t="shared" si="5"/>
        <v>0</v>
      </c>
      <c r="R301" s="26" t="s">
        <v>45</v>
      </c>
      <c r="S301" s="38" t="s">
        <v>265</v>
      </c>
      <c r="T301" s="35" t="b">
        <v>1</v>
      </c>
      <c r="U301" s="36"/>
    </row>
    <row r="302" ht="30.0" customHeight="1">
      <c r="A302" s="24"/>
      <c r="B302" s="25">
        <v>2407.0</v>
      </c>
      <c r="C302" s="26" t="s">
        <v>40</v>
      </c>
      <c r="D302" s="27">
        <v>46044.0</v>
      </c>
      <c r="E302" s="28" t="str">
        <f t="shared" si="1"/>
        <v>2026</v>
      </c>
      <c r="F302" s="28" t="str">
        <f t="shared" si="2"/>
        <v>01 Jan</v>
      </c>
      <c r="G302" s="50" t="s">
        <v>41</v>
      </c>
      <c r="H302" s="29" t="s">
        <v>70</v>
      </c>
      <c r="I302" s="29" t="s">
        <v>266</v>
      </c>
      <c r="J302" s="26" t="s">
        <v>25</v>
      </c>
      <c r="K302" s="26" t="s">
        <v>26</v>
      </c>
      <c r="L302" s="28" t="str">
        <f t="shared" si="3"/>
        <v>TA KLINIK</v>
      </c>
      <c r="M302" s="26" t="s">
        <v>27</v>
      </c>
      <c r="N302" s="30">
        <v>250000.0</v>
      </c>
      <c r="O302" s="31">
        <v>0.0</v>
      </c>
      <c r="P302" s="32">
        <f t="array" ref="P302">IFNA(XLOOKUP(K302,'⚙️ Pengaturan'!$E$2:$E800,'⚙️ Pengaturan'!$F$2:$F800),"")</f>
        <v>250000</v>
      </c>
      <c r="Q302" s="33">
        <f t="shared" si="5"/>
        <v>0</v>
      </c>
      <c r="R302" s="26" t="s">
        <v>33</v>
      </c>
      <c r="S302" s="38" t="s">
        <v>34</v>
      </c>
      <c r="T302" s="35" t="b">
        <v>1</v>
      </c>
      <c r="U302" s="36"/>
    </row>
    <row r="303" ht="30.0" customHeight="1">
      <c r="A303" s="24"/>
      <c r="B303" s="25">
        <v>2408.0</v>
      </c>
      <c r="C303" s="26" t="s">
        <v>40</v>
      </c>
      <c r="D303" s="27">
        <v>46044.0</v>
      </c>
      <c r="E303" s="28" t="str">
        <f t="shared" si="1"/>
        <v>2026</v>
      </c>
      <c r="F303" s="28" t="str">
        <f t="shared" si="2"/>
        <v>01 Jan</v>
      </c>
      <c r="G303" s="50" t="s">
        <v>41</v>
      </c>
      <c r="H303" s="29" t="s">
        <v>68</v>
      </c>
      <c r="I303" s="29" t="s">
        <v>94</v>
      </c>
      <c r="J303" s="26" t="s">
        <v>25</v>
      </c>
      <c r="K303" s="26" t="s">
        <v>32</v>
      </c>
      <c r="L303" s="28" t="str">
        <f t="shared" si="3"/>
        <v>SESI KLINIK</v>
      </c>
      <c r="M303" s="26" t="s">
        <v>27</v>
      </c>
      <c r="N303" s="30">
        <v>150000.0</v>
      </c>
      <c r="O303" s="31">
        <v>0.0</v>
      </c>
      <c r="P303" s="32">
        <f t="array" ref="P303">IFNA(XLOOKUP(K303,'⚙️ Pengaturan'!$E$2:$E800,'⚙️ Pengaturan'!$F$2:$F800),"")</f>
        <v>150000</v>
      </c>
      <c r="Q303" s="33">
        <f t="shared" si="5"/>
        <v>0</v>
      </c>
      <c r="R303" s="26" t="s">
        <v>113</v>
      </c>
      <c r="S303" s="38" t="s">
        <v>94</v>
      </c>
      <c r="T303" s="35" t="b">
        <v>1</v>
      </c>
      <c r="U303" s="36"/>
    </row>
    <row r="304" ht="30.0" customHeight="1">
      <c r="A304" s="24"/>
      <c r="B304" s="25">
        <v>2409.0</v>
      </c>
      <c r="C304" s="26" t="s">
        <v>40</v>
      </c>
      <c r="D304" s="27">
        <v>46044.0</v>
      </c>
      <c r="E304" s="28" t="str">
        <f t="shared" si="1"/>
        <v>2026</v>
      </c>
      <c r="F304" s="28" t="str">
        <f t="shared" si="2"/>
        <v>01 Jan</v>
      </c>
      <c r="G304" s="50" t="s">
        <v>53</v>
      </c>
      <c r="H304" s="29" t="s">
        <v>68</v>
      </c>
      <c r="I304" s="29" t="s">
        <v>267</v>
      </c>
      <c r="J304" s="26" t="s">
        <v>25</v>
      </c>
      <c r="K304" s="26" t="s">
        <v>26</v>
      </c>
      <c r="L304" s="28" t="str">
        <f t="shared" si="3"/>
        <v>TA KLINIK</v>
      </c>
      <c r="M304" s="26" t="s">
        <v>27</v>
      </c>
      <c r="N304" s="30">
        <v>250000.0</v>
      </c>
      <c r="O304" s="31">
        <v>0.0</v>
      </c>
      <c r="P304" s="32">
        <f t="array" ref="P304">IFNA(XLOOKUP(K304,'⚙️ Pengaturan'!$E$2:$E800,'⚙️ Pengaturan'!$F$2:$F800),"")</f>
        <v>250000</v>
      </c>
      <c r="Q304" s="33">
        <f t="shared" si="5"/>
        <v>0</v>
      </c>
      <c r="R304" s="26" t="s">
        <v>45</v>
      </c>
      <c r="S304" s="38" t="s">
        <v>267</v>
      </c>
      <c r="T304" s="35" t="b">
        <v>1</v>
      </c>
      <c r="U304" s="36"/>
    </row>
    <row r="305" ht="30.0" customHeight="1">
      <c r="A305" s="24"/>
      <c r="B305" s="25">
        <v>2410.0</v>
      </c>
      <c r="C305" s="26" t="s">
        <v>40</v>
      </c>
      <c r="D305" s="27">
        <v>46044.0</v>
      </c>
      <c r="E305" s="28" t="str">
        <f t="shared" si="1"/>
        <v>2026</v>
      </c>
      <c r="F305" s="28" t="str">
        <f t="shared" si="2"/>
        <v>01 Jan</v>
      </c>
      <c r="G305" s="50" t="s">
        <v>56</v>
      </c>
      <c r="H305" s="29" t="s">
        <v>70</v>
      </c>
      <c r="I305" s="29" t="s">
        <v>71</v>
      </c>
      <c r="J305" s="26" t="s">
        <v>25</v>
      </c>
      <c r="K305" s="26" t="s">
        <v>39</v>
      </c>
      <c r="L305" s="28" t="str">
        <f t="shared" si="3"/>
        <v>PAKET KLINIK</v>
      </c>
      <c r="M305" s="26" t="s">
        <v>27</v>
      </c>
      <c r="N305" s="30">
        <v>650000.0</v>
      </c>
      <c r="O305" s="31">
        <v>0.0</v>
      </c>
      <c r="P305" s="32">
        <f t="array" ref="P305">IFNA(XLOOKUP(K305,'⚙️ Pengaturan'!$E$2:$E800,'⚙️ Pengaturan'!$F$2:$F800),"")</f>
        <v>650000</v>
      </c>
      <c r="Q305" s="33">
        <f t="shared" si="5"/>
        <v>0</v>
      </c>
      <c r="R305" s="26" t="s">
        <v>28</v>
      </c>
      <c r="S305" s="38" t="s">
        <v>268</v>
      </c>
      <c r="T305" s="35" t="b">
        <v>1</v>
      </c>
      <c r="U305" s="36"/>
    </row>
    <row r="306" ht="30.0" customHeight="1">
      <c r="A306" s="24"/>
      <c r="B306" s="25">
        <v>2411.0</v>
      </c>
      <c r="C306" s="26" t="s">
        <v>40</v>
      </c>
      <c r="D306" s="27">
        <v>46044.0</v>
      </c>
      <c r="E306" s="28" t="str">
        <f t="shared" si="1"/>
        <v>2026</v>
      </c>
      <c r="F306" s="28" t="str">
        <f t="shared" si="2"/>
        <v>01 Jan</v>
      </c>
      <c r="G306" s="50" t="s">
        <v>61</v>
      </c>
      <c r="H306" s="29" t="s">
        <v>70</v>
      </c>
      <c r="I306" s="29" t="s">
        <v>164</v>
      </c>
      <c r="J306" s="26" t="s">
        <v>76</v>
      </c>
      <c r="K306" s="26" t="s">
        <v>32</v>
      </c>
      <c r="L306" s="28" t="str">
        <f t="shared" si="3"/>
        <v>SESI KLINIK</v>
      </c>
      <c r="M306" s="26" t="s">
        <v>27</v>
      </c>
      <c r="N306" s="30">
        <v>150000.0</v>
      </c>
      <c r="O306" s="31">
        <v>0.0</v>
      </c>
      <c r="P306" s="32">
        <f t="array" ref="P306">IFNA(XLOOKUP(K306,'⚙️ Pengaturan'!$E$2:$E800,'⚙️ Pengaturan'!$F$2:$F800),"")</f>
        <v>150000</v>
      </c>
      <c r="Q306" s="33">
        <f t="shared" si="5"/>
        <v>0</v>
      </c>
      <c r="R306" s="26" t="s">
        <v>33</v>
      </c>
      <c r="S306" s="38" t="s">
        <v>34</v>
      </c>
      <c r="T306" s="35" t="b">
        <v>1</v>
      </c>
      <c r="U306" s="36"/>
    </row>
    <row r="307" ht="30.0" customHeight="1">
      <c r="A307" s="24"/>
      <c r="B307" s="25">
        <v>2412.0</v>
      </c>
      <c r="C307" s="26" t="s">
        <v>118</v>
      </c>
      <c r="D307" s="27">
        <v>46045.0</v>
      </c>
      <c r="E307" s="28" t="str">
        <f t="shared" si="1"/>
        <v>2026</v>
      </c>
      <c r="F307" s="28" t="str">
        <f t="shared" si="2"/>
        <v>01 Jan</v>
      </c>
      <c r="G307" s="50" t="s">
        <v>46</v>
      </c>
      <c r="H307" s="29" t="s">
        <v>35</v>
      </c>
      <c r="I307" s="29" t="s">
        <v>269</v>
      </c>
      <c r="J307" s="26" t="s">
        <v>25</v>
      </c>
      <c r="K307" s="26" t="s">
        <v>26</v>
      </c>
      <c r="L307" s="28" t="str">
        <f t="shared" si="3"/>
        <v>TA KLINIK</v>
      </c>
      <c r="M307" s="26" t="s">
        <v>27</v>
      </c>
      <c r="N307" s="30">
        <v>250000.0</v>
      </c>
      <c r="O307" s="31">
        <v>0.0</v>
      </c>
      <c r="P307" s="32">
        <f t="array" ref="P307">IFNA(XLOOKUP(K307,'⚙️ Pengaturan'!$E$2:$E800,'⚙️ Pengaturan'!$F$2:$F800),"")</f>
        <v>250000</v>
      </c>
      <c r="Q307" s="33">
        <f t="shared" si="5"/>
        <v>0</v>
      </c>
      <c r="R307" s="26" t="s">
        <v>33</v>
      </c>
      <c r="S307" s="38" t="s">
        <v>34</v>
      </c>
      <c r="T307" s="35" t="b">
        <v>1</v>
      </c>
      <c r="U307" s="36"/>
    </row>
    <row r="308" ht="30.0" customHeight="1">
      <c r="A308" s="24"/>
      <c r="B308" s="25">
        <v>2413.0</v>
      </c>
      <c r="C308" s="26" t="s">
        <v>118</v>
      </c>
      <c r="D308" s="27">
        <v>46045.0</v>
      </c>
      <c r="E308" s="28" t="str">
        <f t="shared" si="1"/>
        <v>2026</v>
      </c>
      <c r="F308" s="28" t="str">
        <f t="shared" si="2"/>
        <v>01 Jan</v>
      </c>
      <c r="G308" s="50" t="s">
        <v>41</v>
      </c>
      <c r="H308" s="29" t="s">
        <v>42</v>
      </c>
      <c r="I308" s="29" t="s">
        <v>256</v>
      </c>
      <c r="J308" s="26" t="s">
        <v>25</v>
      </c>
      <c r="K308" s="26" t="s">
        <v>32</v>
      </c>
      <c r="L308" s="28" t="str">
        <f t="shared" si="3"/>
        <v>SESI KLINIK</v>
      </c>
      <c r="M308" s="26" t="s">
        <v>27</v>
      </c>
      <c r="N308" s="30">
        <v>150000.0</v>
      </c>
      <c r="O308" s="31">
        <v>0.0</v>
      </c>
      <c r="P308" s="32">
        <f t="array" ref="P308">IFNA(XLOOKUP(K308,'⚙️ Pengaturan'!$E$2:$E800,'⚙️ Pengaturan'!$F$2:$F800),"")</f>
        <v>150000</v>
      </c>
      <c r="Q308" s="33">
        <f t="shared" si="5"/>
        <v>0</v>
      </c>
      <c r="R308" s="26" t="s">
        <v>113</v>
      </c>
      <c r="S308" s="38" t="s">
        <v>256</v>
      </c>
      <c r="T308" s="35" t="b">
        <v>1</v>
      </c>
      <c r="U308" s="36"/>
    </row>
    <row r="309" ht="30.0" customHeight="1">
      <c r="A309" s="24"/>
      <c r="B309" s="25">
        <v>2414.0</v>
      </c>
      <c r="C309" s="26" t="s">
        <v>118</v>
      </c>
      <c r="D309" s="27">
        <v>46045.0</v>
      </c>
      <c r="E309" s="28" t="str">
        <f t="shared" si="1"/>
        <v>2026</v>
      </c>
      <c r="F309" s="28" t="str">
        <f t="shared" si="2"/>
        <v>01 Jan</v>
      </c>
      <c r="G309" s="50" t="s">
        <v>53</v>
      </c>
      <c r="H309" s="29" t="s">
        <v>35</v>
      </c>
      <c r="I309" s="29" t="s">
        <v>254</v>
      </c>
      <c r="J309" s="26" t="s">
        <v>25</v>
      </c>
      <c r="K309" s="26" t="s">
        <v>39</v>
      </c>
      <c r="L309" s="28" t="str">
        <f t="shared" si="3"/>
        <v>PAKET KLINIK</v>
      </c>
      <c r="M309" s="26" t="s">
        <v>27</v>
      </c>
      <c r="N309" s="30">
        <v>650000.0</v>
      </c>
      <c r="O309" s="31">
        <v>0.0</v>
      </c>
      <c r="P309" s="32">
        <f t="array" ref="P309">IFNA(XLOOKUP(K309,'⚙️ Pengaturan'!$E$2:$E800,'⚙️ Pengaturan'!$F$2:$F800),"")</f>
        <v>650000</v>
      </c>
      <c r="Q309" s="33">
        <f t="shared" si="5"/>
        <v>0</v>
      </c>
      <c r="R309" s="26" t="s">
        <v>28</v>
      </c>
      <c r="S309" s="38" t="s">
        <v>270</v>
      </c>
      <c r="T309" s="35" t="b">
        <v>1</v>
      </c>
      <c r="U309" s="36"/>
    </row>
    <row r="310" ht="30.0" customHeight="1">
      <c r="A310" s="24"/>
      <c r="B310" s="25">
        <v>2415.0</v>
      </c>
      <c r="C310" s="26" t="s">
        <v>118</v>
      </c>
      <c r="D310" s="27">
        <v>46045.0</v>
      </c>
      <c r="E310" s="28" t="str">
        <f t="shared" si="1"/>
        <v>2026</v>
      </c>
      <c r="F310" s="28" t="str">
        <f t="shared" si="2"/>
        <v>01 Jan</v>
      </c>
      <c r="G310" s="50" t="s">
        <v>56</v>
      </c>
      <c r="H310" s="29" t="s">
        <v>35</v>
      </c>
      <c r="I310" s="29" t="s">
        <v>271</v>
      </c>
      <c r="J310" s="26" t="s">
        <v>25</v>
      </c>
      <c r="K310" s="26" t="s">
        <v>26</v>
      </c>
      <c r="L310" s="28" t="str">
        <f t="shared" si="3"/>
        <v>TA KLINIK</v>
      </c>
      <c r="M310" s="26" t="s">
        <v>27</v>
      </c>
      <c r="N310" s="30">
        <v>250000.0</v>
      </c>
      <c r="O310" s="31">
        <v>0.0</v>
      </c>
      <c r="P310" s="32">
        <f t="array" ref="P310">IFNA(XLOOKUP(K310,'⚙️ Pengaturan'!$E$2:$E800,'⚙️ Pengaturan'!$F$2:$F800),"")</f>
        <v>250000</v>
      </c>
      <c r="Q310" s="33">
        <f t="shared" si="5"/>
        <v>0</v>
      </c>
      <c r="R310" s="26" t="s">
        <v>113</v>
      </c>
      <c r="S310" s="38" t="s">
        <v>271</v>
      </c>
      <c r="T310" s="35" t="b">
        <v>1</v>
      </c>
      <c r="U310" s="36"/>
    </row>
    <row r="311" ht="30.0" customHeight="1">
      <c r="A311" s="24"/>
      <c r="B311" s="25">
        <v>2416.0</v>
      </c>
      <c r="C311" s="26" t="s">
        <v>21</v>
      </c>
      <c r="D311" s="27">
        <v>46046.0</v>
      </c>
      <c r="E311" s="28" t="str">
        <f t="shared" si="1"/>
        <v>2026</v>
      </c>
      <c r="F311" s="28" t="str">
        <f t="shared" si="2"/>
        <v>01 Jan</v>
      </c>
      <c r="G311" s="50" t="s">
        <v>22</v>
      </c>
      <c r="H311" s="29" t="s">
        <v>42</v>
      </c>
      <c r="I311" s="29" t="s">
        <v>272</v>
      </c>
      <c r="J311" s="26" t="s">
        <v>25</v>
      </c>
      <c r="K311" s="26" t="s">
        <v>26</v>
      </c>
      <c r="L311" s="28" t="str">
        <f t="shared" si="3"/>
        <v>TA KLINIK</v>
      </c>
      <c r="M311" s="26" t="s">
        <v>27</v>
      </c>
      <c r="N311" s="30">
        <v>250000.0</v>
      </c>
      <c r="O311" s="31">
        <v>0.0</v>
      </c>
      <c r="P311" s="32">
        <f t="array" ref="P311">IFNA(XLOOKUP(K311,'⚙️ Pengaturan'!$E$2:$E800,'⚙️ Pengaturan'!$F$2:$F800),"")</f>
        <v>250000</v>
      </c>
      <c r="Q311" s="33">
        <f t="shared" si="5"/>
        <v>0</v>
      </c>
      <c r="R311" s="26" t="s">
        <v>33</v>
      </c>
      <c r="S311" s="38" t="s">
        <v>34</v>
      </c>
      <c r="T311" s="35" t="b">
        <v>1</v>
      </c>
      <c r="U311" s="36"/>
    </row>
    <row r="312" ht="30.0" customHeight="1">
      <c r="A312" s="24"/>
      <c r="B312" s="25">
        <v>2417.0</v>
      </c>
      <c r="C312" s="26" t="s">
        <v>21</v>
      </c>
      <c r="D312" s="27">
        <v>46046.0</v>
      </c>
      <c r="E312" s="28" t="str">
        <f t="shared" si="1"/>
        <v>2026</v>
      </c>
      <c r="F312" s="28" t="str">
        <f t="shared" si="2"/>
        <v>01 Jan</v>
      </c>
      <c r="G312" s="50" t="s">
        <v>22</v>
      </c>
      <c r="H312" s="29" t="s">
        <v>58</v>
      </c>
      <c r="I312" s="29" t="s">
        <v>227</v>
      </c>
      <c r="J312" s="26" t="s">
        <v>25</v>
      </c>
      <c r="K312" s="26" t="s">
        <v>39</v>
      </c>
      <c r="L312" s="28" t="str">
        <f t="shared" si="3"/>
        <v>PAKET KLINIK</v>
      </c>
      <c r="M312" s="26" t="s">
        <v>63</v>
      </c>
      <c r="N312" s="30">
        <v>450000.0</v>
      </c>
      <c r="O312" s="31">
        <v>200000.0</v>
      </c>
      <c r="P312" s="32">
        <f t="array" ref="P312">IFNA(XLOOKUP(K312,'⚙️ Pengaturan'!$E$2:$E800,'⚙️ Pengaturan'!$F$2:$F800),"")</f>
        <v>650000</v>
      </c>
      <c r="Q312" s="33">
        <f t="shared" si="5"/>
        <v>0</v>
      </c>
      <c r="R312" s="26" t="s">
        <v>33</v>
      </c>
      <c r="S312" s="38" t="s">
        <v>34</v>
      </c>
      <c r="T312" s="35" t="b">
        <v>1</v>
      </c>
      <c r="U312" s="36"/>
    </row>
    <row r="313" ht="30.0" customHeight="1">
      <c r="A313" s="24"/>
      <c r="B313" s="25">
        <v>2418.0</v>
      </c>
      <c r="C313" s="26" t="s">
        <v>21</v>
      </c>
      <c r="D313" s="27">
        <v>46046.0</v>
      </c>
      <c r="E313" s="28" t="str">
        <f t="shared" si="1"/>
        <v>2026</v>
      </c>
      <c r="F313" s="28" t="str">
        <f t="shared" si="2"/>
        <v>01 Jan</v>
      </c>
      <c r="G313" s="50" t="s">
        <v>29</v>
      </c>
      <c r="H313" s="29" t="s">
        <v>58</v>
      </c>
      <c r="I313" s="29" t="s">
        <v>273</v>
      </c>
      <c r="J313" s="62" t="s">
        <v>25</v>
      </c>
      <c r="K313" s="63" t="s">
        <v>26</v>
      </c>
      <c r="L313" s="64" t="str">
        <f t="shared" si="3"/>
        <v>TA KLINIK</v>
      </c>
      <c r="M313" s="65" t="s">
        <v>27</v>
      </c>
      <c r="N313" s="66">
        <v>250000.0</v>
      </c>
      <c r="O313" s="67">
        <v>0.0</v>
      </c>
      <c r="P313" s="32">
        <f t="array" ref="P313">IFNA(XLOOKUP(K313,'⚙️ Pengaturan'!$E$2:$E800,'⚙️ Pengaturan'!$F$2:$F800),"")</f>
        <v>250000</v>
      </c>
      <c r="Q313" s="33">
        <f t="shared" si="5"/>
        <v>0</v>
      </c>
      <c r="R313" s="26" t="s">
        <v>28</v>
      </c>
      <c r="S313" s="38" t="s">
        <v>273</v>
      </c>
      <c r="T313" s="35" t="b">
        <v>1</v>
      </c>
      <c r="U313" s="36"/>
    </row>
    <row r="314" ht="30.0" customHeight="1">
      <c r="A314" s="24"/>
      <c r="B314" s="25">
        <v>2419.0</v>
      </c>
      <c r="C314" s="26" t="s">
        <v>21</v>
      </c>
      <c r="D314" s="27">
        <v>46046.0</v>
      </c>
      <c r="E314" s="28" t="str">
        <f t="shared" si="1"/>
        <v>2026</v>
      </c>
      <c r="F314" s="28" t="str">
        <f t="shared" si="2"/>
        <v>01 Jan</v>
      </c>
      <c r="G314" s="50" t="s">
        <v>29</v>
      </c>
      <c r="H314" s="29" t="s">
        <v>51</v>
      </c>
      <c r="I314" s="29" t="s">
        <v>274</v>
      </c>
      <c r="J314" s="40" t="s">
        <v>25</v>
      </c>
      <c r="K314" s="40" t="s">
        <v>26</v>
      </c>
      <c r="L314" s="41" t="str">
        <f t="shared" si="3"/>
        <v>TA KLINIK</v>
      </c>
      <c r="M314" s="40" t="s">
        <v>27</v>
      </c>
      <c r="N314" s="42">
        <v>250000.0</v>
      </c>
      <c r="O314" s="43">
        <v>0.0</v>
      </c>
      <c r="P314" s="32">
        <f t="array" ref="P314">IFNA(XLOOKUP(K314,'⚙️ Pengaturan'!$E$2:$E800,'⚙️ Pengaturan'!$F$2:$F800),"")</f>
        <v>250000</v>
      </c>
      <c r="Q314" s="33">
        <f t="shared" si="5"/>
        <v>0</v>
      </c>
      <c r="R314" s="26" t="s">
        <v>33</v>
      </c>
      <c r="S314" s="38" t="s">
        <v>34</v>
      </c>
      <c r="T314" s="35" t="b">
        <v>1</v>
      </c>
      <c r="U314" s="36"/>
    </row>
    <row r="315" ht="30.0" customHeight="1">
      <c r="A315" s="24"/>
      <c r="B315" s="25">
        <v>2420.0</v>
      </c>
      <c r="C315" s="26" t="s">
        <v>21</v>
      </c>
      <c r="D315" s="27">
        <v>46046.0</v>
      </c>
      <c r="E315" s="28" t="str">
        <f t="shared" si="1"/>
        <v>2026</v>
      </c>
      <c r="F315" s="28" t="str">
        <f t="shared" si="2"/>
        <v>01 Jan</v>
      </c>
      <c r="G315" s="50" t="s">
        <v>22</v>
      </c>
      <c r="H315" s="29" t="s">
        <v>58</v>
      </c>
      <c r="I315" s="29" t="s">
        <v>248</v>
      </c>
      <c r="J315" s="26" t="s">
        <v>76</v>
      </c>
      <c r="K315" s="26" t="s">
        <v>39</v>
      </c>
      <c r="L315" s="28" t="str">
        <f t="shared" si="3"/>
        <v>PAKET KLINIK</v>
      </c>
      <c r="M315" s="26" t="s">
        <v>132</v>
      </c>
      <c r="N315" s="30">
        <v>100000.0</v>
      </c>
      <c r="O315" s="31">
        <v>200000.0</v>
      </c>
      <c r="P315" s="32">
        <f t="array" ref="P315">IFNA(XLOOKUP(K315,'⚙️ Pengaturan'!$E$2:$E800,'⚙️ Pengaturan'!$F$2:$F800),"")</f>
        <v>650000</v>
      </c>
      <c r="Q315" s="33">
        <f t="shared" si="5"/>
        <v>-350000</v>
      </c>
      <c r="R315" s="26" t="s">
        <v>33</v>
      </c>
      <c r="S315" s="38" t="s">
        <v>34</v>
      </c>
      <c r="T315" s="35" t="b">
        <v>1</v>
      </c>
      <c r="U315" s="36"/>
    </row>
    <row r="316" ht="30.0" customHeight="1">
      <c r="A316" s="24"/>
      <c r="B316" s="25">
        <v>2421.0</v>
      </c>
      <c r="C316" s="26" t="s">
        <v>21</v>
      </c>
      <c r="D316" s="27">
        <v>46046.0</v>
      </c>
      <c r="E316" s="28" t="str">
        <f t="shared" si="1"/>
        <v>2026</v>
      </c>
      <c r="F316" s="28" t="str">
        <f t="shared" si="2"/>
        <v>01 Jan</v>
      </c>
      <c r="G316" s="50" t="s">
        <v>29</v>
      </c>
      <c r="H316" s="29" t="s">
        <v>51</v>
      </c>
      <c r="I316" s="29" t="s">
        <v>52</v>
      </c>
      <c r="J316" s="26" t="s">
        <v>76</v>
      </c>
      <c r="K316" s="26" t="s">
        <v>32</v>
      </c>
      <c r="L316" s="28" t="str">
        <f t="shared" si="3"/>
        <v>SESI KLINIK</v>
      </c>
      <c r="M316" s="26" t="s">
        <v>27</v>
      </c>
      <c r="N316" s="30">
        <v>150000.0</v>
      </c>
      <c r="O316" s="31">
        <v>0.0</v>
      </c>
      <c r="P316" s="32">
        <f t="array" ref="P316">IFNA(XLOOKUP(K316,'⚙️ Pengaturan'!$E$2:$E800,'⚙️ Pengaturan'!$F$2:$F800),"")</f>
        <v>150000</v>
      </c>
      <c r="Q316" s="33">
        <f t="shared" si="5"/>
        <v>0</v>
      </c>
      <c r="R316" s="26" t="s">
        <v>33</v>
      </c>
      <c r="S316" s="38" t="s">
        <v>34</v>
      </c>
      <c r="T316" s="35" t="b">
        <v>1</v>
      </c>
      <c r="U316" s="36"/>
    </row>
    <row r="317" ht="30.0" customHeight="1">
      <c r="A317" s="24"/>
      <c r="B317" s="25">
        <v>2422.0</v>
      </c>
      <c r="C317" s="26" t="s">
        <v>40</v>
      </c>
      <c r="D317" s="27">
        <v>46046.0</v>
      </c>
      <c r="E317" s="28" t="str">
        <f t="shared" si="1"/>
        <v>2026</v>
      </c>
      <c r="F317" s="28" t="str">
        <f t="shared" si="2"/>
        <v>01 Jan</v>
      </c>
      <c r="G317" s="50" t="s">
        <v>46</v>
      </c>
      <c r="H317" s="29" t="s">
        <v>23</v>
      </c>
      <c r="I317" s="29" t="s">
        <v>275</v>
      </c>
      <c r="J317" s="26" t="s">
        <v>25</v>
      </c>
      <c r="K317" s="26" t="s">
        <v>39</v>
      </c>
      <c r="L317" s="28" t="str">
        <f t="shared" si="3"/>
        <v>PAKET KLINIK</v>
      </c>
      <c r="M317" s="26" t="s">
        <v>86</v>
      </c>
      <c r="N317" s="30">
        <v>200000.0</v>
      </c>
      <c r="O317" s="31">
        <v>0.0</v>
      </c>
      <c r="P317" s="32">
        <f t="array" ref="P317">IFNA(XLOOKUP(K317,'⚙️ Pengaturan'!$E$2:$E800,'⚙️ Pengaturan'!$F$2:$F800),"")</f>
        <v>650000</v>
      </c>
      <c r="Q317" s="33">
        <f t="shared" si="5"/>
        <v>-450000</v>
      </c>
      <c r="R317" s="26" t="s">
        <v>33</v>
      </c>
      <c r="S317" s="38" t="s">
        <v>34</v>
      </c>
      <c r="T317" s="35" t="b">
        <v>1</v>
      </c>
      <c r="U317" s="36"/>
    </row>
    <row r="318" ht="30.0" customHeight="1">
      <c r="A318" s="24"/>
      <c r="B318" s="25">
        <v>2423.0</v>
      </c>
      <c r="C318" s="26" t="s">
        <v>40</v>
      </c>
      <c r="D318" s="27">
        <v>46046.0</v>
      </c>
      <c r="E318" s="28" t="str">
        <f t="shared" si="1"/>
        <v>2026</v>
      </c>
      <c r="F318" s="28" t="str">
        <f t="shared" si="2"/>
        <v>01 Jan</v>
      </c>
      <c r="G318" s="50" t="s">
        <v>46</v>
      </c>
      <c r="H318" s="29" t="s">
        <v>68</v>
      </c>
      <c r="I318" s="29" t="s">
        <v>94</v>
      </c>
      <c r="J318" s="26" t="s">
        <v>76</v>
      </c>
      <c r="K318" s="26" t="s">
        <v>32</v>
      </c>
      <c r="L318" s="28" t="str">
        <f t="shared" si="3"/>
        <v>SESI KLINIK</v>
      </c>
      <c r="M318" s="26" t="s">
        <v>27</v>
      </c>
      <c r="N318" s="30">
        <v>150000.0</v>
      </c>
      <c r="O318" s="31">
        <v>0.0</v>
      </c>
      <c r="P318" s="32">
        <f t="array" ref="P318">IFNA(XLOOKUP(K318,'⚙️ Pengaturan'!$E$2:$E800,'⚙️ Pengaturan'!$F$2:$F800),"")</f>
        <v>150000</v>
      </c>
      <c r="Q318" s="33">
        <f t="shared" si="5"/>
        <v>0</v>
      </c>
      <c r="R318" s="26" t="s">
        <v>113</v>
      </c>
      <c r="S318" s="38" t="s">
        <v>94</v>
      </c>
      <c r="T318" s="35" t="b">
        <v>1</v>
      </c>
      <c r="U318" s="36"/>
    </row>
    <row r="319" ht="30.0" customHeight="1">
      <c r="A319" s="24"/>
      <c r="B319" s="25">
        <v>2424.0</v>
      </c>
      <c r="C319" s="26" t="s">
        <v>40</v>
      </c>
      <c r="D319" s="27">
        <v>46046.0</v>
      </c>
      <c r="E319" s="28" t="str">
        <f t="shared" si="1"/>
        <v>2026</v>
      </c>
      <c r="F319" s="28" t="str">
        <f t="shared" si="2"/>
        <v>01 Jan</v>
      </c>
      <c r="G319" s="50" t="s">
        <v>46</v>
      </c>
      <c r="H319" s="29" t="s">
        <v>70</v>
      </c>
      <c r="I319" s="29" t="s">
        <v>276</v>
      </c>
      <c r="J319" s="26" t="s">
        <v>25</v>
      </c>
      <c r="K319" s="26" t="s">
        <v>32</v>
      </c>
      <c r="L319" s="28" t="str">
        <f t="shared" si="3"/>
        <v>SESI KLINIK</v>
      </c>
      <c r="M319" s="26" t="s">
        <v>27</v>
      </c>
      <c r="N319" s="30">
        <v>150000.0</v>
      </c>
      <c r="O319" s="31">
        <v>0.0</v>
      </c>
      <c r="P319" s="32">
        <f t="array" ref="P319">IFNA(XLOOKUP(K319,'⚙️ Pengaturan'!$E$2:$E800,'⚙️ Pengaturan'!$F$2:$F800),"")</f>
        <v>150000</v>
      </c>
      <c r="Q319" s="33">
        <f t="shared" si="5"/>
        <v>0</v>
      </c>
      <c r="R319" s="26" t="s">
        <v>28</v>
      </c>
      <c r="S319" s="38" t="s">
        <v>276</v>
      </c>
      <c r="T319" s="35" t="b">
        <v>1</v>
      </c>
      <c r="U319" s="36"/>
    </row>
    <row r="320" ht="30.0" customHeight="1">
      <c r="A320" s="24"/>
      <c r="B320" s="25">
        <v>2425.0</v>
      </c>
      <c r="C320" s="26" t="s">
        <v>40</v>
      </c>
      <c r="D320" s="27">
        <v>46046.0</v>
      </c>
      <c r="E320" s="28" t="str">
        <f t="shared" si="1"/>
        <v>2026</v>
      </c>
      <c r="F320" s="28" t="str">
        <f t="shared" si="2"/>
        <v>01 Jan</v>
      </c>
      <c r="G320" s="50" t="s">
        <v>118</v>
      </c>
      <c r="H320" s="29" t="s">
        <v>58</v>
      </c>
      <c r="I320" s="29" t="s">
        <v>277</v>
      </c>
      <c r="J320" s="26" t="s">
        <v>25</v>
      </c>
      <c r="K320" s="26" t="s">
        <v>73</v>
      </c>
      <c r="L320" s="28" t="str">
        <f t="shared" si="3"/>
        <v>TA VISIT</v>
      </c>
      <c r="M320" s="26" t="s">
        <v>27</v>
      </c>
      <c r="N320" s="30">
        <v>350000.0</v>
      </c>
      <c r="O320" s="31">
        <v>0.0</v>
      </c>
      <c r="P320" s="32">
        <f t="array" ref="P320">IFNA(XLOOKUP(K320,'⚙️ Pengaturan'!$E$2:$E800,'⚙️ Pengaturan'!$F$2:$F800),"")</f>
        <v>350000</v>
      </c>
      <c r="Q320" s="33">
        <f t="shared" si="5"/>
        <v>0</v>
      </c>
      <c r="R320" s="26" t="s">
        <v>28</v>
      </c>
      <c r="S320" s="38" t="s">
        <v>278</v>
      </c>
      <c r="T320" s="35" t="b">
        <v>1</v>
      </c>
      <c r="U320" s="36"/>
    </row>
    <row r="321" ht="30.0" customHeight="1">
      <c r="A321" s="24"/>
      <c r="B321" s="25">
        <v>2426.0</v>
      </c>
      <c r="C321" s="26" t="s">
        <v>40</v>
      </c>
      <c r="D321" s="27">
        <v>46046.0</v>
      </c>
      <c r="E321" s="28" t="str">
        <f t="shared" si="1"/>
        <v>2026</v>
      </c>
      <c r="F321" s="28" t="str">
        <f t="shared" si="2"/>
        <v>01 Jan</v>
      </c>
      <c r="G321" s="50" t="s">
        <v>53</v>
      </c>
      <c r="H321" s="29" t="s">
        <v>23</v>
      </c>
      <c r="I321" s="29" t="s">
        <v>279</v>
      </c>
      <c r="J321" s="26" t="s">
        <v>25</v>
      </c>
      <c r="K321" s="26" t="s">
        <v>26</v>
      </c>
      <c r="L321" s="28" t="str">
        <f t="shared" si="3"/>
        <v>TA KLINIK</v>
      </c>
      <c r="M321" s="26" t="s">
        <v>27</v>
      </c>
      <c r="N321" s="30">
        <v>250000.0</v>
      </c>
      <c r="O321" s="31">
        <v>0.0</v>
      </c>
      <c r="P321" s="32">
        <f t="array" ref="P321">IFNA(XLOOKUP(K321,'⚙️ Pengaturan'!$E$2:$E800,'⚙️ Pengaturan'!$F$2:$F800),"")</f>
        <v>250000</v>
      </c>
      <c r="Q321" s="33">
        <f t="shared" si="5"/>
        <v>0</v>
      </c>
      <c r="R321" s="26" t="s">
        <v>33</v>
      </c>
      <c r="S321" s="38" t="s">
        <v>34</v>
      </c>
      <c r="T321" s="35" t="b">
        <v>1</v>
      </c>
      <c r="U321" s="36"/>
    </row>
    <row r="322" ht="30.0" customHeight="1">
      <c r="A322" s="24"/>
      <c r="B322" s="25">
        <v>2427.0</v>
      </c>
      <c r="C322" s="26" t="s">
        <v>40</v>
      </c>
      <c r="D322" s="27">
        <v>46046.0</v>
      </c>
      <c r="E322" s="28" t="str">
        <f t="shared" si="1"/>
        <v>2026</v>
      </c>
      <c r="F322" s="28" t="str">
        <f t="shared" si="2"/>
        <v>01 Jan</v>
      </c>
      <c r="G322" s="50" t="s">
        <v>95</v>
      </c>
      <c r="H322" s="29" t="s">
        <v>68</v>
      </c>
      <c r="I322" s="29" t="s">
        <v>235</v>
      </c>
      <c r="J322" s="26" t="s">
        <v>76</v>
      </c>
      <c r="K322" s="26" t="s">
        <v>39</v>
      </c>
      <c r="L322" s="28" t="str">
        <f t="shared" si="3"/>
        <v>PAKET KLINIK</v>
      </c>
      <c r="M322" s="26" t="s">
        <v>63</v>
      </c>
      <c r="N322" s="30">
        <v>400000.0</v>
      </c>
      <c r="O322" s="31">
        <v>250000.0</v>
      </c>
      <c r="P322" s="32">
        <f t="array" ref="P322">IFNA(XLOOKUP(K322,'⚙️ Pengaturan'!$E$2:$E800,'⚙️ Pengaturan'!$F$2:$F800),"")</f>
        <v>650000</v>
      </c>
      <c r="Q322" s="33">
        <f t="shared" si="5"/>
        <v>0</v>
      </c>
      <c r="R322" s="26" t="s">
        <v>33</v>
      </c>
      <c r="S322" s="38" t="s">
        <v>34</v>
      </c>
      <c r="T322" s="35" t="b">
        <v>1</v>
      </c>
      <c r="U322" s="36"/>
    </row>
    <row r="323" ht="30.0" customHeight="1">
      <c r="A323" s="24"/>
      <c r="B323" s="25">
        <v>2428.0</v>
      </c>
      <c r="C323" s="26" t="s">
        <v>40</v>
      </c>
      <c r="D323" s="27">
        <v>46046.0</v>
      </c>
      <c r="E323" s="28" t="str">
        <f t="shared" si="1"/>
        <v>2026</v>
      </c>
      <c r="F323" s="28" t="str">
        <f t="shared" si="2"/>
        <v>01 Jan</v>
      </c>
      <c r="G323" s="50" t="s">
        <v>56</v>
      </c>
      <c r="H323" s="29" t="s">
        <v>23</v>
      </c>
      <c r="I323" s="29" t="s">
        <v>280</v>
      </c>
      <c r="J323" s="26" t="s">
        <v>25</v>
      </c>
      <c r="K323" s="26" t="s">
        <v>26</v>
      </c>
      <c r="L323" s="28" t="str">
        <f t="shared" si="3"/>
        <v>TA KLINIK</v>
      </c>
      <c r="M323" s="26" t="s">
        <v>27</v>
      </c>
      <c r="N323" s="30">
        <v>250000.0</v>
      </c>
      <c r="O323" s="31">
        <v>0.0</v>
      </c>
      <c r="P323" s="32">
        <f t="array" ref="P323">IFNA(XLOOKUP(K323,'⚙️ Pengaturan'!$E$2:$E800,'⚙️ Pengaturan'!$F$2:$F800),"")</f>
        <v>250000</v>
      </c>
      <c r="Q323" s="33">
        <f t="shared" si="5"/>
        <v>0</v>
      </c>
      <c r="R323" s="26" t="s">
        <v>113</v>
      </c>
      <c r="S323" s="38" t="s">
        <v>280</v>
      </c>
      <c r="T323" s="35" t="b">
        <v>1</v>
      </c>
      <c r="U323" s="36"/>
    </row>
    <row r="324" ht="30.0" customHeight="1">
      <c r="A324" s="24"/>
      <c r="B324" s="25">
        <v>2429.0</v>
      </c>
      <c r="C324" s="26" t="s">
        <v>40</v>
      </c>
      <c r="D324" s="27">
        <v>46046.0</v>
      </c>
      <c r="E324" s="28" t="str">
        <f t="shared" si="1"/>
        <v>2026</v>
      </c>
      <c r="F324" s="28" t="str">
        <f t="shared" si="2"/>
        <v>01 Jan</v>
      </c>
      <c r="G324" s="50" t="s">
        <v>61</v>
      </c>
      <c r="H324" s="29" t="s">
        <v>23</v>
      </c>
      <c r="I324" s="29" t="s">
        <v>281</v>
      </c>
      <c r="J324" s="26" t="s">
        <v>25</v>
      </c>
      <c r="K324" s="26" t="s">
        <v>26</v>
      </c>
      <c r="L324" s="28" t="str">
        <f t="shared" si="3"/>
        <v>TA KLINIK</v>
      </c>
      <c r="M324" s="26" t="s">
        <v>27</v>
      </c>
      <c r="N324" s="30">
        <v>250000.0</v>
      </c>
      <c r="O324" s="31">
        <v>0.0</v>
      </c>
      <c r="P324" s="32">
        <f t="array" ref="P324">IFNA(XLOOKUP(K324,'⚙️ Pengaturan'!$E$2:$E800,'⚙️ Pengaturan'!$F$2:$F800),"")</f>
        <v>250000</v>
      </c>
      <c r="Q324" s="33">
        <f t="shared" si="5"/>
        <v>0</v>
      </c>
      <c r="R324" s="26" t="s">
        <v>33</v>
      </c>
      <c r="S324" s="38" t="s">
        <v>34</v>
      </c>
      <c r="T324" s="35" t="b">
        <v>1</v>
      </c>
      <c r="U324" s="36"/>
    </row>
    <row r="325" ht="30.0" customHeight="1">
      <c r="A325" s="24"/>
      <c r="B325" s="25">
        <v>2430.0</v>
      </c>
      <c r="C325" s="26" t="s">
        <v>40</v>
      </c>
      <c r="D325" s="27">
        <v>46046.0</v>
      </c>
      <c r="E325" s="28" t="str">
        <f t="shared" si="1"/>
        <v>2026</v>
      </c>
      <c r="F325" s="28" t="str">
        <f t="shared" si="2"/>
        <v>01 Jan</v>
      </c>
      <c r="G325" s="50" t="s">
        <v>61</v>
      </c>
      <c r="H325" s="29" t="s">
        <v>70</v>
      </c>
      <c r="I325" s="29" t="s">
        <v>282</v>
      </c>
      <c r="J325" s="26" t="s">
        <v>76</v>
      </c>
      <c r="K325" s="26" t="s">
        <v>39</v>
      </c>
      <c r="L325" s="28" t="str">
        <f t="shared" si="3"/>
        <v>PAKET KLINIK</v>
      </c>
      <c r="M325" s="26" t="s">
        <v>86</v>
      </c>
      <c r="N325" s="30">
        <v>250000.0</v>
      </c>
      <c r="O325" s="31">
        <v>0.0</v>
      </c>
      <c r="P325" s="32">
        <f t="array" ref="P325">IFNA(XLOOKUP(K325,'⚙️ Pengaturan'!$E$2:$E800,'⚙️ Pengaturan'!$F$2:$F800),"")</f>
        <v>650000</v>
      </c>
      <c r="Q325" s="33">
        <f t="shared" si="5"/>
        <v>-400000</v>
      </c>
      <c r="R325" s="26" t="s">
        <v>28</v>
      </c>
      <c r="S325" s="38" t="s">
        <v>283</v>
      </c>
      <c r="T325" s="35" t="b">
        <v>1</v>
      </c>
      <c r="U325" s="36"/>
    </row>
    <row r="326" ht="30.0" customHeight="1">
      <c r="A326" s="24"/>
      <c r="B326" s="25">
        <v>2431.0</v>
      </c>
      <c r="C326" s="26" t="s">
        <v>40</v>
      </c>
      <c r="D326" s="27">
        <v>46046.0</v>
      </c>
      <c r="E326" s="28" t="str">
        <f t="shared" si="1"/>
        <v>2026</v>
      </c>
      <c r="F326" s="28" t="str">
        <f t="shared" si="2"/>
        <v>01 Jan</v>
      </c>
      <c r="G326" s="50" t="s">
        <v>61</v>
      </c>
      <c r="H326" s="29" t="s">
        <v>68</v>
      </c>
      <c r="I326" s="29" t="s">
        <v>284</v>
      </c>
      <c r="J326" s="26" t="s">
        <v>25</v>
      </c>
      <c r="K326" s="26" t="s">
        <v>26</v>
      </c>
      <c r="L326" s="28" t="str">
        <f t="shared" si="3"/>
        <v>TA KLINIK</v>
      </c>
      <c r="M326" s="26" t="s">
        <v>27</v>
      </c>
      <c r="N326" s="30">
        <v>250000.0</v>
      </c>
      <c r="O326" s="31">
        <v>0.0</v>
      </c>
      <c r="P326" s="32">
        <f t="array" ref="P326">IFNA(XLOOKUP(K326,'⚙️ Pengaturan'!$E$2:$E800,'⚙️ Pengaturan'!$F$2:$F800),"")</f>
        <v>250000</v>
      </c>
      <c r="Q326" s="33">
        <f t="shared" si="5"/>
        <v>0</v>
      </c>
      <c r="R326" s="26" t="s">
        <v>28</v>
      </c>
      <c r="S326" s="38" t="s">
        <v>285</v>
      </c>
      <c r="T326" s="35" t="b">
        <v>1</v>
      </c>
      <c r="U326" s="36"/>
    </row>
    <row r="327" ht="30.0" customHeight="1">
      <c r="A327" s="24"/>
      <c r="B327" s="25">
        <v>2432.0</v>
      </c>
      <c r="C327" s="26" t="s">
        <v>40</v>
      </c>
      <c r="D327" s="27">
        <v>46047.0</v>
      </c>
      <c r="E327" s="28" t="str">
        <f t="shared" si="1"/>
        <v>2026</v>
      </c>
      <c r="F327" s="28" t="str">
        <f t="shared" si="2"/>
        <v>01 Jan</v>
      </c>
      <c r="G327" s="50" t="s">
        <v>118</v>
      </c>
      <c r="H327" s="29" t="s">
        <v>48</v>
      </c>
      <c r="I327" s="29" t="s">
        <v>207</v>
      </c>
      <c r="J327" s="26" t="s">
        <v>76</v>
      </c>
      <c r="K327" s="26" t="s">
        <v>92</v>
      </c>
      <c r="L327" s="28" t="str">
        <f t="shared" si="3"/>
        <v>SESI VISIT</v>
      </c>
      <c r="M327" s="26" t="s">
        <v>27</v>
      </c>
      <c r="N327" s="30">
        <v>200000.0</v>
      </c>
      <c r="O327" s="31">
        <v>0.0</v>
      </c>
      <c r="P327" s="32">
        <f t="array" ref="P327">IFNA(XLOOKUP(K327,'⚙️ Pengaturan'!$E$2:$E800,'⚙️ Pengaturan'!$F$2:$F800),"")</f>
        <v>200000</v>
      </c>
      <c r="Q327" s="33">
        <f t="shared" si="5"/>
        <v>0</v>
      </c>
      <c r="R327" s="26" t="s">
        <v>28</v>
      </c>
      <c r="S327" s="38" t="s">
        <v>219</v>
      </c>
      <c r="T327" s="35" t="b">
        <v>1</v>
      </c>
      <c r="U327" s="36"/>
    </row>
    <row r="328" ht="30.0" customHeight="1">
      <c r="A328" s="24"/>
      <c r="B328" s="25">
        <v>2433.0</v>
      </c>
      <c r="C328" s="26" t="s">
        <v>40</v>
      </c>
      <c r="D328" s="27">
        <v>46047.0</v>
      </c>
      <c r="E328" s="28" t="str">
        <f t="shared" si="1"/>
        <v>2026</v>
      </c>
      <c r="F328" s="28" t="str">
        <f t="shared" si="2"/>
        <v>01 Jan</v>
      </c>
      <c r="G328" s="50" t="s">
        <v>67</v>
      </c>
      <c r="H328" s="29" t="s">
        <v>68</v>
      </c>
      <c r="I328" s="29" t="s">
        <v>218</v>
      </c>
      <c r="J328" s="26" t="s">
        <v>76</v>
      </c>
      <c r="K328" s="26" t="s">
        <v>32</v>
      </c>
      <c r="L328" s="28" t="str">
        <f t="shared" si="3"/>
        <v>SESI KLINIK</v>
      </c>
      <c r="M328" s="26" t="s">
        <v>27</v>
      </c>
      <c r="N328" s="30">
        <v>150000.0</v>
      </c>
      <c r="O328" s="31">
        <v>0.0</v>
      </c>
      <c r="P328" s="32">
        <f t="array" ref="P328">IFNA(XLOOKUP(K328,'⚙️ Pengaturan'!$E$2:$E800,'⚙️ Pengaturan'!$F$2:$F800),"")</f>
        <v>150000</v>
      </c>
      <c r="Q328" s="33">
        <f t="shared" si="5"/>
        <v>0</v>
      </c>
      <c r="R328" s="26" t="s">
        <v>33</v>
      </c>
      <c r="S328" s="38" t="s">
        <v>34</v>
      </c>
      <c r="T328" s="35" t="b">
        <v>1</v>
      </c>
      <c r="U328" s="36"/>
    </row>
    <row r="329" ht="30.0" customHeight="1">
      <c r="A329" s="24"/>
      <c r="B329" s="25">
        <v>2434.0</v>
      </c>
      <c r="C329" s="26" t="s">
        <v>40</v>
      </c>
      <c r="D329" s="27">
        <v>46047.0</v>
      </c>
      <c r="E329" s="28" t="str">
        <f t="shared" si="1"/>
        <v>2026</v>
      </c>
      <c r="F329" s="28" t="str">
        <f t="shared" si="2"/>
        <v>01 Jan</v>
      </c>
      <c r="G329" s="50" t="s">
        <v>67</v>
      </c>
      <c r="H329" s="29" t="s">
        <v>30</v>
      </c>
      <c r="I329" s="29" t="s">
        <v>236</v>
      </c>
      <c r="J329" s="26" t="s">
        <v>76</v>
      </c>
      <c r="K329" s="26" t="s">
        <v>32</v>
      </c>
      <c r="L329" s="28" t="str">
        <f t="shared" si="3"/>
        <v>SESI KLINIK</v>
      </c>
      <c r="M329" s="26" t="s">
        <v>27</v>
      </c>
      <c r="N329" s="30">
        <v>150000.0</v>
      </c>
      <c r="O329" s="31">
        <v>0.0</v>
      </c>
      <c r="P329" s="32">
        <f t="array" ref="P329">IFNA(XLOOKUP(K329,'⚙️ Pengaturan'!$E$2:$E800,'⚙️ Pengaturan'!$F$2:$F800),"")</f>
        <v>150000</v>
      </c>
      <c r="Q329" s="33">
        <f t="shared" si="5"/>
        <v>0</v>
      </c>
      <c r="R329" s="26" t="s">
        <v>113</v>
      </c>
      <c r="S329" s="38" t="s">
        <v>236</v>
      </c>
      <c r="T329" s="35" t="b">
        <v>1</v>
      </c>
      <c r="U329" s="36"/>
    </row>
    <row r="330" ht="30.0" customHeight="1">
      <c r="A330" s="24"/>
      <c r="B330" s="25">
        <v>2435.0</v>
      </c>
      <c r="C330" s="26" t="s">
        <v>40</v>
      </c>
      <c r="D330" s="27">
        <v>46047.0</v>
      </c>
      <c r="E330" s="28" t="str">
        <f t="shared" si="1"/>
        <v>2026</v>
      </c>
      <c r="F330" s="28" t="str">
        <f t="shared" si="2"/>
        <v>01 Jan</v>
      </c>
      <c r="G330" s="50" t="s">
        <v>67</v>
      </c>
      <c r="H330" s="29" t="s">
        <v>70</v>
      </c>
      <c r="I330" s="29" t="s">
        <v>286</v>
      </c>
      <c r="J330" s="26" t="s">
        <v>25</v>
      </c>
      <c r="K330" s="26" t="s">
        <v>26</v>
      </c>
      <c r="L330" s="28" t="str">
        <f t="shared" si="3"/>
        <v>TA KLINIK</v>
      </c>
      <c r="M330" s="26" t="s">
        <v>27</v>
      </c>
      <c r="N330" s="30">
        <v>250000.0</v>
      </c>
      <c r="O330" s="31">
        <v>0.0</v>
      </c>
      <c r="P330" s="32">
        <f t="array" ref="P330">IFNA(XLOOKUP(K330,'⚙️ Pengaturan'!$E$2:$E800,'⚙️ Pengaturan'!$F$2:$F800),"")</f>
        <v>250000</v>
      </c>
      <c r="Q330" s="33">
        <f t="shared" si="5"/>
        <v>0</v>
      </c>
      <c r="R330" s="26" t="s">
        <v>33</v>
      </c>
      <c r="S330" s="38" t="s">
        <v>34</v>
      </c>
      <c r="T330" s="35" t="b">
        <v>1</v>
      </c>
      <c r="U330" s="36"/>
    </row>
    <row r="331" ht="30.0" customHeight="1">
      <c r="A331" s="24"/>
      <c r="B331" s="25">
        <v>2436.0</v>
      </c>
      <c r="C331" s="26" t="s">
        <v>40</v>
      </c>
      <c r="D331" s="27">
        <v>46047.0</v>
      </c>
      <c r="E331" s="28" t="str">
        <f t="shared" si="1"/>
        <v>2026</v>
      </c>
      <c r="F331" s="28" t="str">
        <f t="shared" si="2"/>
        <v>01 Jan</v>
      </c>
      <c r="G331" s="50" t="s">
        <v>22</v>
      </c>
      <c r="H331" s="29" t="s">
        <v>70</v>
      </c>
      <c r="I331" s="29" t="s">
        <v>287</v>
      </c>
      <c r="J331" s="26" t="s">
        <v>25</v>
      </c>
      <c r="K331" s="26" t="s">
        <v>26</v>
      </c>
      <c r="L331" s="28" t="str">
        <f t="shared" si="3"/>
        <v>TA KLINIK</v>
      </c>
      <c r="M331" s="26" t="s">
        <v>27</v>
      </c>
      <c r="N331" s="30">
        <v>250000.0</v>
      </c>
      <c r="O331" s="31">
        <v>0.0</v>
      </c>
      <c r="P331" s="32">
        <f t="array" ref="P331">IFNA(XLOOKUP(K331,'⚙️ Pengaturan'!$E$2:$E800,'⚙️ Pengaturan'!$F$2:$F800),"")</f>
        <v>250000</v>
      </c>
      <c r="Q331" s="33">
        <f t="shared" si="5"/>
        <v>0</v>
      </c>
      <c r="R331" s="26" t="s">
        <v>33</v>
      </c>
      <c r="S331" s="38" t="s">
        <v>34</v>
      </c>
      <c r="T331" s="35" t="b">
        <v>1</v>
      </c>
      <c r="U331" s="36"/>
    </row>
    <row r="332" ht="30.0" customHeight="1">
      <c r="A332" s="24"/>
      <c r="B332" s="25">
        <v>2437.0</v>
      </c>
      <c r="C332" s="26" t="s">
        <v>40</v>
      </c>
      <c r="D332" s="27">
        <v>46047.0</v>
      </c>
      <c r="E332" s="28" t="str">
        <f t="shared" si="1"/>
        <v>2026</v>
      </c>
      <c r="F332" s="28" t="str">
        <f t="shared" si="2"/>
        <v>01 Jan</v>
      </c>
      <c r="G332" s="50" t="s">
        <v>29</v>
      </c>
      <c r="H332" s="29" t="s">
        <v>68</v>
      </c>
      <c r="I332" s="29" t="s">
        <v>288</v>
      </c>
      <c r="J332" s="26" t="s">
        <v>25</v>
      </c>
      <c r="K332" s="26" t="s">
        <v>26</v>
      </c>
      <c r="L332" s="28" t="str">
        <f t="shared" si="3"/>
        <v>TA KLINIK</v>
      </c>
      <c r="M332" s="26" t="s">
        <v>27</v>
      </c>
      <c r="N332" s="30">
        <v>250000.0</v>
      </c>
      <c r="O332" s="31">
        <v>0.0</v>
      </c>
      <c r="P332" s="32">
        <f t="array" ref="P332">IFNA(XLOOKUP(K332,'⚙️ Pengaturan'!$E$2:$E800,'⚙️ Pengaturan'!$F$2:$F800),"")</f>
        <v>250000</v>
      </c>
      <c r="Q332" s="33">
        <f t="shared" si="5"/>
        <v>0</v>
      </c>
      <c r="R332" s="26" t="s">
        <v>28</v>
      </c>
      <c r="S332" s="38" t="s">
        <v>288</v>
      </c>
      <c r="T332" s="35" t="b">
        <v>1</v>
      </c>
      <c r="U332" s="36"/>
    </row>
    <row r="333" ht="30.0" customHeight="1">
      <c r="A333" s="24"/>
      <c r="B333" s="25">
        <v>2438.0</v>
      </c>
      <c r="C333" s="26" t="s">
        <v>40</v>
      </c>
      <c r="D333" s="27">
        <v>46047.0</v>
      </c>
      <c r="E333" s="28" t="str">
        <f t="shared" si="1"/>
        <v>2026</v>
      </c>
      <c r="F333" s="28" t="str">
        <f t="shared" si="2"/>
        <v>01 Jan</v>
      </c>
      <c r="G333" s="50" t="s">
        <v>82</v>
      </c>
      <c r="H333" s="29" t="s">
        <v>30</v>
      </c>
      <c r="I333" s="29" t="s">
        <v>289</v>
      </c>
      <c r="J333" s="26" t="s">
        <v>25</v>
      </c>
      <c r="K333" s="26" t="s">
        <v>26</v>
      </c>
      <c r="L333" s="28" t="str">
        <f t="shared" si="3"/>
        <v>TA KLINIK</v>
      </c>
      <c r="M333" s="26" t="s">
        <v>27</v>
      </c>
      <c r="N333" s="30">
        <v>250000.0</v>
      </c>
      <c r="O333" s="31">
        <v>0.0</v>
      </c>
      <c r="P333" s="32">
        <f t="array" ref="P333">IFNA(XLOOKUP(K333,'⚙️ Pengaturan'!$E$2:$E800,'⚙️ Pengaturan'!$F$2:$F800),"")</f>
        <v>250000</v>
      </c>
      <c r="Q333" s="33">
        <f t="shared" si="5"/>
        <v>0</v>
      </c>
      <c r="R333" s="26" t="s">
        <v>28</v>
      </c>
      <c r="S333" s="38" t="s">
        <v>289</v>
      </c>
      <c r="T333" s="35" t="b">
        <v>1</v>
      </c>
      <c r="U333" s="36"/>
    </row>
    <row r="334" ht="30.0" customHeight="1">
      <c r="A334" s="24"/>
      <c r="B334" s="25">
        <v>2439.0</v>
      </c>
      <c r="C334" s="26" t="s">
        <v>40</v>
      </c>
      <c r="D334" s="27">
        <v>46047.0</v>
      </c>
      <c r="E334" s="28" t="str">
        <f t="shared" si="1"/>
        <v>2026</v>
      </c>
      <c r="F334" s="28" t="str">
        <f t="shared" si="2"/>
        <v>01 Jan</v>
      </c>
      <c r="G334" s="50" t="s">
        <v>82</v>
      </c>
      <c r="H334" s="29" t="s">
        <v>35</v>
      </c>
      <c r="I334" s="29" t="s">
        <v>290</v>
      </c>
      <c r="J334" s="26" t="s">
        <v>25</v>
      </c>
      <c r="K334" s="26" t="s">
        <v>26</v>
      </c>
      <c r="L334" s="28" t="str">
        <f t="shared" si="3"/>
        <v>TA KLINIK</v>
      </c>
      <c r="M334" s="26" t="s">
        <v>27</v>
      </c>
      <c r="N334" s="30">
        <v>250000.0</v>
      </c>
      <c r="O334" s="31">
        <v>0.0</v>
      </c>
      <c r="P334" s="32">
        <f t="array" ref="P334">IFNA(XLOOKUP(K334,'⚙️ Pengaturan'!$E$2:$E800,'⚙️ Pengaturan'!$F$2:$F800),"")</f>
        <v>250000</v>
      </c>
      <c r="Q334" s="33">
        <f t="shared" si="5"/>
        <v>0</v>
      </c>
      <c r="R334" s="26"/>
      <c r="S334" s="38"/>
      <c r="T334" s="35" t="b">
        <v>0</v>
      </c>
      <c r="U334" s="36" t="s">
        <v>291</v>
      </c>
    </row>
    <row r="335" ht="30.0" customHeight="1">
      <c r="A335" s="24"/>
      <c r="B335" s="25">
        <v>2440.0</v>
      </c>
      <c r="C335" s="26" t="s">
        <v>40</v>
      </c>
      <c r="D335" s="27">
        <v>46047.0</v>
      </c>
      <c r="E335" s="28" t="str">
        <f t="shared" si="1"/>
        <v>2026</v>
      </c>
      <c r="F335" s="28" t="str">
        <f t="shared" si="2"/>
        <v>01 Jan</v>
      </c>
      <c r="G335" s="50" t="s">
        <v>82</v>
      </c>
      <c r="H335" s="29" t="s">
        <v>68</v>
      </c>
      <c r="I335" s="29" t="s">
        <v>292</v>
      </c>
      <c r="J335" s="26" t="s">
        <v>25</v>
      </c>
      <c r="K335" s="26" t="s">
        <v>26</v>
      </c>
      <c r="L335" s="28" t="str">
        <f t="shared" si="3"/>
        <v>TA KLINIK</v>
      </c>
      <c r="M335" s="26" t="s">
        <v>27</v>
      </c>
      <c r="N335" s="30">
        <v>250000.0</v>
      </c>
      <c r="O335" s="31">
        <v>0.0</v>
      </c>
      <c r="P335" s="32">
        <f t="array" ref="P335">IFNA(XLOOKUP(K335,'⚙️ Pengaturan'!$E$2:$E800,'⚙️ Pengaturan'!$F$2:$F800),"")</f>
        <v>250000</v>
      </c>
      <c r="Q335" s="33">
        <f t="shared" si="5"/>
        <v>0</v>
      </c>
      <c r="R335" s="26" t="s">
        <v>33</v>
      </c>
      <c r="S335" s="38" t="s">
        <v>34</v>
      </c>
      <c r="T335" s="35" t="b">
        <v>1</v>
      </c>
      <c r="U335" s="36"/>
    </row>
    <row r="336" ht="30.0" customHeight="1">
      <c r="A336" s="24"/>
      <c r="B336" s="25">
        <v>2441.0</v>
      </c>
      <c r="C336" s="26" t="s">
        <v>40</v>
      </c>
      <c r="D336" s="27">
        <v>46047.0</v>
      </c>
      <c r="E336" s="28" t="str">
        <f t="shared" si="1"/>
        <v>2026</v>
      </c>
      <c r="F336" s="28" t="str">
        <f t="shared" si="2"/>
        <v>01 Jan</v>
      </c>
      <c r="G336" s="50" t="s">
        <v>37</v>
      </c>
      <c r="H336" s="29" t="s">
        <v>30</v>
      </c>
      <c r="I336" s="29" t="s">
        <v>293</v>
      </c>
      <c r="J336" s="26" t="s">
        <v>25</v>
      </c>
      <c r="K336" s="26" t="s">
        <v>26</v>
      </c>
      <c r="L336" s="28" t="str">
        <f t="shared" si="3"/>
        <v>TA KLINIK</v>
      </c>
      <c r="M336" s="26" t="s">
        <v>27</v>
      </c>
      <c r="N336" s="30">
        <v>250000.0</v>
      </c>
      <c r="O336" s="31">
        <v>0.0</v>
      </c>
      <c r="P336" s="32">
        <f t="array" ref="P336">IFNA(XLOOKUP(K336,'⚙️ Pengaturan'!$E$2:$E800,'⚙️ Pengaturan'!$F$2:$F800),"")</f>
        <v>250000</v>
      </c>
      <c r="Q336" s="33">
        <f t="shared" si="5"/>
        <v>0</v>
      </c>
      <c r="R336" s="26" t="s">
        <v>45</v>
      </c>
      <c r="S336" s="38" t="s">
        <v>293</v>
      </c>
      <c r="T336" s="35" t="b">
        <v>1</v>
      </c>
      <c r="U336" s="36"/>
    </row>
    <row r="337" ht="30.0" customHeight="1">
      <c r="A337" s="24"/>
      <c r="B337" s="25">
        <v>2442.0</v>
      </c>
      <c r="C337" s="26" t="s">
        <v>40</v>
      </c>
      <c r="D337" s="27">
        <v>46047.0</v>
      </c>
      <c r="E337" s="28" t="str">
        <f t="shared" si="1"/>
        <v>2026</v>
      </c>
      <c r="F337" s="28" t="str">
        <f t="shared" si="2"/>
        <v>01 Jan</v>
      </c>
      <c r="G337" s="50" t="s">
        <v>46</v>
      </c>
      <c r="H337" s="29" t="s">
        <v>51</v>
      </c>
      <c r="I337" s="29" t="s">
        <v>294</v>
      </c>
      <c r="J337" s="26" t="s">
        <v>25</v>
      </c>
      <c r="K337" s="26" t="s">
        <v>26</v>
      </c>
      <c r="L337" s="28" t="str">
        <f t="shared" si="3"/>
        <v>TA KLINIK</v>
      </c>
      <c r="M337" s="26" t="s">
        <v>27</v>
      </c>
      <c r="N337" s="30">
        <v>250000.0</v>
      </c>
      <c r="O337" s="31">
        <v>0.0</v>
      </c>
      <c r="P337" s="32">
        <f t="array" ref="P337">IFNA(XLOOKUP(K337,'⚙️ Pengaturan'!$E$2:$E800,'⚙️ Pengaturan'!$F$2:$F800),"")</f>
        <v>250000</v>
      </c>
      <c r="Q337" s="33">
        <f t="shared" si="5"/>
        <v>0</v>
      </c>
      <c r="R337" s="26" t="s">
        <v>33</v>
      </c>
      <c r="S337" s="38" t="s">
        <v>34</v>
      </c>
      <c r="T337" s="35" t="b">
        <v>1</v>
      </c>
      <c r="U337" s="36"/>
    </row>
    <row r="338" ht="30.0" customHeight="1">
      <c r="A338" s="24"/>
      <c r="B338" s="25">
        <v>2443.0</v>
      </c>
      <c r="C338" s="26" t="s">
        <v>40</v>
      </c>
      <c r="D338" s="27">
        <v>46047.0</v>
      </c>
      <c r="E338" s="28" t="str">
        <f t="shared" si="1"/>
        <v>2026</v>
      </c>
      <c r="F338" s="28" t="str">
        <f t="shared" si="2"/>
        <v>01 Jan</v>
      </c>
      <c r="G338" s="50" t="s">
        <v>46</v>
      </c>
      <c r="H338" s="29" t="s">
        <v>48</v>
      </c>
      <c r="I338" s="29" t="s">
        <v>295</v>
      </c>
      <c r="J338" s="26" t="s">
        <v>25</v>
      </c>
      <c r="K338" s="26" t="s">
        <v>26</v>
      </c>
      <c r="L338" s="28" t="str">
        <f t="shared" si="3"/>
        <v>TA KLINIK</v>
      </c>
      <c r="M338" s="26" t="s">
        <v>27</v>
      </c>
      <c r="N338" s="30">
        <v>250000.0</v>
      </c>
      <c r="O338" s="31">
        <v>0.0</v>
      </c>
      <c r="P338" s="32">
        <f t="array" ref="P338">IFNA(XLOOKUP(K338,'⚙️ Pengaturan'!$E$2:$E800,'⚙️ Pengaturan'!$F$2:$F800),"")</f>
        <v>250000</v>
      </c>
      <c r="Q338" s="33">
        <f t="shared" si="5"/>
        <v>0</v>
      </c>
      <c r="R338" s="26" t="s">
        <v>45</v>
      </c>
      <c r="S338" s="38" t="s">
        <v>296</v>
      </c>
      <c r="T338" s="35" t="b">
        <v>1</v>
      </c>
      <c r="U338" s="36" t="s">
        <v>297</v>
      </c>
    </row>
    <row r="339" ht="30.0" customHeight="1">
      <c r="A339" s="24"/>
      <c r="B339" s="25">
        <v>2444.0</v>
      </c>
      <c r="C339" s="26" t="s">
        <v>40</v>
      </c>
      <c r="D339" s="27">
        <v>46047.0</v>
      </c>
      <c r="E339" s="28" t="str">
        <f t="shared" si="1"/>
        <v>2026</v>
      </c>
      <c r="F339" s="28" t="str">
        <f t="shared" si="2"/>
        <v>01 Jan</v>
      </c>
      <c r="G339" s="50" t="s">
        <v>46</v>
      </c>
      <c r="H339" s="29" t="s">
        <v>48</v>
      </c>
      <c r="I339" s="29" t="s">
        <v>295</v>
      </c>
      <c r="J339" s="26" t="s">
        <v>25</v>
      </c>
      <c r="K339" s="26" t="s">
        <v>39</v>
      </c>
      <c r="L339" s="28" t="str">
        <f t="shared" si="3"/>
        <v>PAKET KLINIK</v>
      </c>
      <c r="M339" s="26" t="s">
        <v>27</v>
      </c>
      <c r="N339" s="30">
        <v>650000.0</v>
      </c>
      <c r="O339" s="31">
        <v>0.0</v>
      </c>
      <c r="P339" s="32">
        <f t="array" ref="P339">IFNA(XLOOKUP(K339,'⚙️ Pengaturan'!$E$2:$E800,'⚙️ Pengaturan'!$F$2:$F800),"")</f>
        <v>650000</v>
      </c>
      <c r="Q339" s="33">
        <f t="shared" si="5"/>
        <v>0</v>
      </c>
      <c r="R339" s="26" t="s">
        <v>45</v>
      </c>
      <c r="S339" s="38" t="s">
        <v>296</v>
      </c>
      <c r="T339" s="35" t="b">
        <v>1</v>
      </c>
      <c r="U339" s="36" t="s">
        <v>297</v>
      </c>
    </row>
    <row r="340" ht="30.0" customHeight="1">
      <c r="A340" s="24"/>
      <c r="B340" s="25">
        <v>2445.0</v>
      </c>
      <c r="C340" s="26" t="s">
        <v>21</v>
      </c>
      <c r="D340" s="27">
        <v>46047.0</v>
      </c>
      <c r="E340" s="28" t="str">
        <f t="shared" si="1"/>
        <v>2026</v>
      </c>
      <c r="F340" s="28" t="str">
        <f t="shared" si="2"/>
        <v>01 Jan</v>
      </c>
      <c r="G340" s="50" t="s">
        <v>41</v>
      </c>
      <c r="H340" s="29" t="s">
        <v>23</v>
      </c>
      <c r="I340" s="29" t="s">
        <v>233</v>
      </c>
      <c r="J340" s="26" t="s">
        <v>76</v>
      </c>
      <c r="K340" s="26" t="s">
        <v>39</v>
      </c>
      <c r="L340" s="28" t="str">
        <f t="shared" si="3"/>
        <v>PAKET KLINIK</v>
      </c>
      <c r="M340" s="26" t="s">
        <v>63</v>
      </c>
      <c r="N340" s="30">
        <v>450000.0</v>
      </c>
      <c r="O340" s="31">
        <v>200000.0</v>
      </c>
      <c r="P340" s="32">
        <f t="array" ref="P340">IFNA(XLOOKUP(K340,'⚙️ Pengaturan'!$E$2:$E800,'⚙️ Pengaturan'!$F$2:$F800),"")</f>
        <v>650000</v>
      </c>
      <c r="Q340" s="33">
        <f t="shared" si="5"/>
        <v>0</v>
      </c>
      <c r="R340" s="26" t="s">
        <v>28</v>
      </c>
      <c r="S340" s="38" t="s">
        <v>233</v>
      </c>
      <c r="T340" s="35" t="b">
        <v>1</v>
      </c>
      <c r="U340" s="36"/>
    </row>
    <row r="341" ht="30.0" customHeight="1">
      <c r="A341" s="24"/>
      <c r="B341" s="25">
        <v>2446.0</v>
      </c>
      <c r="C341" s="26" t="s">
        <v>21</v>
      </c>
      <c r="D341" s="27">
        <v>46047.0</v>
      </c>
      <c r="E341" s="28" t="str">
        <f t="shared" si="1"/>
        <v>2026</v>
      </c>
      <c r="F341" s="28" t="str">
        <f t="shared" si="2"/>
        <v>01 Jan</v>
      </c>
      <c r="G341" s="50" t="s">
        <v>41</v>
      </c>
      <c r="H341" s="29" t="s">
        <v>58</v>
      </c>
      <c r="I341" s="29" t="s">
        <v>262</v>
      </c>
      <c r="J341" s="26" t="s">
        <v>25</v>
      </c>
      <c r="K341" s="26" t="s">
        <v>39</v>
      </c>
      <c r="L341" s="28" t="str">
        <f t="shared" si="3"/>
        <v>PAKET KLINIK</v>
      </c>
      <c r="M341" s="26" t="s">
        <v>27</v>
      </c>
      <c r="N341" s="30">
        <v>650000.0</v>
      </c>
      <c r="O341" s="31">
        <v>0.0</v>
      </c>
      <c r="P341" s="32">
        <f t="array" ref="P341">IFNA(XLOOKUP(K341,'⚙️ Pengaturan'!$E$2:$E800,'⚙️ Pengaturan'!$F$2:$F800),"")</f>
        <v>650000</v>
      </c>
      <c r="Q341" s="33">
        <f t="shared" si="5"/>
        <v>0</v>
      </c>
      <c r="R341" s="26" t="s">
        <v>28</v>
      </c>
      <c r="S341" s="38" t="s">
        <v>262</v>
      </c>
      <c r="T341" s="35" t="b">
        <v>1</v>
      </c>
      <c r="U341" s="38"/>
    </row>
    <row r="342" ht="30.0" customHeight="1">
      <c r="A342" s="24"/>
      <c r="B342" s="25">
        <v>2447.0</v>
      </c>
      <c r="C342" s="26" t="s">
        <v>21</v>
      </c>
      <c r="D342" s="27">
        <v>46047.0</v>
      </c>
      <c r="E342" s="28" t="str">
        <f t="shared" si="1"/>
        <v>2026</v>
      </c>
      <c r="F342" s="28" t="str">
        <f t="shared" si="2"/>
        <v>01 Jan</v>
      </c>
      <c r="G342" s="50" t="s">
        <v>53</v>
      </c>
      <c r="H342" s="29" t="s">
        <v>48</v>
      </c>
      <c r="I342" s="29" t="s">
        <v>260</v>
      </c>
      <c r="J342" s="26" t="s">
        <v>25</v>
      </c>
      <c r="K342" s="26" t="s">
        <v>39</v>
      </c>
      <c r="L342" s="28" t="str">
        <f t="shared" si="3"/>
        <v>PAKET KLINIK</v>
      </c>
      <c r="M342" s="26" t="s">
        <v>27</v>
      </c>
      <c r="N342" s="30">
        <v>650000.0</v>
      </c>
      <c r="O342" s="31">
        <v>0.0</v>
      </c>
      <c r="P342" s="32">
        <f t="array" ref="P342">IFNA(XLOOKUP(K342,'⚙️ Pengaturan'!$E$2:$E800,'⚙️ Pengaturan'!$F$2:$F800),"")</f>
        <v>650000</v>
      </c>
      <c r="Q342" s="33">
        <f t="shared" si="5"/>
        <v>0</v>
      </c>
      <c r="R342" s="26" t="s">
        <v>28</v>
      </c>
      <c r="S342" s="38" t="s">
        <v>260</v>
      </c>
      <c r="T342" s="35" t="b">
        <v>1</v>
      </c>
      <c r="U342" s="38"/>
    </row>
    <row r="343" ht="30.0" customHeight="1">
      <c r="A343" s="24"/>
      <c r="B343" s="25">
        <v>2448.0</v>
      </c>
      <c r="C343" s="26" t="s">
        <v>21</v>
      </c>
      <c r="D343" s="27">
        <v>46047.0</v>
      </c>
      <c r="E343" s="28" t="str">
        <f t="shared" si="1"/>
        <v>2026</v>
      </c>
      <c r="F343" s="28" t="str">
        <f t="shared" si="2"/>
        <v>01 Jan</v>
      </c>
      <c r="G343" s="50" t="s">
        <v>53</v>
      </c>
      <c r="H343" s="29" t="s">
        <v>58</v>
      </c>
      <c r="I343" s="29" t="s">
        <v>264</v>
      </c>
      <c r="J343" s="26" t="s">
        <v>25</v>
      </c>
      <c r="K343" s="26" t="s">
        <v>39</v>
      </c>
      <c r="L343" s="28" t="str">
        <f t="shared" si="3"/>
        <v>PAKET KLINIK</v>
      </c>
      <c r="M343" s="26" t="s">
        <v>27</v>
      </c>
      <c r="N343" s="30">
        <v>650000.0</v>
      </c>
      <c r="O343" s="31">
        <v>0.0</v>
      </c>
      <c r="P343" s="32">
        <f t="array" ref="P343">IFNA(XLOOKUP(K343,'⚙️ Pengaturan'!$E$2:$E800,'⚙️ Pengaturan'!$F$2:$F800),"")</f>
        <v>650000</v>
      </c>
      <c r="Q343" s="33">
        <f t="shared" si="5"/>
        <v>0</v>
      </c>
      <c r="R343" s="26" t="s">
        <v>33</v>
      </c>
      <c r="S343" s="38" t="s">
        <v>34</v>
      </c>
      <c r="T343" s="35" t="b">
        <v>1</v>
      </c>
      <c r="U343" s="36" t="s">
        <v>34</v>
      </c>
    </row>
    <row r="344" ht="30.0" customHeight="1">
      <c r="A344" s="24"/>
      <c r="B344" s="25">
        <v>2449.0</v>
      </c>
      <c r="C344" s="26" t="s">
        <v>21</v>
      </c>
      <c r="D344" s="27">
        <v>46047.0</v>
      </c>
      <c r="E344" s="28" t="str">
        <f t="shared" si="1"/>
        <v>2026</v>
      </c>
      <c r="F344" s="28" t="str">
        <f t="shared" si="2"/>
        <v>01 Jan</v>
      </c>
      <c r="G344" s="50" t="s">
        <v>53</v>
      </c>
      <c r="H344" s="29" t="s">
        <v>23</v>
      </c>
      <c r="I344" s="29" t="s">
        <v>284</v>
      </c>
      <c r="J344" s="26" t="s">
        <v>25</v>
      </c>
      <c r="K344" s="26" t="s">
        <v>32</v>
      </c>
      <c r="L344" s="28" t="str">
        <f t="shared" si="3"/>
        <v>SESI KLINIK</v>
      </c>
      <c r="M344" s="26" t="s">
        <v>27</v>
      </c>
      <c r="N344" s="30">
        <v>150000.0</v>
      </c>
      <c r="O344" s="31">
        <v>0.0</v>
      </c>
      <c r="P344" s="32">
        <f t="array" ref="P344">IFNA(XLOOKUP(K344,'⚙️ Pengaturan'!$E$2:$E800,'⚙️ Pengaturan'!$F$2:$F800),"")</f>
        <v>150000</v>
      </c>
      <c r="Q344" s="33">
        <f t="shared" si="5"/>
        <v>0</v>
      </c>
      <c r="R344" s="26" t="s">
        <v>28</v>
      </c>
      <c r="S344" s="38" t="s">
        <v>298</v>
      </c>
      <c r="T344" s="35" t="b">
        <v>1</v>
      </c>
      <c r="U344" s="36"/>
    </row>
    <row r="345" ht="30.0" customHeight="1">
      <c r="A345" s="24"/>
      <c r="B345" s="25">
        <v>2450.0</v>
      </c>
      <c r="C345" s="26" t="s">
        <v>21</v>
      </c>
      <c r="D345" s="27">
        <v>46047.0</v>
      </c>
      <c r="E345" s="28" t="str">
        <f t="shared" si="1"/>
        <v>2026</v>
      </c>
      <c r="F345" s="28" t="str">
        <f t="shared" si="2"/>
        <v>01 Jan</v>
      </c>
      <c r="G345" s="50" t="s">
        <v>53</v>
      </c>
      <c r="H345" s="29" t="s">
        <v>23</v>
      </c>
      <c r="I345" s="29" t="s">
        <v>299</v>
      </c>
      <c r="J345" s="26" t="s">
        <v>25</v>
      </c>
      <c r="K345" s="26" t="s">
        <v>26</v>
      </c>
      <c r="L345" s="28" t="str">
        <f t="shared" si="3"/>
        <v>TA KLINIK</v>
      </c>
      <c r="M345" s="26" t="s">
        <v>27</v>
      </c>
      <c r="N345" s="30">
        <v>250000.0</v>
      </c>
      <c r="O345" s="31">
        <v>0.0</v>
      </c>
      <c r="P345" s="32">
        <f t="array" ref="P345">IFNA(XLOOKUP(K345,'⚙️ Pengaturan'!$E$2:$E800,'⚙️ Pengaturan'!$F$2:$F800),"")</f>
        <v>250000</v>
      </c>
      <c r="Q345" s="33">
        <f t="shared" si="5"/>
        <v>0</v>
      </c>
      <c r="R345" s="26" t="s">
        <v>45</v>
      </c>
      <c r="S345" s="38" t="s">
        <v>300</v>
      </c>
      <c r="T345" s="35" t="b">
        <v>1</v>
      </c>
      <c r="U345" s="36"/>
    </row>
    <row r="346" ht="30.0" customHeight="1">
      <c r="A346" s="24"/>
      <c r="B346" s="25">
        <v>2451.0</v>
      </c>
      <c r="C346" s="26" t="s">
        <v>21</v>
      </c>
      <c r="D346" s="27">
        <v>46047.0</v>
      </c>
      <c r="E346" s="28" t="str">
        <f t="shared" si="1"/>
        <v>2026</v>
      </c>
      <c r="F346" s="28" t="str">
        <f t="shared" si="2"/>
        <v>01 Jan</v>
      </c>
      <c r="G346" s="50" t="s">
        <v>53</v>
      </c>
      <c r="H346" s="29" t="s">
        <v>51</v>
      </c>
      <c r="I346" s="29" t="s">
        <v>189</v>
      </c>
      <c r="J346" s="26" t="s">
        <v>76</v>
      </c>
      <c r="K346" s="26" t="s">
        <v>39</v>
      </c>
      <c r="L346" s="28" t="str">
        <f t="shared" si="3"/>
        <v>PAKET KLINIK</v>
      </c>
      <c r="M346" s="26" t="s">
        <v>27</v>
      </c>
      <c r="N346" s="30">
        <v>0.0</v>
      </c>
      <c r="O346" s="31">
        <v>650000.0</v>
      </c>
      <c r="P346" s="32">
        <v>650000.0</v>
      </c>
      <c r="Q346" s="33">
        <f t="shared" si="5"/>
        <v>0</v>
      </c>
      <c r="R346" s="26" t="s">
        <v>33</v>
      </c>
      <c r="S346" s="38" t="s">
        <v>34</v>
      </c>
      <c r="T346" s="35" t="b">
        <v>1</v>
      </c>
      <c r="U346" s="36" t="s">
        <v>301</v>
      </c>
    </row>
    <row r="347" ht="30.0" customHeight="1">
      <c r="A347" s="24"/>
      <c r="B347" s="25">
        <v>2452.0</v>
      </c>
      <c r="C347" s="26" t="s">
        <v>21</v>
      </c>
      <c r="D347" s="27">
        <v>46047.0</v>
      </c>
      <c r="E347" s="28" t="str">
        <f t="shared" si="1"/>
        <v>2026</v>
      </c>
      <c r="F347" s="28" t="str">
        <f t="shared" si="2"/>
        <v>01 Jan</v>
      </c>
      <c r="G347" s="50" t="s">
        <v>95</v>
      </c>
      <c r="H347" s="29" t="s">
        <v>23</v>
      </c>
      <c r="I347" s="29" t="s">
        <v>302</v>
      </c>
      <c r="J347" s="26" t="s">
        <v>25</v>
      </c>
      <c r="K347" s="26" t="s">
        <v>26</v>
      </c>
      <c r="L347" s="28" t="str">
        <f t="shared" si="3"/>
        <v>TA KLINIK</v>
      </c>
      <c r="M347" s="26" t="s">
        <v>27</v>
      </c>
      <c r="N347" s="30">
        <v>250000.0</v>
      </c>
      <c r="O347" s="31">
        <v>0.0</v>
      </c>
      <c r="P347" s="32">
        <f t="array" ref="P347">IFNA(XLOOKUP(K347,'⚙️ Pengaturan'!$E$2:$E800,'⚙️ Pengaturan'!$F$2:$F800),"")</f>
        <v>250000</v>
      </c>
      <c r="Q347" s="33">
        <f t="shared" si="5"/>
        <v>0</v>
      </c>
      <c r="R347" s="26" t="s">
        <v>33</v>
      </c>
      <c r="S347" s="38" t="s">
        <v>34</v>
      </c>
      <c r="T347" s="35" t="b">
        <v>1</v>
      </c>
      <c r="U347" s="36"/>
    </row>
    <row r="348" ht="30.0" customHeight="1">
      <c r="A348" s="24"/>
      <c r="B348" s="25">
        <v>2453.0</v>
      </c>
      <c r="C348" s="26" t="s">
        <v>21</v>
      </c>
      <c r="D348" s="27">
        <v>46047.0</v>
      </c>
      <c r="E348" s="28" t="str">
        <f t="shared" si="1"/>
        <v>2026</v>
      </c>
      <c r="F348" s="28" t="str">
        <f t="shared" si="2"/>
        <v>01 Jan</v>
      </c>
      <c r="G348" s="50" t="s">
        <v>95</v>
      </c>
      <c r="H348" s="29" t="s">
        <v>58</v>
      </c>
      <c r="I348" s="29" t="s">
        <v>303</v>
      </c>
      <c r="J348" s="26" t="s">
        <v>25</v>
      </c>
      <c r="K348" s="26" t="s">
        <v>26</v>
      </c>
      <c r="L348" s="28" t="str">
        <f t="shared" si="3"/>
        <v>TA KLINIK</v>
      </c>
      <c r="M348" s="26" t="s">
        <v>27</v>
      </c>
      <c r="N348" s="30">
        <v>250000.0</v>
      </c>
      <c r="O348" s="31">
        <v>0.0</v>
      </c>
      <c r="P348" s="32">
        <f t="array" ref="P348">IFNA(XLOOKUP(K348,'⚙️ Pengaturan'!$E$2:$E800,'⚙️ Pengaturan'!$F$2:$F800),"")</f>
        <v>250000</v>
      </c>
      <c r="Q348" s="33">
        <f t="shared" si="5"/>
        <v>0</v>
      </c>
      <c r="R348" s="26" t="s">
        <v>45</v>
      </c>
      <c r="S348" s="38" t="s">
        <v>303</v>
      </c>
      <c r="T348" s="35" t="b">
        <v>1</v>
      </c>
      <c r="U348" s="36"/>
    </row>
    <row r="349" ht="30.0" customHeight="1">
      <c r="A349" s="24"/>
      <c r="B349" s="25">
        <v>2454.0</v>
      </c>
      <c r="C349" s="26" t="s">
        <v>21</v>
      </c>
      <c r="D349" s="27">
        <v>46047.0</v>
      </c>
      <c r="E349" s="28" t="str">
        <f t="shared" si="1"/>
        <v>2026</v>
      </c>
      <c r="F349" s="28" t="str">
        <f t="shared" si="2"/>
        <v>01 Jan</v>
      </c>
      <c r="G349" s="50" t="s">
        <v>95</v>
      </c>
      <c r="H349" s="29" t="s">
        <v>51</v>
      </c>
      <c r="I349" s="29" t="s">
        <v>208</v>
      </c>
      <c r="J349" s="26" t="s">
        <v>25</v>
      </c>
      <c r="K349" s="26" t="s">
        <v>32</v>
      </c>
      <c r="L349" s="28" t="str">
        <f t="shared" si="3"/>
        <v>SESI KLINIK</v>
      </c>
      <c r="M349" s="26" t="s">
        <v>27</v>
      </c>
      <c r="N349" s="30">
        <v>150000.0</v>
      </c>
      <c r="O349" s="31">
        <v>0.0</v>
      </c>
      <c r="P349" s="32">
        <f t="array" ref="P349">IFNA(XLOOKUP(K349,'⚙️ Pengaturan'!$E$2:$E800,'⚙️ Pengaturan'!$F$2:$F800),"")</f>
        <v>150000</v>
      </c>
      <c r="Q349" s="33">
        <f t="shared" si="5"/>
        <v>0</v>
      </c>
      <c r="R349" s="26" t="s">
        <v>33</v>
      </c>
      <c r="S349" s="38" t="s">
        <v>34</v>
      </c>
      <c r="T349" s="35" t="b">
        <v>1</v>
      </c>
      <c r="U349" s="36"/>
    </row>
    <row r="350" ht="30.0" customHeight="1">
      <c r="A350" s="24"/>
      <c r="B350" s="25">
        <v>2455.0</v>
      </c>
      <c r="C350" s="26" t="s">
        <v>21</v>
      </c>
      <c r="D350" s="27">
        <v>46048.0</v>
      </c>
      <c r="E350" s="28" t="str">
        <f t="shared" si="1"/>
        <v>2026</v>
      </c>
      <c r="F350" s="28" t="str">
        <f t="shared" si="2"/>
        <v>01 Jan</v>
      </c>
      <c r="G350" s="50" t="s">
        <v>67</v>
      </c>
      <c r="H350" s="29" t="s">
        <v>51</v>
      </c>
      <c r="I350" s="29" t="s">
        <v>304</v>
      </c>
      <c r="J350" s="26" t="s">
        <v>25</v>
      </c>
      <c r="K350" s="26" t="s">
        <v>26</v>
      </c>
      <c r="L350" s="28" t="str">
        <f t="shared" si="3"/>
        <v>TA KLINIK</v>
      </c>
      <c r="M350" s="26" t="s">
        <v>27</v>
      </c>
      <c r="N350" s="30">
        <v>250000.0</v>
      </c>
      <c r="O350" s="31">
        <v>0.0</v>
      </c>
      <c r="P350" s="32">
        <f t="array" ref="P350">IFNA(XLOOKUP(K350,'⚙️ Pengaturan'!$E$2:$E800,'⚙️ Pengaturan'!$F$2:$F800),"")</f>
        <v>250000</v>
      </c>
      <c r="Q350" s="33">
        <f t="shared" si="5"/>
        <v>0</v>
      </c>
      <c r="R350" s="26" t="s">
        <v>33</v>
      </c>
      <c r="S350" s="38" t="s">
        <v>34</v>
      </c>
      <c r="T350" s="35" t="b">
        <v>1</v>
      </c>
      <c r="U350" s="36"/>
    </row>
    <row r="351" ht="30.0" customHeight="1">
      <c r="A351" s="24"/>
      <c r="B351" s="25">
        <v>2456.0</v>
      </c>
      <c r="C351" s="26" t="s">
        <v>21</v>
      </c>
      <c r="D351" s="27">
        <v>46048.0</v>
      </c>
      <c r="E351" s="28" t="str">
        <f t="shared" si="1"/>
        <v>2026</v>
      </c>
      <c r="F351" s="28" t="str">
        <f t="shared" si="2"/>
        <v>01 Jan</v>
      </c>
      <c r="G351" s="50" t="s">
        <v>67</v>
      </c>
      <c r="H351" s="29" t="s">
        <v>42</v>
      </c>
      <c r="I351" s="29" t="s">
        <v>272</v>
      </c>
      <c r="J351" s="26" t="s">
        <v>25</v>
      </c>
      <c r="K351" s="26" t="s">
        <v>32</v>
      </c>
      <c r="L351" s="28" t="str">
        <f t="shared" si="3"/>
        <v>SESI KLINIK</v>
      </c>
      <c r="M351" s="26" t="s">
        <v>27</v>
      </c>
      <c r="N351" s="30">
        <v>150000.0</v>
      </c>
      <c r="O351" s="31">
        <v>0.0</v>
      </c>
      <c r="P351" s="32">
        <f t="array" ref="P351">IFNA(XLOOKUP(K351,'⚙️ Pengaturan'!$E$2:$E800,'⚙️ Pengaturan'!$F$2:$F800),"")</f>
        <v>150000</v>
      </c>
      <c r="Q351" s="33">
        <f t="shared" si="5"/>
        <v>0</v>
      </c>
      <c r="R351" s="26" t="s">
        <v>33</v>
      </c>
      <c r="S351" s="38" t="s">
        <v>34</v>
      </c>
      <c r="T351" s="35" t="b">
        <v>1</v>
      </c>
      <c r="U351" s="36"/>
    </row>
    <row r="352" ht="30.0" customHeight="1">
      <c r="A352" s="24"/>
      <c r="B352" s="25">
        <v>2457.0</v>
      </c>
      <c r="C352" s="26" t="s">
        <v>21</v>
      </c>
      <c r="D352" s="27">
        <v>46048.0</v>
      </c>
      <c r="E352" s="28" t="str">
        <f t="shared" si="1"/>
        <v>2026</v>
      </c>
      <c r="F352" s="28" t="str">
        <f t="shared" si="2"/>
        <v>01 Jan</v>
      </c>
      <c r="G352" s="50" t="s">
        <v>67</v>
      </c>
      <c r="H352" s="29" t="s">
        <v>58</v>
      </c>
      <c r="I352" s="29" t="s">
        <v>305</v>
      </c>
      <c r="J352" s="26" t="s">
        <v>25</v>
      </c>
      <c r="K352" s="26" t="s">
        <v>26</v>
      </c>
      <c r="L352" s="28" t="str">
        <f t="shared" si="3"/>
        <v>TA KLINIK</v>
      </c>
      <c r="M352" s="26" t="s">
        <v>27</v>
      </c>
      <c r="N352" s="30">
        <v>250000.0</v>
      </c>
      <c r="O352" s="31">
        <v>0.0</v>
      </c>
      <c r="P352" s="32">
        <f t="array" ref="P352">IFNA(XLOOKUP(K352,'⚙️ Pengaturan'!$E$2:$E800,'⚙️ Pengaturan'!$F$2:$F800),"")</f>
        <v>250000</v>
      </c>
      <c r="Q352" s="33">
        <f t="shared" si="5"/>
        <v>0</v>
      </c>
      <c r="R352" s="26" t="s">
        <v>33</v>
      </c>
      <c r="S352" s="38" t="s">
        <v>34</v>
      </c>
      <c r="T352" s="35" t="b">
        <v>1</v>
      </c>
      <c r="U352" s="36"/>
    </row>
    <row r="353" ht="30.0" customHeight="1">
      <c r="A353" s="24"/>
      <c r="B353" s="25">
        <v>2458.0</v>
      </c>
      <c r="C353" s="26" t="s">
        <v>21</v>
      </c>
      <c r="D353" s="27">
        <v>46048.0</v>
      </c>
      <c r="E353" s="28" t="str">
        <f t="shared" si="1"/>
        <v>2026</v>
      </c>
      <c r="F353" s="28" t="str">
        <f t="shared" si="2"/>
        <v>01 Jan</v>
      </c>
      <c r="G353" s="50" t="s">
        <v>29</v>
      </c>
      <c r="H353" s="29" t="s">
        <v>48</v>
      </c>
      <c r="I353" s="29" t="s">
        <v>94</v>
      </c>
      <c r="J353" s="26" t="s">
        <v>76</v>
      </c>
      <c r="K353" s="26" t="s">
        <v>32</v>
      </c>
      <c r="L353" s="28" t="str">
        <f t="shared" si="3"/>
        <v>SESI KLINIK</v>
      </c>
      <c r="M353" s="26" t="s">
        <v>27</v>
      </c>
      <c r="N353" s="30">
        <v>150000.0</v>
      </c>
      <c r="O353" s="31">
        <v>0.0</v>
      </c>
      <c r="P353" s="32">
        <f t="array" ref="P353">IFNA(XLOOKUP(K353,'⚙️ Pengaturan'!$E$2:$E800,'⚙️ Pengaturan'!$F$2:$F800),"")</f>
        <v>150000</v>
      </c>
      <c r="Q353" s="33">
        <f t="shared" si="5"/>
        <v>0</v>
      </c>
      <c r="R353" s="26" t="s">
        <v>113</v>
      </c>
      <c r="S353" s="38" t="s">
        <v>94</v>
      </c>
      <c r="T353" s="35" t="b">
        <v>1</v>
      </c>
      <c r="U353" s="36"/>
    </row>
    <row r="354" ht="30.0" customHeight="1">
      <c r="A354" s="24"/>
      <c r="B354" s="25">
        <v>2459.0</v>
      </c>
      <c r="C354" s="26" t="s">
        <v>21</v>
      </c>
      <c r="D354" s="27">
        <v>46048.0</v>
      </c>
      <c r="E354" s="28" t="str">
        <f t="shared" si="1"/>
        <v>2026</v>
      </c>
      <c r="F354" s="28" t="str">
        <f t="shared" si="2"/>
        <v>01 Jan</v>
      </c>
      <c r="G354" s="50" t="s">
        <v>29</v>
      </c>
      <c r="H354" s="29" t="s">
        <v>35</v>
      </c>
      <c r="I354" s="29" t="s">
        <v>271</v>
      </c>
      <c r="J354" s="26" t="s">
        <v>25</v>
      </c>
      <c r="K354" s="26" t="s">
        <v>32</v>
      </c>
      <c r="L354" s="28" t="str">
        <f t="shared" si="3"/>
        <v>SESI KLINIK</v>
      </c>
      <c r="M354" s="26" t="s">
        <v>27</v>
      </c>
      <c r="N354" s="30">
        <v>150000.0</v>
      </c>
      <c r="O354" s="31">
        <v>0.0</v>
      </c>
      <c r="P354" s="32">
        <f t="array" ref="P354">IFNA(XLOOKUP(K354,'⚙️ Pengaturan'!$E$2:$E800,'⚙️ Pengaturan'!$F$2:$F800),"")</f>
        <v>150000</v>
      </c>
      <c r="Q354" s="33">
        <f t="shared" si="5"/>
        <v>0</v>
      </c>
      <c r="R354" s="26" t="s">
        <v>113</v>
      </c>
      <c r="S354" s="38" t="s">
        <v>271</v>
      </c>
      <c r="T354" s="35" t="b">
        <v>1</v>
      </c>
      <c r="U354" s="36"/>
    </row>
    <row r="355" ht="30.0" customHeight="1">
      <c r="A355" s="24"/>
      <c r="B355" s="25">
        <v>2460.0</v>
      </c>
      <c r="C355" s="26" t="s">
        <v>21</v>
      </c>
      <c r="D355" s="27">
        <v>46048.0</v>
      </c>
      <c r="E355" s="28" t="str">
        <f t="shared" si="1"/>
        <v>2026</v>
      </c>
      <c r="F355" s="28" t="str">
        <f t="shared" si="2"/>
        <v>01 Jan</v>
      </c>
      <c r="G355" s="50" t="s">
        <v>82</v>
      </c>
      <c r="H355" s="29" t="s">
        <v>58</v>
      </c>
      <c r="I355" s="29" t="s">
        <v>306</v>
      </c>
      <c r="J355" s="26" t="s">
        <v>25</v>
      </c>
      <c r="K355" s="26" t="s">
        <v>26</v>
      </c>
      <c r="L355" s="28" t="str">
        <f t="shared" si="3"/>
        <v>TA KLINIK</v>
      </c>
      <c r="M355" s="26" t="s">
        <v>27</v>
      </c>
      <c r="N355" s="30">
        <v>250000.0</v>
      </c>
      <c r="O355" s="31">
        <v>0.0</v>
      </c>
      <c r="P355" s="32">
        <f t="array" ref="P355">IFNA(XLOOKUP(K355,'⚙️ Pengaturan'!$E$2:$E800,'⚙️ Pengaturan'!$F$2:$F800),"")</f>
        <v>250000</v>
      </c>
      <c r="Q355" s="33">
        <f t="shared" si="5"/>
        <v>0</v>
      </c>
      <c r="R355" s="26" t="s">
        <v>28</v>
      </c>
      <c r="S355" s="38" t="s">
        <v>306</v>
      </c>
      <c r="T355" s="35" t="b">
        <v>1</v>
      </c>
      <c r="U355" s="36"/>
    </row>
    <row r="356" ht="30.0" customHeight="1">
      <c r="A356" s="24"/>
      <c r="B356" s="25">
        <v>2461.0</v>
      </c>
      <c r="C356" s="26" t="s">
        <v>21</v>
      </c>
      <c r="D356" s="27">
        <v>46048.0</v>
      </c>
      <c r="E356" s="28" t="str">
        <f t="shared" si="1"/>
        <v>2026</v>
      </c>
      <c r="F356" s="28" t="str">
        <f t="shared" si="2"/>
        <v>01 Jan</v>
      </c>
      <c r="G356" s="50" t="s">
        <v>82</v>
      </c>
      <c r="H356" s="29" t="s">
        <v>51</v>
      </c>
      <c r="I356" s="29" t="s">
        <v>307</v>
      </c>
      <c r="J356" s="26" t="s">
        <v>25</v>
      </c>
      <c r="K356" s="26" t="s">
        <v>26</v>
      </c>
      <c r="L356" s="28" t="str">
        <f t="shared" si="3"/>
        <v>TA KLINIK</v>
      </c>
      <c r="M356" s="26" t="s">
        <v>27</v>
      </c>
      <c r="N356" s="30">
        <v>200000.0</v>
      </c>
      <c r="O356" s="31">
        <v>50000.0</v>
      </c>
      <c r="P356" s="32">
        <f t="array" ref="P356">IFNA(XLOOKUP(K356,'⚙️ Pengaturan'!$E$2:$E800,'⚙️ Pengaturan'!$F$2:$F800),"")</f>
        <v>250000</v>
      </c>
      <c r="Q356" s="33">
        <f t="shared" si="5"/>
        <v>0</v>
      </c>
      <c r="R356" s="26" t="s">
        <v>33</v>
      </c>
      <c r="S356" s="38" t="s">
        <v>34</v>
      </c>
      <c r="T356" s="35" t="b">
        <v>1</v>
      </c>
      <c r="U356" s="36"/>
    </row>
    <row r="357" ht="30.0" customHeight="1">
      <c r="A357" s="24"/>
      <c r="B357" s="25">
        <v>2462.0</v>
      </c>
      <c r="C357" s="26" t="s">
        <v>21</v>
      </c>
      <c r="D357" s="27">
        <v>46048.0</v>
      </c>
      <c r="E357" s="28" t="str">
        <f t="shared" si="1"/>
        <v>2026</v>
      </c>
      <c r="F357" s="28" t="str">
        <f t="shared" si="2"/>
        <v>01 Jan</v>
      </c>
      <c r="G357" s="50" t="s">
        <v>118</v>
      </c>
      <c r="H357" s="29" t="s">
        <v>70</v>
      </c>
      <c r="I357" s="29" t="s">
        <v>213</v>
      </c>
      <c r="J357" s="26" t="s">
        <v>76</v>
      </c>
      <c r="K357" s="26" t="s">
        <v>197</v>
      </c>
      <c r="L357" s="28" t="str">
        <f t="shared" si="3"/>
        <v>PAKET VISIT</v>
      </c>
      <c r="M357" s="26" t="s">
        <v>63</v>
      </c>
      <c r="N357" s="30">
        <v>800000.0</v>
      </c>
      <c r="O357" s="31">
        <v>1000000.0</v>
      </c>
      <c r="P357" s="32">
        <f t="array" ref="P357">IFNA(XLOOKUP(K357,'⚙️ Pengaturan'!$E$2:$E800,'⚙️ Pengaturan'!$F$2:$F800),"")</f>
        <v>1800000</v>
      </c>
      <c r="Q357" s="33">
        <f t="shared" si="5"/>
        <v>0</v>
      </c>
      <c r="R357" s="26" t="s">
        <v>33</v>
      </c>
      <c r="S357" s="38" t="s">
        <v>34</v>
      </c>
      <c r="T357" s="35" t="b">
        <v>1</v>
      </c>
      <c r="U357" s="36"/>
    </row>
    <row r="358" ht="30.0" customHeight="1">
      <c r="A358" s="24"/>
      <c r="B358" s="25">
        <v>2463.0</v>
      </c>
      <c r="C358" s="26" t="s">
        <v>21</v>
      </c>
      <c r="D358" s="27">
        <v>46048.0</v>
      </c>
      <c r="E358" s="28" t="str">
        <f t="shared" si="1"/>
        <v>2026</v>
      </c>
      <c r="F358" s="28" t="str">
        <f t="shared" si="2"/>
        <v>01 Jan</v>
      </c>
      <c r="G358" s="50" t="s">
        <v>82</v>
      </c>
      <c r="H358" s="29" t="s">
        <v>58</v>
      </c>
      <c r="I358" s="29" t="s">
        <v>306</v>
      </c>
      <c r="J358" s="26" t="s">
        <v>25</v>
      </c>
      <c r="K358" s="26" t="s">
        <v>308</v>
      </c>
      <c r="L358" s="28" t="str">
        <f t="shared" si="3"/>
        <v>LAINNYA</v>
      </c>
      <c r="M358" s="26" t="s">
        <v>27</v>
      </c>
      <c r="N358" s="30">
        <v>25000.0</v>
      </c>
      <c r="O358" s="31">
        <v>0.0</v>
      </c>
      <c r="P358" s="32">
        <f t="array" ref="P358">IFNA(XLOOKUP(K358,'⚙️ Pengaturan'!$E$2:$E800,'⚙️ Pengaturan'!$F$2:$F800),"")</f>
        <v>25000</v>
      </c>
      <c r="Q358" s="33">
        <f t="shared" si="5"/>
        <v>0</v>
      </c>
      <c r="R358" s="26" t="s">
        <v>28</v>
      </c>
      <c r="S358" s="38" t="s">
        <v>306</v>
      </c>
      <c r="T358" s="35" t="b">
        <v>1</v>
      </c>
      <c r="U358" s="36"/>
    </row>
    <row r="359" ht="30.0" customHeight="1">
      <c r="A359" s="24"/>
      <c r="B359" s="25">
        <v>2464.0</v>
      </c>
      <c r="C359" s="26" t="s">
        <v>40</v>
      </c>
      <c r="D359" s="27">
        <v>46048.0</v>
      </c>
      <c r="E359" s="28" t="str">
        <f t="shared" si="1"/>
        <v>2026</v>
      </c>
      <c r="F359" s="28" t="str">
        <f t="shared" si="2"/>
        <v>01 Jan</v>
      </c>
      <c r="G359" s="50" t="s">
        <v>46</v>
      </c>
      <c r="H359" s="29" t="s">
        <v>70</v>
      </c>
      <c r="I359" s="29" t="s">
        <v>280</v>
      </c>
      <c r="J359" s="26" t="s">
        <v>25</v>
      </c>
      <c r="K359" s="26" t="s">
        <v>32</v>
      </c>
      <c r="L359" s="28" t="str">
        <f t="shared" si="3"/>
        <v>SESI KLINIK</v>
      </c>
      <c r="M359" s="26" t="s">
        <v>27</v>
      </c>
      <c r="N359" s="30">
        <v>150000.0</v>
      </c>
      <c r="O359" s="31">
        <v>0.0</v>
      </c>
      <c r="P359" s="32">
        <f t="array" ref="P359">IFNA(XLOOKUP(K359,'⚙️ Pengaturan'!$E$2:$E800,'⚙️ Pengaturan'!$F$2:$F800),"")</f>
        <v>150000</v>
      </c>
      <c r="Q359" s="33">
        <f t="shared" si="5"/>
        <v>0</v>
      </c>
      <c r="R359" s="26" t="s">
        <v>33</v>
      </c>
      <c r="S359" s="38" t="s">
        <v>34</v>
      </c>
      <c r="T359" s="35" t="b">
        <v>1</v>
      </c>
      <c r="U359" s="36"/>
    </row>
    <row r="360" ht="30.0" customHeight="1">
      <c r="A360" s="24"/>
      <c r="B360" s="25">
        <v>2465.0</v>
      </c>
      <c r="C360" s="26" t="s">
        <v>40</v>
      </c>
      <c r="D360" s="27">
        <v>46048.0</v>
      </c>
      <c r="E360" s="28" t="str">
        <f t="shared" si="1"/>
        <v>2026</v>
      </c>
      <c r="F360" s="28" t="str">
        <f t="shared" si="2"/>
        <v>01 Jan</v>
      </c>
      <c r="G360" s="50" t="s">
        <v>46</v>
      </c>
      <c r="H360" s="29" t="s">
        <v>23</v>
      </c>
      <c r="I360" s="29" t="s">
        <v>279</v>
      </c>
      <c r="J360" s="26" t="s">
        <v>25</v>
      </c>
      <c r="K360" s="26" t="s">
        <v>32</v>
      </c>
      <c r="L360" s="28" t="str">
        <f t="shared" si="3"/>
        <v>SESI KLINIK</v>
      </c>
      <c r="M360" s="26" t="s">
        <v>27</v>
      </c>
      <c r="N360" s="30">
        <v>150000.0</v>
      </c>
      <c r="O360" s="31">
        <v>0.0</v>
      </c>
      <c r="P360" s="32">
        <f t="array" ref="P360">IFNA(XLOOKUP(K360,'⚙️ Pengaturan'!$E$2:$E800,'⚙️ Pengaturan'!$F$2:$F800),"")</f>
        <v>150000</v>
      </c>
      <c r="Q360" s="33">
        <f t="shared" si="5"/>
        <v>0</v>
      </c>
      <c r="R360" s="26" t="s">
        <v>33</v>
      </c>
      <c r="S360" s="38" t="s">
        <v>34</v>
      </c>
      <c r="T360" s="35" t="b">
        <v>1</v>
      </c>
      <c r="U360" s="36"/>
    </row>
    <row r="361" ht="30.0" customHeight="1">
      <c r="A361" s="24"/>
      <c r="B361" s="25">
        <v>2466.0</v>
      </c>
      <c r="C361" s="26" t="s">
        <v>40</v>
      </c>
      <c r="D361" s="27">
        <v>46048.0</v>
      </c>
      <c r="E361" s="28" t="str">
        <f t="shared" si="1"/>
        <v>2026</v>
      </c>
      <c r="F361" s="28" t="str">
        <f t="shared" si="2"/>
        <v>01 Jan</v>
      </c>
      <c r="G361" s="50" t="s">
        <v>46</v>
      </c>
      <c r="H361" s="29" t="s">
        <v>68</v>
      </c>
      <c r="I361" s="29" t="s">
        <v>295</v>
      </c>
      <c r="J361" s="26" t="s">
        <v>25</v>
      </c>
      <c r="K361" s="26" t="s">
        <v>309</v>
      </c>
      <c r="L361" s="28" t="str">
        <f t="shared" si="3"/>
        <v>LAINNYA</v>
      </c>
      <c r="M361" s="26" t="s">
        <v>27</v>
      </c>
      <c r="N361" s="30">
        <v>45000.0</v>
      </c>
      <c r="O361" s="31">
        <v>0.0</v>
      </c>
      <c r="P361" s="32">
        <f t="array" ref="P361">IFNA(XLOOKUP(K361,'⚙️ Pengaturan'!$E$2:$E800,'⚙️ Pengaturan'!$F$2:$F800),"")</f>
        <v>45000</v>
      </c>
      <c r="Q361" s="33">
        <f t="shared" si="5"/>
        <v>0</v>
      </c>
      <c r="R361" s="26" t="s">
        <v>33</v>
      </c>
      <c r="S361" s="38" t="s">
        <v>34</v>
      </c>
      <c r="T361" s="35" t="b">
        <v>1</v>
      </c>
      <c r="U361" s="36"/>
    </row>
    <row r="362" ht="30.0" customHeight="1">
      <c r="A362" s="24"/>
      <c r="B362" s="25">
        <v>2467.0</v>
      </c>
      <c r="C362" s="26" t="s">
        <v>40</v>
      </c>
      <c r="D362" s="27">
        <v>46048.0</v>
      </c>
      <c r="E362" s="28" t="str">
        <f t="shared" si="1"/>
        <v>2026</v>
      </c>
      <c r="F362" s="28" t="str">
        <f t="shared" si="2"/>
        <v>01 Jan</v>
      </c>
      <c r="G362" s="50" t="s">
        <v>46</v>
      </c>
      <c r="H362" s="29" t="s">
        <v>68</v>
      </c>
      <c r="I362" s="29" t="s">
        <v>295</v>
      </c>
      <c r="J362" s="26" t="s">
        <v>25</v>
      </c>
      <c r="K362" s="26" t="s">
        <v>309</v>
      </c>
      <c r="L362" s="28" t="str">
        <f t="shared" si="3"/>
        <v>LAINNYA</v>
      </c>
      <c r="M362" s="26" t="s">
        <v>27</v>
      </c>
      <c r="N362" s="30">
        <v>45000.0</v>
      </c>
      <c r="O362" s="31">
        <v>0.0</v>
      </c>
      <c r="P362" s="32">
        <f t="array" ref="P362">IFNA(XLOOKUP(K362,'⚙️ Pengaturan'!$E$2:$E800,'⚙️ Pengaturan'!$F$2:$F800),"")</f>
        <v>45000</v>
      </c>
      <c r="Q362" s="33">
        <f t="shared" si="5"/>
        <v>0</v>
      </c>
      <c r="R362" s="26" t="s">
        <v>33</v>
      </c>
      <c r="S362" s="38" t="s">
        <v>34</v>
      </c>
      <c r="T362" s="35" t="b">
        <v>1</v>
      </c>
      <c r="U362" s="36"/>
    </row>
    <row r="363" ht="30.0" customHeight="1">
      <c r="A363" s="24"/>
      <c r="B363" s="25">
        <v>2468.0</v>
      </c>
      <c r="C363" s="26" t="s">
        <v>40</v>
      </c>
      <c r="D363" s="27">
        <v>46048.0</v>
      </c>
      <c r="E363" s="28" t="str">
        <f t="shared" si="1"/>
        <v>2026</v>
      </c>
      <c r="F363" s="28" t="str">
        <f t="shared" si="2"/>
        <v>01 Jan</v>
      </c>
      <c r="G363" s="50" t="s">
        <v>46</v>
      </c>
      <c r="H363" s="29" t="s">
        <v>68</v>
      </c>
      <c r="I363" s="29" t="s">
        <v>295</v>
      </c>
      <c r="J363" s="26" t="s">
        <v>25</v>
      </c>
      <c r="K363" s="26" t="s">
        <v>309</v>
      </c>
      <c r="L363" s="28" t="str">
        <f t="shared" si="3"/>
        <v>LAINNYA</v>
      </c>
      <c r="M363" s="26" t="s">
        <v>27</v>
      </c>
      <c r="N363" s="30">
        <v>45000.0</v>
      </c>
      <c r="O363" s="31">
        <v>0.0</v>
      </c>
      <c r="P363" s="32">
        <f t="array" ref="P363">IFNA(XLOOKUP(K363,'⚙️ Pengaturan'!$E$2:$E800,'⚙️ Pengaturan'!$F$2:$F800),"")</f>
        <v>45000</v>
      </c>
      <c r="Q363" s="33">
        <f t="shared" si="5"/>
        <v>0</v>
      </c>
      <c r="R363" s="26" t="s">
        <v>33</v>
      </c>
      <c r="S363" s="38" t="s">
        <v>34</v>
      </c>
      <c r="T363" s="35" t="b">
        <v>1</v>
      </c>
      <c r="U363" s="36"/>
    </row>
    <row r="364" ht="30.0" customHeight="1">
      <c r="A364" s="24"/>
      <c r="B364" s="25">
        <v>2469.0</v>
      </c>
      <c r="C364" s="26" t="s">
        <v>40</v>
      </c>
      <c r="D364" s="27">
        <v>46048.0</v>
      </c>
      <c r="E364" s="28" t="str">
        <f t="shared" si="1"/>
        <v>2026</v>
      </c>
      <c r="F364" s="28" t="str">
        <f t="shared" si="2"/>
        <v>01 Jan</v>
      </c>
      <c r="G364" s="50" t="s">
        <v>46</v>
      </c>
      <c r="H364" s="29" t="s">
        <v>68</v>
      </c>
      <c r="I364" s="29" t="s">
        <v>295</v>
      </c>
      <c r="J364" s="26" t="s">
        <v>25</v>
      </c>
      <c r="K364" s="26" t="s">
        <v>309</v>
      </c>
      <c r="L364" s="28" t="str">
        <f t="shared" si="3"/>
        <v>LAINNYA</v>
      </c>
      <c r="M364" s="26" t="s">
        <v>27</v>
      </c>
      <c r="N364" s="30">
        <v>45000.0</v>
      </c>
      <c r="O364" s="31">
        <v>0.0</v>
      </c>
      <c r="P364" s="32">
        <f t="array" ref="P364">IFNA(XLOOKUP(K364,'⚙️ Pengaturan'!$E$2:$E800,'⚙️ Pengaturan'!$F$2:$F800),"")</f>
        <v>45000</v>
      </c>
      <c r="Q364" s="33">
        <f t="shared" si="5"/>
        <v>0</v>
      </c>
      <c r="R364" s="26" t="s">
        <v>33</v>
      </c>
      <c r="S364" s="38" t="s">
        <v>34</v>
      </c>
      <c r="T364" s="35" t="b">
        <v>1</v>
      </c>
      <c r="U364" s="36"/>
    </row>
    <row r="365" ht="30.0" customHeight="1">
      <c r="A365" s="24"/>
      <c r="B365" s="25">
        <v>2470.0</v>
      </c>
      <c r="C365" s="26" t="s">
        <v>40</v>
      </c>
      <c r="D365" s="27">
        <v>46048.0</v>
      </c>
      <c r="E365" s="28" t="str">
        <f t="shared" si="1"/>
        <v>2026</v>
      </c>
      <c r="F365" s="28" t="str">
        <f t="shared" si="2"/>
        <v>01 Jan</v>
      </c>
      <c r="G365" s="50" t="s">
        <v>46</v>
      </c>
      <c r="H365" s="29" t="s">
        <v>68</v>
      </c>
      <c r="I365" s="29" t="s">
        <v>295</v>
      </c>
      <c r="J365" s="26" t="s">
        <v>25</v>
      </c>
      <c r="K365" s="26" t="s">
        <v>124</v>
      </c>
      <c r="L365" s="28" t="str">
        <f t="shared" si="3"/>
        <v>LAINNYA</v>
      </c>
      <c r="M365" s="26" t="s">
        <v>27</v>
      </c>
      <c r="N365" s="30">
        <v>50000.0</v>
      </c>
      <c r="O365" s="31">
        <v>0.0</v>
      </c>
      <c r="P365" s="32">
        <f t="array" ref="P365">IFNA(XLOOKUP(K365,'⚙️ Pengaturan'!$E$2:$E800,'⚙️ Pengaturan'!$F$2:$F800),"")</f>
        <v>50000</v>
      </c>
      <c r="Q365" s="33">
        <f t="shared" si="5"/>
        <v>0</v>
      </c>
      <c r="R365" s="26" t="s">
        <v>33</v>
      </c>
      <c r="S365" s="38" t="s">
        <v>34</v>
      </c>
      <c r="T365" s="35" t="b">
        <v>1</v>
      </c>
      <c r="U365" s="36"/>
    </row>
    <row r="366" ht="30.0" customHeight="1">
      <c r="A366" s="24"/>
      <c r="B366" s="25">
        <v>2471.0</v>
      </c>
      <c r="C366" s="26" t="s">
        <v>40</v>
      </c>
      <c r="D366" s="27">
        <v>46048.0</v>
      </c>
      <c r="E366" s="28" t="str">
        <f t="shared" si="1"/>
        <v>2026</v>
      </c>
      <c r="F366" s="28" t="str">
        <f t="shared" si="2"/>
        <v>01 Jan</v>
      </c>
      <c r="G366" s="50" t="s">
        <v>41</v>
      </c>
      <c r="H366" s="29" t="s">
        <v>70</v>
      </c>
      <c r="I366" s="29" t="s">
        <v>310</v>
      </c>
      <c r="J366" s="26" t="s">
        <v>25</v>
      </c>
      <c r="K366" s="26" t="s">
        <v>26</v>
      </c>
      <c r="L366" s="28" t="str">
        <f t="shared" si="3"/>
        <v>TA KLINIK</v>
      </c>
      <c r="M366" s="26" t="s">
        <v>27</v>
      </c>
      <c r="N366" s="30">
        <v>250000.0</v>
      </c>
      <c r="O366" s="31">
        <v>0.0</v>
      </c>
      <c r="P366" s="32">
        <f t="array" ref="P366">IFNA(XLOOKUP(K366,'⚙️ Pengaturan'!$E$2:$E800,'⚙️ Pengaturan'!$F$2:$F800),"")</f>
        <v>250000</v>
      </c>
      <c r="Q366" s="33">
        <f t="shared" si="5"/>
        <v>0</v>
      </c>
      <c r="R366" s="26" t="s">
        <v>33</v>
      </c>
      <c r="S366" s="38" t="s">
        <v>34</v>
      </c>
      <c r="T366" s="35" t="b">
        <v>1</v>
      </c>
      <c r="U366" s="36"/>
    </row>
    <row r="367" ht="30.0" customHeight="1">
      <c r="A367" s="24"/>
      <c r="B367" s="25">
        <v>2472.0</v>
      </c>
      <c r="C367" s="26" t="s">
        <v>40</v>
      </c>
      <c r="D367" s="27">
        <v>46048.0</v>
      </c>
      <c r="E367" s="28" t="str">
        <f t="shared" si="1"/>
        <v>2026</v>
      </c>
      <c r="F367" s="28" t="str">
        <f t="shared" si="2"/>
        <v>01 Jan</v>
      </c>
      <c r="G367" s="50" t="s">
        <v>53</v>
      </c>
      <c r="H367" s="29" t="s">
        <v>30</v>
      </c>
      <c r="I367" s="29" t="s">
        <v>311</v>
      </c>
      <c r="J367" s="26" t="s">
        <v>25</v>
      </c>
      <c r="K367" s="26" t="s">
        <v>26</v>
      </c>
      <c r="L367" s="28" t="str">
        <f t="shared" si="3"/>
        <v>TA KLINIK</v>
      </c>
      <c r="M367" s="26" t="s">
        <v>27</v>
      </c>
      <c r="N367" s="30">
        <v>250000.0</v>
      </c>
      <c r="O367" s="31">
        <v>0.0</v>
      </c>
      <c r="P367" s="32">
        <f t="array" ref="P367">IFNA(XLOOKUP(K367,'⚙️ Pengaturan'!$E$2:$E800,'⚙️ Pengaturan'!$F$2:$F800),"")</f>
        <v>250000</v>
      </c>
      <c r="Q367" s="33">
        <f t="shared" si="5"/>
        <v>0</v>
      </c>
      <c r="R367" s="26" t="s">
        <v>33</v>
      </c>
      <c r="S367" s="38" t="s">
        <v>34</v>
      </c>
      <c r="T367" s="35" t="b">
        <v>1</v>
      </c>
      <c r="U367" s="36"/>
    </row>
    <row r="368" ht="30.0" customHeight="1">
      <c r="A368" s="24"/>
      <c r="B368" s="25">
        <v>2473.0</v>
      </c>
      <c r="C368" s="26" t="s">
        <v>40</v>
      </c>
      <c r="D368" s="27">
        <v>46048.0</v>
      </c>
      <c r="E368" s="28" t="str">
        <f t="shared" si="1"/>
        <v>2026</v>
      </c>
      <c r="F368" s="28" t="str">
        <f t="shared" si="2"/>
        <v>01 Jan</v>
      </c>
      <c r="G368" s="50" t="s">
        <v>56</v>
      </c>
      <c r="H368" s="29" t="s">
        <v>23</v>
      </c>
      <c r="I368" s="29" t="s">
        <v>281</v>
      </c>
      <c r="J368" s="26" t="s">
        <v>25</v>
      </c>
      <c r="K368" s="26" t="s">
        <v>39</v>
      </c>
      <c r="L368" s="28" t="str">
        <f t="shared" si="3"/>
        <v>PAKET KLINIK</v>
      </c>
      <c r="M368" s="26" t="s">
        <v>86</v>
      </c>
      <c r="N368" s="30">
        <v>200000.0</v>
      </c>
      <c r="O368" s="31">
        <v>0.0</v>
      </c>
      <c r="P368" s="32">
        <f t="array" ref="P368">IFNA(XLOOKUP(K368,'⚙️ Pengaturan'!$E$2:$E800,'⚙️ Pengaturan'!$F$2:$F800),"")</f>
        <v>650000</v>
      </c>
      <c r="Q368" s="33">
        <f t="shared" si="5"/>
        <v>-450000</v>
      </c>
      <c r="R368" s="26" t="s">
        <v>33</v>
      </c>
      <c r="S368" s="38" t="s">
        <v>34</v>
      </c>
      <c r="T368" s="35" t="b">
        <v>1</v>
      </c>
      <c r="U368" s="36"/>
    </row>
    <row r="369" ht="30.0" customHeight="1">
      <c r="A369" s="24"/>
      <c r="B369" s="25">
        <v>2474.0</v>
      </c>
      <c r="C369" s="26" t="s">
        <v>40</v>
      </c>
      <c r="D369" s="27">
        <v>46048.0</v>
      </c>
      <c r="E369" s="28" t="str">
        <f t="shared" si="1"/>
        <v>2026</v>
      </c>
      <c r="F369" s="28" t="str">
        <f t="shared" si="2"/>
        <v>01 Jan</v>
      </c>
      <c r="G369" s="50" t="s">
        <v>61</v>
      </c>
      <c r="H369" s="29" t="s">
        <v>23</v>
      </c>
      <c r="I369" s="29" t="s">
        <v>312</v>
      </c>
      <c r="J369" s="26" t="s">
        <v>25</v>
      </c>
      <c r="K369" s="26" t="s">
        <v>39</v>
      </c>
      <c r="L369" s="28" t="str">
        <f t="shared" si="3"/>
        <v>PAKET KLINIK</v>
      </c>
      <c r="M369" s="26" t="s">
        <v>27</v>
      </c>
      <c r="N369" s="30">
        <v>150000.0</v>
      </c>
      <c r="O369" s="31">
        <v>0.0</v>
      </c>
      <c r="P369" s="32">
        <f t="array" ref="P369">IFNA(XLOOKUP(K369,'⚙️ Pengaturan'!$E$2:$E800,'⚙️ Pengaturan'!$F$2:$F800),"")</f>
        <v>650000</v>
      </c>
      <c r="Q369" s="33">
        <f t="shared" si="5"/>
        <v>-500000</v>
      </c>
      <c r="R369" s="26" t="s">
        <v>33</v>
      </c>
      <c r="S369" s="38" t="s">
        <v>34</v>
      </c>
      <c r="T369" s="35" t="b">
        <v>1</v>
      </c>
      <c r="U369" s="36"/>
    </row>
    <row r="370" ht="30.0" customHeight="1">
      <c r="A370" s="24"/>
      <c r="B370" s="25">
        <v>2475.0</v>
      </c>
      <c r="C370" s="26" t="s">
        <v>40</v>
      </c>
      <c r="D370" s="27">
        <v>46048.0</v>
      </c>
      <c r="E370" s="28" t="str">
        <f t="shared" si="1"/>
        <v>2026</v>
      </c>
      <c r="F370" s="28" t="str">
        <f t="shared" si="2"/>
        <v>01 Jan</v>
      </c>
      <c r="G370" s="50" t="s">
        <v>118</v>
      </c>
      <c r="H370" s="29" t="s">
        <v>70</v>
      </c>
      <c r="I370" s="29" t="s">
        <v>313</v>
      </c>
      <c r="J370" s="26" t="s">
        <v>25</v>
      </c>
      <c r="K370" s="26" t="s">
        <v>128</v>
      </c>
      <c r="L370" s="28" t="str">
        <f t="shared" si="3"/>
        <v>TA VISIT</v>
      </c>
      <c r="M370" s="26" t="s">
        <v>27</v>
      </c>
      <c r="N370" s="30">
        <v>300000.0</v>
      </c>
      <c r="O370" s="31">
        <v>0.0</v>
      </c>
      <c r="P370" s="32">
        <f t="array" ref="P370">IFNA(XLOOKUP(K370,'⚙️ Pengaturan'!$E$2:$E800,'⚙️ Pengaturan'!$F$2:$F800),"")</f>
        <v>300000</v>
      </c>
      <c r="Q370" s="33">
        <f t="shared" si="5"/>
        <v>0</v>
      </c>
      <c r="R370" s="26" t="s">
        <v>28</v>
      </c>
      <c r="S370" s="38" t="s">
        <v>314</v>
      </c>
      <c r="T370" s="35" t="b">
        <v>1</v>
      </c>
      <c r="U370" s="36"/>
    </row>
    <row r="371" ht="30.0" customHeight="1">
      <c r="A371" s="24"/>
      <c r="B371" s="25">
        <v>2476.0</v>
      </c>
      <c r="C371" s="26" t="s">
        <v>40</v>
      </c>
      <c r="D371" s="27">
        <v>46048.0</v>
      </c>
      <c r="E371" s="28" t="str">
        <f t="shared" si="1"/>
        <v>2026</v>
      </c>
      <c r="F371" s="28" t="str">
        <f t="shared" si="2"/>
        <v>01 Jan</v>
      </c>
      <c r="G371" s="50" t="s">
        <v>61</v>
      </c>
      <c r="H371" s="29" t="s">
        <v>68</v>
      </c>
      <c r="I371" s="29" t="s">
        <v>164</v>
      </c>
      <c r="J371" s="26" t="s">
        <v>76</v>
      </c>
      <c r="K371" s="26" t="s">
        <v>32</v>
      </c>
      <c r="L371" s="28" t="str">
        <f t="shared" si="3"/>
        <v>SESI KLINIK</v>
      </c>
      <c r="M371" s="26" t="s">
        <v>27</v>
      </c>
      <c r="N371" s="30">
        <v>150000.0</v>
      </c>
      <c r="O371" s="31">
        <v>0.0</v>
      </c>
      <c r="P371" s="32">
        <f t="array" ref="P371">IFNA(XLOOKUP(K371,'⚙️ Pengaturan'!$E$2:$E800,'⚙️ Pengaturan'!$F$2:$F800),"")</f>
        <v>150000</v>
      </c>
      <c r="Q371" s="33">
        <f t="shared" si="5"/>
        <v>0</v>
      </c>
      <c r="R371" s="26" t="s">
        <v>33</v>
      </c>
      <c r="S371" s="38" t="s">
        <v>34</v>
      </c>
      <c r="T371" s="35" t="b">
        <v>1</v>
      </c>
      <c r="U371" s="36"/>
    </row>
    <row r="372" ht="30.0" customHeight="1">
      <c r="A372" s="24"/>
      <c r="B372" s="25">
        <v>2477.0</v>
      </c>
      <c r="C372" s="26" t="s">
        <v>40</v>
      </c>
      <c r="D372" s="27">
        <v>46048.0</v>
      </c>
      <c r="E372" s="28" t="str">
        <f t="shared" si="1"/>
        <v>2026</v>
      </c>
      <c r="F372" s="28" t="str">
        <f t="shared" si="2"/>
        <v>01 Jan</v>
      </c>
      <c r="G372" s="50" t="s">
        <v>37</v>
      </c>
      <c r="H372" s="29" t="s">
        <v>58</v>
      </c>
      <c r="I372" s="29" t="s">
        <v>315</v>
      </c>
      <c r="J372" s="26" t="s">
        <v>25</v>
      </c>
      <c r="K372" s="26" t="s">
        <v>26</v>
      </c>
      <c r="L372" s="28" t="str">
        <f t="shared" si="3"/>
        <v>TA KLINIK</v>
      </c>
      <c r="M372" s="26" t="s">
        <v>27</v>
      </c>
      <c r="N372" s="30">
        <v>250000.0</v>
      </c>
      <c r="O372" s="31">
        <v>0.0</v>
      </c>
      <c r="P372" s="32">
        <f t="array" ref="P372">IFNA(XLOOKUP(K372,'⚙️ Pengaturan'!$E$2:$E800,'⚙️ Pengaturan'!$F$2:$F800),"")</f>
        <v>250000</v>
      </c>
      <c r="Q372" s="33">
        <f t="shared" si="5"/>
        <v>0</v>
      </c>
      <c r="R372" s="26" t="s">
        <v>33</v>
      </c>
      <c r="S372" s="38" t="s">
        <v>34</v>
      </c>
      <c r="T372" s="35" t="b">
        <v>1</v>
      </c>
      <c r="U372" s="36"/>
    </row>
    <row r="373" ht="30.0" customHeight="1">
      <c r="A373" s="24"/>
      <c r="B373" s="25">
        <v>2478.0</v>
      </c>
      <c r="C373" s="26" t="s">
        <v>21</v>
      </c>
      <c r="D373" s="27">
        <v>46049.0</v>
      </c>
      <c r="E373" s="28" t="str">
        <f t="shared" si="1"/>
        <v>2026</v>
      </c>
      <c r="F373" s="28" t="str">
        <f t="shared" si="2"/>
        <v>01 Jan</v>
      </c>
      <c r="G373" s="50" t="s">
        <v>67</v>
      </c>
      <c r="H373" s="29" t="s">
        <v>70</v>
      </c>
      <c r="I373" s="29" t="s">
        <v>316</v>
      </c>
      <c r="J373" s="26" t="s">
        <v>25</v>
      </c>
      <c r="K373" s="26" t="s">
        <v>26</v>
      </c>
      <c r="L373" s="28" t="str">
        <f t="shared" si="3"/>
        <v>TA KLINIK</v>
      </c>
      <c r="M373" s="26" t="s">
        <v>27</v>
      </c>
      <c r="N373" s="30">
        <v>250000.0</v>
      </c>
      <c r="O373" s="31">
        <v>0.0</v>
      </c>
      <c r="P373" s="32">
        <v>250000.0</v>
      </c>
      <c r="Q373" s="33">
        <f t="shared" si="5"/>
        <v>0</v>
      </c>
      <c r="R373" s="26" t="s">
        <v>28</v>
      </c>
      <c r="S373" s="38" t="s">
        <v>316</v>
      </c>
      <c r="T373" s="35" t="b">
        <v>1</v>
      </c>
      <c r="U373" s="36"/>
    </row>
    <row r="374" ht="30.0" customHeight="1">
      <c r="A374" s="24"/>
      <c r="B374" s="25">
        <v>2479.0</v>
      </c>
      <c r="C374" s="26" t="s">
        <v>21</v>
      </c>
      <c r="D374" s="27">
        <v>46049.0</v>
      </c>
      <c r="E374" s="28" t="str">
        <f t="shared" si="1"/>
        <v>2026</v>
      </c>
      <c r="F374" s="28" t="str">
        <f t="shared" si="2"/>
        <v>01 Jan</v>
      </c>
      <c r="G374" s="50" t="s">
        <v>67</v>
      </c>
      <c r="H374" s="29" t="s">
        <v>70</v>
      </c>
      <c r="I374" s="29" t="s">
        <v>316</v>
      </c>
      <c r="J374" s="26" t="s">
        <v>25</v>
      </c>
      <c r="K374" s="26" t="s">
        <v>44</v>
      </c>
      <c r="L374" s="28" t="str">
        <f t="shared" si="3"/>
        <v>PAKET KLINIK</v>
      </c>
      <c r="M374" s="26" t="s">
        <v>86</v>
      </c>
      <c r="N374" s="30">
        <v>200000.0</v>
      </c>
      <c r="O374" s="31">
        <v>0.0</v>
      </c>
      <c r="P374" s="44">
        <v>1200000.0</v>
      </c>
      <c r="Q374" s="33">
        <f t="shared" si="5"/>
        <v>-1000000</v>
      </c>
      <c r="R374" s="26" t="s">
        <v>28</v>
      </c>
      <c r="S374" s="38" t="s">
        <v>316</v>
      </c>
      <c r="T374" s="35" t="b">
        <v>1</v>
      </c>
      <c r="U374" s="36"/>
    </row>
    <row r="375" ht="30.0" customHeight="1">
      <c r="A375" s="24"/>
      <c r="B375" s="25">
        <v>2480.0</v>
      </c>
      <c r="C375" s="26" t="s">
        <v>21</v>
      </c>
      <c r="D375" s="27">
        <v>46049.0</v>
      </c>
      <c r="E375" s="28" t="str">
        <f t="shared" si="1"/>
        <v>2026</v>
      </c>
      <c r="F375" s="28" t="str">
        <f t="shared" si="2"/>
        <v>01 Jan</v>
      </c>
      <c r="G375" s="50" t="s">
        <v>22</v>
      </c>
      <c r="H375" s="29" t="s">
        <v>23</v>
      </c>
      <c r="I375" s="29" t="s">
        <v>317</v>
      </c>
      <c r="J375" s="26" t="s">
        <v>25</v>
      </c>
      <c r="K375" s="26" t="s">
        <v>26</v>
      </c>
      <c r="L375" s="28" t="str">
        <f t="shared" si="3"/>
        <v>TA KLINIK</v>
      </c>
      <c r="M375" s="26" t="s">
        <v>27</v>
      </c>
      <c r="N375" s="30">
        <v>250000.0</v>
      </c>
      <c r="O375" s="31">
        <v>0.0</v>
      </c>
      <c r="P375" s="32">
        <v>250000.0</v>
      </c>
      <c r="Q375" s="33">
        <f t="shared" si="5"/>
        <v>0</v>
      </c>
      <c r="R375" s="26" t="s">
        <v>33</v>
      </c>
      <c r="S375" s="38" t="s">
        <v>34</v>
      </c>
      <c r="T375" s="35" t="b">
        <v>1</v>
      </c>
      <c r="U375" s="36"/>
    </row>
    <row r="376" ht="30.0" customHeight="1">
      <c r="A376" s="24"/>
      <c r="B376" s="25">
        <v>2481.0</v>
      </c>
      <c r="C376" s="26" t="s">
        <v>21</v>
      </c>
      <c r="D376" s="27">
        <v>46049.0</v>
      </c>
      <c r="E376" s="28" t="str">
        <f t="shared" si="1"/>
        <v>2026</v>
      </c>
      <c r="F376" s="28" t="str">
        <f t="shared" si="2"/>
        <v>01 Jan</v>
      </c>
      <c r="G376" s="50" t="s">
        <v>82</v>
      </c>
      <c r="H376" s="29" t="s">
        <v>68</v>
      </c>
      <c r="I376" s="29" t="s">
        <v>318</v>
      </c>
      <c r="J376" s="26" t="s">
        <v>25</v>
      </c>
      <c r="K376" s="26" t="s">
        <v>26</v>
      </c>
      <c r="L376" s="28" t="str">
        <f t="shared" si="3"/>
        <v>TA KLINIK</v>
      </c>
      <c r="M376" s="26" t="s">
        <v>27</v>
      </c>
      <c r="N376" s="30">
        <v>250000.0</v>
      </c>
      <c r="O376" s="31">
        <v>0.0</v>
      </c>
      <c r="P376" s="32">
        <f t="array" ref="P376">IFNA(XLOOKUP(K376,'⚙️ Pengaturan'!$E$2:$E800,'⚙️ Pengaturan'!$F$2:$F800),"")</f>
        <v>250000</v>
      </c>
      <c r="Q376" s="33">
        <f t="shared" si="5"/>
        <v>0</v>
      </c>
      <c r="R376" s="26" t="s">
        <v>28</v>
      </c>
      <c r="S376" s="38" t="s">
        <v>289</v>
      </c>
      <c r="T376" s="35" t="b">
        <v>1</v>
      </c>
      <c r="U376" s="36"/>
    </row>
    <row r="377" ht="30.0" customHeight="1">
      <c r="A377" s="24"/>
      <c r="B377" s="25">
        <v>2482.0</v>
      </c>
      <c r="C377" s="26" t="s">
        <v>21</v>
      </c>
      <c r="D377" s="27">
        <v>46049.0</v>
      </c>
      <c r="E377" s="28" t="str">
        <f t="shared" si="1"/>
        <v>2026</v>
      </c>
      <c r="F377" s="28" t="str">
        <f t="shared" si="2"/>
        <v>01 Jan</v>
      </c>
      <c r="G377" s="50" t="s">
        <v>82</v>
      </c>
      <c r="H377" s="29" t="s">
        <v>30</v>
      </c>
      <c r="I377" s="29" t="s">
        <v>289</v>
      </c>
      <c r="J377" s="26" t="s">
        <v>25</v>
      </c>
      <c r="K377" s="26" t="s">
        <v>44</v>
      </c>
      <c r="L377" s="28" t="str">
        <f t="shared" si="3"/>
        <v>PAKET KLINIK</v>
      </c>
      <c r="M377" s="26" t="s">
        <v>27</v>
      </c>
      <c r="N377" s="30">
        <v>1200000.0</v>
      </c>
      <c r="O377" s="31">
        <v>0.0</v>
      </c>
      <c r="P377" s="32">
        <f t="array" ref="P377">IFNA(XLOOKUP(K377,'⚙️ Pengaturan'!$E$2:$E800,'⚙️ Pengaturan'!$F$2:$F800),"")</f>
        <v>1200000</v>
      </c>
      <c r="Q377" s="33">
        <f t="shared" si="5"/>
        <v>0</v>
      </c>
      <c r="R377" s="26" t="s">
        <v>28</v>
      </c>
      <c r="S377" s="38" t="s">
        <v>289</v>
      </c>
      <c r="T377" s="35" t="b">
        <v>1</v>
      </c>
      <c r="U377" s="36"/>
    </row>
    <row r="378" ht="30.0" customHeight="1">
      <c r="A378" s="24"/>
      <c r="B378" s="25">
        <v>2483.0</v>
      </c>
      <c r="C378" s="26" t="s">
        <v>21</v>
      </c>
      <c r="D378" s="27">
        <v>46049.0</v>
      </c>
      <c r="E378" s="28" t="str">
        <f t="shared" si="1"/>
        <v>2026</v>
      </c>
      <c r="F378" s="28" t="str">
        <f t="shared" si="2"/>
        <v>01 Jan</v>
      </c>
      <c r="G378" s="50" t="s">
        <v>82</v>
      </c>
      <c r="H378" s="29" t="s">
        <v>70</v>
      </c>
      <c r="I378" s="29" t="s">
        <v>319</v>
      </c>
      <c r="J378" s="26" t="s">
        <v>25</v>
      </c>
      <c r="K378" s="26" t="s">
        <v>26</v>
      </c>
      <c r="L378" s="28" t="str">
        <f t="shared" si="3"/>
        <v>TA KLINIK</v>
      </c>
      <c r="M378" s="26" t="s">
        <v>27</v>
      </c>
      <c r="N378" s="30">
        <v>250000.0</v>
      </c>
      <c r="O378" s="31">
        <v>0.0</v>
      </c>
      <c r="P378" s="32">
        <f t="array" ref="P378">IFNA(XLOOKUP(K378,'⚙️ Pengaturan'!$E$2:$E800,'⚙️ Pengaturan'!$F$2:$F800),"")</f>
        <v>250000</v>
      </c>
      <c r="Q378" s="33">
        <f t="shared" si="5"/>
        <v>0</v>
      </c>
      <c r="R378" s="26" t="s">
        <v>28</v>
      </c>
      <c r="S378" s="38" t="s">
        <v>319</v>
      </c>
      <c r="T378" s="35" t="b">
        <v>1</v>
      </c>
      <c r="U378" s="36"/>
    </row>
    <row r="379" ht="30.0" customHeight="1">
      <c r="A379" s="24"/>
      <c r="B379" s="25">
        <v>2484.0</v>
      </c>
      <c r="C379" s="26" t="s">
        <v>40</v>
      </c>
      <c r="D379" s="27">
        <v>46049.0</v>
      </c>
      <c r="E379" s="28" t="str">
        <f t="shared" si="1"/>
        <v>2026</v>
      </c>
      <c r="F379" s="28" t="str">
        <f t="shared" si="2"/>
        <v>01 Jan</v>
      </c>
      <c r="G379" s="50" t="s">
        <v>118</v>
      </c>
      <c r="H379" s="29" t="s">
        <v>42</v>
      </c>
      <c r="I379" s="29" t="s">
        <v>320</v>
      </c>
      <c r="J379" s="26" t="s">
        <v>25</v>
      </c>
      <c r="K379" s="26" t="s">
        <v>73</v>
      </c>
      <c r="L379" s="28" t="str">
        <f t="shared" si="3"/>
        <v>TA VISIT</v>
      </c>
      <c r="M379" s="26" t="s">
        <v>27</v>
      </c>
      <c r="N379" s="30">
        <v>350000.0</v>
      </c>
      <c r="O379" s="31">
        <v>0.0</v>
      </c>
      <c r="P379" s="32">
        <f t="array" ref="P379">IFNA(XLOOKUP(K379,'⚙️ Pengaturan'!$E$2:$E800,'⚙️ Pengaturan'!$F$2:$F800),"")</f>
        <v>350000</v>
      </c>
      <c r="Q379" s="33">
        <f t="shared" si="5"/>
        <v>0</v>
      </c>
      <c r="R379" s="26" t="s">
        <v>33</v>
      </c>
      <c r="S379" s="38" t="s">
        <v>34</v>
      </c>
      <c r="T379" s="35" t="b">
        <v>1</v>
      </c>
      <c r="U379" s="36"/>
    </row>
    <row r="380" ht="30.0" customHeight="1">
      <c r="A380" s="24"/>
      <c r="B380" s="25">
        <v>2485.0</v>
      </c>
      <c r="C380" s="26" t="s">
        <v>40</v>
      </c>
      <c r="D380" s="27">
        <v>46049.0</v>
      </c>
      <c r="E380" s="28" t="str">
        <f t="shared" si="1"/>
        <v>2026</v>
      </c>
      <c r="F380" s="28" t="str">
        <f t="shared" si="2"/>
        <v>01 Jan</v>
      </c>
      <c r="G380" s="50" t="s">
        <v>37</v>
      </c>
      <c r="H380" s="29" t="s">
        <v>68</v>
      </c>
      <c r="I380" s="29" t="s">
        <v>321</v>
      </c>
      <c r="J380" s="26" t="s">
        <v>25</v>
      </c>
      <c r="K380" s="26" t="s">
        <v>26</v>
      </c>
      <c r="L380" s="28" t="str">
        <f t="shared" si="3"/>
        <v>TA KLINIK</v>
      </c>
      <c r="M380" s="26" t="s">
        <v>27</v>
      </c>
      <c r="N380" s="30">
        <v>250000.0</v>
      </c>
      <c r="O380" s="31">
        <v>0.0</v>
      </c>
      <c r="P380" s="32">
        <f t="array" ref="P380">IFNA(XLOOKUP(K380,'⚙️ Pengaturan'!$E$2:$E800,'⚙️ Pengaturan'!$F$2:$F800),"")</f>
        <v>250000</v>
      </c>
      <c r="Q380" s="33">
        <f t="shared" si="5"/>
        <v>0</v>
      </c>
      <c r="R380" s="26" t="s">
        <v>113</v>
      </c>
      <c r="S380" s="38" t="s">
        <v>321</v>
      </c>
      <c r="T380" s="35" t="b">
        <v>1</v>
      </c>
      <c r="U380" s="36"/>
    </row>
    <row r="381" ht="30.0" customHeight="1">
      <c r="A381" s="24"/>
      <c r="B381" s="25">
        <v>2486.0</v>
      </c>
      <c r="C381" s="26" t="s">
        <v>40</v>
      </c>
      <c r="D381" s="27">
        <v>46049.0</v>
      </c>
      <c r="E381" s="28" t="str">
        <f t="shared" si="1"/>
        <v>2026</v>
      </c>
      <c r="F381" s="28" t="str">
        <f t="shared" si="2"/>
        <v>01 Jan</v>
      </c>
      <c r="G381" s="50" t="s">
        <v>37</v>
      </c>
      <c r="H381" s="29" t="s">
        <v>68</v>
      </c>
      <c r="I381" s="29" t="s">
        <v>321</v>
      </c>
      <c r="J381" s="26" t="s">
        <v>25</v>
      </c>
      <c r="K381" s="26" t="s">
        <v>39</v>
      </c>
      <c r="L381" s="28" t="str">
        <f t="shared" si="3"/>
        <v>PAKET KLINIK</v>
      </c>
      <c r="M381" s="26" t="s">
        <v>27</v>
      </c>
      <c r="N381" s="30">
        <v>650000.0</v>
      </c>
      <c r="O381" s="31">
        <v>0.0</v>
      </c>
      <c r="P381" s="32">
        <f t="array" ref="P381">IFNA(XLOOKUP(K381,'⚙️ Pengaturan'!$E$2:$E800,'⚙️ Pengaturan'!$F$2:$F800),"")</f>
        <v>650000</v>
      </c>
      <c r="Q381" s="33">
        <f t="shared" si="5"/>
        <v>0</v>
      </c>
      <c r="R381" s="26" t="s">
        <v>113</v>
      </c>
      <c r="S381" s="38" t="s">
        <v>321</v>
      </c>
      <c r="T381" s="35" t="b">
        <v>1</v>
      </c>
      <c r="U381" s="36"/>
    </row>
    <row r="382" ht="30.0" customHeight="1">
      <c r="A382" s="24"/>
      <c r="B382" s="25">
        <v>2487.0</v>
      </c>
      <c r="C382" s="26" t="s">
        <v>40</v>
      </c>
      <c r="D382" s="27">
        <v>46049.0</v>
      </c>
      <c r="E382" s="28" t="str">
        <f t="shared" si="1"/>
        <v>2026</v>
      </c>
      <c r="F382" s="28" t="str">
        <f t="shared" si="2"/>
        <v>01 Jan</v>
      </c>
      <c r="G382" s="50" t="s">
        <v>37</v>
      </c>
      <c r="H382" s="29" t="s">
        <v>23</v>
      </c>
      <c r="I382" s="29" t="s">
        <v>322</v>
      </c>
      <c r="J382" s="40" t="s">
        <v>25</v>
      </c>
      <c r="K382" s="40" t="s">
        <v>26</v>
      </c>
      <c r="L382" s="41" t="str">
        <f t="shared" si="3"/>
        <v>TA KLINIK</v>
      </c>
      <c r="M382" s="40" t="s">
        <v>27</v>
      </c>
      <c r="N382" s="42">
        <v>250000.0</v>
      </c>
      <c r="O382" s="43">
        <v>0.0</v>
      </c>
      <c r="P382" s="32">
        <f t="array" ref="P382">IFNA(XLOOKUP(K382,'⚙️ Pengaturan'!$E$2:$E800,'⚙️ Pengaturan'!$F$2:$F800),"")</f>
        <v>250000</v>
      </c>
      <c r="Q382" s="33">
        <f t="shared" si="5"/>
        <v>0</v>
      </c>
      <c r="R382" s="26" t="s">
        <v>113</v>
      </c>
      <c r="S382" s="38" t="s">
        <v>322</v>
      </c>
      <c r="T382" s="35" t="b">
        <v>1</v>
      </c>
      <c r="U382" s="36"/>
    </row>
    <row r="383" ht="30.0" customHeight="1">
      <c r="A383" s="24"/>
      <c r="B383" s="25">
        <v>2488.0</v>
      </c>
      <c r="C383" s="26" t="s">
        <v>40</v>
      </c>
      <c r="D383" s="27">
        <v>46049.0</v>
      </c>
      <c r="E383" s="28" t="str">
        <f t="shared" si="1"/>
        <v>2026</v>
      </c>
      <c r="F383" s="28" t="str">
        <f t="shared" si="2"/>
        <v>01 Jan</v>
      </c>
      <c r="G383" s="50" t="s">
        <v>37</v>
      </c>
      <c r="H383" s="29" t="s">
        <v>23</v>
      </c>
      <c r="I383" s="29" t="s">
        <v>322</v>
      </c>
      <c r="J383" s="26" t="s">
        <v>25</v>
      </c>
      <c r="K383" s="26" t="s">
        <v>39</v>
      </c>
      <c r="L383" s="28" t="str">
        <f t="shared" si="3"/>
        <v>PAKET KLINIK</v>
      </c>
      <c r="M383" s="26" t="s">
        <v>27</v>
      </c>
      <c r="N383" s="30">
        <v>650000.0</v>
      </c>
      <c r="O383" s="31">
        <v>0.0</v>
      </c>
      <c r="P383" s="32">
        <f t="array" ref="P383">IFNA(XLOOKUP(K383,'⚙️ Pengaturan'!$E$2:$E800,'⚙️ Pengaturan'!$F$2:$F800),"")</f>
        <v>650000</v>
      </c>
      <c r="Q383" s="33">
        <f t="shared" si="5"/>
        <v>0</v>
      </c>
      <c r="R383" s="26" t="s">
        <v>113</v>
      </c>
      <c r="S383" s="38" t="s">
        <v>322</v>
      </c>
      <c r="T383" s="35" t="b">
        <v>1</v>
      </c>
      <c r="U383" s="36"/>
    </row>
    <row r="384" ht="30.0" customHeight="1">
      <c r="A384" s="24"/>
      <c r="B384" s="25">
        <v>2489.0</v>
      </c>
      <c r="C384" s="26" t="s">
        <v>40</v>
      </c>
      <c r="D384" s="27">
        <v>46049.0</v>
      </c>
      <c r="E384" s="28" t="str">
        <f t="shared" si="1"/>
        <v>2026</v>
      </c>
      <c r="F384" s="28" t="str">
        <f t="shared" si="2"/>
        <v>01 Jan</v>
      </c>
      <c r="G384" s="50" t="s">
        <v>46</v>
      </c>
      <c r="H384" s="29" t="s">
        <v>58</v>
      </c>
      <c r="I384" s="29" t="s">
        <v>248</v>
      </c>
      <c r="J384" s="26" t="s">
        <v>76</v>
      </c>
      <c r="K384" s="26" t="s">
        <v>39</v>
      </c>
      <c r="L384" s="28" t="str">
        <f t="shared" si="3"/>
        <v>PAKET KLINIK</v>
      </c>
      <c r="M384" s="26" t="s">
        <v>63</v>
      </c>
      <c r="N384" s="30">
        <v>350000.0</v>
      </c>
      <c r="O384" s="31">
        <v>0.0</v>
      </c>
      <c r="P384" s="32">
        <f t="array" ref="P384">IFNA(XLOOKUP(K384,'⚙️ Pengaturan'!$E$2:$E800,'⚙️ Pengaturan'!$F$2:$F800),"")</f>
        <v>650000</v>
      </c>
      <c r="Q384" s="33">
        <f t="shared" si="5"/>
        <v>-300000</v>
      </c>
      <c r="R384" s="26" t="s">
        <v>113</v>
      </c>
      <c r="S384" s="38" t="s">
        <v>248</v>
      </c>
      <c r="T384" s="35" t="b">
        <v>1</v>
      </c>
      <c r="U384" s="36"/>
    </row>
    <row r="385" ht="30.0" customHeight="1">
      <c r="A385" s="24"/>
      <c r="B385" s="25">
        <v>2490.0</v>
      </c>
      <c r="C385" s="26" t="s">
        <v>40</v>
      </c>
      <c r="D385" s="27">
        <v>46049.0</v>
      </c>
      <c r="E385" s="28" t="str">
        <f t="shared" si="1"/>
        <v>2026</v>
      </c>
      <c r="F385" s="28" t="str">
        <f t="shared" si="2"/>
        <v>01 Jan</v>
      </c>
      <c r="G385" s="50" t="s">
        <v>53</v>
      </c>
      <c r="H385" s="29" t="s">
        <v>48</v>
      </c>
      <c r="I385" s="29" t="s">
        <v>323</v>
      </c>
      <c r="J385" s="26" t="s">
        <v>25</v>
      </c>
      <c r="K385" s="26" t="s">
        <v>26</v>
      </c>
      <c r="L385" s="28" t="str">
        <f t="shared" si="3"/>
        <v>TA KLINIK</v>
      </c>
      <c r="M385" s="26" t="s">
        <v>27</v>
      </c>
      <c r="N385" s="30">
        <v>250000.0</v>
      </c>
      <c r="O385" s="31">
        <v>0.0</v>
      </c>
      <c r="P385" s="32">
        <f t="array" ref="P385">IFNA(XLOOKUP(K385,'⚙️ Pengaturan'!$E$2:$E800,'⚙️ Pengaturan'!$F$2:$F800),"")</f>
        <v>250000</v>
      </c>
      <c r="Q385" s="33">
        <f t="shared" si="5"/>
        <v>0</v>
      </c>
      <c r="R385" s="26" t="s">
        <v>33</v>
      </c>
      <c r="S385" s="38" t="s">
        <v>34</v>
      </c>
      <c r="T385" s="35" t="b">
        <v>1</v>
      </c>
      <c r="U385" s="36"/>
    </row>
    <row r="386" ht="30.0" customHeight="1">
      <c r="A386" s="24"/>
      <c r="B386" s="25">
        <v>2491.0</v>
      </c>
      <c r="C386" s="26" t="s">
        <v>40</v>
      </c>
      <c r="D386" s="27">
        <v>46049.0</v>
      </c>
      <c r="E386" s="28" t="str">
        <f t="shared" si="1"/>
        <v>2026</v>
      </c>
      <c r="F386" s="28" t="str">
        <f t="shared" si="2"/>
        <v>01 Jan</v>
      </c>
      <c r="G386" s="50" t="s">
        <v>53</v>
      </c>
      <c r="H386" s="29" t="s">
        <v>51</v>
      </c>
      <c r="I386" s="29" t="s">
        <v>324</v>
      </c>
      <c r="J386" s="26" t="s">
        <v>25</v>
      </c>
      <c r="K386" s="26" t="s">
        <v>26</v>
      </c>
      <c r="L386" s="28" t="str">
        <f t="shared" si="3"/>
        <v>TA KLINIK</v>
      </c>
      <c r="M386" s="26" t="s">
        <v>27</v>
      </c>
      <c r="N386" s="30">
        <v>250000.0</v>
      </c>
      <c r="O386" s="31">
        <v>0.0</v>
      </c>
      <c r="P386" s="32">
        <f t="array" ref="P386">IFNA(XLOOKUP(K386,'⚙️ Pengaturan'!$E$2:$E800,'⚙️ Pengaturan'!$F$2:$F800),"")</f>
        <v>250000</v>
      </c>
      <c r="Q386" s="33">
        <f t="shared" si="5"/>
        <v>0</v>
      </c>
      <c r="R386" s="26" t="s">
        <v>33</v>
      </c>
      <c r="S386" s="38" t="s">
        <v>34</v>
      </c>
      <c r="T386" s="35" t="b">
        <v>1</v>
      </c>
      <c r="U386" s="36"/>
    </row>
    <row r="387" ht="30.0" customHeight="1">
      <c r="A387" s="24"/>
      <c r="B387" s="25">
        <v>2492.0</v>
      </c>
      <c r="C387" s="26" t="s">
        <v>40</v>
      </c>
      <c r="D387" s="27">
        <v>46049.0</v>
      </c>
      <c r="E387" s="28" t="str">
        <f t="shared" si="1"/>
        <v>2026</v>
      </c>
      <c r="F387" s="28" t="str">
        <f t="shared" si="2"/>
        <v>01 Jan</v>
      </c>
      <c r="G387" s="50" t="s">
        <v>53</v>
      </c>
      <c r="H387" s="29" t="s">
        <v>58</v>
      </c>
      <c r="I387" s="29" t="s">
        <v>325</v>
      </c>
      <c r="J387" s="26" t="s">
        <v>25</v>
      </c>
      <c r="K387" s="26" t="s">
        <v>26</v>
      </c>
      <c r="L387" s="28" t="str">
        <f t="shared" si="3"/>
        <v>TA KLINIK</v>
      </c>
      <c r="M387" s="26" t="s">
        <v>27</v>
      </c>
      <c r="N387" s="30">
        <v>250000.0</v>
      </c>
      <c r="O387" s="31">
        <v>0.0</v>
      </c>
      <c r="P387" s="32">
        <f t="array" ref="P387">IFNA(XLOOKUP(K387,'⚙️ Pengaturan'!$E$2:$E800,'⚙️ Pengaturan'!$F$2:$F800),"")</f>
        <v>250000</v>
      </c>
      <c r="Q387" s="33">
        <f t="shared" si="5"/>
        <v>0</v>
      </c>
      <c r="R387" s="26" t="s">
        <v>33</v>
      </c>
      <c r="S387" s="38" t="s">
        <v>34</v>
      </c>
      <c r="T387" s="35" t="b">
        <v>1</v>
      </c>
      <c r="U387" s="36"/>
    </row>
    <row r="388" ht="30.0" customHeight="1">
      <c r="A388" s="24"/>
      <c r="B388" s="25">
        <v>2493.0</v>
      </c>
      <c r="C388" s="26" t="s">
        <v>40</v>
      </c>
      <c r="D388" s="27">
        <v>46049.0</v>
      </c>
      <c r="E388" s="28" t="str">
        <f t="shared" si="1"/>
        <v>2026</v>
      </c>
      <c r="F388" s="28" t="str">
        <f t="shared" si="2"/>
        <v>01 Jan</v>
      </c>
      <c r="G388" s="50" t="s">
        <v>56</v>
      </c>
      <c r="H388" s="29" t="s">
        <v>51</v>
      </c>
      <c r="I388" s="29" t="s">
        <v>326</v>
      </c>
      <c r="J388" s="26" t="s">
        <v>25</v>
      </c>
      <c r="K388" s="26" t="s">
        <v>26</v>
      </c>
      <c r="L388" s="28" t="str">
        <f t="shared" si="3"/>
        <v>TA KLINIK</v>
      </c>
      <c r="M388" s="26" t="s">
        <v>27</v>
      </c>
      <c r="N388" s="30">
        <v>250000.0</v>
      </c>
      <c r="O388" s="31">
        <v>0.0</v>
      </c>
      <c r="P388" s="32">
        <f t="array" ref="P388">IFNA(XLOOKUP(K388,'⚙️ Pengaturan'!$E$2:$E800,'⚙️ Pengaturan'!$F$2:$F800),"")</f>
        <v>250000</v>
      </c>
      <c r="Q388" s="33">
        <f t="shared" si="5"/>
        <v>0</v>
      </c>
      <c r="R388" s="26" t="s">
        <v>33</v>
      </c>
      <c r="S388" s="38" t="s">
        <v>34</v>
      </c>
      <c r="T388" s="35" t="b">
        <v>1</v>
      </c>
      <c r="U388" s="36"/>
    </row>
    <row r="389" ht="30.0" customHeight="1">
      <c r="A389" s="24"/>
      <c r="B389" s="25">
        <v>2494.0</v>
      </c>
      <c r="C389" s="26" t="s">
        <v>40</v>
      </c>
      <c r="D389" s="27">
        <v>46049.0</v>
      </c>
      <c r="E389" s="28" t="str">
        <f t="shared" si="1"/>
        <v>2026</v>
      </c>
      <c r="F389" s="28" t="str">
        <f t="shared" si="2"/>
        <v>01 Jan</v>
      </c>
      <c r="G389" s="50" t="s">
        <v>67</v>
      </c>
      <c r="H389" s="29" t="s">
        <v>68</v>
      </c>
      <c r="I389" s="29" t="s">
        <v>292</v>
      </c>
      <c r="J389" s="26" t="s">
        <v>25</v>
      </c>
      <c r="K389" s="26" t="s">
        <v>32</v>
      </c>
      <c r="L389" s="28" t="str">
        <f t="shared" si="3"/>
        <v>SESI KLINIK</v>
      </c>
      <c r="M389" s="26" t="s">
        <v>27</v>
      </c>
      <c r="N389" s="30">
        <v>150000.0</v>
      </c>
      <c r="O389" s="31">
        <v>0.0</v>
      </c>
      <c r="P389" s="32">
        <f t="array" ref="P389">IFNA(XLOOKUP(K389,'⚙️ Pengaturan'!$E$2:$E800,'⚙️ Pengaturan'!$F$2:$F800),"")</f>
        <v>150000</v>
      </c>
      <c r="Q389" s="33">
        <f t="shared" si="5"/>
        <v>0</v>
      </c>
      <c r="R389" s="26" t="s">
        <v>28</v>
      </c>
      <c r="S389" s="38" t="s">
        <v>292</v>
      </c>
      <c r="T389" s="35" t="b">
        <v>1</v>
      </c>
      <c r="U389" s="36"/>
    </row>
    <row r="390" ht="30.0" customHeight="1">
      <c r="A390" s="24"/>
      <c r="B390" s="25">
        <v>2495.0</v>
      </c>
      <c r="C390" s="26" t="s">
        <v>40</v>
      </c>
      <c r="D390" s="27">
        <v>46049.0</v>
      </c>
      <c r="E390" s="28" t="str">
        <f t="shared" si="1"/>
        <v>2026</v>
      </c>
      <c r="F390" s="28" t="str">
        <f t="shared" si="2"/>
        <v>01 Jan</v>
      </c>
      <c r="G390" s="50" t="s">
        <v>37</v>
      </c>
      <c r="H390" s="29" t="s">
        <v>30</v>
      </c>
      <c r="I390" s="29" t="s">
        <v>236</v>
      </c>
      <c r="J390" s="26" t="s">
        <v>25</v>
      </c>
      <c r="K390" s="26" t="s">
        <v>32</v>
      </c>
      <c r="L390" s="28" t="str">
        <f t="shared" si="3"/>
        <v>SESI KLINIK</v>
      </c>
      <c r="M390" s="26" t="s">
        <v>27</v>
      </c>
      <c r="N390" s="30">
        <v>150000.0</v>
      </c>
      <c r="O390" s="31">
        <v>0.0</v>
      </c>
      <c r="P390" s="32">
        <f t="array" ref="P390">IFNA(XLOOKUP(K390,'⚙️ Pengaturan'!$E$2:$E800,'⚙️ Pengaturan'!$F$2:$F800),"")</f>
        <v>150000</v>
      </c>
      <c r="Q390" s="33">
        <f t="shared" si="5"/>
        <v>0</v>
      </c>
      <c r="R390" s="26" t="s">
        <v>28</v>
      </c>
      <c r="S390" s="38" t="s">
        <v>236</v>
      </c>
      <c r="T390" s="35" t="b">
        <v>1</v>
      </c>
      <c r="U390" s="36"/>
    </row>
    <row r="391" ht="30.0" customHeight="1">
      <c r="A391" s="24"/>
      <c r="B391" s="25">
        <v>2496.0</v>
      </c>
      <c r="C391" s="26" t="s">
        <v>21</v>
      </c>
      <c r="D391" s="27">
        <v>46050.0</v>
      </c>
      <c r="E391" s="28" t="str">
        <f t="shared" si="1"/>
        <v>2026</v>
      </c>
      <c r="F391" s="28" t="str">
        <f t="shared" si="2"/>
        <v>01 Jan</v>
      </c>
      <c r="G391" s="50" t="s">
        <v>67</v>
      </c>
      <c r="H391" s="29" t="s">
        <v>68</v>
      </c>
      <c r="I391" s="29" t="s">
        <v>323</v>
      </c>
      <c r="J391" s="26" t="s">
        <v>25</v>
      </c>
      <c r="K391" s="26" t="s">
        <v>32</v>
      </c>
      <c r="L391" s="28" t="str">
        <f t="shared" si="3"/>
        <v>SESI KLINIK</v>
      </c>
      <c r="M391" s="26" t="s">
        <v>27</v>
      </c>
      <c r="N391" s="30">
        <v>150000.0</v>
      </c>
      <c r="O391" s="31">
        <v>0.0</v>
      </c>
      <c r="P391" s="32">
        <f t="array" ref="P391">IFNA(XLOOKUP(K391,'⚙️ Pengaturan'!$E$2:$E800,'⚙️ Pengaturan'!$F$2:$F800),"")</f>
        <v>150000</v>
      </c>
      <c r="Q391" s="33">
        <f t="shared" si="5"/>
        <v>0</v>
      </c>
      <c r="R391" s="26" t="s">
        <v>33</v>
      </c>
      <c r="S391" s="38" t="s">
        <v>34</v>
      </c>
      <c r="T391" s="35" t="b">
        <v>1</v>
      </c>
      <c r="U391" s="36"/>
    </row>
    <row r="392" ht="30.0" customHeight="1">
      <c r="A392" s="24"/>
      <c r="B392" s="25">
        <v>2497.0</v>
      </c>
      <c r="C392" s="26" t="s">
        <v>21</v>
      </c>
      <c r="D392" s="27">
        <v>46050.0</v>
      </c>
      <c r="E392" s="28" t="str">
        <f t="shared" si="1"/>
        <v>2026</v>
      </c>
      <c r="F392" s="28" t="str">
        <f t="shared" si="2"/>
        <v>01 Jan</v>
      </c>
      <c r="G392" s="50" t="s">
        <v>67</v>
      </c>
      <c r="H392" s="29" t="s">
        <v>70</v>
      </c>
      <c r="I392" s="29" t="s">
        <v>294</v>
      </c>
      <c r="J392" s="26" t="s">
        <v>25</v>
      </c>
      <c r="K392" s="26" t="s">
        <v>39</v>
      </c>
      <c r="L392" s="28" t="str">
        <f t="shared" si="3"/>
        <v>PAKET KLINIK</v>
      </c>
      <c r="M392" s="26" t="s">
        <v>86</v>
      </c>
      <c r="N392" s="30">
        <v>300000.0</v>
      </c>
      <c r="O392" s="31">
        <v>0.0</v>
      </c>
      <c r="P392" s="32">
        <f t="array" ref="P392">IFNA(XLOOKUP(K392,'⚙️ Pengaturan'!$E$2:$E800,'⚙️ Pengaturan'!$F$2:$F800),"")</f>
        <v>650000</v>
      </c>
      <c r="Q392" s="33">
        <f t="shared" si="5"/>
        <v>-350000</v>
      </c>
      <c r="R392" s="26" t="s">
        <v>33</v>
      </c>
      <c r="S392" s="38" t="s">
        <v>34</v>
      </c>
      <c r="T392" s="35" t="b">
        <v>1</v>
      </c>
      <c r="U392" s="36"/>
    </row>
    <row r="393" ht="30.0" customHeight="1">
      <c r="A393" s="24"/>
      <c r="B393" s="25">
        <v>2498.0</v>
      </c>
      <c r="C393" s="26" t="s">
        <v>21</v>
      </c>
      <c r="D393" s="27">
        <v>46050.0</v>
      </c>
      <c r="E393" s="28" t="str">
        <f t="shared" si="1"/>
        <v>2026</v>
      </c>
      <c r="F393" s="28" t="str">
        <f t="shared" si="2"/>
        <v>01 Jan</v>
      </c>
      <c r="G393" s="50" t="s">
        <v>67</v>
      </c>
      <c r="H393" s="29" t="s">
        <v>23</v>
      </c>
      <c r="I393" s="29" t="s">
        <v>327</v>
      </c>
      <c r="J393" s="26" t="s">
        <v>25</v>
      </c>
      <c r="K393" s="26" t="s">
        <v>26</v>
      </c>
      <c r="L393" s="28" t="str">
        <f t="shared" si="3"/>
        <v>TA KLINIK</v>
      </c>
      <c r="M393" s="26" t="s">
        <v>27</v>
      </c>
      <c r="N393" s="30">
        <v>250000.0</v>
      </c>
      <c r="O393" s="31">
        <v>0.0</v>
      </c>
      <c r="P393" s="32">
        <f t="array" ref="P393">IFNA(XLOOKUP(K393,'⚙️ Pengaturan'!$E$2:$E800,'⚙️ Pengaturan'!$F$2:$F800),"")</f>
        <v>250000</v>
      </c>
      <c r="Q393" s="33">
        <f t="shared" si="5"/>
        <v>0</v>
      </c>
      <c r="R393" s="26" t="s">
        <v>28</v>
      </c>
      <c r="S393" s="38" t="s">
        <v>327</v>
      </c>
      <c r="T393" s="35" t="b">
        <v>1</v>
      </c>
      <c r="U393" s="36"/>
    </row>
    <row r="394" ht="30.0" customHeight="1">
      <c r="A394" s="24"/>
      <c r="B394" s="25">
        <v>2499.0</v>
      </c>
      <c r="C394" s="26" t="s">
        <v>21</v>
      </c>
      <c r="D394" s="27">
        <v>46050.0</v>
      </c>
      <c r="E394" s="28" t="str">
        <f t="shared" si="1"/>
        <v>2026</v>
      </c>
      <c r="F394" s="28" t="str">
        <f t="shared" si="2"/>
        <v>01 Jan</v>
      </c>
      <c r="G394" s="50" t="s">
        <v>29</v>
      </c>
      <c r="H394" s="29" t="s">
        <v>70</v>
      </c>
      <c r="I394" s="29" t="s">
        <v>288</v>
      </c>
      <c r="J394" s="26" t="s">
        <v>25</v>
      </c>
      <c r="K394" s="26" t="s">
        <v>39</v>
      </c>
      <c r="L394" s="28" t="str">
        <f t="shared" si="3"/>
        <v>PAKET KLINIK</v>
      </c>
      <c r="M394" s="26" t="s">
        <v>27</v>
      </c>
      <c r="N394" s="30">
        <v>650000.0</v>
      </c>
      <c r="O394" s="31">
        <v>0.0</v>
      </c>
      <c r="P394" s="32">
        <f t="array" ref="P394">IFNA(XLOOKUP(K394,'⚙️ Pengaturan'!$E$2:$E800,'⚙️ Pengaturan'!$F$2:$F800),"")</f>
        <v>650000</v>
      </c>
      <c r="Q394" s="33">
        <f t="shared" si="5"/>
        <v>0</v>
      </c>
      <c r="R394" s="26" t="s">
        <v>28</v>
      </c>
      <c r="S394" s="38" t="s">
        <v>288</v>
      </c>
      <c r="T394" s="35" t="b">
        <v>1</v>
      </c>
      <c r="U394" s="36"/>
    </row>
    <row r="395" ht="30.0" customHeight="1">
      <c r="A395" s="24"/>
      <c r="B395" s="25">
        <v>2500.0</v>
      </c>
      <c r="C395" s="26" t="s">
        <v>21</v>
      </c>
      <c r="D395" s="27">
        <v>46050.0</v>
      </c>
      <c r="E395" s="28" t="str">
        <f t="shared" si="1"/>
        <v>2026</v>
      </c>
      <c r="F395" s="28" t="str">
        <f t="shared" si="2"/>
        <v>01 Jan</v>
      </c>
      <c r="G395" s="50" t="s">
        <v>29</v>
      </c>
      <c r="H395" s="29" t="s">
        <v>70</v>
      </c>
      <c r="I395" s="29" t="s">
        <v>328</v>
      </c>
      <c r="J395" s="26" t="s">
        <v>25</v>
      </c>
      <c r="K395" s="26" t="s">
        <v>26</v>
      </c>
      <c r="L395" s="28" t="str">
        <f t="shared" si="3"/>
        <v>TA KLINIK</v>
      </c>
      <c r="M395" s="26" t="s">
        <v>27</v>
      </c>
      <c r="N395" s="30">
        <v>250000.0</v>
      </c>
      <c r="O395" s="31">
        <v>0.0</v>
      </c>
      <c r="P395" s="32">
        <f t="array" ref="P395">IFNA(XLOOKUP(K395,'⚙️ Pengaturan'!$E$2:$E800,'⚙️ Pengaturan'!$F$2:$F800),"")</f>
        <v>250000</v>
      </c>
      <c r="Q395" s="33">
        <f t="shared" si="5"/>
        <v>0</v>
      </c>
      <c r="R395" s="26" t="s">
        <v>28</v>
      </c>
      <c r="S395" s="38" t="s">
        <v>328</v>
      </c>
      <c r="T395" s="35" t="b">
        <v>1</v>
      </c>
      <c r="U395" s="36"/>
    </row>
    <row r="396" ht="30.0" customHeight="1">
      <c r="A396" s="24"/>
      <c r="B396" s="25">
        <v>2501.0</v>
      </c>
      <c r="C396" s="26" t="s">
        <v>21</v>
      </c>
      <c r="D396" s="27">
        <v>46050.0</v>
      </c>
      <c r="E396" s="28" t="str">
        <f t="shared" si="1"/>
        <v>2026</v>
      </c>
      <c r="F396" s="28" t="str">
        <f t="shared" si="2"/>
        <v>01 Jan</v>
      </c>
      <c r="G396" s="50" t="s">
        <v>89</v>
      </c>
      <c r="H396" s="29" t="s">
        <v>68</v>
      </c>
      <c r="I396" s="29" t="s">
        <v>329</v>
      </c>
      <c r="J396" s="26" t="s">
        <v>25</v>
      </c>
      <c r="K396" s="26" t="s">
        <v>26</v>
      </c>
      <c r="L396" s="28" t="str">
        <f t="shared" si="3"/>
        <v>TA KLINIK</v>
      </c>
      <c r="M396" s="26" t="s">
        <v>27</v>
      </c>
      <c r="N396" s="30">
        <v>250000.0</v>
      </c>
      <c r="O396" s="31">
        <v>0.0</v>
      </c>
      <c r="P396" s="32">
        <f t="array" ref="P396">IFNA(XLOOKUP(K396,'⚙️ Pengaturan'!$E$2:$E800,'⚙️ Pengaturan'!$F$2:$F800),"")</f>
        <v>250000</v>
      </c>
      <c r="Q396" s="33">
        <f t="shared" si="5"/>
        <v>0</v>
      </c>
      <c r="R396" s="26" t="s">
        <v>28</v>
      </c>
      <c r="S396" s="38" t="s">
        <v>329</v>
      </c>
      <c r="T396" s="35" t="b">
        <v>1</v>
      </c>
      <c r="U396" s="36"/>
    </row>
    <row r="397" ht="30.0" customHeight="1">
      <c r="A397" s="24"/>
      <c r="B397" s="25">
        <v>2502.0</v>
      </c>
      <c r="C397" s="26" t="s">
        <v>21</v>
      </c>
      <c r="D397" s="27">
        <v>46050.0</v>
      </c>
      <c r="E397" s="28" t="str">
        <f t="shared" si="1"/>
        <v>2026</v>
      </c>
      <c r="F397" s="28" t="str">
        <f t="shared" si="2"/>
        <v>01 Jan</v>
      </c>
      <c r="G397" s="50" t="s">
        <v>89</v>
      </c>
      <c r="H397" s="29" t="s">
        <v>70</v>
      </c>
      <c r="I397" s="29" t="s">
        <v>328</v>
      </c>
      <c r="J397" s="26" t="s">
        <v>25</v>
      </c>
      <c r="K397" s="26" t="s">
        <v>26</v>
      </c>
      <c r="L397" s="28" t="str">
        <f t="shared" si="3"/>
        <v>TA KLINIK</v>
      </c>
      <c r="M397" s="26" t="s">
        <v>27</v>
      </c>
      <c r="N397" s="30">
        <v>250000.0</v>
      </c>
      <c r="O397" s="31">
        <v>0.0</v>
      </c>
      <c r="P397" s="32">
        <f t="array" ref="P397">IFNA(XLOOKUP(K397,'⚙️ Pengaturan'!$E$2:$E800,'⚙️ Pengaturan'!$F$2:$F800),"")</f>
        <v>250000</v>
      </c>
      <c r="Q397" s="33">
        <f t="shared" si="5"/>
        <v>0</v>
      </c>
      <c r="R397" s="26" t="s">
        <v>33</v>
      </c>
      <c r="S397" s="38" t="s">
        <v>34</v>
      </c>
      <c r="T397" s="35" t="b">
        <v>1</v>
      </c>
      <c r="U397" s="36"/>
    </row>
    <row r="398" ht="30.0" customHeight="1">
      <c r="A398" s="24"/>
      <c r="B398" s="25">
        <v>2503.0</v>
      </c>
      <c r="C398" s="26" t="s">
        <v>21</v>
      </c>
      <c r="D398" s="27">
        <v>46050.0</v>
      </c>
      <c r="E398" s="28" t="str">
        <f t="shared" si="1"/>
        <v>2026</v>
      </c>
      <c r="F398" s="28" t="str">
        <f t="shared" si="2"/>
        <v>01 Jan</v>
      </c>
      <c r="G398" s="50" t="s">
        <v>89</v>
      </c>
      <c r="H398" s="29" t="s">
        <v>70</v>
      </c>
      <c r="I398" s="29" t="s">
        <v>330</v>
      </c>
      <c r="J398" s="26" t="s">
        <v>25</v>
      </c>
      <c r="K398" s="26" t="s">
        <v>26</v>
      </c>
      <c r="L398" s="28" t="str">
        <f t="shared" si="3"/>
        <v>TA KLINIK</v>
      </c>
      <c r="M398" s="26" t="s">
        <v>27</v>
      </c>
      <c r="N398" s="30">
        <v>250000.0</v>
      </c>
      <c r="O398" s="31">
        <v>0.0</v>
      </c>
      <c r="P398" s="32">
        <f t="array" ref="P398">IFNA(XLOOKUP(K398,'⚙️ Pengaturan'!$E$2:$E800,'⚙️ Pengaturan'!$F$2:$F800),"")</f>
        <v>250000</v>
      </c>
      <c r="Q398" s="33">
        <f t="shared" si="5"/>
        <v>0</v>
      </c>
      <c r="R398" s="26" t="s">
        <v>33</v>
      </c>
      <c r="S398" s="38" t="s">
        <v>34</v>
      </c>
      <c r="T398" s="35" t="b">
        <v>1</v>
      </c>
      <c r="U398" s="36"/>
    </row>
    <row r="399" ht="30.0" customHeight="1">
      <c r="A399" s="24"/>
      <c r="B399" s="25">
        <v>2504.0</v>
      </c>
      <c r="C399" s="26" t="s">
        <v>21</v>
      </c>
      <c r="D399" s="27">
        <v>46050.0</v>
      </c>
      <c r="E399" s="28" t="str">
        <f t="shared" si="1"/>
        <v>2026</v>
      </c>
      <c r="F399" s="28" t="str">
        <f t="shared" si="2"/>
        <v>01 Jan</v>
      </c>
      <c r="G399" s="50" t="s">
        <v>89</v>
      </c>
      <c r="H399" s="29" t="s">
        <v>23</v>
      </c>
      <c r="I399" s="29" t="s">
        <v>331</v>
      </c>
      <c r="J399" s="26" t="s">
        <v>25</v>
      </c>
      <c r="K399" s="26" t="s">
        <v>26</v>
      </c>
      <c r="L399" s="28" t="str">
        <f t="shared" si="3"/>
        <v>TA KLINIK</v>
      </c>
      <c r="M399" s="26" t="s">
        <v>27</v>
      </c>
      <c r="N399" s="30">
        <v>250000.0</v>
      </c>
      <c r="O399" s="31">
        <v>0.0</v>
      </c>
      <c r="P399" s="32">
        <f t="array" ref="P399">IFNA(XLOOKUP(K399,'⚙️ Pengaturan'!$E$2:$E800,'⚙️ Pengaturan'!$F$2:$F800),"")</f>
        <v>250000</v>
      </c>
      <c r="Q399" s="33">
        <f t="shared" si="5"/>
        <v>0</v>
      </c>
      <c r="R399" s="26" t="s">
        <v>33</v>
      </c>
      <c r="S399" s="38" t="s">
        <v>34</v>
      </c>
      <c r="T399" s="35" t="b">
        <v>1</v>
      </c>
      <c r="U399" s="36"/>
    </row>
    <row r="400" ht="30.0" customHeight="1">
      <c r="A400" s="24"/>
      <c r="B400" s="25">
        <v>2505.0</v>
      </c>
      <c r="C400" s="26" t="s">
        <v>40</v>
      </c>
      <c r="D400" s="27">
        <v>46050.0</v>
      </c>
      <c r="E400" s="28" t="str">
        <f t="shared" si="1"/>
        <v>2026</v>
      </c>
      <c r="F400" s="28" t="str">
        <f t="shared" si="2"/>
        <v>01 Jan</v>
      </c>
      <c r="G400" s="50" t="s">
        <v>46</v>
      </c>
      <c r="H400" s="29" t="s">
        <v>58</v>
      </c>
      <c r="I400" s="29" t="s">
        <v>306</v>
      </c>
      <c r="J400" s="26" t="s">
        <v>25</v>
      </c>
      <c r="K400" s="26" t="s">
        <v>32</v>
      </c>
      <c r="L400" s="28" t="str">
        <f t="shared" si="3"/>
        <v>SESI KLINIK</v>
      </c>
      <c r="M400" s="26" t="s">
        <v>27</v>
      </c>
      <c r="N400" s="30">
        <v>150000.0</v>
      </c>
      <c r="O400" s="31">
        <v>0.0</v>
      </c>
      <c r="P400" s="32">
        <f t="array" ref="P400">IFNA(XLOOKUP(K400,'⚙️ Pengaturan'!$E$2:$E800,'⚙️ Pengaturan'!$F$2:$F800),"")</f>
        <v>150000</v>
      </c>
      <c r="Q400" s="33">
        <f t="shared" si="5"/>
        <v>0</v>
      </c>
      <c r="R400" s="26" t="s">
        <v>28</v>
      </c>
      <c r="S400" s="38" t="s">
        <v>306</v>
      </c>
      <c r="T400" s="35" t="b">
        <v>1</v>
      </c>
      <c r="U400" s="36"/>
    </row>
    <row r="401" ht="30.0" customHeight="1">
      <c r="A401" s="24"/>
      <c r="B401" s="25">
        <v>2506.0</v>
      </c>
      <c r="C401" s="26" t="s">
        <v>40</v>
      </c>
      <c r="D401" s="27">
        <v>46050.0</v>
      </c>
      <c r="E401" s="28" t="str">
        <f t="shared" si="1"/>
        <v>2026</v>
      </c>
      <c r="F401" s="28" t="str">
        <f t="shared" si="2"/>
        <v>01 Jan</v>
      </c>
      <c r="G401" s="50" t="s">
        <v>46</v>
      </c>
      <c r="H401" s="29" t="s">
        <v>51</v>
      </c>
      <c r="I401" s="29" t="s">
        <v>304</v>
      </c>
      <c r="J401" s="26" t="s">
        <v>25</v>
      </c>
      <c r="K401" s="26" t="s">
        <v>32</v>
      </c>
      <c r="L401" s="28" t="str">
        <f t="shared" si="3"/>
        <v>SESI KLINIK</v>
      </c>
      <c r="M401" s="26" t="s">
        <v>27</v>
      </c>
      <c r="N401" s="30">
        <v>150000.0</v>
      </c>
      <c r="O401" s="31">
        <v>0.0</v>
      </c>
      <c r="P401" s="32">
        <f t="array" ref="P401">IFNA(XLOOKUP(K401,'⚙️ Pengaturan'!$E$2:$E800,'⚙️ Pengaturan'!$F$2:$F800),"")</f>
        <v>150000</v>
      </c>
      <c r="Q401" s="33">
        <f t="shared" si="5"/>
        <v>0</v>
      </c>
      <c r="R401" s="26" t="s">
        <v>28</v>
      </c>
      <c r="S401" s="38" t="s">
        <v>304</v>
      </c>
      <c r="T401" s="35" t="b">
        <v>1</v>
      </c>
      <c r="U401" s="36"/>
    </row>
    <row r="402" ht="30.0" customHeight="1">
      <c r="A402" s="24"/>
      <c r="B402" s="25">
        <v>2507.0</v>
      </c>
      <c r="C402" s="26" t="s">
        <v>40</v>
      </c>
      <c r="D402" s="27">
        <v>46050.0</v>
      </c>
      <c r="E402" s="28" t="str">
        <f t="shared" si="1"/>
        <v>2026</v>
      </c>
      <c r="F402" s="28" t="str">
        <f t="shared" si="2"/>
        <v>01 Jan</v>
      </c>
      <c r="G402" s="50" t="s">
        <v>41</v>
      </c>
      <c r="H402" s="29" t="s">
        <v>51</v>
      </c>
      <c r="I402" s="29" t="s">
        <v>172</v>
      </c>
      <c r="J402" s="26" t="s">
        <v>76</v>
      </c>
      <c r="K402" s="26" t="s">
        <v>44</v>
      </c>
      <c r="L402" s="28" t="str">
        <f t="shared" si="3"/>
        <v>PAKET KLINIK</v>
      </c>
      <c r="M402" s="26" t="s">
        <v>63</v>
      </c>
      <c r="N402" s="30">
        <v>700000.0</v>
      </c>
      <c r="O402" s="31">
        <v>500000.0</v>
      </c>
      <c r="P402" s="32">
        <f t="array" ref="P402">IFNA(XLOOKUP(K402,'⚙️ Pengaturan'!$E$2:$E800,'⚙️ Pengaturan'!$F$2:$F800),"")</f>
        <v>1200000</v>
      </c>
      <c r="Q402" s="33">
        <f t="shared" si="5"/>
        <v>0</v>
      </c>
      <c r="R402" s="26" t="s">
        <v>45</v>
      </c>
      <c r="S402" s="38" t="s">
        <v>203</v>
      </c>
      <c r="T402" s="35" t="b">
        <v>1</v>
      </c>
      <c r="U402" s="36"/>
    </row>
    <row r="403" ht="30.0" customHeight="1">
      <c r="A403" s="24"/>
      <c r="B403" s="25">
        <v>2508.0</v>
      </c>
      <c r="C403" s="26" t="s">
        <v>40</v>
      </c>
      <c r="D403" s="27">
        <v>46050.0</v>
      </c>
      <c r="E403" s="28" t="str">
        <f t="shared" si="1"/>
        <v>2026</v>
      </c>
      <c r="F403" s="28" t="str">
        <f t="shared" si="2"/>
        <v>01 Jan</v>
      </c>
      <c r="G403" s="50" t="s">
        <v>41</v>
      </c>
      <c r="H403" s="29" t="s">
        <v>42</v>
      </c>
      <c r="I403" s="29" t="s">
        <v>332</v>
      </c>
      <c r="J403" s="26" t="s">
        <v>76</v>
      </c>
      <c r="K403" s="26" t="s">
        <v>44</v>
      </c>
      <c r="L403" s="28" t="str">
        <f t="shared" si="3"/>
        <v>PAKET KLINIK</v>
      </c>
      <c r="M403" s="26" t="s">
        <v>86</v>
      </c>
      <c r="N403" s="30">
        <v>200000.0</v>
      </c>
      <c r="O403" s="31">
        <v>0.0</v>
      </c>
      <c r="P403" s="32">
        <f t="array" ref="P403">IFNA(XLOOKUP(K403,'⚙️ Pengaturan'!$E$2:$E800,'⚙️ Pengaturan'!$F$2:$F800),"")</f>
        <v>1200000</v>
      </c>
      <c r="Q403" s="33">
        <f t="shared" si="5"/>
        <v>-1000000</v>
      </c>
      <c r="R403" s="26" t="s">
        <v>28</v>
      </c>
      <c r="S403" s="38" t="s">
        <v>332</v>
      </c>
      <c r="T403" s="35" t="b">
        <v>1</v>
      </c>
      <c r="U403" s="36"/>
    </row>
    <row r="404" ht="30.0" customHeight="1">
      <c r="A404" s="24"/>
      <c r="B404" s="25">
        <v>2509.0</v>
      </c>
      <c r="C404" s="26" t="s">
        <v>40</v>
      </c>
      <c r="D404" s="27">
        <v>46050.0</v>
      </c>
      <c r="E404" s="28" t="str">
        <f t="shared" si="1"/>
        <v>2026</v>
      </c>
      <c r="F404" s="28" t="str">
        <f t="shared" si="2"/>
        <v>01 Jan</v>
      </c>
      <c r="G404" s="50" t="s">
        <v>41</v>
      </c>
      <c r="H404" s="29" t="s">
        <v>58</v>
      </c>
      <c r="I404" s="29" t="s">
        <v>333</v>
      </c>
      <c r="J404" s="26" t="s">
        <v>25</v>
      </c>
      <c r="K404" s="26" t="s">
        <v>26</v>
      </c>
      <c r="L404" s="28" t="str">
        <f t="shared" si="3"/>
        <v>TA KLINIK</v>
      </c>
      <c r="M404" s="26" t="s">
        <v>27</v>
      </c>
      <c r="N404" s="30">
        <v>250000.0</v>
      </c>
      <c r="O404" s="31">
        <v>0.0</v>
      </c>
      <c r="P404" s="32">
        <f t="array" ref="P404">IFNA(XLOOKUP(K404,'⚙️ Pengaturan'!$E$2:$E800,'⚙️ Pengaturan'!$F$2:$F800),"")</f>
        <v>250000</v>
      </c>
      <c r="Q404" s="33">
        <f t="shared" si="5"/>
        <v>0</v>
      </c>
      <c r="R404" s="26" t="s">
        <v>28</v>
      </c>
      <c r="S404" s="38" t="s">
        <v>334</v>
      </c>
      <c r="T404" s="35" t="b">
        <v>1</v>
      </c>
      <c r="U404" s="36"/>
    </row>
    <row r="405" ht="30.0" customHeight="1">
      <c r="A405" s="24"/>
      <c r="B405" s="25">
        <v>2510.0</v>
      </c>
      <c r="C405" s="26" t="s">
        <v>40</v>
      </c>
      <c r="D405" s="27">
        <v>46050.0</v>
      </c>
      <c r="E405" s="28" t="str">
        <f t="shared" si="1"/>
        <v>2026</v>
      </c>
      <c r="F405" s="28" t="str">
        <f t="shared" si="2"/>
        <v>01 Jan</v>
      </c>
      <c r="G405" s="50" t="s">
        <v>53</v>
      </c>
      <c r="H405" s="29" t="s">
        <v>48</v>
      </c>
      <c r="I405" s="29" t="s">
        <v>335</v>
      </c>
      <c r="J405" s="26" t="s">
        <v>25</v>
      </c>
      <c r="K405" s="26" t="s">
        <v>26</v>
      </c>
      <c r="L405" s="28" t="str">
        <f t="shared" si="3"/>
        <v>TA KLINIK</v>
      </c>
      <c r="M405" s="26" t="s">
        <v>27</v>
      </c>
      <c r="N405" s="30">
        <v>250000.0</v>
      </c>
      <c r="O405" s="31">
        <v>0.0</v>
      </c>
      <c r="P405" s="32">
        <f t="array" ref="P405">IFNA(XLOOKUP(K405,'⚙️ Pengaturan'!$E$2:$E800,'⚙️ Pengaturan'!$F$2:$F800),"")</f>
        <v>250000</v>
      </c>
      <c r="Q405" s="33">
        <f t="shared" si="5"/>
        <v>0</v>
      </c>
      <c r="R405" s="26" t="s">
        <v>113</v>
      </c>
      <c r="S405" s="38" t="s">
        <v>335</v>
      </c>
      <c r="T405" s="35" t="b">
        <v>1</v>
      </c>
      <c r="U405" s="36"/>
    </row>
    <row r="406" ht="30.0" customHeight="1">
      <c r="A406" s="24"/>
      <c r="B406" s="25">
        <v>2511.0</v>
      </c>
      <c r="C406" s="26" t="s">
        <v>40</v>
      </c>
      <c r="D406" s="27">
        <v>46050.0</v>
      </c>
      <c r="E406" s="28" t="str">
        <f t="shared" si="1"/>
        <v>2026</v>
      </c>
      <c r="F406" s="28" t="str">
        <f t="shared" si="2"/>
        <v>01 Jan</v>
      </c>
      <c r="G406" s="50" t="s">
        <v>37</v>
      </c>
      <c r="H406" s="29" t="s">
        <v>68</v>
      </c>
      <c r="I406" s="29" t="s">
        <v>94</v>
      </c>
      <c r="J406" s="26" t="s">
        <v>76</v>
      </c>
      <c r="K406" s="26" t="s">
        <v>32</v>
      </c>
      <c r="L406" s="28" t="str">
        <f t="shared" si="3"/>
        <v>SESI KLINIK</v>
      </c>
      <c r="M406" s="26" t="s">
        <v>27</v>
      </c>
      <c r="N406" s="30">
        <v>150000.0</v>
      </c>
      <c r="O406" s="31">
        <v>0.0</v>
      </c>
      <c r="P406" s="44">
        <v>150000.0</v>
      </c>
      <c r="Q406" s="33">
        <f t="shared" si="5"/>
        <v>0</v>
      </c>
      <c r="R406" s="26" t="s">
        <v>113</v>
      </c>
      <c r="S406" s="38" t="s">
        <v>94</v>
      </c>
      <c r="T406" s="35" t="b">
        <v>1</v>
      </c>
      <c r="U406" s="36"/>
    </row>
    <row r="407" ht="30.0" customHeight="1">
      <c r="A407" s="24"/>
      <c r="B407" s="25">
        <v>2512.0</v>
      </c>
      <c r="C407" s="26" t="s">
        <v>40</v>
      </c>
      <c r="D407" s="27">
        <v>46050.0</v>
      </c>
      <c r="E407" s="28" t="str">
        <f t="shared" si="1"/>
        <v>2026</v>
      </c>
      <c r="F407" s="28" t="str">
        <f t="shared" si="2"/>
        <v>01 Jan</v>
      </c>
      <c r="G407" s="50" t="s">
        <v>53</v>
      </c>
      <c r="H407" s="29" t="s">
        <v>51</v>
      </c>
      <c r="I407" s="29" t="s">
        <v>336</v>
      </c>
      <c r="J407" s="26" t="s">
        <v>25</v>
      </c>
      <c r="K407" s="26" t="s">
        <v>26</v>
      </c>
      <c r="L407" s="28" t="str">
        <f t="shared" si="3"/>
        <v>TA KLINIK</v>
      </c>
      <c r="M407" s="26" t="s">
        <v>27</v>
      </c>
      <c r="N407" s="30">
        <v>250000.0</v>
      </c>
      <c r="O407" s="31">
        <v>0.0</v>
      </c>
      <c r="P407" s="32">
        <f t="array" ref="P407">IFNA(XLOOKUP(K407,'⚙️ Pengaturan'!$E$2:$E800,'⚙️ Pengaturan'!$F$2:$F800),"")</f>
        <v>250000</v>
      </c>
      <c r="Q407" s="33">
        <f t="shared" si="5"/>
        <v>0</v>
      </c>
      <c r="R407" s="26" t="s">
        <v>28</v>
      </c>
      <c r="S407" s="38" t="s">
        <v>336</v>
      </c>
      <c r="T407" s="35" t="b">
        <v>1</v>
      </c>
      <c r="U407" s="36"/>
    </row>
    <row r="408" ht="30.0" customHeight="1">
      <c r="A408" s="24"/>
      <c r="B408" s="25">
        <v>2513.0</v>
      </c>
      <c r="C408" s="26" t="s">
        <v>40</v>
      </c>
      <c r="D408" s="27">
        <v>46050.0</v>
      </c>
      <c r="E408" s="28" t="str">
        <f t="shared" si="1"/>
        <v>2026</v>
      </c>
      <c r="F408" s="28" t="str">
        <f t="shared" si="2"/>
        <v>01 Jan</v>
      </c>
      <c r="G408" s="50" t="s">
        <v>53</v>
      </c>
      <c r="H408" s="29" t="s">
        <v>51</v>
      </c>
      <c r="I408" s="29" t="s">
        <v>336</v>
      </c>
      <c r="J408" s="26" t="s">
        <v>25</v>
      </c>
      <c r="K408" s="26" t="s">
        <v>39</v>
      </c>
      <c r="L408" s="28" t="str">
        <f t="shared" si="3"/>
        <v>PAKET KLINIK</v>
      </c>
      <c r="M408" s="26" t="s">
        <v>27</v>
      </c>
      <c r="N408" s="30">
        <v>650000.0</v>
      </c>
      <c r="O408" s="31">
        <v>0.0</v>
      </c>
      <c r="P408" s="32">
        <f t="array" ref="P408">IFNA(XLOOKUP(K408,'⚙️ Pengaturan'!$E$2:$E800,'⚙️ Pengaturan'!$F$2:$F800),"")</f>
        <v>650000</v>
      </c>
      <c r="Q408" s="33">
        <f t="shared" si="5"/>
        <v>0</v>
      </c>
      <c r="R408" s="26" t="s">
        <v>28</v>
      </c>
      <c r="S408" s="38" t="s">
        <v>336</v>
      </c>
      <c r="T408" s="35" t="b">
        <v>1</v>
      </c>
      <c r="U408" s="36"/>
    </row>
    <row r="409" ht="30.0" customHeight="1">
      <c r="A409" s="24"/>
      <c r="B409" s="25">
        <v>2514.0</v>
      </c>
      <c r="C409" s="26" t="s">
        <v>21</v>
      </c>
      <c r="D409" s="27">
        <v>46051.0</v>
      </c>
      <c r="E409" s="28" t="str">
        <f t="shared" si="1"/>
        <v>2026</v>
      </c>
      <c r="F409" s="28" t="str">
        <f t="shared" si="2"/>
        <v>01 Jan</v>
      </c>
      <c r="G409" s="50" t="s">
        <v>22</v>
      </c>
      <c r="H409" s="29" t="s">
        <v>148</v>
      </c>
      <c r="I409" s="29" t="s">
        <v>227</v>
      </c>
      <c r="J409" s="26" t="s">
        <v>76</v>
      </c>
      <c r="K409" s="26" t="s">
        <v>44</v>
      </c>
      <c r="L409" s="28" t="str">
        <f t="shared" si="3"/>
        <v>PAKET KLINIK</v>
      </c>
      <c r="M409" s="26" t="s">
        <v>27</v>
      </c>
      <c r="N409" s="30">
        <v>200000.0</v>
      </c>
      <c r="O409" s="31">
        <v>0.0</v>
      </c>
      <c r="P409" s="32">
        <f t="array" ref="P409">IFNA(XLOOKUP(K409,'⚙️ Pengaturan'!$E$2:$E800,'⚙️ Pengaturan'!$F$2:$F800),"")</f>
        <v>1200000</v>
      </c>
      <c r="Q409" s="33">
        <f t="shared" si="5"/>
        <v>-1000000</v>
      </c>
      <c r="R409" s="26" t="s">
        <v>33</v>
      </c>
      <c r="S409" s="38" t="s">
        <v>34</v>
      </c>
      <c r="T409" s="35" t="b">
        <v>1</v>
      </c>
      <c r="U409" s="36"/>
    </row>
    <row r="410" ht="30.0" customHeight="1">
      <c r="A410" s="24"/>
      <c r="B410" s="25">
        <v>2515.0</v>
      </c>
      <c r="C410" s="26" t="s">
        <v>21</v>
      </c>
      <c r="D410" s="27">
        <v>46051.0</v>
      </c>
      <c r="E410" s="28" t="str">
        <f t="shared" si="1"/>
        <v>2026</v>
      </c>
      <c r="F410" s="28" t="str">
        <f t="shared" si="2"/>
        <v>01 Jan</v>
      </c>
      <c r="G410" s="50" t="s">
        <v>22</v>
      </c>
      <c r="H410" s="29" t="s">
        <v>42</v>
      </c>
      <c r="I410" s="29" t="s">
        <v>272</v>
      </c>
      <c r="J410" s="26" t="s">
        <v>76</v>
      </c>
      <c r="K410" s="26" t="s">
        <v>32</v>
      </c>
      <c r="L410" s="28" t="str">
        <f t="shared" si="3"/>
        <v>SESI KLINIK</v>
      </c>
      <c r="M410" s="26" t="s">
        <v>27</v>
      </c>
      <c r="N410" s="30">
        <v>150000.0</v>
      </c>
      <c r="O410" s="31">
        <v>0.0</v>
      </c>
      <c r="P410" s="32">
        <f t="array" ref="P410">IFNA(XLOOKUP(K410,'⚙️ Pengaturan'!$E$2:$E800,'⚙️ Pengaturan'!$F$2:$F800),"")</f>
        <v>150000</v>
      </c>
      <c r="Q410" s="33">
        <f t="shared" si="5"/>
        <v>0</v>
      </c>
      <c r="R410" s="26" t="s">
        <v>33</v>
      </c>
      <c r="S410" s="38" t="s">
        <v>34</v>
      </c>
      <c r="T410" s="35" t="b">
        <v>1</v>
      </c>
      <c r="U410" s="36"/>
    </row>
    <row r="411" ht="30.0" customHeight="1">
      <c r="A411" s="24"/>
      <c r="B411" s="25">
        <v>2516.0</v>
      </c>
      <c r="C411" s="26" t="s">
        <v>21</v>
      </c>
      <c r="D411" s="27">
        <v>46051.0</v>
      </c>
      <c r="E411" s="28" t="str">
        <f t="shared" si="1"/>
        <v>2026</v>
      </c>
      <c r="F411" s="28" t="str">
        <f t="shared" si="2"/>
        <v>01 Jan</v>
      </c>
      <c r="G411" s="50" t="s">
        <v>22</v>
      </c>
      <c r="H411" s="29" t="s">
        <v>48</v>
      </c>
      <c r="I411" s="29" t="s">
        <v>337</v>
      </c>
      <c r="J411" s="26" t="s">
        <v>25</v>
      </c>
      <c r="K411" s="26" t="s">
        <v>26</v>
      </c>
      <c r="L411" s="28" t="str">
        <f t="shared" si="3"/>
        <v>TA KLINIK</v>
      </c>
      <c r="M411" s="26" t="s">
        <v>27</v>
      </c>
      <c r="N411" s="30">
        <v>250000.0</v>
      </c>
      <c r="O411" s="31">
        <v>0.0</v>
      </c>
      <c r="P411" s="32">
        <f t="array" ref="P411">IFNA(XLOOKUP(K411,'⚙️ Pengaturan'!$E$2:$E800,'⚙️ Pengaturan'!$F$2:$F800),"")</f>
        <v>250000</v>
      </c>
      <c r="Q411" s="33">
        <f t="shared" si="5"/>
        <v>0</v>
      </c>
      <c r="R411" s="26" t="s">
        <v>33</v>
      </c>
      <c r="S411" s="38" t="s">
        <v>34</v>
      </c>
      <c r="T411" s="35" t="b">
        <v>1</v>
      </c>
      <c r="U411" s="36"/>
    </row>
    <row r="412" ht="30.0" customHeight="1">
      <c r="A412" s="24"/>
      <c r="B412" s="25">
        <v>2517.0</v>
      </c>
      <c r="C412" s="26" t="s">
        <v>21</v>
      </c>
      <c r="D412" s="27">
        <v>46051.0</v>
      </c>
      <c r="E412" s="28" t="str">
        <f t="shared" si="1"/>
        <v>2026</v>
      </c>
      <c r="F412" s="28" t="str">
        <f t="shared" si="2"/>
        <v>01 Jan</v>
      </c>
      <c r="G412" s="50" t="s">
        <v>22</v>
      </c>
      <c r="H412" s="29" t="s">
        <v>42</v>
      </c>
      <c r="I412" s="29" t="s">
        <v>338</v>
      </c>
      <c r="J412" s="26" t="s">
        <v>25</v>
      </c>
      <c r="K412" s="26" t="s">
        <v>26</v>
      </c>
      <c r="L412" s="28" t="str">
        <f t="shared" si="3"/>
        <v>TA KLINIK</v>
      </c>
      <c r="M412" s="26" t="s">
        <v>27</v>
      </c>
      <c r="N412" s="30">
        <v>250000.0</v>
      </c>
      <c r="O412" s="31">
        <v>0.0</v>
      </c>
      <c r="P412" s="32">
        <f t="array" ref="P412">IFNA(XLOOKUP(K412,'⚙️ Pengaturan'!$E$2:$E800,'⚙️ Pengaturan'!$F$2:$F800),"")</f>
        <v>250000</v>
      </c>
      <c r="Q412" s="33">
        <f t="shared" si="5"/>
        <v>0</v>
      </c>
      <c r="R412" s="26" t="s">
        <v>28</v>
      </c>
      <c r="S412" s="38" t="s">
        <v>339</v>
      </c>
      <c r="T412" s="35" t="b">
        <v>1</v>
      </c>
      <c r="U412" s="36"/>
    </row>
    <row r="413" ht="30.0" customHeight="1">
      <c r="A413" s="24"/>
      <c r="B413" s="25">
        <v>2518.0</v>
      </c>
      <c r="C413" s="26" t="s">
        <v>21</v>
      </c>
      <c r="D413" s="27">
        <v>46051.0</v>
      </c>
      <c r="E413" s="28" t="str">
        <f t="shared" si="1"/>
        <v>2026</v>
      </c>
      <c r="F413" s="28" t="str">
        <f t="shared" si="2"/>
        <v>01 Jan</v>
      </c>
      <c r="G413" s="50" t="s">
        <v>29</v>
      </c>
      <c r="H413" s="29" t="s">
        <v>51</v>
      </c>
      <c r="I413" s="29" t="s">
        <v>340</v>
      </c>
      <c r="J413" s="26" t="s">
        <v>25</v>
      </c>
      <c r="K413" s="26" t="s">
        <v>26</v>
      </c>
      <c r="L413" s="28" t="str">
        <f t="shared" si="3"/>
        <v>TA KLINIK</v>
      </c>
      <c r="M413" s="26" t="s">
        <v>27</v>
      </c>
      <c r="N413" s="30">
        <v>250000.0</v>
      </c>
      <c r="O413" s="31">
        <v>0.0</v>
      </c>
      <c r="P413" s="32">
        <f t="array" ref="P413">IFNA(XLOOKUP(K413,'⚙️ Pengaturan'!$E$2:$E800,'⚙️ Pengaturan'!$F$2:$F800),"")</f>
        <v>250000</v>
      </c>
      <c r="Q413" s="33">
        <f t="shared" si="5"/>
        <v>0</v>
      </c>
      <c r="R413" s="26" t="s">
        <v>33</v>
      </c>
      <c r="S413" s="38" t="s">
        <v>34</v>
      </c>
      <c r="T413" s="35" t="b">
        <v>1</v>
      </c>
      <c r="U413" s="36"/>
    </row>
    <row r="414" ht="30.0" customHeight="1">
      <c r="A414" s="24"/>
      <c r="B414" s="25">
        <v>2519.0</v>
      </c>
      <c r="C414" s="26" t="s">
        <v>21</v>
      </c>
      <c r="D414" s="27">
        <v>46051.0</v>
      </c>
      <c r="E414" s="28" t="str">
        <f t="shared" si="1"/>
        <v>2026</v>
      </c>
      <c r="F414" s="28" t="str">
        <f t="shared" si="2"/>
        <v>01 Jan</v>
      </c>
      <c r="G414" s="50" t="s">
        <v>29</v>
      </c>
      <c r="H414" s="29" t="s">
        <v>58</v>
      </c>
      <c r="I414" s="29" t="s">
        <v>341</v>
      </c>
      <c r="J414" s="26" t="s">
        <v>76</v>
      </c>
      <c r="K414" s="26" t="s">
        <v>44</v>
      </c>
      <c r="L414" s="28" t="str">
        <f t="shared" si="3"/>
        <v>PAKET KLINIK</v>
      </c>
      <c r="M414" s="26" t="s">
        <v>27</v>
      </c>
      <c r="N414" s="30">
        <v>1200000.0</v>
      </c>
      <c r="O414" s="31">
        <v>0.0</v>
      </c>
      <c r="P414" s="32">
        <f t="array" ref="P414">IFNA(XLOOKUP(K414,'⚙️ Pengaturan'!$E$2:$E800,'⚙️ Pengaturan'!$F$2:$F800),"")</f>
        <v>1200000</v>
      </c>
      <c r="Q414" s="33">
        <f t="shared" si="5"/>
        <v>0</v>
      </c>
      <c r="R414" s="26" t="s">
        <v>28</v>
      </c>
      <c r="S414" s="38" t="s">
        <v>341</v>
      </c>
      <c r="T414" s="35" t="b">
        <v>1</v>
      </c>
      <c r="U414" s="36"/>
    </row>
    <row r="415" ht="30.0" customHeight="1">
      <c r="A415" s="24"/>
      <c r="B415" s="25">
        <v>2520.0</v>
      </c>
      <c r="C415" s="26" t="s">
        <v>21</v>
      </c>
      <c r="D415" s="27">
        <v>46051.0</v>
      </c>
      <c r="E415" s="28" t="str">
        <f t="shared" si="1"/>
        <v>2026</v>
      </c>
      <c r="F415" s="28" t="str">
        <f t="shared" si="2"/>
        <v>01 Jan</v>
      </c>
      <c r="G415" s="50" t="s">
        <v>82</v>
      </c>
      <c r="H415" s="29" t="s">
        <v>51</v>
      </c>
      <c r="I415" s="29" t="s">
        <v>342</v>
      </c>
      <c r="J415" s="26" t="s">
        <v>25</v>
      </c>
      <c r="K415" s="26" t="s">
        <v>26</v>
      </c>
      <c r="L415" s="28" t="str">
        <f t="shared" si="3"/>
        <v>TA KLINIK</v>
      </c>
      <c r="M415" s="26" t="s">
        <v>27</v>
      </c>
      <c r="N415" s="30">
        <v>250000.0</v>
      </c>
      <c r="O415" s="31">
        <v>0.0</v>
      </c>
      <c r="P415" s="32">
        <f t="array" ref="P415">IFNA(XLOOKUP(K415,'⚙️ Pengaturan'!$E$2:$E800,'⚙️ Pengaturan'!$F$2:$F800),"")</f>
        <v>250000</v>
      </c>
      <c r="Q415" s="33">
        <f t="shared" si="5"/>
        <v>0</v>
      </c>
      <c r="R415" s="26" t="s">
        <v>33</v>
      </c>
      <c r="S415" s="38" t="s">
        <v>34</v>
      </c>
      <c r="T415" s="35" t="b">
        <v>1</v>
      </c>
      <c r="U415" s="36"/>
    </row>
    <row r="416" ht="30.0" customHeight="1">
      <c r="A416" s="24"/>
      <c r="B416" s="25">
        <v>2521.0</v>
      </c>
      <c r="C416" s="26" t="s">
        <v>21</v>
      </c>
      <c r="D416" s="27">
        <v>46051.0</v>
      </c>
      <c r="E416" s="28" t="str">
        <f t="shared" si="1"/>
        <v>2026</v>
      </c>
      <c r="F416" s="28" t="str">
        <f t="shared" si="2"/>
        <v>01 Jan</v>
      </c>
      <c r="G416" s="50" t="s">
        <v>82</v>
      </c>
      <c r="H416" s="29" t="s">
        <v>48</v>
      </c>
      <c r="I416" s="29" t="s">
        <v>343</v>
      </c>
      <c r="J416" s="26" t="s">
        <v>25</v>
      </c>
      <c r="K416" s="26" t="s">
        <v>26</v>
      </c>
      <c r="L416" s="28" t="str">
        <f t="shared" si="3"/>
        <v>TA KLINIK</v>
      </c>
      <c r="M416" s="26" t="s">
        <v>27</v>
      </c>
      <c r="N416" s="30">
        <v>250000.0</v>
      </c>
      <c r="O416" s="31">
        <v>0.0</v>
      </c>
      <c r="P416" s="32">
        <f t="array" ref="P416">IFNA(XLOOKUP(K416,'⚙️ Pengaturan'!$E$2:$E800,'⚙️ Pengaturan'!$F$2:$F800),"")</f>
        <v>250000</v>
      </c>
      <c r="Q416" s="33">
        <f t="shared" si="5"/>
        <v>0</v>
      </c>
      <c r="R416" s="26" t="s">
        <v>28</v>
      </c>
      <c r="S416" s="38" t="s">
        <v>343</v>
      </c>
      <c r="T416" s="35" t="b">
        <v>1</v>
      </c>
      <c r="U416" s="36"/>
    </row>
    <row r="417" ht="30.0" customHeight="1">
      <c r="A417" s="24"/>
      <c r="B417" s="25">
        <v>2522.0</v>
      </c>
      <c r="C417" s="26" t="s">
        <v>21</v>
      </c>
      <c r="D417" s="27">
        <v>46051.0</v>
      </c>
      <c r="E417" s="28" t="str">
        <f t="shared" si="1"/>
        <v>2026</v>
      </c>
      <c r="F417" s="28" t="str">
        <f t="shared" si="2"/>
        <v>01 Jan</v>
      </c>
      <c r="G417" s="50" t="s">
        <v>37</v>
      </c>
      <c r="H417" s="29" t="s">
        <v>51</v>
      </c>
      <c r="I417" s="29" t="s">
        <v>344</v>
      </c>
      <c r="J417" s="26" t="s">
        <v>25</v>
      </c>
      <c r="K417" s="26" t="s">
        <v>26</v>
      </c>
      <c r="L417" s="28" t="str">
        <f t="shared" si="3"/>
        <v>TA KLINIK</v>
      </c>
      <c r="M417" s="26" t="s">
        <v>27</v>
      </c>
      <c r="N417" s="30">
        <v>250000.0</v>
      </c>
      <c r="O417" s="31">
        <v>0.0</v>
      </c>
      <c r="P417" s="32">
        <f t="array" ref="P417">IFNA(XLOOKUP(K417,'⚙️ Pengaturan'!$E$2:$E800,'⚙️ Pengaturan'!$F$2:$F800),"")</f>
        <v>250000</v>
      </c>
      <c r="Q417" s="33">
        <f t="shared" si="5"/>
        <v>0</v>
      </c>
      <c r="R417" s="26" t="s">
        <v>33</v>
      </c>
      <c r="S417" s="38" t="s">
        <v>34</v>
      </c>
      <c r="T417" s="35" t="b">
        <v>1</v>
      </c>
      <c r="U417" s="36"/>
    </row>
    <row r="418" ht="30.0" customHeight="1">
      <c r="A418" s="24"/>
      <c r="B418" s="25">
        <v>2523.0</v>
      </c>
      <c r="C418" s="26" t="s">
        <v>40</v>
      </c>
      <c r="D418" s="27">
        <v>46051.0</v>
      </c>
      <c r="E418" s="28" t="str">
        <f t="shared" si="1"/>
        <v>2026</v>
      </c>
      <c r="F418" s="28" t="str">
        <f t="shared" si="2"/>
        <v>01 Jan</v>
      </c>
      <c r="G418" s="50" t="s">
        <v>41</v>
      </c>
      <c r="H418" s="29" t="s">
        <v>345</v>
      </c>
      <c r="I418" s="29" t="s">
        <v>346</v>
      </c>
      <c r="J418" s="26" t="s">
        <v>25</v>
      </c>
      <c r="K418" s="26" t="s">
        <v>26</v>
      </c>
      <c r="L418" s="28" t="str">
        <f t="shared" si="3"/>
        <v>TA KLINIK</v>
      </c>
      <c r="M418" s="26" t="s">
        <v>27</v>
      </c>
      <c r="N418" s="30">
        <v>250000.0</v>
      </c>
      <c r="O418" s="31">
        <v>0.0</v>
      </c>
      <c r="P418" s="32">
        <f t="array" ref="P418">IFNA(XLOOKUP(K418,'⚙️ Pengaturan'!$E$2:$E800,'⚙️ Pengaturan'!$F$2:$F800),"")</f>
        <v>250000</v>
      </c>
      <c r="Q418" s="33">
        <f t="shared" si="5"/>
        <v>0</v>
      </c>
      <c r="R418" s="26" t="s">
        <v>28</v>
      </c>
      <c r="S418" s="38" t="s">
        <v>346</v>
      </c>
      <c r="T418" s="35" t="b">
        <v>1</v>
      </c>
      <c r="U418" s="36"/>
    </row>
    <row r="419" ht="30.0" customHeight="1">
      <c r="A419" s="24"/>
      <c r="B419" s="25">
        <v>2524.0</v>
      </c>
      <c r="C419" s="26" t="s">
        <v>40</v>
      </c>
      <c r="D419" s="27">
        <v>46051.0</v>
      </c>
      <c r="E419" s="28" t="str">
        <f t="shared" si="1"/>
        <v>2026</v>
      </c>
      <c r="F419" s="28" t="str">
        <f t="shared" si="2"/>
        <v>01 Jan</v>
      </c>
      <c r="G419" s="50" t="s">
        <v>53</v>
      </c>
      <c r="H419" s="29" t="s">
        <v>68</v>
      </c>
      <c r="I419" s="29" t="s">
        <v>292</v>
      </c>
      <c r="J419" s="26" t="s">
        <v>76</v>
      </c>
      <c r="K419" s="26" t="s">
        <v>32</v>
      </c>
      <c r="L419" s="28" t="str">
        <f t="shared" si="3"/>
        <v>SESI KLINIK</v>
      </c>
      <c r="M419" s="26" t="s">
        <v>27</v>
      </c>
      <c r="N419" s="30">
        <v>150000.0</v>
      </c>
      <c r="O419" s="31">
        <v>0.0</v>
      </c>
      <c r="P419" s="32">
        <f t="array" ref="P419">IFNA(XLOOKUP(K419,'⚙️ Pengaturan'!$E$2:$E800,'⚙️ Pengaturan'!$F$2:$F800),"")</f>
        <v>150000</v>
      </c>
      <c r="Q419" s="33">
        <f t="shared" si="5"/>
        <v>0</v>
      </c>
      <c r="R419" s="26" t="s">
        <v>33</v>
      </c>
      <c r="S419" s="38" t="s">
        <v>34</v>
      </c>
      <c r="T419" s="35" t="b">
        <v>1</v>
      </c>
      <c r="U419" s="36"/>
    </row>
    <row r="420" ht="30.0" customHeight="1">
      <c r="A420" s="24"/>
      <c r="B420" s="25">
        <v>2525.0</v>
      </c>
      <c r="C420" s="26" t="s">
        <v>40</v>
      </c>
      <c r="D420" s="27">
        <v>46051.0</v>
      </c>
      <c r="E420" s="28" t="str">
        <f t="shared" si="1"/>
        <v>2026</v>
      </c>
      <c r="F420" s="28" t="str">
        <f t="shared" si="2"/>
        <v>01 Jan</v>
      </c>
      <c r="G420" s="50" t="s">
        <v>53</v>
      </c>
      <c r="H420" s="29" t="s">
        <v>70</v>
      </c>
      <c r="I420" s="29" t="s">
        <v>287</v>
      </c>
      <c r="J420" s="26" t="s">
        <v>25</v>
      </c>
      <c r="K420" s="26" t="s">
        <v>32</v>
      </c>
      <c r="L420" s="28" t="str">
        <f t="shared" si="3"/>
        <v>SESI KLINIK</v>
      </c>
      <c r="M420" s="26" t="s">
        <v>27</v>
      </c>
      <c r="N420" s="30">
        <v>150000.0</v>
      </c>
      <c r="O420" s="31">
        <v>0.0</v>
      </c>
      <c r="P420" s="32">
        <f t="array" ref="P420">IFNA(XLOOKUP(K420,'⚙️ Pengaturan'!$E$2:$E800,'⚙️ Pengaturan'!$F$2:$F800),"")</f>
        <v>150000</v>
      </c>
      <c r="Q420" s="33">
        <f t="shared" si="5"/>
        <v>0</v>
      </c>
      <c r="R420" s="26" t="s">
        <v>33</v>
      </c>
      <c r="S420" s="38" t="s">
        <v>34</v>
      </c>
      <c r="T420" s="35" t="b">
        <v>1</v>
      </c>
      <c r="U420" s="36"/>
    </row>
    <row r="421" ht="30.0" customHeight="1">
      <c r="A421" s="24"/>
      <c r="B421" s="25">
        <v>2526.0</v>
      </c>
      <c r="C421" s="26" t="s">
        <v>40</v>
      </c>
      <c r="D421" s="27">
        <v>46051.0</v>
      </c>
      <c r="E421" s="28" t="str">
        <f t="shared" si="1"/>
        <v>2026</v>
      </c>
      <c r="F421" s="28" t="str">
        <f t="shared" si="2"/>
        <v>01 Jan</v>
      </c>
      <c r="G421" s="50" t="s">
        <v>56</v>
      </c>
      <c r="H421" s="29" t="s">
        <v>68</v>
      </c>
      <c r="I421" s="29" t="s">
        <v>347</v>
      </c>
      <c r="J421" s="26" t="s">
        <v>25</v>
      </c>
      <c r="K421" s="26" t="s">
        <v>26</v>
      </c>
      <c r="L421" s="28" t="str">
        <f t="shared" si="3"/>
        <v>TA KLINIK</v>
      </c>
      <c r="M421" s="26" t="s">
        <v>27</v>
      </c>
      <c r="N421" s="30">
        <v>250000.0</v>
      </c>
      <c r="O421" s="31">
        <v>0.0</v>
      </c>
      <c r="P421" s="32">
        <f t="array" ref="P421">IFNA(XLOOKUP(K421,'⚙️ Pengaturan'!$E$2:$E800,'⚙️ Pengaturan'!$F$2:$F800),"")</f>
        <v>250000</v>
      </c>
      <c r="Q421" s="33">
        <f t="shared" si="5"/>
        <v>0</v>
      </c>
      <c r="R421" s="26" t="s">
        <v>33</v>
      </c>
      <c r="S421" s="38" t="s">
        <v>34</v>
      </c>
      <c r="T421" s="35" t="b">
        <v>1</v>
      </c>
      <c r="U421" s="36"/>
    </row>
    <row r="422" ht="30.0" customHeight="1">
      <c r="A422" s="24"/>
      <c r="B422" s="25">
        <v>2527.0</v>
      </c>
      <c r="C422" s="26" t="s">
        <v>40</v>
      </c>
      <c r="D422" s="27">
        <v>46051.0</v>
      </c>
      <c r="E422" s="28" t="str">
        <f t="shared" si="1"/>
        <v>2026</v>
      </c>
      <c r="F422" s="28" t="str">
        <f t="shared" si="2"/>
        <v>01 Jan</v>
      </c>
      <c r="G422" s="50" t="s">
        <v>56</v>
      </c>
      <c r="H422" s="29" t="s">
        <v>345</v>
      </c>
      <c r="I422" s="29" t="s">
        <v>348</v>
      </c>
      <c r="J422" s="26" t="s">
        <v>25</v>
      </c>
      <c r="K422" s="26" t="s">
        <v>26</v>
      </c>
      <c r="L422" s="28" t="str">
        <f t="shared" si="3"/>
        <v>TA KLINIK</v>
      </c>
      <c r="M422" s="26" t="s">
        <v>27</v>
      </c>
      <c r="N422" s="30">
        <v>250000.0</v>
      </c>
      <c r="O422" s="31">
        <v>0.0</v>
      </c>
      <c r="P422" s="32">
        <f t="array" ref="P422">IFNA(XLOOKUP(K422,'⚙️ Pengaturan'!$E$2:$E800,'⚙️ Pengaturan'!$F$2:$F800),"")</f>
        <v>250000</v>
      </c>
      <c r="Q422" s="33">
        <f t="shared" si="5"/>
        <v>0</v>
      </c>
      <c r="R422" s="26" t="s">
        <v>33</v>
      </c>
      <c r="S422" s="38" t="s">
        <v>34</v>
      </c>
      <c r="T422" s="35" t="b">
        <v>1</v>
      </c>
      <c r="U422" s="36"/>
    </row>
    <row r="423" ht="30.0" customHeight="1">
      <c r="A423" s="24"/>
      <c r="B423" s="25">
        <v>2528.0</v>
      </c>
      <c r="C423" s="26" t="s">
        <v>40</v>
      </c>
      <c r="D423" s="27">
        <v>46051.0</v>
      </c>
      <c r="E423" s="28" t="str">
        <f t="shared" si="1"/>
        <v>2026</v>
      </c>
      <c r="F423" s="28" t="str">
        <f t="shared" si="2"/>
        <v>01 Jan</v>
      </c>
      <c r="G423" s="50" t="s">
        <v>61</v>
      </c>
      <c r="H423" s="29" t="s">
        <v>70</v>
      </c>
      <c r="I423" s="29" t="s">
        <v>349</v>
      </c>
      <c r="J423" s="26" t="s">
        <v>25</v>
      </c>
      <c r="K423" s="26" t="s">
        <v>39</v>
      </c>
      <c r="L423" s="28" t="str">
        <f t="shared" si="3"/>
        <v>PAKET KLINIK</v>
      </c>
      <c r="M423" s="26" t="s">
        <v>27</v>
      </c>
      <c r="N423" s="30">
        <v>650000.0</v>
      </c>
      <c r="O423" s="31">
        <v>0.0</v>
      </c>
      <c r="P423" s="32">
        <f t="array" ref="P423">IFNA(XLOOKUP(K423,'⚙️ Pengaturan'!$E$2:$E800,'⚙️ Pengaturan'!$F$2:$F800),"")</f>
        <v>650000</v>
      </c>
      <c r="Q423" s="33">
        <f t="shared" si="5"/>
        <v>0</v>
      </c>
      <c r="R423" s="26" t="s">
        <v>33</v>
      </c>
      <c r="S423" s="38" t="s">
        <v>34</v>
      </c>
      <c r="T423" s="35" t="b">
        <v>1</v>
      </c>
      <c r="U423" s="36"/>
    </row>
    <row r="424" ht="30.0" customHeight="1">
      <c r="A424" s="24"/>
      <c r="B424" s="25">
        <v>2529.0</v>
      </c>
      <c r="C424" s="26" t="s">
        <v>118</v>
      </c>
      <c r="D424" s="27">
        <v>46052.0</v>
      </c>
      <c r="E424" s="28" t="str">
        <f t="shared" si="1"/>
        <v>2026</v>
      </c>
      <c r="F424" s="28" t="str">
        <f t="shared" si="2"/>
        <v>01 Jan</v>
      </c>
      <c r="G424" s="50" t="s">
        <v>41</v>
      </c>
      <c r="H424" s="29" t="s">
        <v>23</v>
      </c>
      <c r="I424" s="29" t="s">
        <v>350</v>
      </c>
      <c r="J424" s="26" t="s">
        <v>25</v>
      </c>
      <c r="K424" s="26" t="s">
        <v>26</v>
      </c>
      <c r="L424" s="28" t="str">
        <f t="shared" si="3"/>
        <v>TA KLINIK</v>
      </c>
      <c r="M424" s="26" t="s">
        <v>27</v>
      </c>
      <c r="N424" s="30">
        <v>250000.0</v>
      </c>
      <c r="O424" s="31">
        <v>0.0</v>
      </c>
      <c r="P424" s="32">
        <f t="array" ref="P424">IFNA(XLOOKUP(K424,'⚙️ Pengaturan'!$E$2:$E800,'⚙️ Pengaturan'!$F$2:$F800),"")</f>
        <v>250000</v>
      </c>
      <c r="Q424" s="33">
        <f t="shared" si="5"/>
        <v>0</v>
      </c>
      <c r="R424" s="26" t="s">
        <v>28</v>
      </c>
      <c r="S424" s="38" t="s">
        <v>351</v>
      </c>
      <c r="T424" s="35" t="b">
        <v>1</v>
      </c>
      <c r="U424" s="36"/>
    </row>
    <row r="425" ht="30.0" customHeight="1">
      <c r="A425" s="24"/>
      <c r="B425" s="25">
        <v>2530.0</v>
      </c>
      <c r="C425" s="26" t="s">
        <v>118</v>
      </c>
      <c r="D425" s="27">
        <v>46052.0</v>
      </c>
      <c r="E425" s="28" t="str">
        <f t="shared" si="1"/>
        <v>2026</v>
      </c>
      <c r="F425" s="28" t="str">
        <f t="shared" si="2"/>
        <v>01 Jan</v>
      </c>
      <c r="G425" s="50" t="s">
        <v>41</v>
      </c>
      <c r="H425" s="29" t="s">
        <v>23</v>
      </c>
      <c r="I425" s="29" t="s">
        <v>350</v>
      </c>
      <c r="J425" s="26" t="s">
        <v>25</v>
      </c>
      <c r="K425" s="26" t="s">
        <v>44</v>
      </c>
      <c r="L425" s="28" t="str">
        <f t="shared" si="3"/>
        <v>PAKET KLINIK</v>
      </c>
      <c r="M425" s="26" t="s">
        <v>27</v>
      </c>
      <c r="N425" s="30">
        <v>1200000.0</v>
      </c>
      <c r="O425" s="31">
        <v>0.0</v>
      </c>
      <c r="P425" s="32">
        <f t="array" ref="P425">IFNA(XLOOKUP(K425,'⚙️ Pengaturan'!$E$2:$E800,'⚙️ Pengaturan'!$F$2:$F800),"")</f>
        <v>1200000</v>
      </c>
      <c r="Q425" s="33">
        <f t="shared" si="5"/>
        <v>0</v>
      </c>
      <c r="R425" s="26" t="s">
        <v>28</v>
      </c>
      <c r="S425" s="38" t="s">
        <v>351</v>
      </c>
      <c r="T425" s="35" t="b">
        <v>1</v>
      </c>
      <c r="U425" s="36"/>
    </row>
    <row r="426" ht="30.0" customHeight="1">
      <c r="A426" s="24"/>
      <c r="B426" s="25">
        <v>2531.0</v>
      </c>
      <c r="C426" s="26" t="s">
        <v>118</v>
      </c>
      <c r="D426" s="27">
        <v>46052.0</v>
      </c>
      <c r="E426" s="28" t="str">
        <f t="shared" si="1"/>
        <v>2026</v>
      </c>
      <c r="F426" s="28" t="str">
        <f t="shared" si="2"/>
        <v>01 Jan</v>
      </c>
      <c r="G426" s="50" t="s">
        <v>56</v>
      </c>
      <c r="H426" s="29" t="s">
        <v>35</v>
      </c>
      <c r="I426" s="29" t="s">
        <v>352</v>
      </c>
      <c r="J426" s="26" t="s">
        <v>25</v>
      </c>
      <c r="K426" s="26" t="s">
        <v>26</v>
      </c>
      <c r="L426" s="28" t="str">
        <f t="shared" si="3"/>
        <v>TA KLINIK</v>
      </c>
      <c r="M426" s="26" t="s">
        <v>27</v>
      </c>
      <c r="N426" s="30">
        <v>250000.0</v>
      </c>
      <c r="O426" s="31">
        <v>0.0</v>
      </c>
      <c r="P426" s="32">
        <f t="array" ref="P426">IFNA(XLOOKUP(K426,'⚙️ Pengaturan'!$E$2:$E800,'⚙️ Pengaturan'!$F$2:$F800),"")</f>
        <v>250000</v>
      </c>
      <c r="Q426" s="33">
        <f t="shared" si="5"/>
        <v>0</v>
      </c>
      <c r="R426" s="26" t="s">
        <v>28</v>
      </c>
      <c r="S426" s="38" t="s">
        <v>352</v>
      </c>
      <c r="T426" s="35" t="b">
        <v>1</v>
      </c>
      <c r="U426" s="36"/>
    </row>
    <row r="427" ht="30.0" customHeight="1">
      <c r="A427" s="24"/>
      <c r="B427" s="25">
        <v>2532.0</v>
      </c>
      <c r="C427" s="26" t="s">
        <v>118</v>
      </c>
      <c r="D427" s="27">
        <v>46052.0</v>
      </c>
      <c r="E427" s="28" t="str">
        <f t="shared" si="1"/>
        <v>2026</v>
      </c>
      <c r="F427" s="28" t="str">
        <f t="shared" si="2"/>
        <v>01 Jan</v>
      </c>
      <c r="G427" s="50" t="s">
        <v>56</v>
      </c>
      <c r="H427" s="29" t="s">
        <v>23</v>
      </c>
      <c r="I427" s="29" t="s">
        <v>353</v>
      </c>
      <c r="J427" s="26" t="s">
        <v>25</v>
      </c>
      <c r="K427" s="26" t="s">
        <v>26</v>
      </c>
      <c r="L427" s="28" t="str">
        <f t="shared" si="3"/>
        <v>TA KLINIK</v>
      </c>
      <c r="M427" s="26" t="s">
        <v>27</v>
      </c>
      <c r="N427" s="30">
        <v>250000.0</v>
      </c>
      <c r="O427" s="31">
        <v>0.0</v>
      </c>
      <c r="P427" s="32">
        <f t="array" ref="P427">IFNA(XLOOKUP(K427,'⚙️ Pengaturan'!$E$2:$E800,'⚙️ Pengaturan'!$F$2:$F800),"")</f>
        <v>250000</v>
      </c>
      <c r="Q427" s="33">
        <f t="shared" si="5"/>
        <v>0</v>
      </c>
      <c r="R427" s="26" t="s">
        <v>28</v>
      </c>
      <c r="S427" s="38" t="s">
        <v>353</v>
      </c>
      <c r="T427" s="35" t="b">
        <v>1</v>
      </c>
      <c r="U427" s="36"/>
    </row>
    <row r="428" ht="30.0" customHeight="1">
      <c r="A428" s="24"/>
      <c r="B428" s="25">
        <v>2533.0</v>
      </c>
      <c r="C428" s="26" t="s">
        <v>118</v>
      </c>
      <c r="D428" s="27">
        <v>46052.0</v>
      </c>
      <c r="E428" s="28" t="str">
        <f t="shared" si="1"/>
        <v>2026</v>
      </c>
      <c r="F428" s="28" t="str">
        <f t="shared" si="2"/>
        <v>01 Jan</v>
      </c>
      <c r="G428" s="50" t="s">
        <v>56</v>
      </c>
      <c r="H428" s="29" t="s">
        <v>23</v>
      </c>
      <c r="I428" s="29" t="s">
        <v>353</v>
      </c>
      <c r="J428" s="26" t="s">
        <v>25</v>
      </c>
      <c r="K428" s="26" t="s">
        <v>39</v>
      </c>
      <c r="L428" s="28" t="str">
        <f t="shared" si="3"/>
        <v>PAKET KLINIK</v>
      </c>
      <c r="M428" s="26" t="s">
        <v>27</v>
      </c>
      <c r="N428" s="30">
        <v>650000.0</v>
      </c>
      <c r="O428" s="31">
        <v>0.0</v>
      </c>
      <c r="P428" s="32">
        <f t="array" ref="P428">IFNA(XLOOKUP(K428,'⚙️ Pengaturan'!$E$2:$E800,'⚙️ Pengaturan'!$F$2:$F800),"")</f>
        <v>650000</v>
      </c>
      <c r="Q428" s="33">
        <f t="shared" si="5"/>
        <v>0</v>
      </c>
      <c r="R428" s="26" t="s">
        <v>28</v>
      </c>
      <c r="S428" s="38" t="s">
        <v>353</v>
      </c>
      <c r="T428" s="35" t="b">
        <v>1</v>
      </c>
      <c r="U428" s="36"/>
    </row>
    <row r="429" ht="30.0" customHeight="1">
      <c r="A429" s="24"/>
      <c r="B429" s="25">
        <v>2534.0</v>
      </c>
      <c r="C429" s="26" t="s">
        <v>118</v>
      </c>
      <c r="D429" s="27">
        <v>46052.0</v>
      </c>
      <c r="E429" s="28" t="str">
        <f t="shared" si="1"/>
        <v>2026</v>
      </c>
      <c r="F429" s="28" t="str">
        <f t="shared" si="2"/>
        <v>01 Jan</v>
      </c>
      <c r="G429" s="50" t="s">
        <v>61</v>
      </c>
      <c r="H429" s="29" t="s">
        <v>23</v>
      </c>
      <c r="I429" s="29" t="s">
        <v>317</v>
      </c>
      <c r="J429" s="26" t="s">
        <v>25</v>
      </c>
      <c r="K429" s="26" t="s">
        <v>32</v>
      </c>
      <c r="L429" s="28" t="str">
        <f t="shared" si="3"/>
        <v>SESI KLINIK</v>
      </c>
      <c r="M429" s="26" t="s">
        <v>27</v>
      </c>
      <c r="N429" s="30">
        <v>150000.0</v>
      </c>
      <c r="O429" s="31">
        <v>0.0</v>
      </c>
      <c r="P429" s="32">
        <f t="array" ref="P429">IFNA(XLOOKUP(K429,'⚙️ Pengaturan'!$E$2:$E800,'⚙️ Pengaturan'!$F$2:$F800),"")</f>
        <v>150000</v>
      </c>
      <c r="Q429" s="33">
        <f t="shared" si="5"/>
        <v>0</v>
      </c>
      <c r="R429" s="26" t="s">
        <v>28</v>
      </c>
      <c r="S429" s="38" t="s">
        <v>317</v>
      </c>
      <c r="T429" s="35" t="b">
        <v>1</v>
      </c>
      <c r="U429" s="36"/>
    </row>
    <row r="430" ht="30.0" customHeight="1">
      <c r="A430" s="24"/>
      <c r="B430" s="25">
        <v>2535.0</v>
      </c>
      <c r="C430" s="26" t="s">
        <v>21</v>
      </c>
      <c r="D430" s="27">
        <v>46053.0</v>
      </c>
      <c r="E430" s="28" t="str">
        <f t="shared" si="1"/>
        <v>2026</v>
      </c>
      <c r="F430" s="28" t="str">
        <f t="shared" si="2"/>
        <v>01 Jan</v>
      </c>
      <c r="G430" s="50" t="s">
        <v>67</v>
      </c>
      <c r="H430" s="29" t="s">
        <v>68</v>
      </c>
      <c r="I430" s="29" t="s">
        <v>146</v>
      </c>
      <c r="J430" s="26" t="s">
        <v>76</v>
      </c>
      <c r="K430" s="26" t="s">
        <v>39</v>
      </c>
      <c r="L430" s="28" t="str">
        <f t="shared" si="3"/>
        <v>PAKET KLINIK</v>
      </c>
      <c r="M430" s="26" t="s">
        <v>27</v>
      </c>
      <c r="N430" s="30">
        <v>650000.0</v>
      </c>
      <c r="O430" s="31">
        <v>0.0</v>
      </c>
      <c r="P430" s="32">
        <f t="array" ref="P430">IFNA(XLOOKUP(K430,'⚙️ Pengaturan'!$E$2:$E800,'⚙️ Pengaturan'!$F$2:$F800),"")</f>
        <v>650000</v>
      </c>
      <c r="Q430" s="33">
        <v>0.0</v>
      </c>
      <c r="R430" s="26" t="s">
        <v>33</v>
      </c>
      <c r="S430" s="38" t="s">
        <v>34</v>
      </c>
      <c r="T430" s="35" t="b">
        <v>1</v>
      </c>
      <c r="U430" s="36"/>
    </row>
    <row r="431" ht="30.0" customHeight="1">
      <c r="A431" s="24"/>
      <c r="B431" s="25">
        <v>2536.0</v>
      </c>
      <c r="C431" s="26" t="s">
        <v>21</v>
      </c>
      <c r="D431" s="27">
        <v>46053.0</v>
      </c>
      <c r="E431" s="28" t="str">
        <f t="shared" si="1"/>
        <v>2026</v>
      </c>
      <c r="F431" s="28" t="str">
        <f t="shared" si="2"/>
        <v>01 Jan</v>
      </c>
      <c r="G431" s="50" t="s">
        <v>22</v>
      </c>
      <c r="H431" s="29" t="s">
        <v>68</v>
      </c>
      <c r="I431" s="29" t="s">
        <v>333</v>
      </c>
      <c r="J431" s="26" t="s">
        <v>25</v>
      </c>
      <c r="K431" s="26" t="s">
        <v>32</v>
      </c>
      <c r="L431" s="28" t="str">
        <f t="shared" si="3"/>
        <v>SESI KLINIK</v>
      </c>
      <c r="M431" s="26" t="s">
        <v>27</v>
      </c>
      <c r="N431" s="30">
        <v>150000.0</v>
      </c>
      <c r="O431" s="31">
        <v>0.0</v>
      </c>
      <c r="P431" s="32">
        <f t="array" ref="P431">IFNA(XLOOKUP(K431,'⚙️ Pengaturan'!$E$2:$E800,'⚙️ Pengaturan'!$F$2:$F800),"")</f>
        <v>150000</v>
      </c>
      <c r="Q431" s="33">
        <v>0.0</v>
      </c>
      <c r="R431" s="26" t="s">
        <v>33</v>
      </c>
      <c r="S431" s="38" t="s">
        <v>34</v>
      </c>
      <c r="T431" s="35" t="b">
        <v>1</v>
      </c>
      <c r="U431" s="36"/>
    </row>
    <row r="432" ht="30.0" customHeight="1">
      <c r="A432" s="24"/>
      <c r="B432" s="25">
        <v>2537.0</v>
      </c>
      <c r="C432" s="26" t="s">
        <v>21</v>
      </c>
      <c r="D432" s="27">
        <v>46053.0</v>
      </c>
      <c r="E432" s="28" t="str">
        <f t="shared" si="1"/>
        <v>2026</v>
      </c>
      <c r="F432" s="28" t="str">
        <f t="shared" si="2"/>
        <v>01 Jan</v>
      </c>
      <c r="G432" s="50" t="s">
        <v>89</v>
      </c>
      <c r="H432" s="29" t="s">
        <v>30</v>
      </c>
      <c r="I432" s="29" t="s">
        <v>328</v>
      </c>
      <c r="J432" s="26" t="s">
        <v>25</v>
      </c>
      <c r="K432" s="26" t="s">
        <v>32</v>
      </c>
      <c r="L432" s="28" t="str">
        <f t="shared" si="3"/>
        <v>SESI KLINIK</v>
      </c>
      <c r="M432" s="26" t="s">
        <v>27</v>
      </c>
      <c r="N432" s="30">
        <v>150000.0</v>
      </c>
      <c r="O432" s="31">
        <v>0.0</v>
      </c>
      <c r="P432" s="32">
        <f t="array" ref="P432">IFNA(XLOOKUP(K432,'⚙️ Pengaturan'!$E$2:$E800,'⚙️ Pengaturan'!$F$2:$F800),"")</f>
        <v>150000</v>
      </c>
      <c r="Q432" s="33">
        <v>0.0</v>
      </c>
      <c r="R432" s="26" t="s">
        <v>28</v>
      </c>
      <c r="S432" s="38" t="s">
        <v>328</v>
      </c>
      <c r="T432" s="35" t="b">
        <v>1</v>
      </c>
      <c r="U432" s="36"/>
    </row>
    <row r="433" ht="30.0" customHeight="1">
      <c r="A433" s="24"/>
      <c r="B433" s="25">
        <v>2538.0</v>
      </c>
      <c r="C433" s="26" t="s">
        <v>21</v>
      </c>
      <c r="D433" s="27">
        <v>46053.0</v>
      </c>
      <c r="E433" s="28" t="str">
        <f t="shared" si="1"/>
        <v>2026</v>
      </c>
      <c r="F433" s="28" t="str">
        <f t="shared" si="2"/>
        <v>01 Jan</v>
      </c>
      <c r="G433" s="50" t="s">
        <v>82</v>
      </c>
      <c r="H433" s="29" t="s">
        <v>68</v>
      </c>
      <c r="I433" s="29" t="s">
        <v>323</v>
      </c>
      <c r="J433" s="26" t="s">
        <v>25</v>
      </c>
      <c r="K433" s="26" t="s">
        <v>32</v>
      </c>
      <c r="L433" s="28" t="str">
        <f t="shared" si="3"/>
        <v>SESI KLINIK</v>
      </c>
      <c r="M433" s="26" t="s">
        <v>27</v>
      </c>
      <c r="N433" s="30">
        <v>150000.0</v>
      </c>
      <c r="O433" s="31">
        <v>0.0</v>
      </c>
      <c r="P433" s="32">
        <f t="array" ref="P433">IFNA(XLOOKUP(K433,'⚙️ Pengaturan'!$E$2:$E800,'⚙️ Pengaturan'!$F$2:$F800),"")</f>
        <v>150000</v>
      </c>
      <c r="Q433" s="33">
        <v>0.0</v>
      </c>
      <c r="R433" s="26" t="s">
        <v>33</v>
      </c>
      <c r="S433" s="38" t="s">
        <v>34</v>
      </c>
      <c r="T433" s="35" t="b">
        <v>1</v>
      </c>
      <c r="U433" s="36"/>
    </row>
    <row r="434" ht="30.0" customHeight="1">
      <c r="A434" s="24"/>
      <c r="B434" s="25">
        <v>2539.0</v>
      </c>
      <c r="C434" s="26" t="s">
        <v>21</v>
      </c>
      <c r="D434" s="27">
        <v>46053.0</v>
      </c>
      <c r="E434" s="28" t="str">
        <f t="shared" si="1"/>
        <v>2026</v>
      </c>
      <c r="F434" s="28" t="str">
        <f t="shared" si="2"/>
        <v>01 Jan</v>
      </c>
      <c r="G434" s="50" t="s">
        <v>37</v>
      </c>
      <c r="H434" s="29" t="s">
        <v>345</v>
      </c>
      <c r="I434" s="29" t="s">
        <v>354</v>
      </c>
      <c r="J434" s="26" t="s">
        <v>25</v>
      </c>
      <c r="K434" s="26" t="s">
        <v>32</v>
      </c>
      <c r="L434" s="28" t="str">
        <f t="shared" si="3"/>
        <v>SESI KLINIK</v>
      </c>
      <c r="M434" s="26" t="s">
        <v>27</v>
      </c>
      <c r="N434" s="30">
        <v>150000.0</v>
      </c>
      <c r="O434" s="31">
        <v>0.0</v>
      </c>
      <c r="P434" s="32">
        <f t="array" ref="P434">IFNA(XLOOKUP(K434,'⚙️ Pengaturan'!$E$2:$E800,'⚙️ Pengaturan'!$F$2:$F800),"")</f>
        <v>150000</v>
      </c>
      <c r="Q434" s="33">
        <f t="shared" ref="Q434:Q447" si="6">IF(I434="","",(N434+O434)-P434)</f>
        <v>0</v>
      </c>
      <c r="R434" s="26" t="s">
        <v>33</v>
      </c>
      <c r="S434" s="38" t="s">
        <v>34</v>
      </c>
      <c r="T434" s="35" t="b">
        <v>1</v>
      </c>
      <c r="U434" s="36"/>
    </row>
    <row r="435" ht="30.0" customHeight="1">
      <c r="A435" s="24"/>
      <c r="B435" s="25">
        <v>2540.0</v>
      </c>
      <c r="C435" s="26" t="s">
        <v>21</v>
      </c>
      <c r="D435" s="27">
        <v>46053.0</v>
      </c>
      <c r="E435" s="28" t="str">
        <f t="shared" si="1"/>
        <v>2026</v>
      </c>
      <c r="F435" s="28" t="str">
        <f t="shared" si="2"/>
        <v>01 Jan</v>
      </c>
      <c r="G435" s="50" t="s">
        <v>37</v>
      </c>
      <c r="H435" s="29" t="s">
        <v>68</v>
      </c>
      <c r="I435" s="29" t="s">
        <v>164</v>
      </c>
      <c r="J435" s="68" t="s">
        <v>25</v>
      </c>
      <c r="K435" s="69" t="s">
        <v>32</v>
      </c>
      <c r="L435" s="70" t="str">
        <f t="shared" si="3"/>
        <v>SESI KLINIK</v>
      </c>
      <c r="M435" s="71" t="s">
        <v>27</v>
      </c>
      <c r="N435" s="72">
        <v>150000.0</v>
      </c>
      <c r="O435" s="73">
        <v>0.0</v>
      </c>
      <c r="P435" s="32">
        <f t="array" ref="P435">IFNA(XLOOKUP(K435,'⚙️ Pengaturan'!$E$2:$E800,'⚙️ Pengaturan'!$F$2:$F800),"")</f>
        <v>150000</v>
      </c>
      <c r="Q435" s="74">
        <f t="shared" si="6"/>
        <v>0</v>
      </c>
      <c r="R435" s="26" t="s">
        <v>33</v>
      </c>
      <c r="S435" s="38" t="s">
        <v>34</v>
      </c>
      <c r="T435" s="35" t="b">
        <v>1</v>
      </c>
      <c r="U435" s="36"/>
    </row>
    <row r="436" ht="30.0" customHeight="1">
      <c r="A436" s="24"/>
      <c r="B436" s="25">
        <v>2541.0</v>
      </c>
      <c r="C436" s="26" t="s">
        <v>21</v>
      </c>
      <c r="D436" s="27">
        <v>46053.0</v>
      </c>
      <c r="E436" s="28" t="str">
        <f t="shared" si="1"/>
        <v>2026</v>
      </c>
      <c r="F436" s="28" t="str">
        <f t="shared" si="2"/>
        <v>01 Jan</v>
      </c>
      <c r="G436" s="50" t="s">
        <v>118</v>
      </c>
      <c r="H436" s="29" t="s">
        <v>35</v>
      </c>
      <c r="I436" s="29" t="s">
        <v>355</v>
      </c>
      <c r="J436" s="75" t="s">
        <v>25</v>
      </c>
      <c r="K436" s="76" t="s">
        <v>26</v>
      </c>
      <c r="L436" s="77" t="str">
        <f t="shared" si="3"/>
        <v>TA KLINIK</v>
      </c>
      <c r="M436" s="78" t="s">
        <v>27</v>
      </c>
      <c r="N436" s="79">
        <v>250000.0</v>
      </c>
      <c r="O436" s="80">
        <v>0.0</v>
      </c>
      <c r="P436" s="32">
        <f t="array" ref="P436">IFNA(XLOOKUP(K436,'⚙️ Pengaturan'!$E$2:$E800,'⚙️ Pengaturan'!$F$2:$F800),"")</f>
        <v>250000</v>
      </c>
      <c r="Q436" s="81">
        <f t="shared" si="6"/>
        <v>0</v>
      </c>
      <c r="R436" s="26" t="s">
        <v>28</v>
      </c>
      <c r="S436" s="38" t="s">
        <v>355</v>
      </c>
      <c r="T436" s="35" t="b">
        <v>1</v>
      </c>
      <c r="U436" s="36"/>
    </row>
    <row r="437" ht="30.0" customHeight="1">
      <c r="A437" s="24"/>
      <c r="B437" s="25">
        <v>2542.0</v>
      </c>
      <c r="C437" s="26" t="s">
        <v>21</v>
      </c>
      <c r="D437" s="27">
        <v>46053.0</v>
      </c>
      <c r="E437" s="28" t="str">
        <f t="shared" si="1"/>
        <v>2026</v>
      </c>
      <c r="F437" s="28" t="str">
        <f t="shared" si="2"/>
        <v>01 Jan</v>
      </c>
      <c r="G437" s="50" t="s">
        <v>118</v>
      </c>
      <c r="H437" s="29" t="s">
        <v>345</v>
      </c>
      <c r="I437" s="29" t="s">
        <v>356</v>
      </c>
      <c r="J437" s="75" t="s">
        <v>25</v>
      </c>
      <c r="K437" s="76" t="s">
        <v>26</v>
      </c>
      <c r="L437" s="77" t="str">
        <f t="shared" si="3"/>
        <v>TA KLINIK</v>
      </c>
      <c r="M437" s="78" t="s">
        <v>27</v>
      </c>
      <c r="N437" s="79">
        <v>250000.0</v>
      </c>
      <c r="O437" s="80">
        <v>0.0</v>
      </c>
      <c r="P437" s="32">
        <f t="array" ref="P437">IFNA(XLOOKUP(K437,'⚙️ Pengaturan'!$E$2:$E800,'⚙️ Pengaturan'!$F$2:$F800),"")</f>
        <v>250000</v>
      </c>
      <c r="Q437" s="81">
        <f t="shared" si="6"/>
        <v>0</v>
      </c>
      <c r="R437" s="26" t="s">
        <v>28</v>
      </c>
      <c r="S437" s="38" t="s">
        <v>356</v>
      </c>
      <c r="T437" s="35" t="b">
        <v>1</v>
      </c>
      <c r="U437" s="36"/>
    </row>
    <row r="438" ht="30.0" customHeight="1">
      <c r="A438" s="24"/>
      <c r="B438" s="25">
        <v>2543.0</v>
      </c>
      <c r="C438" s="26" t="s">
        <v>40</v>
      </c>
      <c r="D438" s="27">
        <v>46053.0</v>
      </c>
      <c r="E438" s="28" t="str">
        <f t="shared" si="1"/>
        <v>2026</v>
      </c>
      <c r="F438" s="28" t="str">
        <f t="shared" si="2"/>
        <v>01 Jan</v>
      </c>
      <c r="G438" s="50" t="s">
        <v>41</v>
      </c>
      <c r="H438" s="29" t="s">
        <v>58</v>
      </c>
      <c r="I438" s="29" t="s">
        <v>275</v>
      </c>
      <c r="J438" s="75" t="s">
        <v>76</v>
      </c>
      <c r="K438" s="76" t="s">
        <v>39</v>
      </c>
      <c r="L438" s="77" t="str">
        <f t="shared" si="3"/>
        <v>PAKET KLINIK</v>
      </c>
      <c r="M438" s="78" t="s">
        <v>63</v>
      </c>
      <c r="N438" s="79">
        <v>450000.0</v>
      </c>
      <c r="O438" s="80">
        <v>200000.0</v>
      </c>
      <c r="P438" s="32">
        <f t="array" ref="P438">IFNA(XLOOKUP(K438,'⚙️ Pengaturan'!$E$2:$E800,'⚙️ Pengaturan'!$F$2:$F800),"")</f>
        <v>650000</v>
      </c>
      <c r="Q438" s="81">
        <f t="shared" si="6"/>
        <v>0</v>
      </c>
      <c r="R438" s="26" t="s">
        <v>33</v>
      </c>
      <c r="S438" s="38" t="s">
        <v>34</v>
      </c>
      <c r="T438" s="35" t="b">
        <v>1</v>
      </c>
      <c r="U438" s="36"/>
    </row>
    <row r="439" ht="30.0" customHeight="1">
      <c r="A439" s="24"/>
      <c r="B439" s="25">
        <v>2544.0</v>
      </c>
      <c r="C439" s="26" t="s">
        <v>40</v>
      </c>
      <c r="D439" s="27">
        <v>46053.0</v>
      </c>
      <c r="E439" s="28" t="str">
        <f t="shared" si="1"/>
        <v>2026</v>
      </c>
      <c r="F439" s="28" t="str">
        <f t="shared" si="2"/>
        <v>01 Jan</v>
      </c>
      <c r="G439" s="50" t="s">
        <v>41</v>
      </c>
      <c r="H439" s="29" t="s">
        <v>51</v>
      </c>
      <c r="I439" s="29" t="s">
        <v>52</v>
      </c>
      <c r="J439" s="75" t="s">
        <v>76</v>
      </c>
      <c r="K439" s="76" t="s">
        <v>32</v>
      </c>
      <c r="L439" s="77" t="str">
        <f t="shared" si="3"/>
        <v>SESI KLINIK</v>
      </c>
      <c r="M439" s="78" t="s">
        <v>27</v>
      </c>
      <c r="N439" s="79">
        <v>150000.0</v>
      </c>
      <c r="O439" s="80">
        <v>0.0</v>
      </c>
      <c r="P439" s="32">
        <f t="array" ref="P439">IFNA(XLOOKUP(K439,'⚙️ Pengaturan'!$E$2:$E800,'⚙️ Pengaturan'!$F$2:$F800),"")</f>
        <v>150000</v>
      </c>
      <c r="Q439" s="81">
        <f t="shared" si="6"/>
        <v>0</v>
      </c>
      <c r="R439" s="26" t="s">
        <v>33</v>
      </c>
      <c r="S439" s="38" t="s">
        <v>34</v>
      </c>
      <c r="T439" s="35" t="b">
        <v>1</v>
      </c>
      <c r="U439" s="36"/>
    </row>
    <row r="440" ht="30.0" customHeight="1">
      <c r="A440" s="24"/>
      <c r="B440" s="25">
        <v>2545.0</v>
      </c>
      <c r="C440" s="26" t="s">
        <v>40</v>
      </c>
      <c r="D440" s="27">
        <v>46053.0</v>
      </c>
      <c r="E440" s="28" t="str">
        <f t="shared" si="1"/>
        <v>2026</v>
      </c>
      <c r="F440" s="28" t="str">
        <f t="shared" si="2"/>
        <v>01 Jan</v>
      </c>
      <c r="G440" s="50" t="s">
        <v>41</v>
      </c>
      <c r="H440" s="29" t="s">
        <v>48</v>
      </c>
      <c r="I440" s="29" t="s">
        <v>310</v>
      </c>
      <c r="J440" s="75" t="s">
        <v>76</v>
      </c>
      <c r="K440" s="76" t="s">
        <v>32</v>
      </c>
      <c r="L440" s="77" t="str">
        <f t="shared" si="3"/>
        <v>SESI KLINIK</v>
      </c>
      <c r="M440" s="78" t="s">
        <v>27</v>
      </c>
      <c r="N440" s="79">
        <v>150000.0</v>
      </c>
      <c r="O440" s="80">
        <v>0.0</v>
      </c>
      <c r="P440" s="32">
        <f t="array" ref="P440">IFNA(XLOOKUP(K440,'⚙️ Pengaturan'!$E$2:$E800,'⚙️ Pengaturan'!$F$2:$F800),"")</f>
        <v>150000</v>
      </c>
      <c r="Q440" s="81">
        <f t="shared" si="6"/>
        <v>0</v>
      </c>
      <c r="R440" s="26" t="s">
        <v>33</v>
      </c>
      <c r="S440" s="38" t="s">
        <v>34</v>
      </c>
      <c r="T440" s="35" t="b">
        <v>1</v>
      </c>
      <c r="U440" s="36"/>
    </row>
    <row r="441" ht="30.0" customHeight="1">
      <c r="A441" s="24"/>
      <c r="B441" s="25">
        <v>2546.0</v>
      </c>
      <c r="C441" s="26" t="s">
        <v>40</v>
      </c>
      <c r="D441" s="27">
        <v>46053.0</v>
      </c>
      <c r="E441" s="28" t="str">
        <f t="shared" si="1"/>
        <v>2026</v>
      </c>
      <c r="F441" s="28" t="str">
        <f t="shared" si="2"/>
        <v>01 Jan</v>
      </c>
      <c r="G441" s="50" t="s">
        <v>53</v>
      </c>
      <c r="H441" s="29" t="s">
        <v>51</v>
      </c>
      <c r="I441" s="29" t="s">
        <v>340</v>
      </c>
      <c r="J441" s="75" t="s">
        <v>25</v>
      </c>
      <c r="K441" s="76" t="s">
        <v>32</v>
      </c>
      <c r="L441" s="77" t="str">
        <f t="shared" si="3"/>
        <v>SESI KLINIK</v>
      </c>
      <c r="M441" s="78" t="s">
        <v>27</v>
      </c>
      <c r="N441" s="79">
        <v>150000.0</v>
      </c>
      <c r="O441" s="80">
        <v>0.0</v>
      </c>
      <c r="P441" s="32">
        <f t="array" ref="P441">IFNA(XLOOKUP(K441,'⚙️ Pengaturan'!$E$2:$E800,'⚙️ Pengaturan'!$F$2:$F800),"")</f>
        <v>150000</v>
      </c>
      <c r="Q441" s="81">
        <f t="shared" si="6"/>
        <v>0</v>
      </c>
      <c r="R441" s="26" t="s">
        <v>33</v>
      </c>
      <c r="S441" s="38" t="s">
        <v>34</v>
      </c>
      <c r="T441" s="35" t="b">
        <v>1</v>
      </c>
      <c r="U441" s="36"/>
    </row>
    <row r="442" ht="30.0" customHeight="1">
      <c r="A442" s="24"/>
      <c r="B442" s="25">
        <v>2547.0</v>
      </c>
      <c r="C442" s="26" t="s">
        <v>40</v>
      </c>
      <c r="D442" s="27">
        <v>46053.0</v>
      </c>
      <c r="E442" s="28" t="str">
        <f t="shared" si="1"/>
        <v>2026</v>
      </c>
      <c r="F442" s="28" t="str">
        <f t="shared" si="2"/>
        <v>01 Jan</v>
      </c>
      <c r="G442" s="50" t="s">
        <v>118</v>
      </c>
      <c r="H442" s="29" t="s">
        <v>30</v>
      </c>
      <c r="I442" s="29" t="s">
        <v>357</v>
      </c>
      <c r="J442" s="75" t="s">
        <v>25</v>
      </c>
      <c r="K442" s="76" t="s">
        <v>128</v>
      </c>
      <c r="L442" s="77" t="str">
        <f t="shared" si="3"/>
        <v>TA VISIT</v>
      </c>
      <c r="M442" s="78" t="s">
        <v>27</v>
      </c>
      <c r="N442" s="79">
        <v>300000.0</v>
      </c>
      <c r="O442" s="80">
        <v>0.0</v>
      </c>
      <c r="P442" s="32">
        <f t="array" ref="P442">IFNA(XLOOKUP(K442,'⚙️ Pengaturan'!$E$2:$E800,'⚙️ Pengaturan'!$F$2:$F800),"")</f>
        <v>300000</v>
      </c>
      <c r="Q442" s="81">
        <f t="shared" si="6"/>
        <v>0</v>
      </c>
      <c r="R442" s="26" t="s">
        <v>28</v>
      </c>
      <c r="S442" s="38" t="s">
        <v>358</v>
      </c>
      <c r="T442" s="35" t="b">
        <v>1</v>
      </c>
      <c r="U442" s="36"/>
    </row>
    <row r="443" ht="30.0" customHeight="1">
      <c r="A443" s="24"/>
      <c r="B443" s="25">
        <v>2548.0</v>
      </c>
      <c r="C443" s="26" t="s">
        <v>40</v>
      </c>
      <c r="D443" s="27">
        <v>46053.0</v>
      </c>
      <c r="E443" s="28" t="str">
        <f t="shared" si="1"/>
        <v>2026</v>
      </c>
      <c r="F443" s="28" t="str">
        <f t="shared" si="2"/>
        <v>01 Jan</v>
      </c>
      <c r="G443" s="50" t="s">
        <v>61</v>
      </c>
      <c r="H443" s="29" t="s">
        <v>51</v>
      </c>
      <c r="I443" s="29" t="s">
        <v>342</v>
      </c>
      <c r="J443" s="75" t="s">
        <v>25</v>
      </c>
      <c r="K443" s="76" t="s">
        <v>32</v>
      </c>
      <c r="L443" s="77" t="str">
        <f t="shared" si="3"/>
        <v>SESI KLINIK</v>
      </c>
      <c r="M443" s="78" t="s">
        <v>27</v>
      </c>
      <c r="N443" s="79">
        <v>150000.0</v>
      </c>
      <c r="O443" s="80">
        <v>0.0</v>
      </c>
      <c r="P443" s="32">
        <f t="array" ref="P443">IFNA(XLOOKUP(K443,'⚙️ Pengaturan'!$E$2:$E800,'⚙️ Pengaturan'!$F$2:$F800),"")</f>
        <v>150000</v>
      </c>
      <c r="Q443" s="81">
        <f t="shared" si="6"/>
        <v>0</v>
      </c>
      <c r="R443" s="26" t="s">
        <v>33</v>
      </c>
      <c r="S443" s="38" t="s">
        <v>34</v>
      </c>
      <c r="T443" s="35" t="b">
        <v>1</v>
      </c>
      <c r="U443" s="36"/>
    </row>
    <row r="444" ht="30.0" customHeight="1">
      <c r="A444" s="24"/>
      <c r="B444" s="25">
        <v>2549.0</v>
      </c>
      <c r="C444" s="26" t="s">
        <v>40</v>
      </c>
      <c r="D444" s="27">
        <v>46053.0</v>
      </c>
      <c r="E444" s="28" t="str">
        <f t="shared" si="1"/>
        <v>2026</v>
      </c>
      <c r="F444" s="28" t="str">
        <f t="shared" si="2"/>
        <v>01 Jan</v>
      </c>
      <c r="G444" s="50" t="s">
        <v>61</v>
      </c>
      <c r="H444" s="29" t="s">
        <v>58</v>
      </c>
      <c r="I444" s="29" t="s">
        <v>359</v>
      </c>
      <c r="J444" s="75" t="s">
        <v>25</v>
      </c>
      <c r="K444" s="76" t="s">
        <v>26</v>
      </c>
      <c r="L444" s="77" t="str">
        <f t="shared" si="3"/>
        <v>TA KLINIK</v>
      </c>
      <c r="M444" s="78" t="s">
        <v>27</v>
      </c>
      <c r="N444" s="79">
        <v>250000.0</v>
      </c>
      <c r="O444" s="80">
        <v>0.0</v>
      </c>
      <c r="P444" s="32">
        <f t="array" ref="P444">IFNA(XLOOKUP(K444,'⚙️ Pengaturan'!$E$2:$E800,'⚙️ Pengaturan'!$F$2:$F800),"")</f>
        <v>250000</v>
      </c>
      <c r="Q444" s="81">
        <f t="shared" si="6"/>
        <v>0</v>
      </c>
      <c r="R444" s="26" t="s">
        <v>33</v>
      </c>
      <c r="S444" s="38" t="s">
        <v>34</v>
      </c>
      <c r="T444" s="35" t="b">
        <v>1</v>
      </c>
      <c r="U444" s="36"/>
    </row>
    <row r="445" ht="30.0" customHeight="1">
      <c r="A445" s="24"/>
      <c r="B445" s="25">
        <v>2550.0</v>
      </c>
      <c r="C445" s="26" t="s">
        <v>40</v>
      </c>
      <c r="D445" s="27">
        <v>46053.0</v>
      </c>
      <c r="E445" s="28" t="str">
        <f t="shared" si="1"/>
        <v>2026</v>
      </c>
      <c r="F445" s="28" t="str">
        <f t="shared" si="2"/>
        <v>01 Jan</v>
      </c>
      <c r="G445" s="50" t="s">
        <v>61</v>
      </c>
      <c r="H445" s="29" t="s">
        <v>48</v>
      </c>
      <c r="I445" s="29" t="s">
        <v>360</v>
      </c>
      <c r="J445" s="75" t="s">
        <v>25</v>
      </c>
      <c r="K445" s="76" t="s">
        <v>26</v>
      </c>
      <c r="L445" s="77" t="str">
        <f t="shared" si="3"/>
        <v>TA KLINIK</v>
      </c>
      <c r="M445" s="78" t="s">
        <v>27</v>
      </c>
      <c r="N445" s="79">
        <v>250000.0</v>
      </c>
      <c r="O445" s="80">
        <v>0.0</v>
      </c>
      <c r="P445" s="32">
        <f t="array" ref="P445">IFNA(XLOOKUP(K445,'⚙️ Pengaturan'!$E$2:$E800,'⚙️ Pengaturan'!$F$2:$F800),"")</f>
        <v>250000</v>
      </c>
      <c r="Q445" s="81">
        <f t="shared" si="6"/>
        <v>0</v>
      </c>
      <c r="R445" s="26" t="s">
        <v>33</v>
      </c>
      <c r="S445" s="38" t="s">
        <v>34</v>
      </c>
      <c r="T445" s="35" t="b">
        <v>1</v>
      </c>
      <c r="U445" s="36"/>
    </row>
    <row r="446" ht="30.0" customHeight="1">
      <c r="A446" s="24"/>
      <c r="B446" s="25">
        <v>2551.0</v>
      </c>
      <c r="C446" s="26" t="s">
        <v>40</v>
      </c>
      <c r="D446" s="27">
        <v>46054.0</v>
      </c>
      <c r="E446" s="28" t="str">
        <f t="shared" si="1"/>
        <v>2026</v>
      </c>
      <c r="F446" s="28" t="str">
        <f t="shared" si="2"/>
        <v>02 Feb</v>
      </c>
      <c r="G446" s="50" t="s">
        <v>67</v>
      </c>
      <c r="H446" s="29" t="s">
        <v>48</v>
      </c>
      <c r="I446" s="29" t="s">
        <v>343</v>
      </c>
      <c r="J446" s="75" t="s">
        <v>25</v>
      </c>
      <c r="K446" s="76" t="s">
        <v>39</v>
      </c>
      <c r="L446" s="77" t="str">
        <f t="shared" si="3"/>
        <v>PAKET KLINIK</v>
      </c>
      <c r="M446" s="78" t="s">
        <v>27</v>
      </c>
      <c r="N446" s="79">
        <v>650000.0</v>
      </c>
      <c r="O446" s="80">
        <v>0.0</v>
      </c>
      <c r="P446" s="32">
        <f t="array" ref="P446">IFNA(XLOOKUP(K446,'⚙️ Pengaturan'!$E$2:$E800,'⚙️ Pengaturan'!$F$2:$F800),"")</f>
        <v>650000</v>
      </c>
      <c r="Q446" s="81">
        <f t="shared" si="6"/>
        <v>0</v>
      </c>
      <c r="R446" s="26" t="s">
        <v>28</v>
      </c>
      <c r="S446" s="38" t="s">
        <v>361</v>
      </c>
      <c r="T446" s="35" t="b">
        <v>1</v>
      </c>
      <c r="U446" s="36"/>
    </row>
    <row r="447" ht="30.0" customHeight="1">
      <c r="A447" s="24"/>
      <c r="B447" s="25">
        <v>2552.0</v>
      </c>
      <c r="C447" s="26" t="s">
        <v>40</v>
      </c>
      <c r="D447" s="27">
        <v>46054.0</v>
      </c>
      <c r="E447" s="28" t="str">
        <f t="shared" si="1"/>
        <v>2026</v>
      </c>
      <c r="F447" s="28" t="str">
        <f t="shared" si="2"/>
        <v>02 Feb</v>
      </c>
      <c r="G447" s="50" t="s">
        <v>67</v>
      </c>
      <c r="H447" s="29" t="s">
        <v>23</v>
      </c>
      <c r="I447" s="29" t="s">
        <v>281</v>
      </c>
      <c r="J447" s="75" t="s">
        <v>76</v>
      </c>
      <c r="K447" s="76" t="s">
        <v>39</v>
      </c>
      <c r="L447" s="77" t="str">
        <f t="shared" si="3"/>
        <v>PAKET KLINIK</v>
      </c>
      <c r="M447" s="78" t="s">
        <v>63</v>
      </c>
      <c r="N447" s="79">
        <v>450000.0</v>
      </c>
      <c r="O447" s="80">
        <v>200000.0</v>
      </c>
      <c r="P447" s="32">
        <f t="array" ref="P447">IFNA(XLOOKUP(K447,'⚙️ Pengaturan'!$E$2:$E800,'⚙️ Pengaturan'!$F$2:$F800),"")</f>
        <v>650000</v>
      </c>
      <c r="Q447" s="81">
        <f t="shared" si="6"/>
        <v>0</v>
      </c>
      <c r="R447" s="26" t="s">
        <v>33</v>
      </c>
      <c r="S447" s="38" t="s">
        <v>34</v>
      </c>
      <c r="T447" s="35" t="b">
        <v>1</v>
      </c>
      <c r="U447" s="36"/>
    </row>
    <row r="448" ht="30.0" customHeight="1">
      <c r="A448" s="24"/>
      <c r="B448" s="25">
        <v>2553.0</v>
      </c>
      <c r="C448" s="26" t="s">
        <v>21</v>
      </c>
      <c r="D448" s="27">
        <v>46054.0</v>
      </c>
      <c r="E448" s="28" t="str">
        <f t="shared" si="1"/>
        <v>2026</v>
      </c>
      <c r="F448" s="28" t="str">
        <f t="shared" si="2"/>
        <v>02 Feb</v>
      </c>
      <c r="G448" s="50" t="s">
        <v>67</v>
      </c>
      <c r="H448" s="29" t="s">
        <v>30</v>
      </c>
      <c r="I448" s="29" t="s">
        <v>362</v>
      </c>
      <c r="J448" s="75" t="s">
        <v>25</v>
      </c>
      <c r="K448" s="76" t="s">
        <v>26</v>
      </c>
      <c r="L448" s="77" t="str">
        <f t="shared" si="3"/>
        <v>TA KLINIK</v>
      </c>
      <c r="M448" s="78" t="s">
        <v>27</v>
      </c>
      <c r="N448" s="79">
        <v>250000.0</v>
      </c>
      <c r="O448" s="80">
        <v>0.0</v>
      </c>
      <c r="P448" s="32">
        <f t="array" ref="P448">IFNA(XLOOKUP(K448,'⚙️ Pengaturan'!$E$2:$E800,'⚙️ Pengaturan'!$F$2:$F800),"")</f>
        <v>250000</v>
      </c>
      <c r="Q448" s="81">
        <v>0.0</v>
      </c>
      <c r="R448" s="26" t="s">
        <v>33</v>
      </c>
      <c r="S448" s="38" t="s">
        <v>34</v>
      </c>
      <c r="T448" s="35" t="b">
        <v>1</v>
      </c>
      <c r="U448" s="36"/>
    </row>
    <row r="449" ht="30.0" customHeight="1">
      <c r="A449" s="24"/>
      <c r="B449" s="25">
        <v>2554.0</v>
      </c>
      <c r="C449" s="26" t="s">
        <v>21</v>
      </c>
      <c r="D449" s="27">
        <v>46054.0</v>
      </c>
      <c r="E449" s="28" t="str">
        <f t="shared" si="1"/>
        <v>2026</v>
      </c>
      <c r="F449" s="28" t="str">
        <f t="shared" si="2"/>
        <v>02 Feb</v>
      </c>
      <c r="G449" s="50" t="s">
        <v>67</v>
      </c>
      <c r="H449" s="29" t="s">
        <v>48</v>
      </c>
      <c r="I449" s="29" t="s">
        <v>337</v>
      </c>
      <c r="J449" s="75" t="s">
        <v>25</v>
      </c>
      <c r="K449" s="76" t="s">
        <v>39</v>
      </c>
      <c r="L449" s="77" t="str">
        <f t="shared" si="3"/>
        <v>PAKET KLINIK</v>
      </c>
      <c r="M449" s="78" t="s">
        <v>86</v>
      </c>
      <c r="N449" s="79">
        <v>200000.0</v>
      </c>
      <c r="O449" s="80">
        <v>0.0</v>
      </c>
      <c r="P449" s="32">
        <f t="array" ref="P449">IFNA(XLOOKUP(K449,'⚙️ Pengaturan'!$E$2:$E800,'⚙️ Pengaturan'!$F$2:$F800),"")</f>
        <v>650000</v>
      </c>
      <c r="Q449" s="81">
        <f t="shared" ref="Q449:Q458" si="7">IF(I449="","",(N449+O449)-P449)</f>
        <v>-450000</v>
      </c>
      <c r="R449" s="26" t="s">
        <v>33</v>
      </c>
      <c r="S449" s="38" t="s">
        <v>34</v>
      </c>
      <c r="T449" s="35" t="b">
        <v>1</v>
      </c>
      <c r="U449" s="36"/>
    </row>
    <row r="450" ht="30.0" customHeight="1">
      <c r="A450" s="24"/>
      <c r="B450" s="25">
        <v>2555.0</v>
      </c>
      <c r="C450" s="26" t="s">
        <v>21</v>
      </c>
      <c r="D450" s="27">
        <v>46054.0</v>
      </c>
      <c r="E450" s="28" t="str">
        <f t="shared" si="1"/>
        <v>2026</v>
      </c>
      <c r="F450" s="28" t="str">
        <f t="shared" si="2"/>
        <v>02 Feb</v>
      </c>
      <c r="G450" s="50" t="s">
        <v>89</v>
      </c>
      <c r="H450" s="29" t="s">
        <v>23</v>
      </c>
      <c r="I450" s="29" t="s">
        <v>327</v>
      </c>
      <c r="J450" s="75" t="s">
        <v>25</v>
      </c>
      <c r="K450" s="76" t="s">
        <v>32</v>
      </c>
      <c r="L450" s="77" t="str">
        <f t="shared" si="3"/>
        <v>SESI KLINIK</v>
      </c>
      <c r="M450" s="78" t="s">
        <v>27</v>
      </c>
      <c r="N450" s="79">
        <v>150000.0</v>
      </c>
      <c r="O450" s="80">
        <v>0.0</v>
      </c>
      <c r="P450" s="32">
        <f t="array" ref="P450">IFNA(XLOOKUP(K450,'⚙️ Pengaturan'!$E$2:$E800,'⚙️ Pengaturan'!$F$2:$F800),"")</f>
        <v>150000</v>
      </c>
      <c r="Q450" s="81">
        <f t="shared" si="7"/>
        <v>0</v>
      </c>
      <c r="R450" s="26" t="s">
        <v>113</v>
      </c>
      <c r="S450" s="38" t="s">
        <v>327</v>
      </c>
      <c r="T450" s="35" t="b">
        <v>1</v>
      </c>
      <c r="U450" s="36"/>
    </row>
    <row r="451" ht="30.0" customHeight="1">
      <c r="A451" s="24"/>
      <c r="B451" s="25">
        <v>2556.0</v>
      </c>
      <c r="C451" s="26" t="s">
        <v>21</v>
      </c>
      <c r="D451" s="27">
        <v>46054.0</v>
      </c>
      <c r="E451" s="28" t="str">
        <f t="shared" si="1"/>
        <v>2026</v>
      </c>
      <c r="F451" s="28" t="str">
        <f t="shared" si="2"/>
        <v>02 Feb</v>
      </c>
      <c r="G451" s="50" t="s">
        <v>82</v>
      </c>
      <c r="H451" s="29" t="s">
        <v>48</v>
      </c>
      <c r="I451" s="29" t="s">
        <v>363</v>
      </c>
      <c r="J451" s="75" t="s">
        <v>25</v>
      </c>
      <c r="K451" s="76" t="s">
        <v>26</v>
      </c>
      <c r="L451" s="77" t="str">
        <f t="shared" si="3"/>
        <v>TA KLINIK</v>
      </c>
      <c r="M451" s="78" t="s">
        <v>27</v>
      </c>
      <c r="N451" s="79">
        <v>250000.0</v>
      </c>
      <c r="O451" s="80">
        <v>0.0</v>
      </c>
      <c r="P451" s="32">
        <f t="array" ref="P451">IFNA(XLOOKUP(K451,'⚙️ Pengaturan'!$E$2:$E800,'⚙️ Pengaturan'!$F$2:$F800),"")</f>
        <v>250000</v>
      </c>
      <c r="Q451" s="81">
        <f t="shared" si="7"/>
        <v>0</v>
      </c>
      <c r="R451" s="26" t="s">
        <v>28</v>
      </c>
      <c r="S451" s="38" t="s">
        <v>363</v>
      </c>
      <c r="T451" s="35" t="b">
        <v>1</v>
      </c>
      <c r="U451" s="36"/>
    </row>
    <row r="452" ht="30.0" customHeight="1">
      <c r="A452" s="24"/>
      <c r="B452" s="25">
        <v>2557.0</v>
      </c>
      <c r="C452" s="26" t="s">
        <v>21</v>
      </c>
      <c r="D452" s="27">
        <v>46054.0</v>
      </c>
      <c r="E452" s="28" t="str">
        <f t="shared" si="1"/>
        <v>2026</v>
      </c>
      <c r="F452" s="28" t="str">
        <f t="shared" si="2"/>
        <v>02 Feb</v>
      </c>
      <c r="G452" s="50" t="s">
        <v>82</v>
      </c>
      <c r="H452" s="29" t="s">
        <v>345</v>
      </c>
      <c r="I452" s="29" t="s">
        <v>364</v>
      </c>
      <c r="J452" s="75" t="s">
        <v>25</v>
      </c>
      <c r="K452" s="76" t="s">
        <v>26</v>
      </c>
      <c r="L452" s="77" t="str">
        <f t="shared" si="3"/>
        <v>TA KLINIK</v>
      </c>
      <c r="M452" s="78" t="s">
        <v>27</v>
      </c>
      <c r="N452" s="79">
        <v>250000.0</v>
      </c>
      <c r="O452" s="80">
        <v>0.0</v>
      </c>
      <c r="P452" s="32">
        <f t="array" ref="P452">IFNA(XLOOKUP(K452,'⚙️ Pengaturan'!$E$2:$E800,'⚙️ Pengaturan'!$F$2:$F800),"")</f>
        <v>250000</v>
      </c>
      <c r="Q452" s="81">
        <f t="shared" si="7"/>
        <v>0</v>
      </c>
      <c r="R452" s="26" t="s">
        <v>33</v>
      </c>
      <c r="S452" s="38" t="s">
        <v>34</v>
      </c>
      <c r="T452" s="35" t="b">
        <v>1</v>
      </c>
      <c r="U452" s="36"/>
    </row>
    <row r="453" ht="30.0" customHeight="1">
      <c r="A453" s="24"/>
      <c r="B453" s="25">
        <v>2558.0</v>
      </c>
      <c r="C453" s="26" t="s">
        <v>21</v>
      </c>
      <c r="D453" s="27">
        <v>46054.0</v>
      </c>
      <c r="E453" s="28" t="str">
        <f t="shared" si="1"/>
        <v>2026</v>
      </c>
      <c r="F453" s="28" t="str">
        <f t="shared" si="2"/>
        <v>02 Feb</v>
      </c>
      <c r="G453" s="50" t="s">
        <v>82</v>
      </c>
      <c r="H453" s="29" t="s">
        <v>345</v>
      </c>
      <c r="I453" s="29" t="s">
        <v>348</v>
      </c>
      <c r="J453" s="75" t="s">
        <v>25</v>
      </c>
      <c r="K453" s="76" t="s">
        <v>32</v>
      </c>
      <c r="L453" s="77" t="str">
        <f t="shared" si="3"/>
        <v>SESI KLINIK</v>
      </c>
      <c r="M453" s="78" t="s">
        <v>27</v>
      </c>
      <c r="N453" s="79">
        <v>150000.0</v>
      </c>
      <c r="O453" s="80">
        <v>0.0</v>
      </c>
      <c r="P453" s="32">
        <f t="array" ref="P453">IFNA(XLOOKUP(K453,'⚙️ Pengaturan'!$E$2:$E800,'⚙️ Pengaturan'!$F$2:$F800),"")</f>
        <v>150000</v>
      </c>
      <c r="Q453" s="81">
        <f t="shared" si="7"/>
        <v>0</v>
      </c>
      <c r="R453" s="26" t="s">
        <v>28</v>
      </c>
      <c r="S453" s="38" t="s">
        <v>348</v>
      </c>
      <c r="T453" s="35" t="b">
        <v>1</v>
      </c>
      <c r="U453" s="36"/>
    </row>
    <row r="454" ht="30.0" customHeight="1">
      <c r="A454" s="24"/>
      <c r="B454" s="25">
        <v>2559.0</v>
      </c>
      <c r="C454" s="26" t="s">
        <v>40</v>
      </c>
      <c r="D454" s="27">
        <v>46054.0</v>
      </c>
      <c r="E454" s="28" t="str">
        <f t="shared" si="1"/>
        <v>2026</v>
      </c>
      <c r="F454" s="28" t="str">
        <f t="shared" si="2"/>
        <v>02 Feb</v>
      </c>
      <c r="G454" s="50" t="s">
        <v>46</v>
      </c>
      <c r="H454" s="29" t="s">
        <v>68</v>
      </c>
      <c r="I454" s="29" t="s">
        <v>279</v>
      </c>
      <c r="J454" s="75" t="s">
        <v>76</v>
      </c>
      <c r="K454" s="76" t="s">
        <v>32</v>
      </c>
      <c r="L454" s="77" t="str">
        <f t="shared" si="3"/>
        <v>SESI KLINIK</v>
      </c>
      <c r="M454" s="78" t="s">
        <v>27</v>
      </c>
      <c r="N454" s="79">
        <v>150000.0</v>
      </c>
      <c r="O454" s="80">
        <v>0.0</v>
      </c>
      <c r="P454" s="32">
        <f t="array" ref="P454">IFNA(XLOOKUP(K454,'⚙️ Pengaturan'!$E$2:$E800,'⚙️ Pengaturan'!$F$2:$F800),"")</f>
        <v>150000</v>
      </c>
      <c r="Q454" s="81">
        <f t="shared" si="7"/>
        <v>0</v>
      </c>
      <c r="R454" s="26" t="s">
        <v>33</v>
      </c>
      <c r="S454" s="38" t="s">
        <v>34</v>
      </c>
      <c r="T454" s="35" t="b">
        <v>1</v>
      </c>
      <c r="U454" s="36"/>
    </row>
    <row r="455" ht="30.0" customHeight="1">
      <c r="A455" s="24"/>
      <c r="B455" s="25">
        <v>2560.0</v>
      </c>
      <c r="C455" s="26" t="s">
        <v>40</v>
      </c>
      <c r="D455" s="27">
        <v>46054.0</v>
      </c>
      <c r="E455" s="28" t="str">
        <f t="shared" si="1"/>
        <v>2026</v>
      </c>
      <c r="F455" s="28" t="str">
        <f t="shared" si="2"/>
        <v>02 Feb</v>
      </c>
      <c r="G455" s="50" t="s">
        <v>46</v>
      </c>
      <c r="H455" s="29" t="s">
        <v>30</v>
      </c>
      <c r="I455" s="29" t="s">
        <v>269</v>
      </c>
      <c r="J455" s="75" t="s">
        <v>25</v>
      </c>
      <c r="K455" s="76" t="s">
        <v>32</v>
      </c>
      <c r="L455" s="77" t="str">
        <f t="shared" si="3"/>
        <v>SESI KLINIK</v>
      </c>
      <c r="M455" s="78" t="s">
        <v>27</v>
      </c>
      <c r="N455" s="79">
        <v>150000.0</v>
      </c>
      <c r="O455" s="80">
        <v>0.0</v>
      </c>
      <c r="P455" s="32">
        <f t="array" ref="P455">IFNA(XLOOKUP(K455,'⚙️ Pengaturan'!$E$2:$E800,'⚙️ Pengaturan'!$F$2:$F800),"")</f>
        <v>150000</v>
      </c>
      <c r="Q455" s="81">
        <f t="shared" si="7"/>
        <v>0</v>
      </c>
      <c r="R455" s="26" t="s">
        <v>33</v>
      </c>
      <c r="S455" s="38" t="s">
        <v>34</v>
      </c>
      <c r="T455" s="35" t="b">
        <v>1</v>
      </c>
      <c r="U455" s="36"/>
    </row>
    <row r="456" ht="30.0" customHeight="1">
      <c r="A456" s="24"/>
      <c r="B456" s="25">
        <v>2561.0</v>
      </c>
      <c r="C456" s="26" t="s">
        <v>40</v>
      </c>
      <c r="D456" s="27">
        <v>46054.0</v>
      </c>
      <c r="E456" s="28" t="str">
        <f t="shared" si="1"/>
        <v>2026</v>
      </c>
      <c r="F456" s="28" t="str">
        <f t="shared" si="2"/>
        <v>02 Feb</v>
      </c>
      <c r="G456" s="50" t="s">
        <v>41</v>
      </c>
      <c r="H456" s="29" t="s">
        <v>68</v>
      </c>
      <c r="I456" s="29" t="s">
        <v>344</v>
      </c>
      <c r="J456" s="75" t="s">
        <v>25</v>
      </c>
      <c r="K456" s="76" t="s">
        <v>39</v>
      </c>
      <c r="L456" s="77" t="str">
        <f t="shared" si="3"/>
        <v>PAKET KLINIK</v>
      </c>
      <c r="M456" s="78" t="s">
        <v>86</v>
      </c>
      <c r="N456" s="79">
        <v>200000.0</v>
      </c>
      <c r="O456" s="80">
        <v>0.0</v>
      </c>
      <c r="P456" s="32">
        <f t="array" ref="P456">IFNA(XLOOKUP(K456,'⚙️ Pengaturan'!$E$2:$E800,'⚙️ Pengaturan'!$F$2:$F800),"")</f>
        <v>650000</v>
      </c>
      <c r="Q456" s="81">
        <f t="shared" si="7"/>
        <v>-450000</v>
      </c>
      <c r="R456" s="26" t="s">
        <v>33</v>
      </c>
      <c r="S456" s="38" t="s">
        <v>34</v>
      </c>
      <c r="T456" s="35" t="b">
        <v>1</v>
      </c>
      <c r="U456" s="36"/>
    </row>
    <row r="457" ht="30.0" customHeight="1">
      <c r="A457" s="24"/>
      <c r="B457" s="25">
        <v>2562.0</v>
      </c>
      <c r="C457" s="26" t="s">
        <v>40</v>
      </c>
      <c r="D457" s="27">
        <v>46054.0</v>
      </c>
      <c r="E457" s="28" t="str">
        <f t="shared" si="1"/>
        <v>2026</v>
      </c>
      <c r="F457" s="28" t="str">
        <f t="shared" si="2"/>
        <v>02 Feb</v>
      </c>
      <c r="G457" s="50" t="s">
        <v>41</v>
      </c>
      <c r="H457" s="29" t="s">
        <v>58</v>
      </c>
      <c r="I457" s="29" t="s">
        <v>365</v>
      </c>
      <c r="J457" s="75" t="s">
        <v>76</v>
      </c>
      <c r="K457" s="76" t="s">
        <v>44</v>
      </c>
      <c r="L457" s="77" t="str">
        <f t="shared" si="3"/>
        <v>PAKET KLINIK</v>
      </c>
      <c r="M457" s="78" t="s">
        <v>63</v>
      </c>
      <c r="N457" s="79">
        <v>700000.0</v>
      </c>
      <c r="O457" s="80">
        <v>500000.0</v>
      </c>
      <c r="P457" s="32">
        <f t="array" ref="P457">IFNA(XLOOKUP(K457,'⚙️ Pengaturan'!$E$2:$E800,'⚙️ Pengaturan'!$F$2:$F800),"")</f>
        <v>1200000</v>
      </c>
      <c r="Q457" s="81">
        <f t="shared" si="7"/>
        <v>0</v>
      </c>
      <c r="R457" s="26" t="s">
        <v>33</v>
      </c>
      <c r="S457" s="38" t="s">
        <v>34</v>
      </c>
      <c r="T457" s="35" t="b">
        <v>1</v>
      </c>
      <c r="U457" s="36"/>
    </row>
    <row r="458" ht="30.0" customHeight="1">
      <c r="A458" s="24"/>
      <c r="B458" s="25">
        <v>2563.0</v>
      </c>
      <c r="C458" s="26" t="s">
        <v>40</v>
      </c>
      <c r="D458" s="27">
        <v>46054.0</v>
      </c>
      <c r="E458" s="28" t="str">
        <f t="shared" si="1"/>
        <v>2026</v>
      </c>
      <c r="F458" s="28" t="str">
        <f t="shared" si="2"/>
        <v>02 Feb</v>
      </c>
      <c r="G458" s="50" t="s">
        <v>53</v>
      </c>
      <c r="H458" s="29" t="s">
        <v>68</v>
      </c>
      <c r="I458" s="29" t="s">
        <v>366</v>
      </c>
      <c r="J458" s="75" t="s">
        <v>25</v>
      </c>
      <c r="K458" s="76" t="s">
        <v>26</v>
      </c>
      <c r="L458" s="77" t="str">
        <f t="shared" si="3"/>
        <v>TA KLINIK</v>
      </c>
      <c r="M458" s="78" t="s">
        <v>27</v>
      </c>
      <c r="N458" s="79">
        <v>250000.0</v>
      </c>
      <c r="O458" s="80">
        <v>0.0</v>
      </c>
      <c r="P458" s="32">
        <f t="array" ref="P458">IFNA(XLOOKUP(K458,'⚙️ Pengaturan'!$E$2:$E800,'⚙️ Pengaturan'!$F$2:$F800),"")</f>
        <v>250000</v>
      </c>
      <c r="Q458" s="81">
        <f t="shared" si="7"/>
        <v>0</v>
      </c>
      <c r="R458" s="26" t="s">
        <v>28</v>
      </c>
      <c r="S458" s="38" t="s">
        <v>366</v>
      </c>
      <c r="T458" s="35" t="b">
        <v>1</v>
      </c>
      <c r="U458" s="36"/>
    </row>
    <row r="459" ht="30.0" customHeight="1">
      <c r="A459" s="24"/>
      <c r="B459" s="25">
        <v>2564.0</v>
      </c>
      <c r="C459" s="26" t="s">
        <v>40</v>
      </c>
      <c r="D459" s="27">
        <v>46054.0</v>
      </c>
      <c r="E459" s="28" t="str">
        <f t="shared" si="1"/>
        <v>2026</v>
      </c>
      <c r="F459" s="28" t="str">
        <f t="shared" si="2"/>
        <v>02 Feb</v>
      </c>
      <c r="G459" s="50" t="s">
        <v>56</v>
      </c>
      <c r="H459" s="29" t="s">
        <v>51</v>
      </c>
      <c r="I459" s="29" t="s">
        <v>352</v>
      </c>
      <c r="J459" s="75" t="s">
        <v>25</v>
      </c>
      <c r="K459" s="76" t="s">
        <v>39</v>
      </c>
      <c r="L459" s="77" t="str">
        <f t="shared" si="3"/>
        <v>PAKET KLINIK</v>
      </c>
      <c r="M459" s="78" t="s">
        <v>27</v>
      </c>
      <c r="N459" s="79">
        <v>650000.0</v>
      </c>
      <c r="O459" s="80">
        <v>0.0</v>
      </c>
      <c r="P459" s="32">
        <f t="array" ref="P459">IFNA(XLOOKUP(K459,'⚙️ Pengaturan'!$E$2:$E800,'⚙️ Pengaturan'!$F$2:$F800),"")</f>
        <v>650000</v>
      </c>
      <c r="Q459" s="81">
        <v>0.0</v>
      </c>
      <c r="R459" s="26" t="s">
        <v>28</v>
      </c>
      <c r="S459" s="38" t="s">
        <v>352</v>
      </c>
      <c r="T459" s="35" t="b">
        <v>1</v>
      </c>
      <c r="U459" s="36"/>
    </row>
    <row r="460" ht="30.0" customHeight="1">
      <c r="A460" s="24"/>
      <c r="B460" s="25">
        <v>2565.0</v>
      </c>
      <c r="C460" s="26" t="s">
        <v>40</v>
      </c>
      <c r="D460" s="27">
        <v>46054.0</v>
      </c>
      <c r="E460" s="28" t="str">
        <f t="shared" si="1"/>
        <v>2026</v>
      </c>
      <c r="F460" s="28" t="str">
        <f t="shared" si="2"/>
        <v>02 Feb</v>
      </c>
      <c r="G460" s="50" t="s">
        <v>61</v>
      </c>
      <c r="H460" s="29" t="s">
        <v>51</v>
      </c>
      <c r="I460" s="29" t="s">
        <v>367</v>
      </c>
      <c r="J460" s="75" t="s">
        <v>25</v>
      </c>
      <c r="K460" s="76" t="s">
        <v>26</v>
      </c>
      <c r="L460" s="77" t="str">
        <f t="shared" si="3"/>
        <v>TA KLINIK</v>
      </c>
      <c r="M460" s="78" t="s">
        <v>27</v>
      </c>
      <c r="N460" s="79">
        <v>250000.0</v>
      </c>
      <c r="O460" s="80">
        <v>0.0</v>
      </c>
      <c r="P460" s="32">
        <f t="array" ref="P460">IFNA(XLOOKUP(K460,'⚙️ Pengaturan'!$E$2:$E800,'⚙️ Pengaturan'!$F$2:$F800),"")</f>
        <v>250000</v>
      </c>
      <c r="Q460" s="81">
        <f t="shared" ref="Q460:Q519" si="8">IF(I460="","",(N460+O460)-P460)</f>
        <v>0</v>
      </c>
      <c r="R460" s="26" t="s">
        <v>33</v>
      </c>
      <c r="S460" s="38" t="s">
        <v>34</v>
      </c>
      <c r="T460" s="35" t="b">
        <v>1</v>
      </c>
      <c r="U460" s="36"/>
    </row>
    <row r="461" ht="30.0" customHeight="1">
      <c r="A461" s="24"/>
      <c r="B461" s="25">
        <v>2566.0</v>
      </c>
      <c r="C461" s="26" t="s">
        <v>40</v>
      </c>
      <c r="D461" s="27">
        <v>46054.0</v>
      </c>
      <c r="E461" s="28" t="str">
        <f t="shared" si="1"/>
        <v>2026</v>
      </c>
      <c r="F461" s="28" t="str">
        <f t="shared" si="2"/>
        <v>02 Feb</v>
      </c>
      <c r="G461" s="50" t="s">
        <v>61</v>
      </c>
      <c r="H461" s="29" t="s">
        <v>68</v>
      </c>
      <c r="I461" s="29" t="s">
        <v>347</v>
      </c>
      <c r="J461" s="75" t="s">
        <v>25</v>
      </c>
      <c r="K461" s="76" t="s">
        <v>32</v>
      </c>
      <c r="L461" s="77" t="str">
        <f t="shared" si="3"/>
        <v>SESI KLINIK</v>
      </c>
      <c r="M461" s="78" t="s">
        <v>27</v>
      </c>
      <c r="N461" s="79">
        <v>150000.0</v>
      </c>
      <c r="O461" s="80">
        <v>0.0</v>
      </c>
      <c r="P461" s="32">
        <f t="array" ref="P461">IFNA(XLOOKUP(K461,'⚙️ Pengaturan'!$E$2:$E800,'⚙️ Pengaturan'!$F$2:$F800),"")</f>
        <v>150000</v>
      </c>
      <c r="Q461" s="81">
        <f t="shared" si="8"/>
        <v>0</v>
      </c>
      <c r="R461" s="26" t="s">
        <v>33</v>
      </c>
      <c r="S461" s="38" t="s">
        <v>34</v>
      </c>
      <c r="T461" s="35" t="b">
        <v>1</v>
      </c>
      <c r="U461" s="36"/>
    </row>
    <row r="462" ht="30.0" customHeight="1">
      <c r="A462" s="24"/>
      <c r="B462" s="25">
        <v>2567.0</v>
      </c>
      <c r="C462" s="26" t="s">
        <v>40</v>
      </c>
      <c r="D462" s="27">
        <v>46054.0</v>
      </c>
      <c r="E462" s="28" t="str">
        <f t="shared" si="1"/>
        <v>2026</v>
      </c>
      <c r="F462" s="28" t="str">
        <f t="shared" si="2"/>
        <v>02 Feb</v>
      </c>
      <c r="G462" s="50" t="s">
        <v>82</v>
      </c>
      <c r="H462" s="29" t="s">
        <v>30</v>
      </c>
      <c r="I462" s="29" t="s">
        <v>368</v>
      </c>
      <c r="J462" s="75" t="s">
        <v>25</v>
      </c>
      <c r="K462" s="76" t="s">
        <v>26</v>
      </c>
      <c r="L462" s="77" t="str">
        <f t="shared" si="3"/>
        <v>TA KLINIK</v>
      </c>
      <c r="M462" s="78" t="s">
        <v>27</v>
      </c>
      <c r="N462" s="79">
        <v>250000.0</v>
      </c>
      <c r="O462" s="80">
        <v>0.0</v>
      </c>
      <c r="P462" s="32">
        <f t="array" ref="P462">IFNA(XLOOKUP(K462,'⚙️ Pengaturan'!$E$2:$E800,'⚙️ Pengaturan'!$F$2:$F800),"")</f>
        <v>250000</v>
      </c>
      <c r="Q462" s="81">
        <f t="shared" si="8"/>
        <v>0</v>
      </c>
      <c r="R462" s="26" t="s">
        <v>33</v>
      </c>
      <c r="S462" s="38" t="s">
        <v>34</v>
      </c>
      <c r="T462" s="35" t="b">
        <v>1</v>
      </c>
      <c r="U462" s="36"/>
    </row>
    <row r="463" ht="30.0" customHeight="1">
      <c r="A463" s="24"/>
      <c r="B463" s="25">
        <v>2568.0</v>
      </c>
      <c r="C463" s="26" t="s">
        <v>40</v>
      </c>
      <c r="D463" s="27">
        <v>46054.0</v>
      </c>
      <c r="E463" s="28" t="str">
        <f t="shared" si="1"/>
        <v>2026</v>
      </c>
      <c r="F463" s="28" t="str">
        <f t="shared" si="2"/>
        <v>02 Feb</v>
      </c>
      <c r="G463" s="50" t="s">
        <v>37</v>
      </c>
      <c r="H463" s="29" t="s">
        <v>23</v>
      </c>
      <c r="I463" s="29" t="s">
        <v>296</v>
      </c>
      <c r="J463" s="75" t="s">
        <v>25</v>
      </c>
      <c r="K463" s="76" t="s">
        <v>26</v>
      </c>
      <c r="L463" s="77" t="str">
        <f t="shared" si="3"/>
        <v>TA KLINIK</v>
      </c>
      <c r="M463" s="78" t="s">
        <v>27</v>
      </c>
      <c r="N463" s="79">
        <v>250000.0</v>
      </c>
      <c r="O463" s="80">
        <v>0.0</v>
      </c>
      <c r="P463" s="32">
        <f t="array" ref="P463">IFNA(XLOOKUP(K463,'⚙️ Pengaturan'!$E$2:$E800,'⚙️ Pengaturan'!$F$2:$F800),"")</f>
        <v>250000</v>
      </c>
      <c r="Q463" s="81">
        <f t="shared" si="8"/>
        <v>0</v>
      </c>
      <c r="R463" s="26" t="s">
        <v>33</v>
      </c>
      <c r="S463" s="38" t="s">
        <v>34</v>
      </c>
      <c r="T463" s="35" t="b">
        <v>1</v>
      </c>
      <c r="U463" s="36"/>
    </row>
    <row r="464" ht="30.0" customHeight="1">
      <c r="A464" s="24"/>
      <c r="B464" s="25">
        <v>2569.0</v>
      </c>
      <c r="C464" s="26" t="s">
        <v>21</v>
      </c>
      <c r="D464" s="27">
        <v>46055.0</v>
      </c>
      <c r="E464" s="28" t="str">
        <f t="shared" si="1"/>
        <v>2026</v>
      </c>
      <c r="F464" s="28" t="str">
        <f t="shared" si="2"/>
        <v>02 Feb</v>
      </c>
      <c r="G464" s="50" t="s">
        <v>67</v>
      </c>
      <c r="H464" s="29" t="s">
        <v>51</v>
      </c>
      <c r="I464" s="29" t="s">
        <v>368</v>
      </c>
      <c r="J464" s="75" t="s">
        <v>25</v>
      </c>
      <c r="K464" s="76" t="s">
        <v>369</v>
      </c>
      <c r="L464" s="77" t="str">
        <f t="shared" si="3"/>
        <v>SESI KLINIK</v>
      </c>
      <c r="M464" s="78" t="s">
        <v>27</v>
      </c>
      <c r="N464" s="79">
        <v>180000.0</v>
      </c>
      <c r="O464" s="80">
        <v>0.0</v>
      </c>
      <c r="P464" s="32">
        <f t="array" ref="P464">IFNA(XLOOKUP(K464,'⚙️ Pengaturan'!$E$2:$E800,'⚙️ Pengaturan'!$F$2:$F800),"")</f>
        <v>180000</v>
      </c>
      <c r="Q464" s="81">
        <f t="shared" si="8"/>
        <v>0</v>
      </c>
      <c r="R464" s="26" t="s">
        <v>33</v>
      </c>
      <c r="S464" s="38" t="s">
        <v>34</v>
      </c>
      <c r="T464" s="35" t="b">
        <v>1</v>
      </c>
      <c r="U464" s="36"/>
    </row>
    <row r="465" ht="30.0" customHeight="1">
      <c r="A465" s="24"/>
      <c r="B465" s="25">
        <v>2570.0</v>
      </c>
      <c r="C465" s="26" t="s">
        <v>21</v>
      </c>
      <c r="D465" s="27">
        <v>46055.0</v>
      </c>
      <c r="E465" s="28" t="str">
        <f t="shared" si="1"/>
        <v>2026</v>
      </c>
      <c r="F465" s="28" t="str">
        <f t="shared" si="2"/>
        <v>02 Feb</v>
      </c>
      <c r="G465" s="50" t="s">
        <v>67</v>
      </c>
      <c r="H465" s="29" t="s">
        <v>48</v>
      </c>
      <c r="I465" s="29" t="s">
        <v>338</v>
      </c>
      <c r="J465" s="75" t="s">
        <v>25</v>
      </c>
      <c r="K465" s="76" t="s">
        <v>39</v>
      </c>
      <c r="L465" s="77" t="str">
        <f t="shared" si="3"/>
        <v>PAKET KLINIK</v>
      </c>
      <c r="M465" s="78" t="s">
        <v>27</v>
      </c>
      <c r="N465" s="79">
        <v>650000.0</v>
      </c>
      <c r="O465" s="80">
        <v>0.0</v>
      </c>
      <c r="P465" s="32">
        <f t="array" ref="P465">IFNA(XLOOKUP(K465,'⚙️ Pengaturan'!$E$2:$E800,'⚙️ Pengaturan'!$F$2:$F800),"")</f>
        <v>650000</v>
      </c>
      <c r="Q465" s="81">
        <f t="shared" si="8"/>
        <v>0</v>
      </c>
      <c r="R465" s="26" t="s">
        <v>28</v>
      </c>
      <c r="S465" s="38" t="s">
        <v>338</v>
      </c>
      <c r="T465" s="35" t="b">
        <v>1</v>
      </c>
      <c r="U465" s="36"/>
    </row>
    <row r="466" ht="30.0" customHeight="1">
      <c r="A466" s="24"/>
      <c r="B466" s="25">
        <v>2571.0</v>
      </c>
      <c r="C466" s="26" t="s">
        <v>21</v>
      </c>
      <c r="D466" s="27">
        <v>46055.0</v>
      </c>
      <c r="E466" s="28" t="str">
        <f t="shared" si="1"/>
        <v>2026</v>
      </c>
      <c r="F466" s="28" t="str">
        <f t="shared" si="2"/>
        <v>02 Feb</v>
      </c>
      <c r="G466" s="50" t="s">
        <v>22</v>
      </c>
      <c r="H466" s="29" t="s">
        <v>48</v>
      </c>
      <c r="I466" s="29" t="s">
        <v>316</v>
      </c>
      <c r="J466" s="75" t="s">
        <v>76</v>
      </c>
      <c r="K466" s="76" t="s">
        <v>44</v>
      </c>
      <c r="L466" s="77" t="str">
        <f t="shared" si="3"/>
        <v>PAKET KLINIK</v>
      </c>
      <c r="M466" s="78" t="s">
        <v>63</v>
      </c>
      <c r="N466" s="79">
        <v>1000000.0</v>
      </c>
      <c r="O466" s="80">
        <v>200000.0</v>
      </c>
      <c r="P466" s="32">
        <f t="array" ref="P466">IFNA(XLOOKUP(K466,'⚙️ Pengaturan'!$E$2:$E800,'⚙️ Pengaturan'!$F$2:$F800),"")</f>
        <v>1200000</v>
      </c>
      <c r="Q466" s="81">
        <f t="shared" si="8"/>
        <v>0</v>
      </c>
      <c r="R466" s="26" t="s">
        <v>45</v>
      </c>
      <c r="S466" s="38" t="s">
        <v>316</v>
      </c>
      <c r="T466" s="35" t="b">
        <v>1</v>
      </c>
      <c r="U466" s="36"/>
    </row>
    <row r="467" ht="30.0" customHeight="1">
      <c r="A467" s="24"/>
      <c r="B467" s="25">
        <v>2572.0</v>
      </c>
      <c r="C467" s="26" t="s">
        <v>21</v>
      </c>
      <c r="D467" s="27">
        <v>46055.0</v>
      </c>
      <c r="E467" s="28" t="str">
        <f t="shared" si="1"/>
        <v>2026</v>
      </c>
      <c r="F467" s="28" t="str">
        <f t="shared" si="2"/>
        <v>02 Feb</v>
      </c>
      <c r="G467" s="50" t="s">
        <v>82</v>
      </c>
      <c r="H467" s="29" t="s">
        <v>58</v>
      </c>
      <c r="I467" s="29" t="s">
        <v>331</v>
      </c>
      <c r="J467" s="75" t="s">
        <v>76</v>
      </c>
      <c r="K467" s="76" t="s">
        <v>32</v>
      </c>
      <c r="L467" s="77" t="str">
        <f t="shared" si="3"/>
        <v>SESI KLINIK</v>
      </c>
      <c r="M467" s="78" t="s">
        <v>27</v>
      </c>
      <c r="N467" s="79">
        <v>150000.0</v>
      </c>
      <c r="O467" s="80">
        <v>0.0</v>
      </c>
      <c r="P467" s="32">
        <f t="array" ref="P467">IFNA(XLOOKUP(K467,'⚙️ Pengaturan'!$E$2:$E800,'⚙️ Pengaturan'!$F$2:$F800),"")</f>
        <v>150000</v>
      </c>
      <c r="Q467" s="81">
        <f t="shared" si="8"/>
        <v>0</v>
      </c>
      <c r="R467" s="26" t="s">
        <v>33</v>
      </c>
      <c r="S467" s="38" t="s">
        <v>34</v>
      </c>
      <c r="T467" s="35" t="b">
        <v>1</v>
      </c>
      <c r="U467" s="36"/>
    </row>
    <row r="468" ht="30.0" customHeight="1">
      <c r="A468" s="24"/>
      <c r="B468" s="25">
        <v>2573.0</v>
      </c>
      <c r="C468" s="26" t="s">
        <v>21</v>
      </c>
      <c r="D468" s="27">
        <v>46055.0</v>
      </c>
      <c r="E468" s="28" t="str">
        <f t="shared" si="1"/>
        <v>2026</v>
      </c>
      <c r="F468" s="28" t="str">
        <f t="shared" si="2"/>
        <v>02 Feb</v>
      </c>
      <c r="G468" s="50" t="s">
        <v>37</v>
      </c>
      <c r="H468" s="29" t="s">
        <v>58</v>
      </c>
      <c r="I468" s="29" t="s">
        <v>315</v>
      </c>
      <c r="J468" s="75" t="s">
        <v>76</v>
      </c>
      <c r="K468" s="76" t="s">
        <v>39</v>
      </c>
      <c r="L468" s="77" t="str">
        <f t="shared" si="3"/>
        <v>PAKET KLINIK</v>
      </c>
      <c r="M468" s="78" t="s">
        <v>86</v>
      </c>
      <c r="N468" s="79">
        <v>300000.0</v>
      </c>
      <c r="O468" s="80">
        <v>0.0</v>
      </c>
      <c r="P468" s="32">
        <f t="array" ref="P468">IFNA(XLOOKUP(K468,'⚙️ Pengaturan'!$E$2:$E800,'⚙️ Pengaturan'!$F$2:$F800),"")</f>
        <v>650000</v>
      </c>
      <c r="Q468" s="81">
        <f t="shared" si="8"/>
        <v>-350000</v>
      </c>
      <c r="R468" s="26" t="s">
        <v>33</v>
      </c>
      <c r="S468" s="38" t="s">
        <v>34</v>
      </c>
      <c r="T468" s="35" t="b">
        <v>1</v>
      </c>
      <c r="U468" s="36"/>
    </row>
    <row r="469" ht="30.0" customHeight="1">
      <c r="A469" s="24"/>
      <c r="B469" s="25">
        <v>2574.0</v>
      </c>
      <c r="C469" s="26" t="s">
        <v>40</v>
      </c>
      <c r="D469" s="27">
        <v>46055.0</v>
      </c>
      <c r="E469" s="28" t="str">
        <f t="shared" si="1"/>
        <v>2026</v>
      </c>
      <c r="F469" s="28" t="str">
        <f t="shared" si="2"/>
        <v>02 Feb</v>
      </c>
      <c r="G469" s="50" t="s">
        <v>46</v>
      </c>
      <c r="H469" s="29" t="s">
        <v>345</v>
      </c>
      <c r="I469" s="29" t="s">
        <v>370</v>
      </c>
      <c r="J469" s="75" t="s">
        <v>25</v>
      </c>
      <c r="K469" s="76" t="s">
        <v>26</v>
      </c>
      <c r="L469" s="77" t="str">
        <f t="shared" si="3"/>
        <v>TA KLINIK</v>
      </c>
      <c r="M469" s="78" t="s">
        <v>27</v>
      </c>
      <c r="N469" s="79">
        <v>250000.0</v>
      </c>
      <c r="O469" s="80">
        <v>0.0</v>
      </c>
      <c r="P469" s="32">
        <f t="array" ref="P469">IFNA(XLOOKUP(K469,'⚙️ Pengaturan'!$E$2:$E800,'⚙️ Pengaturan'!$F$2:$F800),"")</f>
        <v>250000</v>
      </c>
      <c r="Q469" s="81">
        <f t="shared" si="8"/>
        <v>0</v>
      </c>
      <c r="R469" s="26" t="s">
        <v>33</v>
      </c>
      <c r="S469" s="38" t="s">
        <v>34</v>
      </c>
      <c r="T469" s="35" t="b">
        <v>1</v>
      </c>
      <c r="U469" s="36"/>
    </row>
    <row r="470" ht="30.0" customHeight="1">
      <c r="A470" s="24"/>
      <c r="B470" s="25">
        <v>2575.0</v>
      </c>
      <c r="C470" s="26" t="s">
        <v>40</v>
      </c>
      <c r="D470" s="27">
        <v>46055.0</v>
      </c>
      <c r="E470" s="28" t="str">
        <f t="shared" si="1"/>
        <v>2026</v>
      </c>
      <c r="F470" s="28" t="str">
        <f t="shared" si="2"/>
        <v>02 Feb</v>
      </c>
      <c r="G470" s="50" t="s">
        <v>41</v>
      </c>
      <c r="H470" s="29" t="s">
        <v>23</v>
      </c>
      <c r="I470" s="29" t="s">
        <v>24</v>
      </c>
      <c r="J470" s="75" t="s">
        <v>76</v>
      </c>
      <c r="K470" s="76" t="s">
        <v>32</v>
      </c>
      <c r="L470" s="77" t="str">
        <f t="shared" si="3"/>
        <v>SESI KLINIK</v>
      </c>
      <c r="M470" s="78" t="s">
        <v>27</v>
      </c>
      <c r="N470" s="79">
        <v>150000.0</v>
      </c>
      <c r="O470" s="80">
        <v>0.0</v>
      </c>
      <c r="P470" s="32">
        <f t="array" ref="P470">IFNA(XLOOKUP(K470,'⚙️ Pengaturan'!$E$2:$E800,'⚙️ Pengaturan'!$F$2:$F800),"")</f>
        <v>150000</v>
      </c>
      <c r="Q470" s="81">
        <f t="shared" si="8"/>
        <v>0</v>
      </c>
      <c r="R470" s="26" t="s">
        <v>28</v>
      </c>
      <c r="S470" s="38" t="s">
        <v>24</v>
      </c>
      <c r="T470" s="35" t="b">
        <v>1</v>
      </c>
      <c r="U470" s="36"/>
    </row>
    <row r="471" ht="30.0" customHeight="1">
      <c r="A471" s="24"/>
      <c r="B471" s="25">
        <v>2576.0</v>
      </c>
      <c r="C471" s="26" t="s">
        <v>40</v>
      </c>
      <c r="D471" s="27">
        <v>46055.0</v>
      </c>
      <c r="E471" s="28" t="str">
        <f t="shared" si="1"/>
        <v>2026</v>
      </c>
      <c r="F471" s="28" t="str">
        <f t="shared" si="2"/>
        <v>02 Feb</v>
      </c>
      <c r="G471" s="50" t="s">
        <v>41</v>
      </c>
      <c r="H471" s="29" t="s">
        <v>345</v>
      </c>
      <c r="I471" s="29" t="s">
        <v>371</v>
      </c>
      <c r="J471" s="75" t="s">
        <v>25</v>
      </c>
      <c r="K471" s="76" t="s">
        <v>26</v>
      </c>
      <c r="L471" s="77" t="str">
        <f t="shared" si="3"/>
        <v>TA KLINIK</v>
      </c>
      <c r="M471" s="78" t="s">
        <v>27</v>
      </c>
      <c r="N471" s="79">
        <v>250000.0</v>
      </c>
      <c r="O471" s="80">
        <v>0.0</v>
      </c>
      <c r="P471" s="32">
        <f t="array" ref="P471">IFNA(XLOOKUP(K471,'⚙️ Pengaturan'!$E$2:$E800,'⚙️ Pengaturan'!$F$2:$F800),"")</f>
        <v>250000</v>
      </c>
      <c r="Q471" s="81">
        <f t="shared" si="8"/>
        <v>0</v>
      </c>
      <c r="R471" s="26" t="s">
        <v>28</v>
      </c>
      <c r="S471" s="38" t="s">
        <v>371</v>
      </c>
      <c r="T471" s="35" t="b">
        <v>1</v>
      </c>
      <c r="U471" s="36"/>
    </row>
    <row r="472" ht="30.0" customHeight="1">
      <c r="A472" s="24"/>
      <c r="B472" s="25">
        <v>2577.0</v>
      </c>
      <c r="C472" s="26" t="s">
        <v>40</v>
      </c>
      <c r="D472" s="27">
        <v>46055.0</v>
      </c>
      <c r="E472" s="28" t="str">
        <f t="shared" si="1"/>
        <v>2026</v>
      </c>
      <c r="F472" s="28" t="str">
        <f t="shared" si="2"/>
        <v>02 Feb</v>
      </c>
      <c r="G472" s="50" t="s">
        <v>53</v>
      </c>
      <c r="H472" s="29" t="s">
        <v>70</v>
      </c>
      <c r="I472" s="29" t="s">
        <v>287</v>
      </c>
      <c r="J472" s="75" t="s">
        <v>76</v>
      </c>
      <c r="K472" s="76" t="s">
        <v>32</v>
      </c>
      <c r="L472" s="77" t="str">
        <f t="shared" si="3"/>
        <v>SESI KLINIK</v>
      </c>
      <c r="M472" s="78" t="s">
        <v>27</v>
      </c>
      <c r="N472" s="79">
        <v>150000.0</v>
      </c>
      <c r="O472" s="80">
        <v>0.0</v>
      </c>
      <c r="P472" s="32">
        <f t="array" ref="P472">IFNA(XLOOKUP(K472,'⚙️ Pengaturan'!$E$2:$E800,'⚙️ Pengaturan'!$F$2:$F800),"")</f>
        <v>150000</v>
      </c>
      <c r="Q472" s="81">
        <f t="shared" si="8"/>
        <v>0</v>
      </c>
      <c r="R472" s="26" t="s">
        <v>33</v>
      </c>
      <c r="S472" s="38" t="s">
        <v>34</v>
      </c>
      <c r="T472" s="35" t="b">
        <v>1</v>
      </c>
      <c r="U472" s="36"/>
    </row>
    <row r="473" ht="30.0" customHeight="1">
      <c r="A473" s="24"/>
      <c r="B473" s="25">
        <v>2578.0</v>
      </c>
      <c r="C473" s="26" t="s">
        <v>40</v>
      </c>
      <c r="D473" s="27">
        <v>46055.0</v>
      </c>
      <c r="E473" s="28" t="str">
        <f t="shared" si="1"/>
        <v>2026</v>
      </c>
      <c r="F473" s="28" t="str">
        <f t="shared" si="2"/>
        <v>02 Feb</v>
      </c>
      <c r="G473" s="50" t="s">
        <v>53</v>
      </c>
      <c r="H473" s="29" t="s">
        <v>68</v>
      </c>
      <c r="I473" s="29" t="s">
        <v>137</v>
      </c>
      <c r="J473" s="75" t="s">
        <v>76</v>
      </c>
      <c r="K473" s="76" t="s">
        <v>32</v>
      </c>
      <c r="L473" s="77" t="str">
        <f t="shared" si="3"/>
        <v>SESI KLINIK</v>
      </c>
      <c r="M473" s="78" t="s">
        <v>27</v>
      </c>
      <c r="N473" s="79">
        <v>150000.0</v>
      </c>
      <c r="O473" s="80">
        <v>0.0</v>
      </c>
      <c r="P473" s="32">
        <f t="array" ref="P473">IFNA(XLOOKUP(K473,'⚙️ Pengaturan'!$E$2:$E800,'⚙️ Pengaturan'!$F$2:$F800),"")</f>
        <v>150000</v>
      </c>
      <c r="Q473" s="81">
        <f t="shared" si="8"/>
        <v>0</v>
      </c>
      <c r="R473" s="26" t="s">
        <v>33</v>
      </c>
      <c r="S473" s="38" t="s">
        <v>34</v>
      </c>
      <c r="T473" s="35" t="b">
        <v>1</v>
      </c>
      <c r="U473" s="36"/>
    </row>
    <row r="474" ht="30.0" customHeight="1">
      <c r="A474" s="24"/>
      <c r="B474" s="25">
        <v>2579.0</v>
      </c>
      <c r="C474" s="26" t="s">
        <v>40</v>
      </c>
      <c r="D474" s="27">
        <v>46055.0</v>
      </c>
      <c r="E474" s="28" t="str">
        <f t="shared" si="1"/>
        <v>2026</v>
      </c>
      <c r="F474" s="28" t="str">
        <f t="shared" si="2"/>
        <v>02 Feb</v>
      </c>
      <c r="G474" s="50" t="s">
        <v>53</v>
      </c>
      <c r="H474" s="29" t="s">
        <v>345</v>
      </c>
      <c r="I474" s="29" t="s">
        <v>310</v>
      </c>
      <c r="J474" s="75" t="s">
        <v>76</v>
      </c>
      <c r="K474" s="76" t="s">
        <v>32</v>
      </c>
      <c r="L474" s="77" t="str">
        <f t="shared" si="3"/>
        <v>SESI KLINIK</v>
      </c>
      <c r="M474" s="78" t="s">
        <v>27</v>
      </c>
      <c r="N474" s="79">
        <v>150000.0</v>
      </c>
      <c r="O474" s="80">
        <v>0.0</v>
      </c>
      <c r="P474" s="32">
        <f t="array" ref="P474">IFNA(XLOOKUP(K474,'⚙️ Pengaturan'!$E$2:$E800,'⚙️ Pengaturan'!$F$2:$F800),"")</f>
        <v>150000</v>
      </c>
      <c r="Q474" s="81">
        <f t="shared" si="8"/>
        <v>0</v>
      </c>
      <c r="R474" s="26" t="s">
        <v>33</v>
      </c>
      <c r="S474" s="38" t="s">
        <v>34</v>
      </c>
      <c r="T474" s="35" t="b">
        <v>1</v>
      </c>
      <c r="U474" s="36"/>
    </row>
    <row r="475" ht="30.0" customHeight="1">
      <c r="A475" s="24"/>
      <c r="B475" s="25">
        <v>2580.0</v>
      </c>
      <c r="C475" s="26" t="s">
        <v>40</v>
      </c>
      <c r="D475" s="27">
        <v>46055.0</v>
      </c>
      <c r="E475" s="28" t="str">
        <f t="shared" si="1"/>
        <v>2026</v>
      </c>
      <c r="F475" s="28" t="str">
        <f t="shared" si="2"/>
        <v>02 Feb</v>
      </c>
      <c r="G475" s="50" t="s">
        <v>53</v>
      </c>
      <c r="H475" s="29" t="s">
        <v>30</v>
      </c>
      <c r="I475" s="29" t="s">
        <v>372</v>
      </c>
      <c r="J475" s="75" t="s">
        <v>25</v>
      </c>
      <c r="K475" s="76" t="s">
        <v>26</v>
      </c>
      <c r="L475" s="77" t="str">
        <f t="shared" si="3"/>
        <v>TA KLINIK</v>
      </c>
      <c r="M475" s="78" t="s">
        <v>27</v>
      </c>
      <c r="N475" s="79">
        <v>250000.0</v>
      </c>
      <c r="O475" s="80">
        <v>0.0</v>
      </c>
      <c r="P475" s="32">
        <f t="array" ref="P475">IFNA(XLOOKUP(K475,'⚙️ Pengaturan'!$E$2:$E800,'⚙️ Pengaturan'!$F$2:$F800),"")</f>
        <v>250000</v>
      </c>
      <c r="Q475" s="81">
        <f t="shared" si="8"/>
        <v>0</v>
      </c>
      <c r="R475" s="26" t="s">
        <v>33</v>
      </c>
      <c r="S475" s="38" t="s">
        <v>34</v>
      </c>
      <c r="T475" s="35" t="b">
        <v>1</v>
      </c>
      <c r="U475" s="36"/>
    </row>
    <row r="476" ht="30.0" customHeight="1">
      <c r="A476" s="24"/>
      <c r="B476" s="25">
        <v>2581.0</v>
      </c>
      <c r="C476" s="26" t="s">
        <v>40</v>
      </c>
      <c r="D476" s="27">
        <v>46055.0</v>
      </c>
      <c r="E476" s="28" t="str">
        <f t="shared" si="1"/>
        <v>2026</v>
      </c>
      <c r="F476" s="28" t="str">
        <f t="shared" si="2"/>
        <v>02 Feb</v>
      </c>
      <c r="G476" s="50" t="s">
        <v>56</v>
      </c>
      <c r="H476" s="29" t="s">
        <v>30</v>
      </c>
      <c r="I476" s="29" t="s">
        <v>373</v>
      </c>
      <c r="J476" s="75" t="s">
        <v>25</v>
      </c>
      <c r="K476" s="76" t="s">
        <v>26</v>
      </c>
      <c r="L476" s="77" t="str">
        <f t="shared" si="3"/>
        <v>TA KLINIK</v>
      </c>
      <c r="M476" s="78" t="s">
        <v>27</v>
      </c>
      <c r="N476" s="79">
        <v>250000.0</v>
      </c>
      <c r="O476" s="80">
        <v>0.0</v>
      </c>
      <c r="P476" s="32">
        <f t="array" ref="P476">IFNA(XLOOKUP(K476,'⚙️ Pengaturan'!$E$2:$E800,'⚙️ Pengaturan'!$F$2:$F800),"")</f>
        <v>250000</v>
      </c>
      <c r="Q476" s="81">
        <f t="shared" si="8"/>
        <v>0</v>
      </c>
      <c r="R476" s="26" t="s">
        <v>28</v>
      </c>
      <c r="S476" s="38" t="s">
        <v>373</v>
      </c>
      <c r="T476" s="35" t="b">
        <v>1</v>
      </c>
      <c r="U476" s="36"/>
    </row>
    <row r="477" ht="30.0" customHeight="1">
      <c r="A477" s="24"/>
      <c r="B477" s="25">
        <v>2582.0</v>
      </c>
      <c r="C477" s="26" t="s">
        <v>40</v>
      </c>
      <c r="D477" s="27">
        <v>46055.0</v>
      </c>
      <c r="E477" s="28" t="str">
        <f t="shared" si="1"/>
        <v>2026</v>
      </c>
      <c r="F477" s="28" t="str">
        <f t="shared" si="2"/>
        <v>02 Feb</v>
      </c>
      <c r="G477" s="50" t="s">
        <v>56</v>
      </c>
      <c r="H477" s="29" t="s">
        <v>70</v>
      </c>
      <c r="I477" s="29" t="s">
        <v>374</v>
      </c>
      <c r="J477" s="75" t="s">
        <v>25</v>
      </c>
      <c r="K477" s="76" t="s">
        <v>26</v>
      </c>
      <c r="L477" s="77" t="str">
        <f t="shared" si="3"/>
        <v>TA KLINIK</v>
      </c>
      <c r="M477" s="78" t="s">
        <v>27</v>
      </c>
      <c r="N477" s="79">
        <v>250000.0</v>
      </c>
      <c r="O477" s="80">
        <v>0.0</v>
      </c>
      <c r="P477" s="32">
        <f t="array" ref="P477">IFNA(XLOOKUP(K477,'⚙️ Pengaturan'!$E$2:$E800,'⚙️ Pengaturan'!$F$2:$F800),"")</f>
        <v>250000</v>
      </c>
      <c r="Q477" s="81">
        <f t="shared" si="8"/>
        <v>0</v>
      </c>
      <c r="R477" s="26" t="s">
        <v>28</v>
      </c>
      <c r="S477" s="38" t="s">
        <v>373</v>
      </c>
      <c r="T477" s="35" t="b">
        <v>1</v>
      </c>
      <c r="U477" s="36"/>
    </row>
    <row r="478" ht="30.0" customHeight="1">
      <c r="A478" s="24"/>
      <c r="B478" s="25">
        <v>2583.0</v>
      </c>
      <c r="C478" s="26" t="s">
        <v>40</v>
      </c>
      <c r="D478" s="27">
        <v>46055.0</v>
      </c>
      <c r="E478" s="28" t="str">
        <f t="shared" si="1"/>
        <v>2026</v>
      </c>
      <c r="F478" s="28" t="str">
        <f t="shared" si="2"/>
        <v>02 Feb</v>
      </c>
      <c r="G478" s="50" t="s">
        <v>56</v>
      </c>
      <c r="H478" s="29" t="s">
        <v>345</v>
      </c>
      <c r="I478" s="29" t="s">
        <v>375</v>
      </c>
      <c r="J478" s="75" t="s">
        <v>25</v>
      </c>
      <c r="K478" s="76" t="s">
        <v>26</v>
      </c>
      <c r="L478" s="77" t="str">
        <f t="shared" si="3"/>
        <v>TA KLINIK</v>
      </c>
      <c r="M478" s="78" t="s">
        <v>27</v>
      </c>
      <c r="N478" s="79">
        <v>250000.0</v>
      </c>
      <c r="O478" s="80">
        <v>0.0</v>
      </c>
      <c r="P478" s="32">
        <f t="array" ref="P478">IFNA(XLOOKUP(K478,'⚙️ Pengaturan'!$E$2:$E800,'⚙️ Pengaturan'!$F$2:$F800),"")</f>
        <v>250000</v>
      </c>
      <c r="Q478" s="81">
        <f t="shared" si="8"/>
        <v>0</v>
      </c>
      <c r="R478" s="26" t="s">
        <v>28</v>
      </c>
      <c r="S478" s="38" t="s">
        <v>373</v>
      </c>
      <c r="T478" s="35" t="b">
        <v>1</v>
      </c>
      <c r="U478" s="36"/>
    </row>
    <row r="479" ht="30.0" customHeight="1">
      <c r="A479" s="24"/>
      <c r="B479" s="25">
        <v>2584.0</v>
      </c>
      <c r="C479" s="26" t="s">
        <v>40</v>
      </c>
      <c r="D479" s="27">
        <v>46055.0</v>
      </c>
      <c r="E479" s="28" t="str">
        <f t="shared" si="1"/>
        <v>2026</v>
      </c>
      <c r="F479" s="28" t="str">
        <f t="shared" si="2"/>
        <v>02 Feb</v>
      </c>
      <c r="G479" s="50" t="s">
        <v>61</v>
      </c>
      <c r="H479" s="29" t="s">
        <v>345</v>
      </c>
      <c r="I479" s="29" t="s">
        <v>376</v>
      </c>
      <c r="J479" s="75" t="s">
        <v>25</v>
      </c>
      <c r="K479" s="76" t="s">
        <v>26</v>
      </c>
      <c r="L479" s="77" t="str">
        <f t="shared" si="3"/>
        <v>TA KLINIK</v>
      </c>
      <c r="M479" s="78" t="s">
        <v>27</v>
      </c>
      <c r="N479" s="79">
        <v>250000.0</v>
      </c>
      <c r="O479" s="80">
        <v>0.0</v>
      </c>
      <c r="P479" s="32">
        <f t="array" ref="P479">IFNA(XLOOKUP(K479,'⚙️ Pengaturan'!$E$2:$E800,'⚙️ Pengaturan'!$F$2:$F800),"")</f>
        <v>250000</v>
      </c>
      <c r="Q479" s="81">
        <f t="shared" si="8"/>
        <v>0</v>
      </c>
      <c r="R479" s="26" t="s">
        <v>33</v>
      </c>
      <c r="S479" s="38" t="s">
        <v>34</v>
      </c>
      <c r="T479" s="35" t="b">
        <v>1</v>
      </c>
      <c r="U479" s="36"/>
    </row>
    <row r="480" ht="30.0" customHeight="1">
      <c r="A480" s="24"/>
      <c r="B480" s="25">
        <v>2585.0</v>
      </c>
      <c r="C480" s="26" t="s">
        <v>40</v>
      </c>
      <c r="D480" s="27">
        <v>46055.0</v>
      </c>
      <c r="E480" s="28" t="str">
        <f t="shared" si="1"/>
        <v>2026</v>
      </c>
      <c r="F480" s="28" t="str">
        <f t="shared" si="2"/>
        <v>02 Feb</v>
      </c>
      <c r="G480" s="50" t="s">
        <v>61</v>
      </c>
      <c r="H480" s="29" t="s">
        <v>30</v>
      </c>
      <c r="I480" s="29" t="s">
        <v>377</v>
      </c>
      <c r="J480" s="75" t="s">
        <v>25</v>
      </c>
      <c r="K480" s="76" t="s">
        <v>26</v>
      </c>
      <c r="L480" s="77" t="str">
        <f t="shared" si="3"/>
        <v>TA KLINIK</v>
      </c>
      <c r="M480" s="78" t="s">
        <v>27</v>
      </c>
      <c r="N480" s="79">
        <v>250000.0</v>
      </c>
      <c r="O480" s="80">
        <v>0.0</v>
      </c>
      <c r="P480" s="32">
        <f t="array" ref="P480">IFNA(XLOOKUP(K480,'⚙️ Pengaturan'!$E$2:$E800,'⚙️ Pengaturan'!$F$2:$F800),"")</f>
        <v>250000</v>
      </c>
      <c r="Q480" s="81">
        <f t="shared" si="8"/>
        <v>0</v>
      </c>
      <c r="R480" s="26" t="s">
        <v>113</v>
      </c>
      <c r="S480" s="38" t="s">
        <v>378</v>
      </c>
      <c r="T480" s="35" t="b">
        <v>1</v>
      </c>
      <c r="U480" s="36"/>
    </row>
    <row r="481" ht="30.0" customHeight="1">
      <c r="A481" s="24"/>
      <c r="B481" s="25">
        <v>2586.0</v>
      </c>
      <c r="C481" s="26" t="s">
        <v>40</v>
      </c>
      <c r="D481" s="27">
        <v>46055.0</v>
      </c>
      <c r="E481" s="28" t="str">
        <f t="shared" si="1"/>
        <v>2026</v>
      </c>
      <c r="F481" s="28" t="str">
        <f t="shared" si="2"/>
        <v>02 Feb</v>
      </c>
      <c r="G481" s="50" t="s">
        <v>67</v>
      </c>
      <c r="H481" s="29" t="s">
        <v>51</v>
      </c>
      <c r="I481" s="29" t="s">
        <v>368</v>
      </c>
      <c r="J481" s="75" t="s">
        <v>25</v>
      </c>
      <c r="K481" s="76" t="s">
        <v>32</v>
      </c>
      <c r="L481" s="77" t="str">
        <f t="shared" si="3"/>
        <v>SESI KLINIK</v>
      </c>
      <c r="M481" s="78" t="s">
        <v>27</v>
      </c>
      <c r="N481" s="79">
        <v>150000.0</v>
      </c>
      <c r="O481" s="80">
        <v>0.0</v>
      </c>
      <c r="P481" s="32">
        <f t="array" ref="P481">IFNA(XLOOKUP(K481,'⚙️ Pengaturan'!$E$2:$E800,'⚙️ Pengaturan'!$F$2:$F800),"")</f>
        <v>150000</v>
      </c>
      <c r="Q481" s="81">
        <f t="shared" si="8"/>
        <v>0</v>
      </c>
      <c r="R481" s="26" t="s">
        <v>33</v>
      </c>
      <c r="S481" s="38" t="s">
        <v>34</v>
      </c>
      <c r="T481" s="35" t="b">
        <v>1</v>
      </c>
      <c r="U481" s="36"/>
    </row>
    <row r="482" ht="30.0" customHeight="1">
      <c r="A482" s="24"/>
      <c r="B482" s="25">
        <v>2587.0</v>
      </c>
      <c r="C482" s="26" t="s">
        <v>40</v>
      </c>
      <c r="D482" s="27">
        <v>46055.0</v>
      </c>
      <c r="E482" s="28" t="str">
        <f t="shared" si="1"/>
        <v>2026</v>
      </c>
      <c r="F482" s="28" t="str">
        <f t="shared" si="2"/>
        <v>02 Feb</v>
      </c>
      <c r="G482" s="50" t="s">
        <v>67</v>
      </c>
      <c r="H482" s="29" t="s">
        <v>58</v>
      </c>
      <c r="I482" s="29" t="s">
        <v>294</v>
      </c>
      <c r="J482" s="75" t="s">
        <v>76</v>
      </c>
      <c r="K482" s="76" t="s">
        <v>39</v>
      </c>
      <c r="L482" s="77" t="str">
        <f t="shared" si="3"/>
        <v>PAKET KLINIK</v>
      </c>
      <c r="M482" s="78" t="s">
        <v>63</v>
      </c>
      <c r="N482" s="79">
        <v>450000.0</v>
      </c>
      <c r="O482" s="80">
        <v>200000.0</v>
      </c>
      <c r="P482" s="32">
        <f t="array" ref="P482">IFNA(XLOOKUP(K482,'⚙️ Pengaturan'!$E$2:$E800,'⚙️ Pengaturan'!$F$2:$F800),"")</f>
        <v>650000</v>
      </c>
      <c r="Q482" s="81">
        <f t="shared" si="8"/>
        <v>0</v>
      </c>
      <c r="R482" s="26" t="s">
        <v>28</v>
      </c>
      <c r="S482" s="38" t="s">
        <v>294</v>
      </c>
      <c r="T482" s="35" t="b">
        <v>1</v>
      </c>
      <c r="U482" s="36"/>
    </row>
    <row r="483" ht="30.0" customHeight="1">
      <c r="A483" s="24"/>
      <c r="B483" s="25">
        <v>2588.0</v>
      </c>
      <c r="C483" s="26" t="s">
        <v>40</v>
      </c>
      <c r="D483" s="27">
        <v>46056.0</v>
      </c>
      <c r="E483" s="28" t="str">
        <f t="shared" si="1"/>
        <v>2026</v>
      </c>
      <c r="F483" s="28" t="str">
        <f t="shared" si="2"/>
        <v>02 Feb</v>
      </c>
      <c r="G483" s="50" t="s">
        <v>67</v>
      </c>
      <c r="H483" s="29" t="s">
        <v>30</v>
      </c>
      <c r="I483" s="29" t="s">
        <v>379</v>
      </c>
      <c r="J483" s="75" t="s">
        <v>25</v>
      </c>
      <c r="K483" s="76" t="s">
        <v>26</v>
      </c>
      <c r="L483" s="77" t="str">
        <f t="shared" si="3"/>
        <v>TA KLINIK</v>
      </c>
      <c r="M483" s="78" t="s">
        <v>27</v>
      </c>
      <c r="N483" s="79">
        <v>250000.0</v>
      </c>
      <c r="O483" s="80">
        <v>0.0</v>
      </c>
      <c r="P483" s="32">
        <f t="array" ref="P483">IFNA(XLOOKUP(K483,'⚙️ Pengaturan'!$E$2:$E800,'⚙️ Pengaturan'!$F$2:$F800),"")</f>
        <v>250000</v>
      </c>
      <c r="Q483" s="81">
        <f t="shared" si="8"/>
        <v>0</v>
      </c>
      <c r="R483" s="26" t="s">
        <v>33</v>
      </c>
      <c r="S483" s="38" t="s">
        <v>34</v>
      </c>
      <c r="T483" s="35" t="b">
        <v>1</v>
      </c>
      <c r="U483" s="36"/>
    </row>
    <row r="484" ht="30.0" customHeight="1">
      <c r="A484" s="24"/>
      <c r="B484" s="25">
        <v>2589.0</v>
      </c>
      <c r="C484" s="26" t="s">
        <v>40</v>
      </c>
      <c r="D484" s="27">
        <v>46056.0</v>
      </c>
      <c r="E484" s="28" t="str">
        <f t="shared" si="1"/>
        <v>2026</v>
      </c>
      <c r="F484" s="28" t="str">
        <f t="shared" si="2"/>
        <v>02 Feb</v>
      </c>
      <c r="G484" s="50" t="s">
        <v>118</v>
      </c>
      <c r="H484" s="29" t="s">
        <v>48</v>
      </c>
      <c r="I484" s="29" t="s">
        <v>380</v>
      </c>
      <c r="J484" s="75" t="s">
        <v>25</v>
      </c>
      <c r="K484" s="76" t="s">
        <v>73</v>
      </c>
      <c r="L484" s="77" t="str">
        <f t="shared" si="3"/>
        <v>TA VISIT</v>
      </c>
      <c r="M484" s="78" t="s">
        <v>27</v>
      </c>
      <c r="N484" s="79">
        <v>350000.0</v>
      </c>
      <c r="O484" s="80">
        <v>0.0</v>
      </c>
      <c r="P484" s="32">
        <f t="array" ref="P484">IFNA(XLOOKUP(K484,'⚙️ Pengaturan'!$E$2:$E800,'⚙️ Pengaturan'!$F$2:$F800),"")</f>
        <v>350000</v>
      </c>
      <c r="Q484" s="81">
        <f t="shared" si="8"/>
        <v>0</v>
      </c>
      <c r="R484" s="26" t="s">
        <v>28</v>
      </c>
      <c r="S484" s="38" t="s">
        <v>380</v>
      </c>
      <c r="T484" s="35" t="b">
        <v>1</v>
      </c>
      <c r="U484" s="36"/>
    </row>
    <row r="485" ht="30.0" customHeight="1">
      <c r="A485" s="24"/>
      <c r="B485" s="25">
        <v>2590.0</v>
      </c>
      <c r="C485" s="26" t="s">
        <v>40</v>
      </c>
      <c r="D485" s="27">
        <v>46056.0</v>
      </c>
      <c r="E485" s="28" t="str">
        <f t="shared" si="1"/>
        <v>2026</v>
      </c>
      <c r="F485" s="28" t="str">
        <f t="shared" si="2"/>
        <v>02 Feb</v>
      </c>
      <c r="G485" s="50" t="s">
        <v>89</v>
      </c>
      <c r="H485" s="29" t="s">
        <v>30</v>
      </c>
      <c r="I485" s="29" t="s">
        <v>355</v>
      </c>
      <c r="J485" s="75" t="s">
        <v>25</v>
      </c>
      <c r="K485" s="76" t="s">
        <v>39</v>
      </c>
      <c r="L485" s="77" t="str">
        <f t="shared" si="3"/>
        <v>PAKET KLINIK</v>
      </c>
      <c r="M485" s="78" t="s">
        <v>27</v>
      </c>
      <c r="N485" s="79">
        <v>650000.0</v>
      </c>
      <c r="O485" s="80">
        <v>0.0</v>
      </c>
      <c r="P485" s="32">
        <f t="array" ref="P485">IFNA(XLOOKUP(K485,'⚙️ Pengaturan'!$E$2:$E800,'⚙️ Pengaturan'!$F$2:$F800),"")</f>
        <v>650000</v>
      </c>
      <c r="Q485" s="81">
        <f t="shared" si="8"/>
        <v>0</v>
      </c>
      <c r="R485" s="26" t="s">
        <v>45</v>
      </c>
      <c r="S485" s="38" t="s">
        <v>381</v>
      </c>
      <c r="T485" s="35" t="b">
        <v>1</v>
      </c>
      <c r="U485" s="36"/>
    </row>
    <row r="486" ht="30.0" customHeight="1">
      <c r="A486" s="24"/>
      <c r="B486" s="25">
        <v>2591.0</v>
      </c>
      <c r="C486" s="26" t="s">
        <v>40</v>
      </c>
      <c r="D486" s="27">
        <v>46056.0</v>
      </c>
      <c r="E486" s="28" t="str">
        <f t="shared" si="1"/>
        <v>2026</v>
      </c>
      <c r="F486" s="28" t="str">
        <f t="shared" si="2"/>
        <v>02 Feb</v>
      </c>
      <c r="G486" s="50" t="s">
        <v>118</v>
      </c>
      <c r="H486" s="29" t="s">
        <v>42</v>
      </c>
      <c r="I486" s="29" t="s">
        <v>320</v>
      </c>
      <c r="J486" s="75" t="s">
        <v>76</v>
      </c>
      <c r="K486" s="76" t="s">
        <v>92</v>
      </c>
      <c r="L486" s="77" t="str">
        <f t="shared" si="3"/>
        <v>SESI VISIT</v>
      </c>
      <c r="M486" s="78" t="s">
        <v>27</v>
      </c>
      <c r="N486" s="79">
        <v>200000.0</v>
      </c>
      <c r="O486" s="80">
        <v>0.0</v>
      </c>
      <c r="P486" s="32">
        <f t="array" ref="P486">IFNA(XLOOKUP(K486,'⚙️ Pengaturan'!$E$2:$E800,'⚙️ Pengaturan'!$F$2:$F800),"")</f>
        <v>200000</v>
      </c>
      <c r="Q486" s="81">
        <f t="shared" si="8"/>
        <v>0</v>
      </c>
      <c r="R486" s="26" t="s">
        <v>33</v>
      </c>
      <c r="S486" s="38" t="s">
        <v>34</v>
      </c>
      <c r="T486" s="35" t="b">
        <v>1</v>
      </c>
      <c r="U486" s="36"/>
    </row>
    <row r="487" ht="30.0" customHeight="1">
      <c r="A487" s="24"/>
      <c r="B487" s="25">
        <v>2592.0</v>
      </c>
      <c r="C487" s="26" t="s">
        <v>40</v>
      </c>
      <c r="D487" s="27">
        <v>46056.0</v>
      </c>
      <c r="E487" s="28" t="str">
        <f t="shared" si="1"/>
        <v>2026</v>
      </c>
      <c r="F487" s="28" t="str">
        <f t="shared" si="2"/>
        <v>02 Feb</v>
      </c>
      <c r="G487" s="50" t="s">
        <v>37</v>
      </c>
      <c r="H487" s="29" t="s">
        <v>51</v>
      </c>
      <c r="I487" s="29" t="s">
        <v>344</v>
      </c>
      <c r="J487" s="75" t="s">
        <v>76</v>
      </c>
      <c r="K487" s="76" t="s">
        <v>39</v>
      </c>
      <c r="L487" s="77" t="str">
        <f t="shared" si="3"/>
        <v>PAKET KLINIK</v>
      </c>
      <c r="M487" s="78" t="s">
        <v>63</v>
      </c>
      <c r="N487" s="79">
        <v>450000.0</v>
      </c>
      <c r="O487" s="80">
        <v>200000.0</v>
      </c>
      <c r="P487" s="32">
        <f t="array" ref="P487">IFNA(XLOOKUP(K487,'⚙️ Pengaturan'!$E$2:$E800,'⚙️ Pengaturan'!$F$2:$F800),"")</f>
        <v>650000</v>
      </c>
      <c r="Q487" s="81">
        <f t="shared" si="8"/>
        <v>0</v>
      </c>
      <c r="R487" s="26" t="s">
        <v>33</v>
      </c>
      <c r="S487" s="38" t="s">
        <v>34</v>
      </c>
      <c r="T487" s="35" t="b">
        <v>1</v>
      </c>
      <c r="U487" s="36"/>
    </row>
    <row r="488" ht="30.0" customHeight="1">
      <c r="A488" s="24"/>
      <c r="B488" s="25">
        <v>2593.0</v>
      </c>
      <c r="C488" s="26" t="s">
        <v>21</v>
      </c>
      <c r="D488" s="27">
        <v>46056.0</v>
      </c>
      <c r="E488" s="28" t="str">
        <f t="shared" si="1"/>
        <v>2026</v>
      </c>
      <c r="F488" s="28" t="str">
        <f t="shared" si="2"/>
        <v>02 Feb</v>
      </c>
      <c r="G488" s="50" t="s">
        <v>41</v>
      </c>
      <c r="H488" s="29" t="s">
        <v>58</v>
      </c>
      <c r="I488" s="29" t="s">
        <v>382</v>
      </c>
      <c r="J488" s="75" t="s">
        <v>25</v>
      </c>
      <c r="K488" s="76" t="s">
        <v>26</v>
      </c>
      <c r="L488" s="77" t="str">
        <f t="shared" si="3"/>
        <v>TA KLINIK</v>
      </c>
      <c r="M488" s="78" t="s">
        <v>27</v>
      </c>
      <c r="N488" s="79">
        <v>250000.0</v>
      </c>
      <c r="O488" s="80">
        <v>0.0</v>
      </c>
      <c r="P488" s="32">
        <f t="array" ref="P488">IFNA(XLOOKUP(K488,'⚙️ Pengaturan'!$E$2:$E800,'⚙️ Pengaturan'!$F$2:$F800),"")</f>
        <v>250000</v>
      </c>
      <c r="Q488" s="81">
        <f t="shared" si="8"/>
        <v>0</v>
      </c>
      <c r="R488" s="26" t="s">
        <v>28</v>
      </c>
      <c r="S488" s="38" t="s">
        <v>209</v>
      </c>
      <c r="T488" s="35" t="b">
        <v>1</v>
      </c>
      <c r="U488" s="36"/>
    </row>
    <row r="489" ht="30.0" customHeight="1">
      <c r="A489" s="24"/>
      <c r="B489" s="25">
        <v>2594.0</v>
      </c>
      <c r="C489" s="26" t="s">
        <v>21</v>
      </c>
      <c r="D489" s="27">
        <v>46056.0</v>
      </c>
      <c r="E489" s="28" t="str">
        <f t="shared" si="1"/>
        <v>2026</v>
      </c>
      <c r="F489" s="28" t="str">
        <f t="shared" si="2"/>
        <v>02 Feb</v>
      </c>
      <c r="G489" s="50" t="s">
        <v>41</v>
      </c>
      <c r="H489" s="29" t="s">
        <v>51</v>
      </c>
      <c r="I489" s="29" t="s">
        <v>383</v>
      </c>
      <c r="J489" s="75" t="s">
        <v>25</v>
      </c>
      <c r="K489" s="76" t="s">
        <v>26</v>
      </c>
      <c r="L489" s="77" t="str">
        <f t="shared" si="3"/>
        <v>TA KLINIK</v>
      </c>
      <c r="M489" s="78" t="s">
        <v>27</v>
      </c>
      <c r="N489" s="79">
        <v>250000.0</v>
      </c>
      <c r="O489" s="80">
        <v>0.0</v>
      </c>
      <c r="P489" s="32">
        <f t="array" ref="P489">IFNA(XLOOKUP(K489,'⚙️ Pengaturan'!$E$2:$E800,'⚙️ Pengaturan'!$F$2:$F800),"")</f>
        <v>250000</v>
      </c>
      <c r="Q489" s="81">
        <f t="shared" si="8"/>
        <v>0</v>
      </c>
      <c r="R489" s="26" t="s">
        <v>28</v>
      </c>
      <c r="S489" s="38" t="s">
        <v>383</v>
      </c>
      <c r="T489" s="35" t="b">
        <v>1</v>
      </c>
      <c r="U489" s="36"/>
    </row>
    <row r="490" ht="30.0" customHeight="1">
      <c r="A490" s="24"/>
      <c r="B490" s="25">
        <v>2595.0</v>
      </c>
      <c r="C490" s="26" t="s">
        <v>21</v>
      </c>
      <c r="D490" s="27">
        <v>46056.0</v>
      </c>
      <c r="E490" s="28" t="str">
        <f t="shared" si="1"/>
        <v>2026</v>
      </c>
      <c r="F490" s="28" t="str">
        <f t="shared" si="2"/>
        <v>02 Feb</v>
      </c>
      <c r="G490" s="50" t="s">
        <v>56</v>
      </c>
      <c r="H490" s="29" t="s">
        <v>58</v>
      </c>
      <c r="I490" s="29" t="s">
        <v>384</v>
      </c>
      <c r="J490" s="75" t="s">
        <v>25</v>
      </c>
      <c r="K490" s="76" t="s">
        <v>26</v>
      </c>
      <c r="L490" s="77" t="str">
        <f t="shared" si="3"/>
        <v>TA KLINIK</v>
      </c>
      <c r="M490" s="78" t="s">
        <v>27</v>
      </c>
      <c r="N490" s="79">
        <v>250000.0</v>
      </c>
      <c r="O490" s="80">
        <v>0.0</v>
      </c>
      <c r="P490" s="32">
        <f t="array" ref="P490">IFNA(XLOOKUP(K490,'⚙️ Pengaturan'!$E$2:$E800,'⚙️ Pengaturan'!$F$2:$F800),"")</f>
        <v>250000</v>
      </c>
      <c r="Q490" s="81">
        <f t="shared" si="8"/>
        <v>0</v>
      </c>
      <c r="R490" s="26" t="s">
        <v>28</v>
      </c>
      <c r="S490" s="38" t="s">
        <v>384</v>
      </c>
      <c r="T490" s="35" t="b">
        <v>1</v>
      </c>
      <c r="U490" s="36"/>
    </row>
    <row r="491" ht="30.0" customHeight="1">
      <c r="A491" s="24"/>
      <c r="B491" s="25">
        <v>2596.0</v>
      </c>
      <c r="C491" s="26" t="s">
        <v>21</v>
      </c>
      <c r="D491" s="27">
        <v>46056.0</v>
      </c>
      <c r="E491" s="28" t="str">
        <f t="shared" si="1"/>
        <v>2026</v>
      </c>
      <c r="F491" s="28" t="str">
        <f t="shared" si="2"/>
        <v>02 Feb</v>
      </c>
      <c r="G491" s="50" t="s">
        <v>56</v>
      </c>
      <c r="H491" s="29" t="s">
        <v>42</v>
      </c>
      <c r="I491" s="29" t="s">
        <v>272</v>
      </c>
      <c r="J491" s="75" t="s">
        <v>25</v>
      </c>
      <c r="K491" s="76" t="s">
        <v>32</v>
      </c>
      <c r="L491" s="77" t="str">
        <f t="shared" si="3"/>
        <v>SESI KLINIK</v>
      </c>
      <c r="M491" s="78" t="s">
        <v>27</v>
      </c>
      <c r="N491" s="79">
        <v>150000.0</v>
      </c>
      <c r="O491" s="80">
        <v>0.0</v>
      </c>
      <c r="P491" s="32">
        <f t="array" ref="P491">IFNA(XLOOKUP(K491,'⚙️ Pengaturan'!$E$2:$E800,'⚙️ Pengaturan'!$F$2:$F800),"")</f>
        <v>150000</v>
      </c>
      <c r="Q491" s="81">
        <f t="shared" si="8"/>
        <v>0</v>
      </c>
      <c r="R491" s="26" t="s">
        <v>33</v>
      </c>
      <c r="S491" s="38" t="s">
        <v>34</v>
      </c>
      <c r="T491" s="35" t="b">
        <v>1</v>
      </c>
      <c r="U491" s="36"/>
    </row>
    <row r="492" ht="30.0" customHeight="1">
      <c r="A492" s="24"/>
      <c r="B492" s="25">
        <v>2597.0</v>
      </c>
      <c r="C492" s="26" t="s">
        <v>21</v>
      </c>
      <c r="D492" s="27">
        <v>46056.0</v>
      </c>
      <c r="E492" s="28" t="str">
        <f t="shared" si="1"/>
        <v>2026</v>
      </c>
      <c r="F492" s="28" t="str">
        <f t="shared" si="2"/>
        <v>02 Feb</v>
      </c>
      <c r="G492" s="50" t="s">
        <v>56</v>
      </c>
      <c r="H492" s="29" t="s">
        <v>42</v>
      </c>
      <c r="I492" s="29" t="s">
        <v>60</v>
      </c>
      <c r="J492" s="75" t="s">
        <v>25</v>
      </c>
      <c r="K492" s="76" t="s">
        <v>44</v>
      </c>
      <c r="L492" s="77" t="str">
        <f t="shared" si="3"/>
        <v>PAKET KLINIK</v>
      </c>
      <c r="M492" s="78" t="s">
        <v>86</v>
      </c>
      <c r="N492" s="79">
        <v>200000.0</v>
      </c>
      <c r="O492" s="80">
        <v>0.0</v>
      </c>
      <c r="P492" s="32">
        <f t="array" ref="P492">IFNA(XLOOKUP(K492,'⚙️ Pengaturan'!$E$2:$E800,'⚙️ Pengaturan'!$F$2:$F800),"")</f>
        <v>1200000</v>
      </c>
      <c r="Q492" s="81">
        <f t="shared" si="8"/>
        <v>-1000000</v>
      </c>
      <c r="R492" s="26" t="s">
        <v>33</v>
      </c>
      <c r="S492" s="38" t="s">
        <v>34</v>
      </c>
      <c r="T492" s="35" t="b">
        <v>1</v>
      </c>
      <c r="U492" s="36"/>
    </row>
    <row r="493" ht="30.0" customHeight="1">
      <c r="A493" s="24"/>
      <c r="B493" s="25">
        <v>2598.0</v>
      </c>
      <c r="C493" s="26" t="s">
        <v>21</v>
      </c>
      <c r="D493" s="27">
        <v>46056.0</v>
      </c>
      <c r="E493" s="28" t="str">
        <f t="shared" si="1"/>
        <v>2026</v>
      </c>
      <c r="F493" s="28" t="str">
        <f t="shared" si="2"/>
        <v>02 Feb</v>
      </c>
      <c r="G493" s="50" t="s">
        <v>37</v>
      </c>
      <c r="H493" s="29" t="s">
        <v>30</v>
      </c>
      <c r="I493" s="29" t="s">
        <v>385</v>
      </c>
      <c r="J493" s="75" t="s">
        <v>25</v>
      </c>
      <c r="K493" s="76" t="s">
        <v>26</v>
      </c>
      <c r="L493" s="77" t="str">
        <f t="shared" si="3"/>
        <v>TA KLINIK</v>
      </c>
      <c r="M493" s="78" t="s">
        <v>27</v>
      </c>
      <c r="N493" s="79">
        <v>250000.0</v>
      </c>
      <c r="O493" s="80">
        <v>0.0</v>
      </c>
      <c r="P493" s="32">
        <f t="array" ref="P493">IFNA(XLOOKUP(K493,'⚙️ Pengaturan'!$E$2:$E800,'⚙️ Pengaturan'!$F$2:$F800),"")</f>
        <v>250000</v>
      </c>
      <c r="Q493" s="81">
        <f t="shared" si="8"/>
        <v>0</v>
      </c>
      <c r="R493" s="26" t="s">
        <v>33</v>
      </c>
      <c r="S493" s="38" t="s">
        <v>34</v>
      </c>
      <c r="T493" s="35" t="b">
        <v>1</v>
      </c>
      <c r="U493" s="36"/>
    </row>
    <row r="494" ht="30.0" customHeight="1">
      <c r="A494" s="24"/>
      <c r="B494" s="25">
        <v>2599.0</v>
      </c>
      <c r="C494" s="26" t="s">
        <v>21</v>
      </c>
      <c r="D494" s="27">
        <v>46056.0</v>
      </c>
      <c r="E494" s="28" t="str">
        <f t="shared" si="1"/>
        <v>2026</v>
      </c>
      <c r="F494" s="28" t="str">
        <f t="shared" si="2"/>
        <v>02 Feb</v>
      </c>
      <c r="G494" s="50" t="s">
        <v>61</v>
      </c>
      <c r="H494" s="29" t="s">
        <v>51</v>
      </c>
      <c r="I494" s="29" t="s">
        <v>386</v>
      </c>
      <c r="J494" s="75" t="s">
        <v>25</v>
      </c>
      <c r="K494" s="76" t="s">
        <v>26</v>
      </c>
      <c r="L494" s="77" t="str">
        <f t="shared" si="3"/>
        <v>TA KLINIK</v>
      </c>
      <c r="M494" s="78" t="s">
        <v>27</v>
      </c>
      <c r="N494" s="79">
        <v>250000.0</v>
      </c>
      <c r="O494" s="80">
        <v>0.0</v>
      </c>
      <c r="P494" s="32">
        <f t="array" ref="P494">IFNA(XLOOKUP(K494,'⚙️ Pengaturan'!$E$2:$E800,'⚙️ Pengaturan'!$F$2:$F800),"")</f>
        <v>250000</v>
      </c>
      <c r="Q494" s="81">
        <f t="shared" si="8"/>
        <v>0</v>
      </c>
      <c r="R494" s="26" t="s">
        <v>28</v>
      </c>
      <c r="S494" s="38" t="s">
        <v>386</v>
      </c>
      <c r="T494" s="35" t="b">
        <v>1</v>
      </c>
      <c r="U494" s="36"/>
    </row>
    <row r="495" ht="30.0" customHeight="1">
      <c r="A495" s="24"/>
      <c r="B495" s="25">
        <v>2600.0</v>
      </c>
      <c r="C495" s="26" t="s">
        <v>21</v>
      </c>
      <c r="D495" s="27">
        <v>46056.0</v>
      </c>
      <c r="E495" s="28" t="str">
        <f t="shared" si="1"/>
        <v>2026</v>
      </c>
      <c r="F495" s="28" t="str">
        <f t="shared" si="2"/>
        <v>02 Feb</v>
      </c>
      <c r="G495" s="50" t="s">
        <v>61</v>
      </c>
      <c r="H495" s="29" t="s">
        <v>58</v>
      </c>
      <c r="I495" s="29" t="s">
        <v>387</v>
      </c>
      <c r="J495" s="75" t="s">
        <v>25</v>
      </c>
      <c r="K495" s="76" t="s">
        <v>26</v>
      </c>
      <c r="L495" s="77" t="str">
        <f t="shared" si="3"/>
        <v>TA KLINIK</v>
      </c>
      <c r="M495" s="78" t="s">
        <v>27</v>
      </c>
      <c r="N495" s="79">
        <v>0.0</v>
      </c>
      <c r="O495" s="80">
        <v>250000.0</v>
      </c>
      <c r="P495" s="32">
        <v>250000.0</v>
      </c>
      <c r="Q495" s="81">
        <f t="shared" si="8"/>
        <v>0</v>
      </c>
      <c r="R495" s="26" t="s">
        <v>33</v>
      </c>
      <c r="S495" s="38" t="s">
        <v>34</v>
      </c>
      <c r="T495" s="35" t="b">
        <v>1</v>
      </c>
      <c r="U495" s="36"/>
    </row>
    <row r="496" ht="30.0" customHeight="1">
      <c r="A496" s="24"/>
      <c r="B496" s="25">
        <v>2601.0</v>
      </c>
      <c r="C496" s="26" t="s">
        <v>21</v>
      </c>
      <c r="D496" s="27">
        <v>46057.0</v>
      </c>
      <c r="E496" s="28" t="str">
        <f t="shared" si="1"/>
        <v>2026</v>
      </c>
      <c r="F496" s="28" t="str">
        <f t="shared" si="2"/>
        <v>02 Feb</v>
      </c>
      <c r="G496" s="50" t="s">
        <v>118</v>
      </c>
      <c r="H496" s="29" t="s">
        <v>23</v>
      </c>
      <c r="I496" s="29" t="s">
        <v>388</v>
      </c>
      <c r="J496" s="75" t="s">
        <v>25</v>
      </c>
      <c r="K496" s="76" t="s">
        <v>73</v>
      </c>
      <c r="L496" s="77" t="str">
        <f t="shared" si="3"/>
        <v>TA VISIT</v>
      </c>
      <c r="M496" s="78" t="s">
        <v>27</v>
      </c>
      <c r="N496" s="79">
        <v>350000.0</v>
      </c>
      <c r="O496" s="80">
        <v>0.0</v>
      </c>
      <c r="P496" s="32">
        <f t="array" ref="P496">IFNA(XLOOKUP(K496,'⚙️ Pengaturan'!$E$2:$E800,'⚙️ Pengaturan'!$F$2:$F800),"")</f>
        <v>350000</v>
      </c>
      <c r="Q496" s="81">
        <f t="shared" si="8"/>
        <v>0</v>
      </c>
      <c r="R496" s="26" t="s">
        <v>33</v>
      </c>
      <c r="S496" s="38" t="s">
        <v>34</v>
      </c>
      <c r="T496" s="35" t="b">
        <v>1</v>
      </c>
      <c r="U496" s="36"/>
    </row>
    <row r="497" ht="30.0" customHeight="1">
      <c r="A497" s="24"/>
      <c r="B497" s="25">
        <v>2602.0</v>
      </c>
      <c r="C497" s="26" t="s">
        <v>21</v>
      </c>
      <c r="D497" s="27">
        <v>46057.0</v>
      </c>
      <c r="E497" s="28" t="str">
        <f t="shared" si="1"/>
        <v>2026</v>
      </c>
      <c r="F497" s="28" t="str">
        <f t="shared" si="2"/>
        <v>02 Feb</v>
      </c>
      <c r="G497" s="50" t="s">
        <v>118</v>
      </c>
      <c r="H497" s="29" t="s">
        <v>42</v>
      </c>
      <c r="I497" s="29" t="s">
        <v>389</v>
      </c>
      <c r="J497" s="75" t="s">
        <v>25</v>
      </c>
      <c r="K497" s="76" t="s">
        <v>73</v>
      </c>
      <c r="L497" s="77" t="str">
        <f t="shared" si="3"/>
        <v>TA VISIT</v>
      </c>
      <c r="M497" s="82" t="s">
        <v>27</v>
      </c>
      <c r="N497" s="83">
        <v>350000.0</v>
      </c>
      <c r="O497" s="84">
        <v>0.0</v>
      </c>
      <c r="P497" s="85">
        <v>350000.0</v>
      </c>
      <c r="Q497" s="81">
        <f t="shared" si="8"/>
        <v>0</v>
      </c>
      <c r="R497" s="26" t="s">
        <v>33</v>
      </c>
      <c r="S497" s="38" t="s">
        <v>34</v>
      </c>
      <c r="T497" s="35" t="b">
        <v>1</v>
      </c>
      <c r="U497" s="36"/>
    </row>
    <row r="498" ht="30.0" customHeight="1">
      <c r="A498" s="24"/>
      <c r="B498" s="25">
        <v>2603.0</v>
      </c>
      <c r="C498" s="26" t="s">
        <v>21</v>
      </c>
      <c r="D498" s="27">
        <v>46057.0</v>
      </c>
      <c r="E498" s="28" t="str">
        <f t="shared" si="1"/>
        <v>2026</v>
      </c>
      <c r="F498" s="28" t="str">
        <f t="shared" si="2"/>
        <v>02 Feb</v>
      </c>
      <c r="G498" s="50" t="s">
        <v>82</v>
      </c>
      <c r="H498" s="29" t="s">
        <v>70</v>
      </c>
      <c r="I498" s="29" t="s">
        <v>390</v>
      </c>
      <c r="J498" s="75" t="s">
        <v>25</v>
      </c>
      <c r="K498" s="76" t="s">
        <v>26</v>
      </c>
      <c r="L498" s="77" t="str">
        <f t="shared" si="3"/>
        <v>TA KLINIK</v>
      </c>
      <c r="M498" s="78" t="s">
        <v>27</v>
      </c>
      <c r="N498" s="79">
        <v>250000.0</v>
      </c>
      <c r="O498" s="80">
        <v>0.0</v>
      </c>
      <c r="P498" s="32">
        <f t="array" ref="P498">IFNA(XLOOKUP(K498,'⚙️ Pengaturan'!$E$2:$E800,'⚙️ Pengaturan'!$F$2:$F800),"")</f>
        <v>250000</v>
      </c>
      <c r="Q498" s="81">
        <f t="shared" si="8"/>
        <v>0</v>
      </c>
      <c r="R498" s="26" t="s">
        <v>28</v>
      </c>
      <c r="S498" s="38" t="s">
        <v>391</v>
      </c>
      <c r="T498" s="35" t="b">
        <v>1</v>
      </c>
      <c r="U498" s="36"/>
    </row>
    <row r="499" ht="30.0" customHeight="1">
      <c r="A499" s="24"/>
      <c r="B499" s="25">
        <v>2604.0</v>
      </c>
      <c r="C499" s="26" t="s">
        <v>21</v>
      </c>
      <c r="D499" s="27">
        <v>46057.0</v>
      </c>
      <c r="E499" s="28" t="str">
        <f t="shared" si="1"/>
        <v>2026</v>
      </c>
      <c r="F499" s="28" t="str">
        <f t="shared" si="2"/>
        <v>02 Feb</v>
      </c>
      <c r="G499" s="50" t="s">
        <v>37</v>
      </c>
      <c r="H499" s="29" t="s">
        <v>68</v>
      </c>
      <c r="I499" s="29" t="s">
        <v>94</v>
      </c>
      <c r="J499" s="75" t="s">
        <v>76</v>
      </c>
      <c r="K499" s="76" t="s">
        <v>32</v>
      </c>
      <c r="L499" s="77" t="str">
        <f t="shared" si="3"/>
        <v>SESI KLINIK</v>
      </c>
      <c r="M499" s="78" t="s">
        <v>27</v>
      </c>
      <c r="N499" s="79">
        <v>150000.0</v>
      </c>
      <c r="O499" s="80">
        <v>0.0</v>
      </c>
      <c r="P499" s="32">
        <f t="array" ref="P499">IFNA(XLOOKUP(K499,'⚙️ Pengaturan'!$E$2:$E800,'⚙️ Pengaturan'!$F$2:$F800),"")</f>
        <v>150000</v>
      </c>
      <c r="Q499" s="81">
        <f t="shared" si="8"/>
        <v>0</v>
      </c>
      <c r="R499" s="26" t="s">
        <v>28</v>
      </c>
      <c r="S499" s="38" t="s">
        <v>94</v>
      </c>
      <c r="T499" s="35" t="b">
        <v>1</v>
      </c>
      <c r="U499" s="36"/>
    </row>
    <row r="500" ht="30.0" customHeight="1">
      <c r="A500" s="24"/>
      <c r="B500" s="25">
        <v>2605.0</v>
      </c>
      <c r="C500" s="26" t="s">
        <v>40</v>
      </c>
      <c r="D500" s="27">
        <v>46057.0</v>
      </c>
      <c r="E500" s="28" t="str">
        <f t="shared" si="1"/>
        <v>2026</v>
      </c>
      <c r="F500" s="28" t="str">
        <f t="shared" si="2"/>
        <v>02 Feb</v>
      </c>
      <c r="G500" s="50" t="s">
        <v>46</v>
      </c>
      <c r="H500" s="29" t="s">
        <v>42</v>
      </c>
      <c r="I500" s="29" t="s">
        <v>332</v>
      </c>
      <c r="J500" s="75" t="s">
        <v>76</v>
      </c>
      <c r="K500" s="76" t="s">
        <v>44</v>
      </c>
      <c r="L500" s="77" t="str">
        <f t="shared" si="3"/>
        <v>PAKET KLINIK</v>
      </c>
      <c r="M500" s="78" t="s">
        <v>132</v>
      </c>
      <c r="N500" s="79">
        <v>300000.0</v>
      </c>
      <c r="O500" s="80">
        <v>200000.0</v>
      </c>
      <c r="P500" s="32">
        <f t="array" ref="P500">IFNA(XLOOKUP(K500,'⚙️ Pengaturan'!$E$2:$E800,'⚙️ Pengaturan'!$F$2:$F800),"")</f>
        <v>1200000</v>
      </c>
      <c r="Q500" s="81">
        <f t="shared" si="8"/>
        <v>-700000</v>
      </c>
      <c r="R500" s="26" t="s">
        <v>28</v>
      </c>
      <c r="S500" s="38" t="s">
        <v>392</v>
      </c>
      <c r="T500" s="35" t="b">
        <v>1</v>
      </c>
      <c r="U500" s="36"/>
    </row>
    <row r="501" ht="30.0" customHeight="1">
      <c r="A501" s="24"/>
      <c r="B501" s="25">
        <v>2606.0</v>
      </c>
      <c r="C501" s="26" t="s">
        <v>40</v>
      </c>
      <c r="D501" s="27">
        <v>46057.0</v>
      </c>
      <c r="E501" s="28" t="str">
        <f t="shared" si="1"/>
        <v>2026</v>
      </c>
      <c r="F501" s="28" t="str">
        <f t="shared" si="2"/>
        <v>02 Feb</v>
      </c>
      <c r="G501" s="50" t="s">
        <v>46</v>
      </c>
      <c r="H501" s="29" t="s">
        <v>51</v>
      </c>
      <c r="I501" s="29" t="s">
        <v>269</v>
      </c>
      <c r="J501" s="75" t="s">
        <v>76</v>
      </c>
      <c r="K501" s="76" t="s">
        <v>32</v>
      </c>
      <c r="L501" s="77" t="str">
        <f t="shared" si="3"/>
        <v>SESI KLINIK</v>
      </c>
      <c r="M501" s="78" t="s">
        <v>27</v>
      </c>
      <c r="N501" s="79">
        <v>150000.0</v>
      </c>
      <c r="O501" s="80">
        <v>0.0</v>
      </c>
      <c r="P501" s="32">
        <f t="array" ref="P501">IFNA(XLOOKUP(K501,'⚙️ Pengaturan'!$E$2:$E800,'⚙️ Pengaturan'!$F$2:$F800),"")</f>
        <v>150000</v>
      </c>
      <c r="Q501" s="81">
        <f t="shared" si="8"/>
        <v>0</v>
      </c>
      <c r="R501" s="26" t="s">
        <v>33</v>
      </c>
      <c r="S501" s="38" t="s">
        <v>34</v>
      </c>
      <c r="T501" s="35" t="b">
        <v>1</v>
      </c>
      <c r="U501" s="36"/>
    </row>
    <row r="502" ht="30.0" customHeight="1">
      <c r="A502" s="24"/>
      <c r="B502" s="25">
        <v>2607.0</v>
      </c>
      <c r="C502" s="26" t="s">
        <v>40</v>
      </c>
      <c r="D502" s="27">
        <v>46057.0</v>
      </c>
      <c r="E502" s="28" t="str">
        <f t="shared" si="1"/>
        <v>2026</v>
      </c>
      <c r="F502" s="28" t="str">
        <f t="shared" si="2"/>
        <v>02 Feb</v>
      </c>
      <c r="G502" s="50" t="s">
        <v>46</v>
      </c>
      <c r="H502" s="29" t="s">
        <v>58</v>
      </c>
      <c r="I502" s="29" t="s">
        <v>310</v>
      </c>
      <c r="J502" s="75" t="s">
        <v>76</v>
      </c>
      <c r="K502" s="76" t="s">
        <v>32</v>
      </c>
      <c r="L502" s="77" t="str">
        <f t="shared" si="3"/>
        <v>SESI KLINIK</v>
      </c>
      <c r="M502" s="78" t="s">
        <v>27</v>
      </c>
      <c r="N502" s="79">
        <v>150000.0</v>
      </c>
      <c r="O502" s="80">
        <v>0.0</v>
      </c>
      <c r="P502" s="32">
        <f t="array" ref="P502">IFNA(XLOOKUP(K502,'⚙️ Pengaturan'!$E$2:$E800,'⚙️ Pengaturan'!$F$2:$F800),"")</f>
        <v>150000</v>
      </c>
      <c r="Q502" s="81">
        <f t="shared" si="8"/>
        <v>0</v>
      </c>
      <c r="R502" s="26" t="s">
        <v>33</v>
      </c>
      <c r="S502" s="38" t="s">
        <v>34</v>
      </c>
      <c r="T502" s="35" t="b">
        <v>1</v>
      </c>
      <c r="U502" s="36"/>
    </row>
    <row r="503" ht="30.0" customHeight="1">
      <c r="A503" s="24"/>
      <c r="B503" s="25">
        <v>2608.0</v>
      </c>
      <c r="C503" s="26" t="s">
        <v>40</v>
      </c>
      <c r="D503" s="27">
        <v>46057.0</v>
      </c>
      <c r="E503" s="28" t="str">
        <f t="shared" si="1"/>
        <v>2026</v>
      </c>
      <c r="F503" s="28" t="str">
        <f t="shared" si="2"/>
        <v>02 Feb</v>
      </c>
      <c r="G503" s="50" t="s">
        <v>41</v>
      </c>
      <c r="H503" s="29" t="s">
        <v>51</v>
      </c>
      <c r="I503" s="29" t="s">
        <v>393</v>
      </c>
      <c r="J503" s="75" t="s">
        <v>25</v>
      </c>
      <c r="K503" s="76" t="s">
        <v>26</v>
      </c>
      <c r="L503" s="77" t="str">
        <f t="shared" si="3"/>
        <v>TA KLINIK</v>
      </c>
      <c r="M503" s="78" t="s">
        <v>27</v>
      </c>
      <c r="N503" s="79">
        <v>250000.0</v>
      </c>
      <c r="O503" s="80">
        <v>0.0</v>
      </c>
      <c r="P503" s="32">
        <f t="array" ref="P503">IFNA(XLOOKUP(K503,'⚙️ Pengaturan'!$E$2:$E800,'⚙️ Pengaturan'!$F$2:$F800),"")</f>
        <v>250000</v>
      </c>
      <c r="Q503" s="81">
        <f t="shared" si="8"/>
        <v>0</v>
      </c>
      <c r="R503" s="26" t="s">
        <v>33</v>
      </c>
      <c r="S503" s="38" t="s">
        <v>34</v>
      </c>
      <c r="T503" s="35" t="b">
        <v>1</v>
      </c>
      <c r="U503" s="36"/>
    </row>
    <row r="504" ht="30.0" customHeight="1">
      <c r="A504" s="24"/>
      <c r="B504" s="25">
        <v>2609.0</v>
      </c>
      <c r="C504" s="26" t="s">
        <v>40</v>
      </c>
      <c r="D504" s="27">
        <v>46057.0</v>
      </c>
      <c r="E504" s="28" t="str">
        <f t="shared" si="1"/>
        <v>2026</v>
      </c>
      <c r="F504" s="28" t="str">
        <f t="shared" si="2"/>
        <v>02 Feb</v>
      </c>
      <c r="G504" s="50" t="s">
        <v>53</v>
      </c>
      <c r="H504" s="29" t="s">
        <v>48</v>
      </c>
      <c r="I504" s="29" t="s">
        <v>190</v>
      </c>
      <c r="J504" s="75" t="s">
        <v>76</v>
      </c>
      <c r="K504" s="76" t="s">
        <v>39</v>
      </c>
      <c r="L504" s="77" t="str">
        <f t="shared" si="3"/>
        <v>PAKET KLINIK</v>
      </c>
      <c r="M504" s="78" t="s">
        <v>27</v>
      </c>
      <c r="N504" s="79">
        <v>650000.0</v>
      </c>
      <c r="O504" s="80">
        <v>0.0</v>
      </c>
      <c r="P504" s="32">
        <f t="array" ref="P504">IFNA(XLOOKUP(K504,'⚙️ Pengaturan'!$E$2:$E800,'⚙️ Pengaturan'!$F$2:$F800),"")</f>
        <v>650000</v>
      </c>
      <c r="Q504" s="81">
        <f t="shared" si="8"/>
        <v>0</v>
      </c>
      <c r="R504" s="26" t="s">
        <v>28</v>
      </c>
      <c r="S504" s="38" t="s">
        <v>190</v>
      </c>
      <c r="T504" s="35" t="b">
        <v>1</v>
      </c>
      <c r="U504" s="36"/>
    </row>
    <row r="505" ht="30.0" customHeight="1">
      <c r="A505" s="24"/>
      <c r="B505" s="25">
        <v>2610.0</v>
      </c>
      <c r="C505" s="26" t="s">
        <v>40</v>
      </c>
      <c r="D505" s="27">
        <v>46057.0</v>
      </c>
      <c r="E505" s="28" t="str">
        <f t="shared" si="1"/>
        <v>2026</v>
      </c>
      <c r="F505" s="28" t="str">
        <f t="shared" si="2"/>
        <v>02 Feb</v>
      </c>
      <c r="G505" s="50" t="s">
        <v>56</v>
      </c>
      <c r="H505" s="29" t="s">
        <v>48</v>
      </c>
      <c r="I505" s="29" t="s">
        <v>394</v>
      </c>
      <c r="J505" s="75" t="s">
        <v>25</v>
      </c>
      <c r="K505" s="76" t="s">
        <v>26</v>
      </c>
      <c r="L505" s="77" t="str">
        <f t="shared" si="3"/>
        <v>TA KLINIK</v>
      </c>
      <c r="M505" s="78" t="s">
        <v>27</v>
      </c>
      <c r="N505" s="79">
        <v>250000.0</v>
      </c>
      <c r="O505" s="80">
        <v>0.0</v>
      </c>
      <c r="P505" s="32">
        <f t="array" ref="P505">IFNA(XLOOKUP(K505,'⚙️ Pengaturan'!$E$2:$E800,'⚙️ Pengaturan'!$F$2:$F800),"")</f>
        <v>250000</v>
      </c>
      <c r="Q505" s="81">
        <f t="shared" si="8"/>
        <v>0</v>
      </c>
      <c r="R505" s="26" t="s">
        <v>33</v>
      </c>
      <c r="S505" s="38" t="s">
        <v>34</v>
      </c>
      <c r="T505" s="35" t="b">
        <v>1</v>
      </c>
      <c r="U505" s="36"/>
    </row>
    <row r="506" ht="30.0" customHeight="1">
      <c r="A506" s="24"/>
      <c r="B506" s="25">
        <v>2611.0</v>
      </c>
      <c r="C506" s="26" t="s">
        <v>40</v>
      </c>
      <c r="D506" s="27">
        <v>46057.0</v>
      </c>
      <c r="E506" s="28" t="str">
        <f t="shared" si="1"/>
        <v>2026</v>
      </c>
      <c r="F506" s="28" t="str">
        <f t="shared" si="2"/>
        <v>02 Feb</v>
      </c>
      <c r="G506" s="50" t="s">
        <v>61</v>
      </c>
      <c r="H506" s="29" t="s">
        <v>58</v>
      </c>
      <c r="I506" s="29" t="s">
        <v>370</v>
      </c>
      <c r="J506" s="75" t="s">
        <v>25</v>
      </c>
      <c r="K506" s="76" t="s">
        <v>395</v>
      </c>
      <c r="L506" s="77" t="str">
        <f t="shared" si="3"/>
        <v>PAKET KLINIK</v>
      </c>
      <c r="M506" s="78" t="s">
        <v>86</v>
      </c>
      <c r="N506" s="79">
        <v>250000.0</v>
      </c>
      <c r="O506" s="80">
        <v>0.0</v>
      </c>
      <c r="P506" s="32">
        <f t="array" ref="P506">IFNA(XLOOKUP(K506,'⚙️ Pengaturan'!$E$2:$E800,'⚙️ Pengaturan'!$F$2:$F800),"")</f>
        <v>750000</v>
      </c>
      <c r="Q506" s="81">
        <f t="shared" si="8"/>
        <v>-500000</v>
      </c>
      <c r="R506" s="26" t="s">
        <v>33</v>
      </c>
      <c r="S506" s="38" t="s">
        <v>34</v>
      </c>
      <c r="T506" s="35" t="b">
        <v>1</v>
      </c>
      <c r="U506" s="36"/>
    </row>
    <row r="507" ht="30.0" customHeight="1">
      <c r="A507" s="24"/>
      <c r="B507" s="25">
        <v>2612.0</v>
      </c>
      <c r="C507" s="26" t="s">
        <v>40</v>
      </c>
      <c r="D507" s="27">
        <v>46057.0</v>
      </c>
      <c r="E507" s="28" t="str">
        <f t="shared" si="1"/>
        <v>2026</v>
      </c>
      <c r="F507" s="28" t="str">
        <f t="shared" si="2"/>
        <v>02 Feb</v>
      </c>
      <c r="G507" s="50" t="s">
        <v>118</v>
      </c>
      <c r="H507" s="29" t="s">
        <v>23</v>
      </c>
      <c r="I507" s="29" t="s">
        <v>104</v>
      </c>
      <c r="J507" s="75" t="s">
        <v>76</v>
      </c>
      <c r="K507" s="76" t="s">
        <v>197</v>
      </c>
      <c r="L507" s="77" t="str">
        <f t="shared" si="3"/>
        <v>PAKET VISIT</v>
      </c>
      <c r="M507" s="78" t="s">
        <v>27</v>
      </c>
      <c r="N507" s="79">
        <v>1800000.0</v>
      </c>
      <c r="O507" s="80">
        <v>0.0</v>
      </c>
      <c r="P507" s="32">
        <f t="array" ref="P507">IFNA(XLOOKUP(K507,'⚙️ Pengaturan'!$E$2:$E800,'⚙️ Pengaturan'!$F$2:$F800),"")</f>
        <v>1800000</v>
      </c>
      <c r="Q507" s="81">
        <f t="shared" si="8"/>
        <v>0</v>
      </c>
      <c r="R507" s="26" t="s">
        <v>28</v>
      </c>
      <c r="S507" s="38" t="s">
        <v>186</v>
      </c>
      <c r="T507" s="35" t="b">
        <v>1</v>
      </c>
      <c r="U507" s="36"/>
    </row>
    <row r="508" ht="30.0" customHeight="1">
      <c r="A508" s="24"/>
      <c r="B508" s="25">
        <v>2613.0</v>
      </c>
      <c r="C508" s="26" t="s">
        <v>21</v>
      </c>
      <c r="D508" s="27">
        <v>46058.0</v>
      </c>
      <c r="E508" s="28" t="str">
        <f t="shared" si="1"/>
        <v>2026</v>
      </c>
      <c r="F508" s="28" t="str">
        <f t="shared" si="2"/>
        <v>02 Feb</v>
      </c>
      <c r="G508" s="50" t="s">
        <v>37</v>
      </c>
      <c r="H508" s="29" t="s">
        <v>48</v>
      </c>
      <c r="I508" s="29" t="s">
        <v>347</v>
      </c>
      <c r="J508" s="75" t="s">
        <v>76</v>
      </c>
      <c r="K508" s="76" t="s">
        <v>39</v>
      </c>
      <c r="L508" s="77" t="str">
        <f t="shared" si="3"/>
        <v>PAKET KLINIK</v>
      </c>
      <c r="M508" s="78" t="s">
        <v>86</v>
      </c>
      <c r="N508" s="79">
        <v>350000.0</v>
      </c>
      <c r="O508" s="80">
        <v>0.0</v>
      </c>
      <c r="P508" s="32">
        <f t="array" ref="P508">IFNA(XLOOKUP(K508,'⚙️ Pengaturan'!$E$2:$E800,'⚙️ Pengaturan'!$F$2:$F800),"")</f>
        <v>650000</v>
      </c>
      <c r="Q508" s="81">
        <f t="shared" si="8"/>
        <v>-300000</v>
      </c>
      <c r="R508" s="26" t="s">
        <v>33</v>
      </c>
      <c r="S508" s="38" t="s">
        <v>34</v>
      </c>
      <c r="T508" s="35" t="b">
        <v>1</v>
      </c>
      <c r="U508" s="36"/>
    </row>
    <row r="509" ht="30.0" customHeight="1">
      <c r="A509" s="24"/>
      <c r="B509" s="25">
        <v>2614.0</v>
      </c>
      <c r="C509" s="26" t="s">
        <v>40</v>
      </c>
      <c r="D509" s="27">
        <v>46058.0</v>
      </c>
      <c r="E509" s="28" t="str">
        <f t="shared" si="1"/>
        <v>2026</v>
      </c>
      <c r="F509" s="28" t="str">
        <f t="shared" si="2"/>
        <v>02 Feb</v>
      </c>
      <c r="G509" s="50" t="s">
        <v>46</v>
      </c>
      <c r="H509" s="29" t="s">
        <v>345</v>
      </c>
      <c r="I509" s="29" t="s">
        <v>376</v>
      </c>
      <c r="J509" s="75" t="s">
        <v>25</v>
      </c>
      <c r="K509" s="76" t="s">
        <v>369</v>
      </c>
      <c r="L509" s="77" t="str">
        <f t="shared" si="3"/>
        <v>SESI KLINIK</v>
      </c>
      <c r="M509" s="78" t="s">
        <v>27</v>
      </c>
      <c r="N509" s="79">
        <v>180000.0</v>
      </c>
      <c r="O509" s="80">
        <v>0.0</v>
      </c>
      <c r="P509" s="32">
        <f t="array" ref="P509">IFNA(XLOOKUP(K509,'⚙️ Pengaturan'!$E$2:$E800,'⚙️ Pengaturan'!$F$2:$F800),"")</f>
        <v>180000</v>
      </c>
      <c r="Q509" s="81">
        <f t="shared" si="8"/>
        <v>0</v>
      </c>
      <c r="R509" s="26" t="s">
        <v>28</v>
      </c>
      <c r="S509" s="38" t="s">
        <v>376</v>
      </c>
      <c r="T509" s="35" t="b">
        <v>1</v>
      </c>
      <c r="U509" s="36"/>
    </row>
    <row r="510" ht="30.0" customHeight="1">
      <c r="A510" s="24"/>
      <c r="B510" s="25">
        <v>2615.0</v>
      </c>
      <c r="C510" s="26" t="s">
        <v>40</v>
      </c>
      <c r="D510" s="27">
        <v>46058.0</v>
      </c>
      <c r="E510" s="28" t="str">
        <f t="shared" si="1"/>
        <v>2026</v>
      </c>
      <c r="F510" s="28" t="str">
        <f t="shared" si="2"/>
        <v>02 Feb</v>
      </c>
      <c r="G510" s="50" t="s">
        <v>118</v>
      </c>
      <c r="H510" s="29" t="s">
        <v>70</v>
      </c>
      <c r="I510" s="29" t="s">
        <v>396</v>
      </c>
      <c r="J510" s="75" t="s">
        <v>25</v>
      </c>
      <c r="K510" s="76" t="s">
        <v>128</v>
      </c>
      <c r="L510" s="77" t="str">
        <f t="shared" si="3"/>
        <v>TA VISIT</v>
      </c>
      <c r="M510" s="78" t="s">
        <v>27</v>
      </c>
      <c r="N510" s="79">
        <v>300000.0</v>
      </c>
      <c r="O510" s="80">
        <v>0.0</v>
      </c>
      <c r="P510" s="32">
        <f t="array" ref="P510">IFNA(XLOOKUP(K510,'⚙️ Pengaturan'!$E$2:$E800,'⚙️ Pengaturan'!$F$2:$F800),"")</f>
        <v>300000</v>
      </c>
      <c r="Q510" s="81">
        <f t="shared" si="8"/>
        <v>0</v>
      </c>
      <c r="R510" s="26" t="s">
        <v>33</v>
      </c>
      <c r="S510" s="38" t="s">
        <v>34</v>
      </c>
      <c r="T510" s="35" t="b">
        <v>1</v>
      </c>
      <c r="U510" s="36"/>
    </row>
    <row r="511" ht="30.0" customHeight="1">
      <c r="A511" s="24"/>
      <c r="B511" s="25">
        <v>2616.0</v>
      </c>
      <c r="C511" s="26" t="s">
        <v>40</v>
      </c>
      <c r="D511" s="27">
        <v>46058.0</v>
      </c>
      <c r="E511" s="28" t="str">
        <f t="shared" si="1"/>
        <v>2026</v>
      </c>
      <c r="F511" s="28" t="str">
        <f t="shared" si="2"/>
        <v>02 Feb</v>
      </c>
      <c r="G511" s="50" t="s">
        <v>53</v>
      </c>
      <c r="H511" s="29" t="s">
        <v>68</v>
      </c>
      <c r="I511" s="29" t="s">
        <v>366</v>
      </c>
      <c r="J511" s="75" t="s">
        <v>25</v>
      </c>
      <c r="K511" s="76" t="s">
        <v>397</v>
      </c>
      <c r="L511" s="77" t="str">
        <f t="shared" si="3"/>
        <v>PAKET KLINIK</v>
      </c>
      <c r="M511" s="78" t="s">
        <v>86</v>
      </c>
      <c r="N511" s="79">
        <v>750000.0</v>
      </c>
      <c r="O511" s="80">
        <v>0.0</v>
      </c>
      <c r="P511" s="32">
        <f t="array" ref="P511">IFNA(XLOOKUP(K511,'⚙️ Pengaturan'!$E$2:$E800,'⚙️ Pengaturan'!$F$2:$F800),"")</f>
        <v>1300000</v>
      </c>
      <c r="Q511" s="81">
        <f t="shared" si="8"/>
        <v>-550000</v>
      </c>
      <c r="R511" s="26" t="s">
        <v>28</v>
      </c>
      <c r="S511" s="38" t="s">
        <v>366</v>
      </c>
      <c r="T511" s="35" t="b">
        <v>1</v>
      </c>
      <c r="U511" s="36"/>
    </row>
    <row r="512" ht="30.0" customHeight="1">
      <c r="A512" s="24"/>
      <c r="B512" s="25">
        <v>2617.0</v>
      </c>
      <c r="C512" s="26" t="s">
        <v>40</v>
      </c>
      <c r="D512" s="27">
        <v>46058.0</v>
      </c>
      <c r="E512" s="28" t="str">
        <f t="shared" si="1"/>
        <v>2026</v>
      </c>
      <c r="F512" s="28" t="str">
        <f t="shared" si="2"/>
        <v>02 Feb</v>
      </c>
      <c r="G512" s="50" t="s">
        <v>53</v>
      </c>
      <c r="H512" s="29" t="s">
        <v>30</v>
      </c>
      <c r="I512" s="29" t="s">
        <v>398</v>
      </c>
      <c r="J512" s="75" t="s">
        <v>25</v>
      </c>
      <c r="K512" s="76" t="s">
        <v>26</v>
      </c>
      <c r="L512" s="77" t="str">
        <f t="shared" si="3"/>
        <v>TA KLINIK</v>
      </c>
      <c r="M512" s="78" t="s">
        <v>27</v>
      </c>
      <c r="N512" s="79">
        <v>250000.0</v>
      </c>
      <c r="O512" s="80">
        <v>0.0</v>
      </c>
      <c r="P512" s="32">
        <f t="array" ref="P512">IFNA(XLOOKUP(K512,'⚙️ Pengaturan'!$E$2:$E800,'⚙️ Pengaturan'!$F$2:$F800),"")</f>
        <v>250000</v>
      </c>
      <c r="Q512" s="81">
        <f t="shared" si="8"/>
        <v>0</v>
      </c>
      <c r="R512" s="26" t="s">
        <v>28</v>
      </c>
      <c r="S512" s="38" t="s">
        <v>366</v>
      </c>
      <c r="T512" s="35" t="b">
        <v>1</v>
      </c>
      <c r="U512" s="36"/>
    </row>
    <row r="513" ht="30.0" customHeight="1">
      <c r="A513" s="24"/>
      <c r="B513" s="25">
        <v>2618.0</v>
      </c>
      <c r="C513" s="26" t="s">
        <v>40</v>
      </c>
      <c r="D513" s="27">
        <v>46058.0</v>
      </c>
      <c r="E513" s="28" t="str">
        <f t="shared" si="1"/>
        <v>2026</v>
      </c>
      <c r="F513" s="28" t="str">
        <f t="shared" si="2"/>
        <v>02 Feb</v>
      </c>
      <c r="G513" s="50" t="s">
        <v>56</v>
      </c>
      <c r="H513" s="29" t="s">
        <v>30</v>
      </c>
      <c r="I513" s="29" t="s">
        <v>399</v>
      </c>
      <c r="J513" s="75" t="s">
        <v>76</v>
      </c>
      <c r="K513" s="76" t="s">
        <v>44</v>
      </c>
      <c r="L513" s="77" t="str">
        <f t="shared" si="3"/>
        <v>PAKET KLINIK</v>
      </c>
      <c r="M513" s="78" t="s">
        <v>63</v>
      </c>
      <c r="N513" s="79">
        <v>700000.0</v>
      </c>
      <c r="O513" s="80">
        <v>500000.0</v>
      </c>
      <c r="P513" s="32">
        <f t="array" ref="P513">IFNA(XLOOKUP(K513,'⚙️ Pengaturan'!$E$2:$E800,'⚙️ Pengaturan'!$F$2:$F800),"")</f>
        <v>1200000</v>
      </c>
      <c r="Q513" s="81">
        <f t="shared" si="8"/>
        <v>0</v>
      </c>
      <c r="R513" s="26" t="s">
        <v>28</v>
      </c>
      <c r="S513" s="38" t="s">
        <v>400</v>
      </c>
      <c r="T513" s="35" t="b">
        <v>1</v>
      </c>
      <c r="U513" s="36"/>
    </row>
    <row r="514" ht="30.0" customHeight="1">
      <c r="A514" s="24"/>
      <c r="B514" s="25">
        <v>2619.0</v>
      </c>
      <c r="C514" s="26" t="s">
        <v>40</v>
      </c>
      <c r="D514" s="27">
        <v>46058.0</v>
      </c>
      <c r="E514" s="28" t="str">
        <f t="shared" si="1"/>
        <v>2026</v>
      </c>
      <c r="F514" s="28" t="str">
        <f t="shared" si="2"/>
        <v>02 Feb</v>
      </c>
      <c r="G514" s="50" t="s">
        <v>118</v>
      </c>
      <c r="H514" s="29" t="s">
        <v>48</v>
      </c>
      <c r="I514" s="29" t="s">
        <v>380</v>
      </c>
      <c r="J514" s="75" t="s">
        <v>25</v>
      </c>
      <c r="K514" s="76" t="s">
        <v>178</v>
      </c>
      <c r="L514" s="77" t="str">
        <f t="shared" si="3"/>
        <v>PAKET VISIT</v>
      </c>
      <c r="M514" s="78" t="s">
        <v>27</v>
      </c>
      <c r="N514" s="79">
        <v>2300000.0</v>
      </c>
      <c r="O514" s="80">
        <v>0.0</v>
      </c>
      <c r="P514" s="32">
        <f t="array" ref="P514">IFNA(XLOOKUP(K514,'⚙️ Pengaturan'!$E$2:$E800,'⚙️ Pengaturan'!$F$2:$F800),"")</f>
        <v>2300000</v>
      </c>
      <c r="Q514" s="81">
        <f t="shared" si="8"/>
        <v>0</v>
      </c>
      <c r="R514" s="26" t="s">
        <v>28</v>
      </c>
      <c r="S514" s="38" t="s">
        <v>380</v>
      </c>
      <c r="T514" s="35" t="b">
        <v>1</v>
      </c>
      <c r="U514" s="36"/>
    </row>
    <row r="515" ht="30.0" customHeight="1">
      <c r="A515" s="24"/>
      <c r="B515" s="25">
        <v>2620.0</v>
      </c>
      <c r="C515" s="26" t="s">
        <v>21</v>
      </c>
      <c r="D515" s="27">
        <v>46059.0</v>
      </c>
      <c r="E515" s="28" t="str">
        <f t="shared" si="1"/>
        <v>2026</v>
      </c>
      <c r="F515" s="28" t="str">
        <f t="shared" si="2"/>
        <v>02 Feb</v>
      </c>
      <c r="G515" s="50" t="s">
        <v>67</v>
      </c>
      <c r="H515" s="29" t="s">
        <v>23</v>
      </c>
      <c r="I515" s="29" t="s">
        <v>401</v>
      </c>
      <c r="J515" s="75" t="s">
        <v>25</v>
      </c>
      <c r="K515" s="76" t="s">
        <v>26</v>
      </c>
      <c r="L515" s="77" t="str">
        <f t="shared" si="3"/>
        <v>TA KLINIK</v>
      </c>
      <c r="M515" s="78" t="s">
        <v>27</v>
      </c>
      <c r="N515" s="79">
        <v>250000.0</v>
      </c>
      <c r="O515" s="80">
        <v>0.0</v>
      </c>
      <c r="P515" s="32">
        <f t="array" ref="P515">IFNA(XLOOKUP(K515,'⚙️ Pengaturan'!$E$2:$E800,'⚙️ Pengaturan'!$F$2:$F800),"")</f>
        <v>250000</v>
      </c>
      <c r="Q515" s="81">
        <f t="shared" si="8"/>
        <v>0</v>
      </c>
      <c r="R515" s="26" t="s">
        <v>28</v>
      </c>
      <c r="S515" s="38" t="s">
        <v>401</v>
      </c>
      <c r="T515" s="35" t="b">
        <v>1</v>
      </c>
      <c r="U515" s="36"/>
    </row>
    <row r="516" ht="30.0" customHeight="1">
      <c r="A516" s="24"/>
      <c r="B516" s="25">
        <v>2621.0</v>
      </c>
      <c r="C516" s="26" t="s">
        <v>21</v>
      </c>
      <c r="D516" s="27">
        <v>46059.0</v>
      </c>
      <c r="E516" s="28" t="str">
        <f t="shared" si="1"/>
        <v>2026</v>
      </c>
      <c r="F516" s="28" t="str">
        <f t="shared" si="2"/>
        <v>02 Feb</v>
      </c>
      <c r="G516" s="50" t="s">
        <v>118</v>
      </c>
      <c r="H516" s="29" t="s">
        <v>345</v>
      </c>
      <c r="I516" s="29" t="s">
        <v>390</v>
      </c>
      <c r="J516" s="75" t="s">
        <v>25</v>
      </c>
      <c r="K516" s="76" t="s">
        <v>32</v>
      </c>
      <c r="L516" s="77" t="str">
        <f t="shared" si="3"/>
        <v>SESI KLINIK</v>
      </c>
      <c r="M516" s="78" t="s">
        <v>27</v>
      </c>
      <c r="N516" s="79">
        <v>150000.0</v>
      </c>
      <c r="O516" s="80">
        <v>0.0</v>
      </c>
      <c r="P516" s="32">
        <f t="array" ref="P516">IFNA(XLOOKUP(K516,'⚙️ Pengaturan'!$E$2:$E800,'⚙️ Pengaturan'!$F$2:$F800),"")</f>
        <v>150000</v>
      </c>
      <c r="Q516" s="81">
        <f t="shared" si="8"/>
        <v>0</v>
      </c>
      <c r="R516" s="26" t="s">
        <v>33</v>
      </c>
      <c r="S516" s="38" t="s">
        <v>34</v>
      </c>
      <c r="T516" s="35" t="b">
        <v>1</v>
      </c>
      <c r="U516" s="36"/>
    </row>
    <row r="517" ht="30.0" customHeight="1">
      <c r="A517" s="24"/>
      <c r="B517" s="25">
        <v>2622.0</v>
      </c>
      <c r="C517" s="26" t="s">
        <v>21</v>
      </c>
      <c r="D517" s="27">
        <v>46059.0</v>
      </c>
      <c r="E517" s="28" t="str">
        <f t="shared" si="1"/>
        <v>2026</v>
      </c>
      <c r="F517" s="28" t="str">
        <f t="shared" si="2"/>
        <v>02 Feb</v>
      </c>
      <c r="G517" s="50" t="s">
        <v>118</v>
      </c>
      <c r="H517" s="29" t="s">
        <v>51</v>
      </c>
      <c r="I517" s="29" t="s">
        <v>401</v>
      </c>
      <c r="J517" s="75" t="s">
        <v>25</v>
      </c>
      <c r="K517" s="76" t="s">
        <v>26</v>
      </c>
      <c r="L517" s="77" t="str">
        <f t="shared" si="3"/>
        <v>TA KLINIK</v>
      </c>
      <c r="M517" s="78" t="s">
        <v>27</v>
      </c>
      <c r="N517" s="79">
        <v>250000.0</v>
      </c>
      <c r="O517" s="80">
        <v>0.0</v>
      </c>
      <c r="P517" s="32">
        <f t="array" ref="P517">IFNA(XLOOKUP(K517,'⚙️ Pengaturan'!$E$2:$E800,'⚙️ Pengaturan'!$F$2:$F800),"")</f>
        <v>250000</v>
      </c>
      <c r="Q517" s="81">
        <f t="shared" si="8"/>
        <v>0</v>
      </c>
      <c r="R517" s="26" t="s">
        <v>33</v>
      </c>
      <c r="S517" s="38" t="s">
        <v>34</v>
      </c>
      <c r="T517" s="35" t="b">
        <v>1</v>
      </c>
      <c r="U517" s="36"/>
    </row>
    <row r="518" ht="30.0" customHeight="1">
      <c r="A518" s="24"/>
      <c r="B518" s="25">
        <v>2623.0</v>
      </c>
      <c r="C518" s="26" t="s">
        <v>21</v>
      </c>
      <c r="D518" s="27">
        <v>46059.0</v>
      </c>
      <c r="E518" s="28" t="str">
        <f t="shared" si="1"/>
        <v>2026</v>
      </c>
      <c r="F518" s="28" t="str">
        <f t="shared" si="2"/>
        <v>02 Feb</v>
      </c>
      <c r="G518" s="50" t="s">
        <v>118</v>
      </c>
      <c r="H518" s="29" t="s">
        <v>51</v>
      </c>
      <c r="I518" s="29" t="s">
        <v>402</v>
      </c>
      <c r="J518" s="75" t="s">
        <v>25</v>
      </c>
      <c r="K518" s="76" t="s">
        <v>26</v>
      </c>
      <c r="L518" s="77" t="str">
        <f t="shared" si="3"/>
        <v>TA KLINIK</v>
      </c>
      <c r="M518" s="78" t="s">
        <v>27</v>
      </c>
      <c r="N518" s="79">
        <v>250000.0</v>
      </c>
      <c r="O518" s="80">
        <v>0.0</v>
      </c>
      <c r="P518" s="32">
        <f t="array" ref="P518">IFNA(XLOOKUP(K518,'⚙️ Pengaturan'!$E$2:$E800,'⚙️ Pengaturan'!$F$2:$F800),"")</f>
        <v>250000</v>
      </c>
      <c r="Q518" s="81">
        <f t="shared" si="8"/>
        <v>0</v>
      </c>
      <c r="R518" s="26" t="s">
        <v>33</v>
      </c>
      <c r="S518" s="38" t="s">
        <v>34</v>
      </c>
      <c r="T518" s="35" t="b">
        <v>1</v>
      </c>
      <c r="U518" s="36"/>
    </row>
    <row r="519" ht="30.0" customHeight="1">
      <c r="A519" s="24"/>
      <c r="B519" s="25">
        <v>2624.0</v>
      </c>
      <c r="C519" s="26" t="s">
        <v>21</v>
      </c>
      <c r="D519" s="27">
        <v>46060.0</v>
      </c>
      <c r="E519" s="28" t="str">
        <f t="shared" si="1"/>
        <v>2026</v>
      </c>
      <c r="F519" s="28" t="str">
        <f t="shared" si="2"/>
        <v>02 Feb</v>
      </c>
      <c r="G519" s="50" t="s">
        <v>67</v>
      </c>
      <c r="H519" s="29" t="s">
        <v>68</v>
      </c>
      <c r="I519" s="29" t="s">
        <v>279</v>
      </c>
      <c r="J519" s="75" t="s">
        <v>76</v>
      </c>
      <c r="K519" s="76" t="s">
        <v>32</v>
      </c>
      <c r="L519" s="77" t="str">
        <f t="shared" si="3"/>
        <v>SESI KLINIK</v>
      </c>
      <c r="M519" s="78" t="s">
        <v>27</v>
      </c>
      <c r="N519" s="79">
        <v>150000.0</v>
      </c>
      <c r="O519" s="80">
        <v>0.0</v>
      </c>
      <c r="P519" s="32">
        <f t="array" ref="P519">IFNA(XLOOKUP(K519,'⚙️ Pengaturan'!$E$2:$E800,'⚙️ Pengaturan'!$F$2:$F800),"")</f>
        <v>150000</v>
      </c>
      <c r="Q519" s="81">
        <f t="shared" si="8"/>
        <v>0</v>
      </c>
      <c r="R519" s="26" t="s">
        <v>33</v>
      </c>
      <c r="S519" s="86" t="s">
        <v>34</v>
      </c>
      <c r="T519" s="35" t="b">
        <v>1</v>
      </c>
      <c r="U519" s="36"/>
    </row>
    <row r="520" ht="30.0" customHeight="1">
      <c r="A520" s="24"/>
      <c r="B520" s="25">
        <v>2625.0</v>
      </c>
      <c r="C520" s="26" t="s">
        <v>21</v>
      </c>
      <c r="D520" s="27">
        <v>46060.0</v>
      </c>
      <c r="E520" s="28" t="str">
        <f t="shared" si="1"/>
        <v>2026</v>
      </c>
      <c r="F520" s="28" t="str">
        <f t="shared" si="2"/>
        <v>02 Feb</v>
      </c>
      <c r="G520" s="50" t="s">
        <v>67</v>
      </c>
      <c r="H520" s="29" t="s">
        <v>23</v>
      </c>
      <c r="I520" s="29" t="s">
        <v>248</v>
      </c>
      <c r="J520" s="75" t="s">
        <v>76</v>
      </c>
      <c r="K520" s="76" t="s">
        <v>39</v>
      </c>
      <c r="L520" s="77" t="str">
        <f t="shared" si="3"/>
        <v>PAKET KLINIK</v>
      </c>
      <c r="M520" s="78" t="s">
        <v>86</v>
      </c>
      <c r="N520" s="79">
        <v>200000.0</v>
      </c>
      <c r="O520" s="80">
        <v>0.0</v>
      </c>
      <c r="P520" s="32">
        <v>650000.0</v>
      </c>
      <c r="Q520" s="81">
        <v>-630000.0</v>
      </c>
      <c r="R520" s="26" t="s">
        <v>113</v>
      </c>
      <c r="S520" s="38" t="s">
        <v>248</v>
      </c>
      <c r="T520" s="35" t="b">
        <v>1</v>
      </c>
      <c r="U520" s="36"/>
    </row>
    <row r="521" ht="30.0" customHeight="1">
      <c r="A521" s="24"/>
      <c r="B521" s="25">
        <v>2626.0</v>
      </c>
      <c r="C521" s="26" t="s">
        <v>21</v>
      </c>
      <c r="D521" s="27">
        <v>46060.0</v>
      </c>
      <c r="E521" s="28" t="str">
        <f t="shared" si="1"/>
        <v>2026</v>
      </c>
      <c r="F521" s="28" t="str">
        <f t="shared" si="2"/>
        <v>02 Feb</v>
      </c>
      <c r="G521" s="50" t="s">
        <v>29</v>
      </c>
      <c r="H521" s="29" t="s">
        <v>70</v>
      </c>
      <c r="I521" s="29" t="s">
        <v>349</v>
      </c>
      <c r="J521" s="75" t="s">
        <v>76</v>
      </c>
      <c r="K521" s="76" t="s">
        <v>39</v>
      </c>
      <c r="L521" s="77" t="str">
        <f t="shared" si="3"/>
        <v>PAKET KLINIK</v>
      </c>
      <c r="M521" s="78" t="s">
        <v>27</v>
      </c>
      <c r="N521" s="79">
        <v>650000.0</v>
      </c>
      <c r="O521" s="80">
        <v>0.0</v>
      </c>
      <c r="P521" s="32">
        <f t="array" ref="P521">IFNA(XLOOKUP(K521,'⚙️ Pengaturan'!$E$2:$E800,'⚙️ Pengaturan'!$F$2:$F800),"")</f>
        <v>650000</v>
      </c>
      <c r="Q521" s="81">
        <f t="shared" ref="Q521:Q677" si="9">IF(I521="","",(N521+O521)-P521)</f>
        <v>0</v>
      </c>
      <c r="R521" s="26" t="s">
        <v>28</v>
      </c>
      <c r="S521" s="38" t="s">
        <v>349</v>
      </c>
      <c r="T521" s="35" t="b">
        <v>1</v>
      </c>
      <c r="U521" s="36"/>
    </row>
    <row r="522" ht="30.0" customHeight="1">
      <c r="A522" s="24"/>
      <c r="B522" s="25">
        <v>2627.0</v>
      </c>
      <c r="C522" s="26" t="s">
        <v>21</v>
      </c>
      <c r="D522" s="27">
        <v>46060.0</v>
      </c>
      <c r="E522" s="28" t="str">
        <f t="shared" si="1"/>
        <v>2026</v>
      </c>
      <c r="F522" s="28" t="str">
        <f t="shared" si="2"/>
        <v>02 Feb</v>
      </c>
      <c r="G522" s="50" t="s">
        <v>29</v>
      </c>
      <c r="H522" s="29" t="s">
        <v>30</v>
      </c>
      <c r="I522" s="29" t="s">
        <v>403</v>
      </c>
      <c r="J522" s="75" t="s">
        <v>76</v>
      </c>
      <c r="K522" s="76" t="s">
        <v>44</v>
      </c>
      <c r="L522" s="77" t="str">
        <f t="shared" si="3"/>
        <v>PAKET KLINIK</v>
      </c>
      <c r="M522" s="78" t="s">
        <v>27</v>
      </c>
      <c r="N522" s="79">
        <v>1200000.0</v>
      </c>
      <c r="O522" s="80">
        <v>0.0</v>
      </c>
      <c r="P522" s="32">
        <f t="array" ref="P522">IFNA(XLOOKUP(K522,'⚙️ Pengaturan'!$E$2:$E800,'⚙️ Pengaturan'!$F$2:$F800),"")</f>
        <v>1200000</v>
      </c>
      <c r="Q522" s="81">
        <f t="shared" si="9"/>
        <v>0</v>
      </c>
      <c r="R522" s="26" t="s">
        <v>28</v>
      </c>
      <c r="S522" s="38" t="s">
        <v>403</v>
      </c>
      <c r="T522" s="35" t="b">
        <v>1</v>
      </c>
      <c r="U522" s="36"/>
    </row>
    <row r="523" ht="30.0" customHeight="1">
      <c r="A523" s="24"/>
      <c r="B523" s="25">
        <v>2628.0</v>
      </c>
      <c r="C523" s="26" t="s">
        <v>21</v>
      </c>
      <c r="D523" s="27">
        <v>46060.0</v>
      </c>
      <c r="E523" s="28" t="str">
        <f t="shared" si="1"/>
        <v>2026</v>
      </c>
      <c r="F523" s="28" t="str">
        <f t="shared" si="2"/>
        <v>02 Feb</v>
      </c>
      <c r="G523" s="50" t="s">
        <v>89</v>
      </c>
      <c r="H523" s="29" t="s">
        <v>70</v>
      </c>
      <c r="I523" s="29" t="s">
        <v>286</v>
      </c>
      <c r="J523" s="75" t="s">
        <v>25</v>
      </c>
      <c r="K523" s="76" t="s">
        <v>39</v>
      </c>
      <c r="L523" s="77" t="str">
        <f t="shared" si="3"/>
        <v>PAKET KLINIK</v>
      </c>
      <c r="M523" s="78" t="s">
        <v>27</v>
      </c>
      <c r="N523" s="79">
        <v>650000.0</v>
      </c>
      <c r="O523" s="80">
        <v>0.0</v>
      </c>
      <c r="P523" s="32">
        <f t="array" ref="P523">IFNA(XLOOKUP(K523,'⚙️ Pengaturan'!$E$2:$E800,'⚙️ Pengaturan'!$F$2:$F800),"")</f>
        <v>650000</v>
      </c>
      <c r="Q523" s="81">
        <f t="shared" si="9"/>
        <v>0</v>
      </c>
      <c r="R523" s="26" t="s">
        <v>28</v>
      </c>
      <c r="S523" s="38" t="s">
        <v>404</v>
      </c>
      <c r="T523" s="35" t="b">
        <v>1</v>
      </c>
      <c r="U523" s="36"/>
    </row>
    <row r="524" ht="30.0" customHeight="1">
      <c r="A524" s="24"/>
      <c r="B524" s="25">
        <v>2629.0</v>
      </c>
      <c r="C524" s="26" t="s">
        <v>21</v>
      </c>
      <c r="D524" s="27">
        <v>46060.0</v>
      </c>
      <c r="E524" s="28" t="str">
        <f t="shared" si="1"/>
        <v>2026</v>
      </c>
      <c r="F524" s="28" t="str">
        <f t="shared" si="2"/>
        <v>02 Feb</v>
      </c>
      <c r="G524" s="50" t="s">
        <v>37</v>
      </c>
      <c r="H524" s="29" t="s">
        <v>30</v>
      </c>
      <c r="I524" s="29" t="s">
        <v>405</v>
      </c>
      <c r="J524" s="75" t="s">
        <v>25</v>
      </c>
      <c r="K524" s="76" t="s">
        <v>26</v>
      </c>
      <c r="L524" s="77" t="str">
        <f t="shared" si="3"/>
        <v>TA KLINIK</v>
      </c>
      <c r="M524" s="78" t="s">
        <v>27</v>
      </c>
      <c r="N524" s="79">
        <v>250000.0</v>
      </c>
      <c r="O524" s="80">
        <v>0.0</v>
      </c>
      <c r="P524" s="32">
        <f t="array" ref="P524">IFNA(XLOOKUP(K524,'⚙️ Pengaturan'!$E$2:$E800,'⚙️ Pengaturan'!$F$2:$F800),"")</f>
        <v>250000</v>
      </c>
      <c r="Q524" s="81">
        <f t="shared" si="9"/>
        <v>0</v>
      </c>
      <c r="R524" s="26" t="s">
        <v>33</v>
      </c>
      <c r="S524" s="38" t="s">
        <v>34</v>
      </c>
      <c r="T524" s="35" t="b">
        <v>1</v>
      </c>
      <c r="U524" s="36"/>
    </row>
    <row r="525" ht="30.0" customHeight="1">
      <c r="A525" s="24"/>
      <c r="B525" s="25">
        <v>2630.0</v>
      </c>
      <c r="C525" s="26" t="s">
        <v>21</v>
      </c>
      <c r="D525" s="27">
        <v>46060.0</v>
      </c>
      <c r="E525" s="28" t="str">
        <f t="shared" si="1"/>
        <v>2026</v>
      </c>
      <c r="F525" s="28" t="str">
        <f t="shared" si="2"/>
        <v>02 Feb</v>
      </c>
      <c r="G525" s="50" t="s">
        <v>37</v>
      </c>
      <c r="H525" s="29" t="s">
        <v>23</v>
      </c>
      <c r="I525" s="29" t="s">
        <v>406</v>
      </c>
      <c r="J525" s="75" t="s">
        <v>25</v>
      </c>
      <c r="K525" s="76" t="s">
        <v>26</v>
      </c>
      <c r="L525" s="77" t="str">
        <f t="shared" si="3"/>
        <v>TA KLINIK</v>
      </c>
      <c r="M525" s="78" t="s">
        <v>27</v>
      </c>
      <c r="N525" s="79">
        <v>250000.0</v>
      </c>
      <c r="O525" s="80">
        <v>0.0</v>
      </c>
      <c r="P525" s="32">
        <f t="array" ref="P525">IFNA(XLOOKUP(K525,'⚙️ Pengaturan'!$E$2:$E800,'⚙️ Pengaturan'!$F$2:$F800),"")</f>
        <v>250000</v>
      </c>
      <c r="Q525" s="81">
        <f t="shared" si="9"/>
        <v>0</v>
      </c>
      <c r="R525" s="26" t="s">
        <v>28</v>
      </c>
      <c r="S525" s="38" t="s">
        <v>406</v>
      </c>
      <c r="T525" s="35" t="b">
        <v>1</v>
      </c>
      <c r="U525" s="36"/>
    </row>
    <row r="526" ht="30.0" customHeight="1">
      <c r="A526" s="24"/>
      <c r="B526" s="25">
        <v>2631.0</v>
      </c>
      <c r="C526" s="26" t="s">
        <v>40</v>
      </c>
      <c r="D526" s="27">
        <v>46060.0</v>
      </c>
      <c r="E526" s="28" t="str">
        <f t="shared" si="1"/>
        <v>2026</v>
      </c>
      <c r="F526" s="28" t="str">
        <f t="shared" si="2"/>
        <v>02 Feb</v>
      </c>
      <c r="G526" s="50" t="s">
        <v>46</v>
      </c>
      <c r="H526" s="29" t="s">
        <v>58</v>
      </c>
      <c r="I526" s="29" t="s">
        <v>315</v>
      </c>
      <c r="J526" s="75" t="s">
        <v>76</v>
      </c>
      <c r="K526" s="76" t="s">
        <v>39</v>
      </c>
      <c r="L526" s="77" t="str">
        <f t="shared" si="3"/>
        <v>PAKET KLINIK</v>
      </c>
      <c r="M526" s="78" t="s">
        <v>63</v>
      </c>
      <c r="N526" s="79">
        <v>350000.0</v>
      </c>
      <c r="O526" s="80">
        <v>300000.0</v>
      </c>
      <c r="P526" s="32">
        <f t="array" ref="P526">IFNA(XLOOKUP(K526,'⚙️ Pengaturan'!$E$2:$E800,'⚙️ Pengaturan'!$F$2:$F800),"")</f>
        <v>650000</v>
      </c>
      <c r="Q526" s="81">
        <f t="shared" si="9"/>
        <v>0</v>
      </c>
      <c r="R526" s="26" t="s">
        <v>33</v>
      </c>
      <c r="S526" s="38" t="s">
        <v>34</v>
      </c>
      <c r="T526" s="35" t="b">
        <v>1</v>
      </c>
      <c r="U526" s="36"/>
    </row>
    <row r="527" ht="30.0" customHeight="1">
      <c r="A527" s="24"/>
      <c r="B527" s="25">
        <v>2632.0</v>
      </c>
      <c r="C527" s="26" t="s">
        <v>40</v>
      </c>
      <c r="D527" s="27">
        <v>46060.0</v>
      </c>
      <c r="E527" s="28" t="str">
        <f t="shared" si="1"/>
        <v>2026</v>
      </c>
      <c r="F527" s="28" t="str">
        <f t="shared" si="2"/>
        <v>02 Feb</v>
      </c>
      <c r="G527" s="50" t="s">
        <v>46</v>
      </c>
      <c r="H527" s="29" t="s">
        <v>48</v>
      </c>
      <c r="I527" s="29" t="s">
        <v>337</v>
      </c>
      <c r="J527" s="75" t="s">
        <v>76</v>
      </c>
      <c r="K527" s="76" t="s">
        <v>39</v>
      </c>
      <c r="L527" s="77" t="str">
        <f t="shared" si="3"/>
        <v>PAKET KLINIK</v>
      </c>
      <c r="M527" s="78" t="s">
        <v>63</v>
      </c>
      <c r="N527" s="79">
        <v>400000.0</v>
      </c>
      <c r="O527" s="80">
        <v>200000.0</v>
      </c>
      <c r="P527" s="32">
        <f t="array" ref="P527">IFNA(XLOOKUP(K527,'⚙️ Pengaturan'!$E$2:$E800,'⚙️ Pengaturan'!$F$2:$F800),"")</f>
        <v>650000</v>
      </c>
      <c r="Q527" s="81">
        <f t="shared" si="9"/>
        <v>-50000</v>
      </c>
      <c r="R527" s="26" t="s">
        <v>33</v>
      </c>
      <c r="S527" s="38" t="s">
        <v>34</v>
      </c>
      <c r="T527" s="35" t="b">
        <v>1</v>
      </c>
      <c r="U527" s="36"/>
    </row>
    <row r="528" ht="30.0" customHeight="1">
      <c r="A528" s="24"/>
      <c r="B528" s="25">
        <v>2633.0</v>
      </c>
      <c r="C528" s="26" t="s">
        <v>40</v>
      </c>
      <c r="D528" s="27">
        <v>46060.0</v>
      </c>
      <c r="E528" s="28" t="str">
        <f t="shared" si="1"/>
        <v>2026</v>
      </c>
      <c r="F528" s="28" t="str">
        <f t="shared" si="2"/>
        <v>02 Feb</v>
      </c>
      <c r="G528" s="50" t="s">
        <v>46</v>
      </c>
      <c r="H528" s="29" t="s">
        <v>42</v>
      </c>
      <c r="I528" s="29" t="s">
        <v>269</v>
      </c>
      <c r="J528" s="75" t="s">
        <v>76</v>
      </c>
      <c r="K528" s="76" t="s">
        <v>32</v>
      </c>
      <c r="L528" s="77" t="str">
        <f t="shared" si="3"/>
        <v>SESI KLINIK</v>
      </c>
      <c r="M528" s="78" t="s">
        <v>27</v>
      </c>
      <c r="N528" s="79">
        <v>150000.0</v>
      </c>
      <c r="O528" s="80">
        <v>0.0</v>
      </c>
      <c r="P528" s="32">
        <f t="array" ref="P528">IFNA(XLOOKUP(K528,'⚙️ Pengaturan'!$E$2:$E800,'⚙️ Pengaturan'!$F$2:$F800),"")</f>
        <v>150000</v>
      </c>
      <c r="Q528" s="81">
        <f t="shared" si="9"/>
        <v>0</v>
      </c>
      <c r="R528" s="26" t="s">
        <v>33</v>
      </c>
      <c r="S528" s="38" t="s">
        <v>34</v>
      </c>
      <c r="T528" s="35" t="b">
        <v>1</v>
      </c>
      <c r="U528" s="36"/>
    </row>
    <row r="529" ht="30.0" customHeight="1">
      <c r="A529" s="24"/>
      <c r="B529" s="25">
        <v>2634.0</v>
      </c>
      <c r="C529" s="26" t="s">
        <v>40</v>
      </c>
      <c r="D529" s="27">
        <v>46060.0</v>
      </c>
      <c r="E529" s="28" t="str">
        <f t="shared" si="1"/>
        <v>2026</v>
      </c>
      <c r="F529" s="28" t="str">
        <f t="shared" si="2"/>
        <v>02 Feb</v>
      </c>
      <c r="G529" s="50" t="s">
        <v>41</v>
      </c>
      <c r="H529" s="29" t="s">
        <v>42</v>
      </c>
      <c r="I529" s="29" t="s">
        <v>407</v>
      </c>
      <c r="J529" s="75" t="s">
        <v>25</v>
      </c>
      <c r="K529" s="76" t="s">
        <v>26</v>
      </c>
      <c r="L529" s="77" t="str">
        <f t="shared" si="3"/>
        <v>TA KLINIK</v>
      </c>
      <c r="M529" s="78" t="s">
        <v>27</v>
      </c>
      <c r="N529" s="79">
        <v>250000.0</v>
      </c>
      <c r="O529" s="80">
        <v>0.0</v>
      </c>
      <c r="P529" s="32">
        <f t="array" ref="P529">IFNA(XLOOKUP(K529,'⚙️ Pengaturan'!$E$2:$E800,'⚙️ Pengaturan'!$F$2:$F800),"")</f>
        <v>250000</v>
      </c>
      <c r="Q529" s="81">
        <f t="shared" si="9"/>
        <v>0</v>
      </c>
      <c r="R529" s="26" t="s">
        <v>28</v>
      </c>
      <c r="S529" s="38" t="s">
        <v>407</v>
      </c>
      <c r="T529" s="35" t="b">
        <v>1</v>
      </c>
      <c r="U529" s="36"/>
    </row>
    <row r="530" ht="30.0" customHeight="1">
      <c r="A530" s="24"/>
      <c r="B530" s="25">
        <v>2635.0</v>
      </c>
      <c r="C530" s="26" t="s">
        <v>40</v>
      </c>
      <c r="D530" s="27">
        <v>46060.0</v>
      </c>
      <c r="E530" s="28" t="str">
        <f t="shared" si="1"/>
        <v>2026</v>
      </c>
      <c r="F530" s="28" t="str">
        <f t="shared" si="2"/>
        <v>02 Feb</v>
      </c>
      <c r="G530" s="50" t="s">
        <v>41</v>
      </c>
      <c r="H530" s="29" t="s">
        <v>58</v>
      </c>
      <c r="I530" s="29" t="s">
        <v>384</v>
      </c>
      <c r="J530" s="75" t="s">
        <v>25</v>
      </c>
      <c r="K530" s="76" t="s">
        <v>395</v>
      </c>
      <c r="L530" s="77" t="str">
        <f t="shared" si="3"/>
        <v>PAKET KLINIK</v>
      </c>
      <c r="M530" s="78" t="s">
        <v>27</v>
      </c>
      <c r="N530" s="79">
        <v>750000.0</v>
      </c>
      <c r="O530" s="80">
        <v>0.0</v>
      </c>
      <c r="P530" s="32">
        <f t="array" ref="P530">IFNA(XLOOKUP(K530,'⚙️ Pengaturan'!$E$2:$E800,'⚙️ Pengaturan'!$F$2:$F800),"")</f>
        <v>750000</v>
      </c>
      <c r="Q530" s="81">
        <f t="shared" si="9"/>
        <v>0</v>
      </c>
      <c r="R530" s="26" t="s">
        <v>28</v>
      </c>
      <c r="S530" s="38" t="s">
        <v>384</v>
      </c>
      <c r="T530" s="35" t="b">
        <v>1</v>
      </c>
      <c r="U530" s="36"/>
    </row>
    <row r="531" ht="30.0" customHeight="1">
      <c r="A531" s="24"/>
      <c r="B531" s="25">
        <v>2636.0</v>
      </c>
      <c r="C531" s="26" t="s">
        <v>40</v>
      </c>
      <c r="D531" s="27">
        <v>46060.0</v>
      </c>
      <c r="E531" s="28" t="str">
        <f t="shared" si="1"/>
        <v>2026</v>
      </c>
      <c r="F531" s="28" t="str">
        <f t="shared" si="2"/>
        <v>02 Feb</v>
      </c>
      <c r="G531" s="50" t="s">
        <v>53</v>
      </c>
      <c r="H531" s="29" t="s">
        <v>58</v>
      </c>
      <c r="I531" s="29" t="s">
        <v>310</v>
      </c>
      <c r="J531" s="75" t="s">
        <v>76</v>
      </c>
      <c r="K531" s="76" t="s">
        <v>32</v>
      </c>
      <c r="L531" s="77" t="str">
        <f t="shared" si="3"/>
        <v>SESI KLINIK</v>
      </c>
      <c r="M531" s="78" t="s">
        <v>27</v>
      </c>
      <c r="N531" s="79">
        <v>150000.0</v>
      </c>
      <c r="O531" s="80">
        <v>0.0</v>
      </c>
      <c r="P531" s="32">
        <f t="array" ref="P531">IFNA(XLOOKUP(K531,'⚙️ Pengaturan'!$E$2:$E800,'⚙️ Pengaturan'!$F$2:$F800),"")</f>
        <v>150000</v>
      </c>
      <c r="Q531" s="81">
        <f t="shared" si="9"/>
        <v>0</v>
      </c>
      <c r="R531" s="26" t="s">
        <v>33</v>
      </c>
      <c r="S531" s="38" t="s">
        <v>34</v>
      </c>
      <c r="T531" s="35" t="b">
        <v>1</v>
      </c>
      <c r="U531" s="36"/>
    </row>
    <row r="532" ht="30.0" customHeight="1">
      <c r="A532" s="24"/>
      <c r="B532" s="25">
        <v>2637.0</v>
      </c>
      <c r="C532" s="26" t="s">
        <v>40</v>
      </c>
      <c r="D532" s="27">
        <v>46060.0</v>
      </c>
      <c r="E532" s="28" t="str">
        <f t="shared" si="1"/>
        <v>2026</v>
      </c>
      <c r="F532" s="28" t="str">
        <f t="shared" si="2"/>
        <v>02 Feb</v>
      </c>
      <c r="G532" s="50" t="s">
        <v>53</v>
      </c>
      <c r="H532" s="29" t="s">
        <v>51</v>
      </c>
      <c r="I532" s="29" t="s">
        <v>385</v>
      </c>
      <c r="J532" s="75" t="s">
        <v>25</v>
      </c>
      <c r="K532" s="76" t="s">
        <v>369</v>
      </c>
      <c r="L532" s="77" t="str">
        <f t="shared" si="3"/>
        <v>SESI KLINIK</v>
      </c>
      <c r="M532" s="78" t="s">
        <v>27</v>
      </c>
      <c r="N532" s="79">
        <v>180000.0</v>
      </c>
      <c r="O532" s="80">
        <v>0.0</v>
      </c>
      <c r="P532" s="32">
        <f t="array" ref="P532">IFNA(XLOOKUP(K532,'⚙️ Pengaturan'!$E$2:$E800,'⚙️ Pengaturan'!$F$2:$F800),"")</f>
        <v>180000</v>
      </c>
      <c r="Q532" s="81">
        <f t="shared" si="9"/>
        <v>0</v>
      </c>
      <c r="R532" s="26" t="s">
        <v>28</v>
      </c>
      <c r="S532" s="38" t="s">
        <v>385</v>
      </c>
      <c r="T532" s="35" t="b">
        <v>1</v>
      </c>
      <c r="U532" s="36"/>
    </row>
    <row r="533" ht="30.0" customHeight="1">
      <c r="A533" s="24"/>
      <c r="B533" s="25">
        <v>2638.0</v>
      </c>
      <c r="C533" s="26" t="s">
        <v>40</v>
      </c>
      <c r="D533" s="27">
        <v>46060.0</v>
      </c>
      <c r="E533" s="28" t="str">
        <f t="shared" si="1"/>
        <v>2026</v>
      </c>
      <c r="F533" s="28" t="str">
        <f t="shared" si="2"/>
        <v>02 Feb</v>
      </c>
      <c r="G533" s="50" t="s">
        <v>56</v>
      </c>
      <c r="H533" s="29" t="s">
        <v>42</v>
      </c>
      <c r="I533" s="29" t="s">
        <v>60</v>
      </c>
      <c r="J533" s="75" t="s">
        <v>76</v>
      </c>
      <c r="K533" s="76" t="s">
        <v>44</v>
      </c>
      <c r="L533" s="77" t="str">
        <f t="shared" si="3"/>
        <v>PAKET KLINIK</v>
      </c>
      <c r="M533" s="78" t="s">
        <v>132</v>
      </c>
      <c r="N533" s="79">
        <v>300000.0</v>
      </c>
      <c r="O533" s="80">
        <v>200000.0</v>
      </c>
      <c r="P533" s="32">
        <f t="array" ref="P533">IFNA(XLOOKUP(K533,'⚙️ Pengaturan'!$E$2:$E800,'⚙️ Pengaturan'!$F$2:$F800),"")</f>
        <v>1200000</v>
      </c>
      <c r="Q533" s="81">
        <f t="shared" si="9"/>
        <v>-700000</v>
      </c>
      <c r="R533" s="26" t="s">
        <v>33</v>
      </c>
      <c r="S533" s="38" t="s">
        <v>34</v>
      </c>
      <c r="T533" s="35" t="b">
        <v>1</v>
      </c>
      <c r="U533" s="36"/>
    </row>
    <row r="534" ht="30.0" customHeight="1">
      <c r="A534" s="24"/>
      <c r="B534" s="25">
        <v>2639.0</v>
      </c>
      <c r="C534" s="26" t="s">
        <v>40</v>
      </c>
      <c r="D534" s="27">
        <v>46060.0</v>
      </c>
      <c r="E534" s="28" t="str">
        <f t="shared" si="1"/>
        <v>2026</v>
      </c>
      <c r="F534" s="28" t="str">
        <f t="shared" si="2"/>
        <v>02 Feb</v>
      </c>
      <c r="G534" s="50" t="s">
        <v>61</v>
      </c>
      <c r="H534" s="29" t="s">
        <v>48</v>
      </c>
      <c r="I534" s="29" t="s">
        <v>347</v>
      </c>
      <c r="J534" s="75" t="s">
        <v>76</v>
      </c>
      <c r="K534" s="76" t="s">
        <v>395</v>
      </c>
      <c r="L534" s="77" t="str">
        <f t="shared" si="3"/>
        <v>PAKET KLINIK</v>
      </c>
      <c r="M534" s="78" t="s">
        <v>27</v>
      </c>
      <c r="N534" s="79">
        <v>400000.0</v>
      </c>
      <c r="O534" s="80">
        <v>350000.0</v>
      </c>
      <c r="P534" s="32">
        <f t="array" ref="P534">IFNA(XLOOKUP(K534,'⚙️ Pengaturan'!$E$2:$E800,'⚙️ Pengaturan'!$F$2:$F800),"")</f>
        <v>750000</v>
      </c>
      <c r="Q534" s="81">
        <f t="shared" si="9"/>
        <v>0</v>
      </c>
      <c r="R534" s="26" t="s">
        <v>33</v>
      </c>
      <c r="S534" s="38" t="s">
        <v>34</v>
      </c>
      <c r="T534" s="35" t="b">
        <v>1</v>
      </c>
      <c r="U534" s="36"/>
    </row>
    <row r="535" ht="30.0" customHeight="1">
      <c r="A535" s="24"/>
      <c r="B535" s="25">
        <v>2640.0</v>
      </c>
      <c r="C535" s="26" t="s">
        <v>21</v>
      </c>
      <c r="D535" s="27">
        <v>46061.0</v>
      </c>
      <c r="E535" s="28" t="str">
        <f t="shared" si="1"/>
        <v>2026</v>
      </c>
      <c r="F535" s="28" t="str">
        <f t="shared" si="2"/>
        <v>02 Feb</v>
      </c>
      <c r="G535" s="50" t="s">
        <v>67</v>
      </c>
      <c r="H535" s="29" t="s">
        <v>68</v>
      </c>
      <c r="I535" s="29" t="s">
        <v>408</v>
      </c>
      <c r="J535" s="75" t="s">
        <v>25</v>
      </c>
      <c r="K535" s="76" t="s">
        <v>26</v>
      </c>
      <c r="L535" s="77" t="str">
        <f t="shared" si="3"/>
        <v>TA KLINIK</v>
      </c>
      <c r="M535" s="78" t="s">
        <v>27</v>
      </c>
      <c r="N535" s="79">
        <v>250000.0</v>
      </c>
      <c r="O535" s="80">
        <v>0.0</v>
      </c>
      <c r="P535" s="32">
        <f t="array" ref="P535">IFNA(XLOOKUP(K535,'⚙️ Pengaturan'!$E$2:$E800,'⚙️ Pengaturan'!$F$2:$F800),"")</f>
        <v>250000</v>
      </c>
      <c r="Q535" s="81">
        <f t="shared" si="9"/>
        <v>0</v>
      </c>
      <c r="R535" s="26" t="s">
        <v>33</v>
      </c>
      <c r="S535" s="38" t="s">
        <v>34</v>
      </c>
      <c r="T535" s="35" t="b">
        <v>1</v>
      </c>
      <c r="U535" s="36"/>
    </row>
    <row r="536" ht="30.0" customHeight="1">
      <c r="A536" s="24"/>
      <c r="B536" s="25">
        <v>2641.0</v>
      </c>
      <c r="C536" s="26" t="s">
        <v>21</v>
      </c>
      <c r="D536" s="27">
        <v>46061.0</v>
      </c>
      <c r="E536" s="28" t="str">
        <f t="shared" si="1"/>
        <v>2026</v>
      </c>
      <c r="F536" s="28" t="str">
        <f t="shared" si="2"/>
        <v>02 Feb</v>
      </c>
      <c r="G536" s="50" t="s">
        <v>67</v>
      </c>
      <c r="H536" s="29" t="s">
        <v>70</v>
      </c>
      <c r="I536" s="29" t="s">
        <v>402</v>
      </c>
      <c r="J536" s="75" t="s">
        <v>25</v>
      </c>
      <c r="K536" s="76" t="s">
        <v>395</v>
      </c>
      <c r="L536" s="77" t="str">
        <f t="shared" si="3"/>
        <v>PAKET KLINIK</v>
      </c>
      <c r="M536" s="78" t="s">
        <v>27</v>
      </c>
      <c r="N536" s="79">
        <v>750000.0</v>
      </c>
      <c r="O536" s="80">
        <v>0.0</v>
      </c>
      <c r="P536" s="32">
        <f t="array" ref="P536">IFNA(XLOOKUP(K536,'⚙️ Pengaturan'!$E$2:$E800,'⚙️ Pengaturan'!$F$2:$F800),"")</f>
        <v>750000</v>
      </c>
      <c r="Q536" s="81">
        <f t="shared" si="9"/>
        <v>0</v>
      </c>
      <c r="R536" s="26" t="s">
        <v>28</v>
      </c>
      <c r="S536" s="38" t="s">
        <v>402</v>
      </c>
      <c r="T536" s="35" t="b">
        <v>1</v>
      </c>
      <c r="U536" s="36"/>
    </row>
    <row r="537" ht="30.0" customHeight="1">
      <c r="A537" s="24"/>
      <c r="B537" s="25">
        <v>2642.0</v>
      </c>
      <c r="C537" s="26" t="s">
        <v>21</v>
      </c>
      <c r="D537" s="27">
        <v>46061.0</v>
      </c>
      <c r="E537" s="28" t="str">
        <f t="shared" si="1"/>
        <v>2026</v>
      </c>
      <c r="F537" s="28" t="str">
        <f t="shared" si="2"/>
        <v>02 Feb</v>
      </c>
      <c r="G537" s="50" t="s">
        <v>67</v>
      </c>
      <c r="H537" s="29" t="s">
        <v>68</v>
      </c>
      <c r="I537" s="29" t="s">
        <v>408</v>
      </c>
      <c r="J537" s="75" t="s">
        <v>25</v>
      </c>
      <c r="K537" s="76" t="s">
        <v>369</v>
      </c>
      <c r="L537" s="77" t="str">
        <f t="shared" si="3"/>
        <v>SESI KLINIK</v>
      </c>
      <c r="M537" s="78" t="s">
        <v>86</v>
      </c>
      <c r="N537" s="79">
        <v>200000.0</v>
      </c>
      <c r="O537" s="80">
        <v>0.0</v>
      </c>
      <c r="P537" s="32">
        <f t="array" ref="P537">IFNA(XLOOKUP(K537,'⚙️ Pengaturan'!$E$2:$E800,'⚙️ Pengaturan'!$F$2:$F800),"")</f>
        <v>180000</v>
      </c>
      <c r="Q537" s="81">
        <f t="shared" si="9"/>
        <v>20000</v>
      </c>
      <c r="R537" s="26" t="s">
        <v>33</v>
      </c>
      <c r="S537" s="38" t="s">
        <v>34</v>
      </c>
      <c r="T537" s="35" t="b">
        <v>1</v>
      </c>
      <c r="U537" s="36"/>
    </row>
    <row r="538" ht="30.0" customHeight="1">
      <c r="A538" s="24"/>
      <c r="B538" s="25">
        <v>2643.0</v>
      </c>
      <c r="C538" s="26" t="s">
        <v>21</v>
      </c>
      <c r="D538" s="27">
        <v>46061.0</v>
      </c>
      <c r="E538" s="28" t="str">
        <f t="shared" si="1"/>
        <v>2026</v>
      </c>
      <c r="F538" s="28" t="str">
        <f t="shared" si="2"/>
        <v>02 Feb</v>
      </c>
      <c r="G538" s="50" t="s">
        <v>22</v>
      </c>
      <c r="H538" s="29" t="s">
        <v>30</v>
      </c>
      <c r="I538" s="29" t="s">
        <v>409</v>
      </c>
      <c r="J538" s="75" t="s">
        <v>25</v>
      </c>
      <c r="K538" s="76" t="s">
        <v>26</v>
      </c>
      <c r="L538" s="77" t="str">
        <f t="shared" si="3"/>
        <v>TA KLINIK</v>
      </c>
      <c r="M538" s="78" t="s">
        <v>27</v>
      </c>
      <c r="N538" s="79">
        <v>250000.0</v>
      </c>
      <c r="O538" s="80">
        <v>0.0</v>
      </c>
      <c r="P538" s="32">
        <f t="array" ref="P538">IFNA(XLOOKUP(K538,'⚙️ Pengaturan'!$E$2:$E800,'⚙️ Pengaturan'!$F$2:$F800),"")</f>
        <v>250000</v>
      </c>
      <c r="Q538" s="81">
        <f t="shared" si="9"/>
        <v>0</v>
      </c>
      <c r="R538" s="26" t="s">
        <v>33</v>
      </c>
      <c r="S538" s="38" t="s">
        <v>34</v>
      </c>
      <c r="T538" s="35" t="b">
        <v>1</v>
      </c>
      <c r="U538" s="36"/>
    </row>
    <row r="539" ht="30.0" customHeight="1">
      <c r="A539" s="24"/>
      <c r="B539" s="25">
        <v>2644.0</v>
      </c>
      <c r="C539" s="26" t="s">
        <v>21</v>
      </c>
      <c r="D539" s="27">
        <v>46061.0</v>
      </c>
      <c r="E539" s="28" t="str">
        <f t="shared" si="1"/>
        <v>2026</v>
      </c>
      <c r="F539" s="28" t="str">
        <f t="shared" si="2"/>
        <v>02 Feb</v>
      </c>
      <c r="G539" s="50" t="s">
        <v>22</v>
      </c>
      <c r="H539" s="29" t="s">
        <v>70</v>
      </c>
      <c r="I539" s="29" t="s">
        <v>410</v>
      </c>
      <c r="J539" s="75" t="s">
        <v>25</v>
      </c>
      <c r="K539" s="76" t="s">
        <v>26</v>
      </c>
      <c r="L539" s="77" t="str">
        <f t="shared" si="3"/>
        <v>TA KLINIK</v>
      </c>
      <c r="M539" s="78" t="s">
        <v>27</v>
      </c>
      <c r="N539" s="79">
        <v>250000.0</v>
      </c>
      <c r="O539" s="80">
        <v>0.0</v>
      </c>
      <c r="P539" s="32">
        <f t="array" ref="P539">IFNA(XLOOKUP(K539,'⚙️ Pengaturan'!$E$2:$E800,'⚙️ Pengaturan'!$F$2:$F800),"")</f>
        <v>250000</v>
      </c>
      <c r="Q539" s="81">
        <f t="shared" si="9"/>
        <v>0</v>
      </c>
      <c r="R539" s="26" t="s">
        <v>28</v>
      </c>
      <c r="S539" s="38" t="s">
        <v>410</v>
      </c>
      <c r="T539" s="35" t="b">
        <v>1</v>
      </c>
      <c r="U539" s="36"/>
    </row>
    <row r="540" ht="30.0" customHeight="1">
      <c r="A540" s="24"/>
      <c r="B540" s="25">
        <v>2645.0</v>
      </c>
      <c r="C540" s="26" t="s">
        <v>21</v>
      </c>
      <c r="D540" s="27">
        <v>46061.0</v>
      </c>
      <c r="E540" s="28" t="str">
        <f t="shared" si="1"/>
        <v>2026</v>
      </c>
      <c r="F540" s="28" t="str">
        <f t="shared" si="2"/>
        <v>02 Feb</v>
      </c>
      <c r="G540" s="50" t="s">
        <v>82</v>
      </c>
      <c r="H540" s="29" t="s">
        <v>30</v>
      </c>
      <c r="I540" s="29" t="s">
        <v>411</v>
      </c>
      <c r="J540" s="75" t="s">
        <v>25</v>
      </c>
      <c r="K540" s="76" t="s">
        <v>26</v>
      </c>
      <c r="L540" s="77" t="str">
        <f t="shared" si="3"/>
        <v>TA KLINIK</v>
      </c>
      <c r="M540" s="78" t="s">
        <v>27</v>
      </c>
      <c r="N540" s="79">
        <v>250000.0</v>
      </c>
      <c r="O540" s="80">
        <v>0.0</v>
      </c>
      <c r="P540" s="32">
        <f t="array" ref="P540">IFNA(XLOOKUP(K540,'⚙️ Pengaturan'!$E$2:$E800,'⚙️ Pengaturan'!$F$2:$F800),"")</f>
        <v>250000</v>
      </c>
      <c r="Q540" s="81">
        <f t="shared" si="9"/>
        <v>0</v>
      </c>
      <c r="R540" s="26" t="s">
        <v>28</v>
      </c>
      <c r="S540" s="38" t="s">
        <v>412</v>
      </c>
      <c r="T540" s="35" t="b">
        <v>1</v>
      </c>
      <c r="U540" s="36"/>
    </row>
    <row r="541" ht="30.0" customHeight="1">
      <c r="A541" s="24"/>
      <c r="B541" s="25">
        <v>2646.0</v>
      </c>
      <c r="C541" s="26" t="s">
        <v>21</v>
      </c>
      <c r="D541" s="27">
        <v>46061.0</v>
      </c>
      <c r="E541" s="28" t="str">
        <f t="shared" si="1"/>
        <v>2026</v>
      </c>
      <c r="F541" s="28" t="str">
        <f t="shared" si="2"/>
        <v>02 Feb</v>
      </c>
      <c r="G541" s="50" t="s">
        <v>37</v>
      </c>
      <c r="H541" s="29" t="s">
        <v>23</v>
      </c>
      <c r="I541" s="29" t="s">
        <v>187</v>
      </c>
      <c r="J541" s="75" t="s">
        <v>25</v>
      </c>
      <c r="K541" s="76" t="s">
        <v>32</v>
      </c>
      <c r="L541" s="77" t="str">
        <f t="shared" si="3"/>
        <v>SESI KLINIK</v>
      </c>
      <c r="M541" s="78" t="s">
        <v>27</v>
      </c>
      <c r="N541" s="79">
        <v>150000.0</v>
      </c>
      <c r="O541" s="80">
        <v>0.0</v>
      </c>
      <c r="P541" s="32">
        <f t="array" ref="P541">IFNA(XLOOKUP(K541,'⚙️ Pengaturan'!$E$2:$E800,'⚙️ Pengaturan'!$F$2:$F800),"")</f>
        <v>150000</v>
      </c>
      <c r="Q541" s="81">
        <f t="shared" si="9"/>
        <v>0</v>
      </c>
      <c r="R541" s="26" t="s">
        <v>28</v>
      </c>
      <c r="S541" s="38" t="s">
        <v>187</v>
      </c>
      <c r="T541" s="35" t="b">
        <v>1</v>
      </c>
      <c r="U541" s="36"/>
    </row>
    <row r="542" ht="30.0" customHeight="1">
      <c r="A542" s="24"/>
      <c r="B542" s="25">
        <v>2647.0</v>
      </c>
      <c r="C542" s="26" t="s">
        <v>21</v>
      </c>
      <c r="D542" s="27">
        <v>46061.0</v>
      </c>
      <c r="E542" s="28" t="str">
        <f t="shared" si="1"/>
        <v>2026</v>
      </c>
      <c r="F542" s="28" t="str">
        <f t="shared" si="2"/>
        <v>02 Feb</v>
      </c>
      <c r="G542" s="50" t="s">
        <v>37</v>
      </c>
      <c r="H542" s="29" t="s">
        <v>345</v>
      </c>
      <c r="I542" s="29" t="s">
        <v>413</v>
      </c>
      <c r="J542" s="75" t="s">
        <v>25</v>
      </c>
      <c r="K542" s="76" t="s">
        <v>26</v>
      </c>
      <c r="L542" s="77" t="str">
        <f t="shared" si="3"/>
        <v>TA KLINIK</v>
      </c>
      <c r="M542" s="78" t="s">
        <v>27</v>
      </c>
      <c r="N542" s="79">
        <v>250000.0</v>
      </c>
      <c r="O542" s="80">
        <v>0.0</v>
      </c>
      <c r="P542" s="32">
        <f t="array" ref="P542">IFNA(XLOOKUP(K542,'⚙️ Pengaturan'!$E$2:$E800,'⚙️ Pengaturan'!$F$2:$F800),"")</f>
        <v>250000</v>
      </c>
      <c r="Q542" s="81">
        <f t="shared" si="9"/>
        <v>0</v>
      </c>
      <c r="R542" s="26" t="s">
        <v>28</v>
      </c>
      <c r="S542" s="38" t="s">
        <v>288</v>
      </c>
      <c r="T542" s="35" t="b">
        <v>1</v>
      </c>
      <c r="U542" s="36"/>
    </row>
    <row r="543" ht="30.0" customHeight="1">
      <c r="A543" s="24"/>
      <c r="B543" s="25">
        <v>2648.0</v>
      </c>
      <c r="C543" s="26" t="s">
        <v>21</v>
      </c>
      <c r="D543" s="27">
        <v>46061.0</v>
      </c>
      <c r="E543" s="28" t="str">
        <f t="shared" si="1"/>
        <v>2026</v>
      </c>
      <c r="F543" s="28" t="str">
        <f t="shared" si="2"/>
        <v>02 Feb</v>
      </c>
      <c r="G543" s="50" t="s">
        <v>37</v>
      </c>
      <c r="H543" s="29" t="s">
        <v>30</v>
      </c>
      <c r="I543" s="29" t="s">
        <v>398</v>
      </c>
      <c r="J543" s="75" t="s">
        <v>25</v>
      </c>
      <c r="K543" s="76" t="s">
        <v>397</v>
      </c>
      <c r="L543" s="77" t="str">
        <f t="shared" si="3"/>
        <v>PAKET KLINIK</v>
      </c>
      <c r="M543" s="78" t="s">
        <v>27</v>
      </c>
      <c r="N543" s="79">
        <v>1300000.0</v>
      </c>
      <c r="O543" s="80">
        <v>0.0</v>
      </c>
      <c r="P543" s="32">
        <f t="array" ref="P543">IFNA(XLOOKUP(K543,'⚙️ Pengaturan'!$E$2:$E800,'⚙️ Pengaturan'!$F$2:$F800),"")</f>
        <v>1300000</v>
      </c>
      <c r="Q543" s="81">
        <f t="shared" si="9"/>
        <v>0</v>
      </c>
      <c r="R543" s="26" t="s">
        <v>28</v>
      </c>
      <c r="S543" s="38" t="s">
        <v>366</v>
      </c>
      <c r="T543" s="35" t="b">
        <v>1</v>
      </c>
      <c r="U543" s="36"/>
    </row>
    <row r="544" ht="30.0" customHeight="1">
      <c r="A544" s="24"/>
      <c r="B544" s="25">
        <v>2649.0</v>
      </c>
      <c r="C544" s="26" t="s">
        <v>21</v>
      </c>
      <c r="D544" s="27">
        <v>46061.0</v>
      </c>
      <c r="E544" s="28" t="str">
        <f t="shared" si="1"/>
        <v>2026</v>
      </c>
      <c r="F544" s="28" t="str">
        <f t="shared" si="2"/>
        <v>02 Feb</v>
      </c>
      <c r="G544" s="50" t="s">
        <v>37</v>
      </c>
      <c r="H544" s="29" t="s">
        <v>68</v>
      </c>
      <c r="I544" s="29" t="s">
        <v>366</v>
      </c>
      <c r="J544" s="75" t="s">
        <v>76</v>
      </c>
      <c r="K544" s="76" t="s">
        <v>397</v>
      </c>
      <c r="L544" s="77" t="str">
        <f t="shared" si="3"/>
        <v>PAKET KLINIK</v>
      </c>
      <c r="M544" s="78" t="s">
        <v>63</v>
      </c>
      <c r="N544" s="79">
        <v>550000.0</v>
      </c>
      <c r="O544" s="80">
        <v>750000.0</v>
      </c>
      <c r="P544" s="32">
        <f t="array" ref="P544">IFNA(XLOOKUP(K544,'⚙️ Pengaturan'!$E$2:$E800,'⚙️ Pengaturan'!$F$2:$F800),"")</f>
        <v>1300000</v>
      </c>
      <c r="Q544" s="81">
        <f t="shared" si="9"/>
        <v>0</v>
      </c>
      <c r="R544" s="26" t="s">
        <v>28</v>
      </c>
      <c r="S544" s="38" t="s">
        <v>366</v>
      </c>
      <c r="T544" s="35" t="b">
        <v>1</v>
      </c>
      <c r="U544" s="36"/>
    </row>
    <row r="545" ht="30.0" customHeight="1">
      <c r="A545" s="24"/>
      <c r="B545" s="25">
        <v>2650.0</v>
      </c>
      <c r="C545" s="26" t="s">
        <v>40</v>
      </c>
      <c r="D545" s="27">
        <v>46061.0</v>
      </c>
      <c r="E545" s="28" t="str">
        <f t="shared" si="1"/>
        <v>2026</v>
      </c>
      <c r="F545" s="28" t="str">
        <f t="shared" si="2"/>
        <v>02 Feb</v>
      </c>
      <c r="G545" s="50" t="s">
        <v>46</v>
      </c>
      <c r="H545" s="29" t="s">
        <v>58</v>
      </c>
      <c r="I545" s="29" t="s">
        <v>370</v>
      </c>
      <c r="J545" s="75" t="s">
        <v>76</v>
      </c>
      <c r="K545" s="76" t="s">
        <v>395</v>
      </c>
      <c r="L545" s="77" t="str">
        <f t="shared" si="3"/>
        <v>PAKET KLINIK</v>
      </c>
      <c r="M545" s="78" t="s">
        <v>132</v>
      </c>
      <c r="N545" s="79">
        <v>250000.0</v>
      </c>
      <c r="O545" s="80">
        <v>250000.0</v>
      </c>
      <c r="P545" s="32">
        <f t="array" ref="P545">IFNA(XLOOKUP(K545,'⚙️ Pengaturan'!$E$2:$E800,'⚙️ Pengaturan'!$F$2:$F800),"")</f>
        <v>750000</v>
      </c>
      <c r="Q545" s="81">
        <f t="shared" si="9"/>
        <v>-250000</v>
      </c>
      <c r="R545" s="26" t="s">
        <v>33</v>
      </c>
      <c r="S545" s="38" t="s">
        <v>34</v>
      </c>
      <c r="T545" s="35" t="b">
        <v>1</v>
      </c>
      <c r="U545" s="36"/>
    </row>
    <row r="546" ht="30.0" customHeight="1">
      <c r="A546" s="24"/>
      <c r="B546" s="25">
        <v>2651.0</v>
      </c>
      <c r="C546" s="26" t="s">
        <v>40</v>
      </c>
      <c r="D546" s="27">
        <v>46062.0</v>
      </c>
      <c r="E546" s="28" t="str">
        <f t="shared" si="1"/>
        <v>2026</v>
      </c>
      <c r="F546" s="28" t="str">
        <f t="shared" si="2"/>
        <v>02 Feb</v>
      </c>
      <c r="G546" s="50" t="s">
        <v>67</v>
      </c>
      <c r="H546" s="29" t="s">
        <v>58</v>
      </c>
      <c r="I546" s="29" t="s">
        <v>250</v>
      </c>
      <c r="J546" s="75" t="s">
        <v>76</v>
      </c>
      <c r="K546" s="76" t="s">
        <v>39</v>
      </c>
      <c r="L546" s="77" t="str">
        <f t="shared" si="3"/>
        <v>PAKET KLINIK</v>
      </c>
      <c r="M546" s="78" t="s">
        <v>27</v>
      </c>
      <c r="N546" s="79">
        <v>650000.0</v>
      </c>
      <c r="O546" s="80">
        <v>0.0</v>
      </c>
      <c r="P546" s="32">
        <f t="array" ref="P546">IFNA(XLOOKUP(K546,'⚙️ Pengaturan'!$E$2:$E800,'⚙️ Pengaturan'!$F$2:$F800),"")</f>
        <v>650000</v>
      </c>
      <c r="Q546" s="81">
        <f t="shared" si="9"/>
        <v>0</v>
      </c>
      <c r="R546" s="26" t="s">
        <v>28</v>
      </c>
      <c r="S546" s="38" t="s">
        <v>250</v>
      </c>
      <c r="T546" s="35" t="b">
        <v>1</v>
      </c>
      <c r="U546" s="36"/>
    </row>
    <row r="547" ht="30.0" customHeight="1">
      <c r="A547" s="24"/>
      <c r="B547" s="25">
        <v>2652.0</v>
      </c>
      <c r="C547" s="26" t="s">
        <v>40</v>
      </c>
      <c r="D547" s="27">
        <v>46062.0</v>
      </c>
      <c r="E547" s="28" t="str">
        <f t="shared" si="1"/>
        <v>2026</v>
      </c>
      <c r="F547" s="28" t="str">
        <f t="shared" si="2"/>
        <v>02 Feb</v>
      </c>
      <c r="G547" s="50" t="s">
        <v>67</v>
      </c>
      <c r="H547" s="29" t="s">
        <v>51</v>
      </c>
      <c r="I547" s="29" t="s">
        <v>414</v>
      </c>
      <c r="J547" s="75" t="s">
        <v>25</v>
      </c>
      <c r="K547" s="76" t="s">
        <v>26</v>
      </c>
      <c r="L547" s="77" t="str">
        <f t="shared" si="3"/>
        <v>TA KLINIK</v>
      </c>
      <c r="M547" s="78" t="s">
        <v>27</v>
      </c>
      <c r="N547" s="79">
        <v>250000.0</v>
      </c>
      <c r="O547" s="80">
        <v>0.0</v>
      </c>
      <c r="P547" s="32">
        <f t="array" ref="P547">IFNA(XLOOKUP(K547,'⚙️ Pengaturan'!$E$2:$E800,'⚙️ Pengaturan'!$F$2:$F800),"")</f>
        <v>250000</v>
      </c>
      <c r="Q547" s="81">
        <f t="shared" si="9"/>
        <v>0</v>
      </c>
      <c r="R547" s="26" t="s">
        <v>28</v>
      </c>
      <c r="S547" s="38" t="s">
        <v>414</v>
      </c>
      <c r="T547" s="35" t="b">
        <v>1</v>
      </c>
      <c r="U547" s="36"/>
    </row>
    <row r="548" ht="30.0" customHeight="1">
      <c r="A548" s="24"/>
      <c r="B548" s="25">
        <v>2653.0</v>
      </c>
      <c r="C548" s="26" t="s">
        <v>40</v>
      </c>
      <c r="D548" s="27">
        <v>46062.0</v>
      </c>
      <c r="E548" s="28" t="str">
        <f t="shared" si="1"/>
        <v>2026</v>
      </c>
      <c r="F548" s="28" t="str">
        <f t="shared" si="2"/>
        <v>02 Feb</v>
      </c>
      <c r="G548" s="50" t="s">
        <v>22</v>
      </c>
      <c r="H548" s="29" t="s">
        <v>42</v>
      </c>
      <c r="I548" s="29" t="s">
        <v>415</v>
      </c>
      <c r="J548" s="75" t="s">
        <v>25</v>
      </c>
      <c r="K548" s="76" t="s">
        <v>26</v>
      </c>
      <c r="L548" s="77" t="str">
        <f t="shared" si="3"/>
        <v>TA KLINIK</v>
      </c>
      <c r="M548" s="78" t="s">
        <v>27</v>
      </c>
      <c r="N548" s="79">
        <v>250000.0</v>
      </c>
      <c r="O548" s="80">
        <v>0.0</v>
      </c>
      <c r="P548" s="32">
        <f t="array" ref="P548">IFNA(XLOOKUP(K548,'⚙️ Pengaturan'!$E$2:$E800,'⚙️ Pengaturan'!$F$2:$F800),"")</f>
        <v>250000</v>
      </c>
      <c r="Q548" s="81">
        <f t="shared" si="9"/>
        <v>0</v>
      </c>
      <c r="R548" s="26" t="s">
        <v>33</v>
      </c>
      <c r="S548" s="38" t="s">
        <v>34</v>
      </c>
      <c r="T548" s="35" t="b">
        <v>1</v>
      </c>
      <c r="U548" s="36"/>
    </row>
    <row r="549" ht="30.0" customHeight="1">
      <c r="A549" s="24"/>
      <c r="B549" s="25">
        <v>2654.0</v>
      </c>
      <c r="C549" s="26" t="s">
        <v>40</v>
      </c>
      <c r="D549" s="27">
        <v>46062.0</v>
      </c>
      <c r="E549" s="28" t="str">
        <f t="shared" si="1"/>
        <v>2026</v>
      </c>
      <c r="F549" s="28" t="str">
        <f t="shared" si="2"/>
        <v>02 Feb</v>
      </c>
      <c r="G549" s="50" t="s">
        <v>29</v>
      </c>
      <c r="H549" s="29" t="s">
        <v>58</v>
      </c>
      <c r="I549" s="29" t="s">
        <v>416</v>
      </c>
      <c r="J549" s="75" t="s">
        <v>25</v>
      </c>
      <c r="K549" s="76" t="s">
        <v>26</v>
      </c>
      <c r="L549" s="77" t="str">
        <f t="shared" si="3"/>
        <v>TA KLINIK</v>
      </c>
      <c r="M549" s="78" t="s">
        <v>27</v>
      </c>
      <c r="N549" s="79">
        <v>250000.0</v>
      </c>
      <c r="O549" s="80">
        <v>0.0</v>
      </c>
      <c r="P549" s="32">
        <f t="array" ref="P549">IFNA(XLOOKUP(K549,'⚙️ Pengaturan'!$E$2:$E800,'⚙️ Pengaturan'!$F$2:$F800),"")</f>
        <v>250000</v>
      </c>
      <c r="Q549" s="81">
        <f t="shared" si="9"/>
        <v>0</v>
      </c>
      <c r="R549" s="26" t="s">
        <v>33</v>
      </c>
      <c r="S549" s="38" t="s">
        <v>34</v>
      </c>
      <c r="T549" s="35" t="b">
        <v>1</v>
      </c>
      <c r="U549" s="36"/>
    </row>
    <row r="550" ht="30.0" customHeight="1">
      <c r="A550" s="24"/>
      <c r="B550" s="25">
        <v>2655.0</v>
      </c>
      <c r="C550" s="26" t="s">
        <v>40</v>
      </c>
      <c r="D550" s="27">
        <v>46062.0</v>
      </c>
      <c r="E550" s="28" t="str">
        <f t="shared" si="1"/>
        <v>2026</v>
      </c>
      <c r="F550" s="28" t="str">
        <f t="shared" si="2"/>
        <v>02 Feb</v>
      </c>
      <c r="G550" s="50" t="s">
        <v>29</v>
      </c>
      <c r="H550" s="29" t="s">
        <v>42</v>
      </c>
      <c r="I550" s="29" t="s">
        <v>417</v>
      </c>
      <c r="J550" s="75" t="s">
        <v>25</v>
      </c>
      <c r="K550" s="76" t="s">
        <v>26</v>
      </c>
      <c r="L550" s="77" t="str">
        <f t="shared" si="3"/>
        <v>TA KLINIK</v>
      </c>
      <c r="M550" s="78" t="s">
        <v>27</v>
      </c>
      <c r="N550" s="79">
        <v>250000.0</v>
      </c>
      <c r="O550" s="80">
        <v>0.0</v>
      </c>
      <c r="P550" s="32">
        <f t="array" ref="P550">IFNA(XLOOKUP(K550,'⚙️ Pengaturan'!$E$2:$E800,'⚙️ Pengaturan'!$F$2:$F800),"")</f>
        <v>250000</v>
      </c>
      <c r="Q550" s="81">
        <f t="shared" si="9"/>
        <v>0</v>
      </c>
      <c r="R550" s="26" t="s">
        <v>33</v>
      </c>
      <c r="S550" s="38" t="s">
        <v>34</v>
      </c>
      <c r="T550" s="35" t="b">
        <v>1</v>
      </c>
      <c r="U550" s="36"/>
    </row>
    <row r="551" ht="30.0" customHeight="1">
      <c r="A551" s="24"/>
      <c r="B551" s="25">
        <v>2656.0</v>
      </c>
      <c r="C551" s="26" t="s">
        <v>40</v>
      </c>
      <c r="D551" s="27">
        <v>46062.0</v>
      </c>
      <c r="E551" s="28" t="str">
        <f t="shared" si="1"/>
        <v>2026</v>
      </c>
      <c r="F551" s="28" t="str">
        <f t="shared" si="2"/>
        <v>02 Feb</v>
      </c>
      <c r="G551" s="50" t="s">
        <v>67</v>
      </c>
      <c r="H551" s="29" t="s">
        <v>42</v>
      </c>
      <c r="I551" s="29" t="s">
        <v>418</v>
      </c>
      <c r="J551" s="75" t="s">
        <v>25</v>
      </c>
      <c r="K551" s="76" t="s">
        <v>26</v>
      </c>
      <c r="L551" s="77" t="str">
        <f t="shared" si="3"/>
        <v>TA KLINIK</v>
      </c>
      <c r="M551" s="78" t="s">
        <v>27</v>
      </c>
      <c r="N551" s="79">
        <v>250000.0</v>
      </c>
      <c r="O551" s="80">
        <v>0.0</v>
      </c>
      <c r="P551" s="32">
        <f t="array" ref="P551">IFNA(XLOOKUP(K551,'⚙️ Pengaturan'!$E$2:$E800,'⚙️ Pengaturan'!$F$2:$F800),"")</f>
        <v>250000</v>
      </c>
      <c r="Q551" s="81">
        <f t="shared" si="9"/>
        <v>0</v>
      </c>
      <c r="R551" s="26" t="s">
        <v>33</v>
      </c>
      <c r="S551" s="38" t="s">
        <v>34</v>
      </c>
      <c r="T551" s="35" t="b">
        <v>1</v>
      </c>
      <c r="U551" s="36"/>
    </row>
    <row r="552" ht="30.0" customHeight="1">
      <c r="A552" s="24"/>
      <c r="B552" s="25">
        <v>2657.0</v>
      </c>
      <c r="C552" s="26" t="s">
        <v>21</v>
      </c>
      <c r="D552" s="27">
        <v>46062.0</v>
      </c>
      <c r="E552" s="28" t="str">
        <f t="shared" si="1"/>
        <v>2026</v>
      </c>
      <c r="F552" s="28" t="str">
        <f t="shared" si="2"/>
        <v>02 Feb</v>
      </c>
      <c r="G552" s="50" t="s">
        <v>41</v>
      </c>
      <c r="H552" s="29" t="s">
        <v>345</v>
      </c>
      <c r="I552" s="29" t="s">
        <v>125</v>
      </c>
      <c r="J552" s="75" t="s">
        <v>25</v>
      </c>
      <c r="K552" s="76" t="s">
        <v>369</v>
      </c>
      <c r="L552" s="77" t="str">
        <f t="shared" si="3"/>
        <v>SESI KLINIK</v>
      </c>
      <c r="M552" s="78" t="s">
        <v>27</v>
      </c>
      <c r="N552" s="79">
        <v>180000.0</v>
      </c>
      <c r="O552" s="80">
        <v>0.0</v>
      </c>
      <c r="P552" s="32">
        <f t="array" ref="P552">IFNA(XLOOKUP(K552,'⚙️ Pengaturan'!$E$2:$E800,'⚙️ Pengaturan'!$F$2:$F800),"")</f>
        <v>180000</v>
      </c>
      <c r="Q552" s="81">
        <f t="shared" si="9"/>
        <v>0</v>
      </c>
      <c r="R552" s="26" t="s">
        <v>28</v>
      </c>
      <c r="S552" s="38" t="s">
        <v>125</v>
      </c>
      <c r="T552" s="35" t="b">
        <v>1</v>
      </c>
      <c r="U552" s="36"/>
    </row>
    <row r="553" ht="30.0" customHeight="1">
      <c r="A553" s="24"/>
      <c r="B553" s="25">
        <v>2658.0</v>
      </c>
      <c r="C553" s="26" t="s">
        <v>21</v>
      </c>
      <c r="D553" s="27">
        <v>46062.0</v>
      </c>
      <c r="E553" s="28" t="str">
        <f t="shared" si="1"/>
        <v>2026</v>
      </c>
      <c r="F553" s="28" t="str">
        <f t="shared" si="2"/>
        <v>02 Feb</v>
      </c>
      <c r="G553" s="50" t="s">
        <v>41</v>
      </c>
      <c r="H553" s="29" t="s">
        <v>70</v>
      </c>
      <c r="I553" s="29" t="s">
        <v>407</v>
      </c>
      <c r="J553" s="75" t="s">
        <v>25</v>
      </c>
      <c r="K553" s="76" t="s">
        <v>369</v>
      </c>
      <c r="L553" s="77" t="str">
        <f t="shared" si="3"/>
        <v>SESI KLINIK</v>
      </c>
      <c r="M553" s="78" t="s">
        <v>27</v>
      </c>
      <c r="N553" s="79">
        <v>180000.0</v>
      </c>
      <c r="O553" s="80">
        <v>0.0</v>
      </c>
      <c r="P553" s="32">
        <f t="array" ref="P553">IFNA(XLOOKUP(K553,'⚙️ Pengaturan'!$E$2:$E800,'⚙️ Pengaturan'!$F$2:$F800),"")</f>
        <v>180000</v>
      </c>
      <c r="Q553" s="81">
        <f t="shared" si="9"/>
        <v>0</v>
      </c>
      <c r="R553" s="26" t="s">
        <v>28</v>
      </c>
      <c r="S553" s="38" t="s">
        <v>407</v>
      </c>
      <c r="T553" s="35" t="b">
        <v>1</v>
      </c>
      <c r="U553" s="36"/>
    </row>
    <row r="554" ht="30.0" customHeight="1">
      <c r="A554" s="24"/>
      <c r="B554" s="25">
        <v>2659.0</v>
      </c>
      <c r="C554" s="26" t="s">
        <v>21</v>
      </c>
      <c r="D554" s="27">
        <v>46062.0</v>
      </c>
      <c r="E554" s="28" t="str">
        <f t="shared" si="1"/>
        <v>2026</v>
      </c>
      <c r="F554" s="28" t="str">
        <f t="shared" si="2"/>
        <v>02 Feb</v>
      </c>
      <c r="G554" s="50" t="s">
        <v>46</v>
      </c>
      <c r="H554" s="29" t="s">
        <v>70</v>
      </c>
      <c r="I554" s="29" t="s">
        <v>71</v>
      </c>
      <c r="J554" s="75" t="s">
        <v>76</v>
      </c>
      <c r="K554" s="76" t="s">
        <v>39</v>
      </c>
      <c r="L554" s="77" t="str">
        <f t="shared" si="3"/>
        <v>PAKET KLINIK</v>
      </c>
      <c r="M554" s="78" t="s">
        <v>27</v>
      </c>
      <c r="N554" s="79">
        <v>650000.0</v>
      </c>
      <c r="O554" s="80">
        <v>0.0</v>
      </c>
      <c r="P554" s="32">
        <f t="array" ref="P554">IFNA(XLOOKUP(K554,'⚙️ Pengaturan'!$E$2:$E800,'⚙️ Pengaturan'!$F$2:$F800),"")</f>
        <v>650000</v>
      </c>
      <c r="Q554" s="81">
        <f t="shared" si="9"/>
        <v>0</v>
      </c>
      <c r="R554" s="26" t="s">
        <v>28</v>
      </c>
      <c r="S554" s="38" t="s">
        <v>268</v>
      </c>
      <c r="T554" s="35" t="b">
        <v>1</v>
      </c>
      <c r="U554" s="36"/>
    </row>
    <row r="555" ht="30.0" customHeight="1">
      <c r="A555" s="24"/>
      <c r="B555" s="25">
        <v>2660.0</v>
      </c>
      <c r="C555" s="26" t="s">
        <v>21</v>
      </c>
      <c r="D555" s="27">
        <v>46062.0</v>
      </c>
      <c r="E555" s="28" t="str">
        <f t="shared" si="1"/>
        <v>2026</v>
      </c>
      <c r="F555" s="28" t="str">
        <f t="shared" si="2"/>
        <v>02 Feb</v>
      </c>
      <c r="G555" s="50" t="s">
        <v>56</v>
      </c>
      <c r="H555" s="29" t="s">
        <v>345</v>
      </c>
      <c r="I555" s="29" t="s">
        <v>419</v>
      </c>
      <c r="J555" s="75" t="s">
        <v>25</v>
      </c>
      <c r="K555" s="76" t="s">
        <v>26</v>
      </c>
      <c r="L555" s="77" t="str">
        <f t="shared" si="3"/>
        <v>TA KLINIK</v>
      </c>
      <c r="M555" s="78" t="s">
        <v>27</v>
      </c>
      <c r="N555" s="79">
        <v>250000.0</v>
      </c>
      <c r="O555" s="80">
        <v>0.0</v>
      </c>
      <c r="P555" s="32">
        <f t="array" ref="P555">IFNA(XLOOKUP(K555,'⚙️ Pengaturan'!$E$2:$E800,'⚙️ Pengaturan'!$F$2:$F800),"")</f>
        <v>250000</v>
      </c>
      <c r="Q555" s="81">
        <f t="shared" si="9"/>
        <v>0</v>
      </c>
      <c r="R555" s="26" t="s">
        <v>28</v>
      </c>
      <c r="S555" s="38" t="s">
        <v>420</v>
      </c>
      <c r="T555" s="35" t="b">
        <v>1</v>
      </c>
      <c r="U555" s="36"/>
    </row>
    <row r="556" ht="30.0" customHeight="1">
      <c r="A556" s="24"/>
      <c r="B556" s="25">
        <v>2661.0</v>
      </c>
      <c r="C556" s="26" t="s">
        <v>21</v>
      </c>
      <c r="D556" s="27">
        <v>46062.0</v>
      </c>
      <c r="E556" s="28" t="str">
        <f t="shared" si="1"/>
        <v>2026</v>
      </c>
      <c r="F556" s="28" t="str">
        <f t="shared" si="2"/>
        <v>02 Feb</v>
      </c>
      <c r="G556" s="50" t="s">
        <v>56</v>
      </c>
      <c r="H556" s="29" t="s">
        <v>70</v>
      </c>
      <c r="I556" s="29" t="s">
        <v>421</v>
      </c>
      <c r="J556" s="75" t="s">
        <v>25</v>
      </c>
      <c r="K556" s="76" t="s">
        <v>26</v>
      </c>
      <c r="L556" s="77" t="str">
        <f t="shared" si="3"/>
        <v>TA KLINIK</v>
      </c>
      <c r="M556" s="78" t="s">
        <v>27</v>
      </c>
      <c r="N556" s="79">
        <v>250000.0</v>
      </c>
      <c r="O556" s="80">
        <v>0.0</v>
      </c>
      <c r="P556" s="32">
        <f t="array" ref="P556">IFNA(XLOOKUP(K556,'⚙️ Pengaturan'!$E$2:$E800,'⚙️ Pengaturan'!$F$2:$F800),"")</f>
        <v>250000</v>
      </c>
      <c r="Q556" s="81">
        <f t="shared" si="9"/>
        <v>0</v>
      </c>
      <c r="R556" s="26" t="s">
        <v>28</v>
      </c>
      <c r="S556" s="38" t="s">
        <v>421</v>
      </c>
      <c r="T556" s="35" t="b">
        <v>1</v>
      </c>
      <c r="U556" s="36"/>
    </row>
    <row r="557" ht="30.0" customHeight="1">
      <c r="A557" s="24"/>
      <c r="B557" s="25">
        <v>2662.0</v>
      </c>
      <c r="C557" s="26" t="s">
        <v>21</v>
      </c>
      <c r="D557" s="27">
        <v>46062.0</v>
      </c>
      <c r="E557" s="28" t="str">
        <f t="shared" si="1"/>
        <v>2026</v>
      </c>
      <c r="F557" s="28" t="str">
        <f t="shared" si="2"/>
        <v>02 Feb</v>
      </c>
      <c r="G557" s="50" t="s">
        <v>56</v>
      </c>
      <c r="H557" s="29" t="s">
        <v>30</v>
      </c>
      <c r="I557" s="29" t="s">
        <v>422</v>
      </c>
      <c r="J557" s="75" t="s">
        <v>25</v>
      </c>
      <c r="K557" s="76" t="s">
        <v>26</v>
      </c>
      <c r="L557" s="77" t="str">
        <f t="shared" si="3"/>
        <v>TA KLINIK</v>
      </c>
      <c r="M557" s="78" t="s">
        <v>27</v>
      </c>
      <c r="N557" s="79">
        <v>250000.0</v>
      </c>
      <c r="O557" s="80">
        <v>0.0</v>
      </c>
      <c r="P557" s="32">
        <f t="array" ref="P557">IFNA(XLOOKUP(K557,'⚙️ Pengaturan'!$E$2:$E800,'⚙️ Pengaturan'!$F$2:$F800),"")</f>
        <v>250000</v>
      </c>
      <c r="Q557" s="81">
        <f t="shared" si="9"/>
        <v>0</v>
      </c>
      <c r="R557" s="26" t="s">
        <v>33</v>
      </c>
      <c r="S557" s="38" t="s">
        <v>34</v>
      </c>
      <c r="T557" s="35" t="b">
        <v>1</v>
      </c>
      <c r="U557" s="36"/>
    </row>
    <row r="558" ht="30.0" customHeight="1">
      <c r="A558" s="24"/>
      <c r="B558" s="25">
        <v>2663.0</v>
      </c>
      <c r="C558" s="26" t="s">
        <v>21</v>
      </c>
      <c r="D558" s="27">
        <v>46062.0</v>
      </c>
      <c r="E558" s="28" t="str">
        <f t="shared" si="1"/>
        <v>2026</v>
      </c>
      <c r="F558" s="28" t="str">
        <f t="shared" si="2"/>
        <v>02 Feb</v>
      </c>
      <c r="G558" s="50" t="s">
        <v>56</v>
      </c>
      <c r="H558" s="29" t="s">
        <v>30</v>
      </c>
      <c r="I558" s="29" t="s">
        <v>422</v>
      </c>
      <c r="J558" s="75" t="s">
        <v>25</v>
      </c>
      <c r="K558" s="76" t="s">
        <v>395</v>
      </c>
      <c r="L558" s="77" t="str">
        <f t="shared" si="3"/>
        <v>PAKET KLINIK</v>
      </c>
      <c r="M558" s="78" t="s">
        <v>27</v>
      </c>
      <c r="N558" s="79">
        <v>750000.0</v>
      </c>
      <c r="O558" s="80">
        <v>0.0</v>
      </c>
      <c r="P558" s="32">
        <f t="array" ref="P558">IFNA(XLOOKUP(K558,'⚙️ Pengaturan'!$E$2:$E800,'⚙️ Pengaturan'!$F$2:$F800),"")</f>
        <v>750000</v>
      </c>
      <c r="Q558" s="81">
        <f t="shared" si="9"/>
        <v>0</v>
      </c>
      <c r="R558" s="26" t="s">
        <v>33</v>
      </c>
      <c r="S558" s="38" t="s">
        <v>34</v>
      </c>
      <c r="T558" s="35" t="b">
        <v>1</v>
      </c>
      <c r="U558" s="36"/>
    </row>
    <row r="559" ht="30.0" customHeight="1">
      <c r="A559" s="24"/>
      <c r="B559" s="25">
        <v>2664.0</v>
      </c>
      <c r="C559" s="26" t="s">
        <v>21</v>
      </c>
      <c r="D559" s="27">
        <v>46062.0</v>
      </c>
      <c r="E559" s="28" t="str">
        <f t="shared" si="1"/>
        <v>2026</v>
      </c>
      <c r="F559" s="28" t="str">
        <f t="shared" si="2"/>
        <v>02 Feb</v>
      </c>
      <c r="G559" s="50" t="s">
        <v>53</v>
      </c>
      <c r="H559" s="29" t="s">
        <v>70</v>
      </c>
      <c r="I559" s="29" t="s">
        <v>59</v>
      </c>
      <c r="J559" s="75" t="s">
        <v>25</v>
      </c>
      <c r="K559" s="76" t="s">
        <v>369</v>
      </c>
      <c r="L559" s="77" t="str">
        <f t="shared" si="3"/>
        <v>SESI KLINIK</v>
      </c>
      <c r="M559" s="78" t="s">
        <v>27</v>
      </c>
      <c r="N559" s="79">
        <v>180000.0</v>
      </c>
      <c r="O559" s="80">
        <v>0.0</v>
      </c>
      <c r="P559" s="32">
        <f t="array" ref="P559">IFNA(XLOOKUP(K559,'⚙️ Pengaturan'!$E$2:$E800,'⚙️ Pengaturan'!$F$2:$F800),"")</f>
        <v>180000</v>
      </c>
      <c r="Q559" s="81">
        <f t="shared" si="9"/>
        <v>0</v>
      </c>
      <c r="R559" s="26" t="s">
        <v>33</v>
      </c>
      <c r="S559" s="38" t="s">
        <v>34</v>
      </c>
      <c r="T559" s="35" t="b">
        <v>1</v>
      </c>
      <c r="U559" s="36"/>
    </row>
    <row r="560" ht="30.0" customHeight="1">
      <c r="A560" s="24"/>
      <c r="B560" s="25">
        <v>2665.0</v>
      </c>
      <c r="C560" s="26" t="s">
        <v>21</v>
      </c>
      <c r="D560" s="27">
        <v>46062.0</v>
      </c>
      <c r="E560" s="28" t="str">
        <f t="shared" si="1"/>
        <v>2026</v>
      </c>
      <c r="F560" s="28" t="str">
        <f t="shared" si="2"/>
        <v>02 Feb</v>
      </c>
      <c r="G560" s="50" t="s">
        <v>53</v>
      </c>
      <c r="H560" s="29" t="s">
        <v>30</v>
      </c>
      <c r="I560" s="29" t="s">
        <v>423</v>
      </c>
      <c r="J560" s="75" t="s">
        <v>25</v>
      </c>
      <c r="K560" s="76" t="s">
        <v>26</v>
      </c>
      <c r="L560" s="77" t="str">
        <f t="shared" si="3"/>
        <v>TA KLINIK</v>
      </c>
      <c r="M560" s="78" t="s">
        <v>27</v>
      </c>
      <c r="N560" s="79">
        <v>250000.0</v>
      </c>
      <c r="O560" s="80">
        <v>0.0</v>
      </c>
      <c r="P560" s="32">
        <f t="array" ref="P560">IFNA(XLOOKUP(K560,'⚙️ Pengaturan'!$E$2:$E800,'⚙️ Pengaturan'!$F$2:$F800),"")</f>
        <v>250000</v>
      </c>
      <c r="Q560" s="81">
        <f t="shared" si="9"/>
        <v>0</v>
      </c>
      <c r="R560" s="26" t="s">
        <v>33</v>
      </c>
      <c r="S560" s="38" t="s">
        <v>34</v>
      </c>
      <c r="T560" s="35" t="b">
        <v>1</v>
      </c>
      <c r="U560" s="36"/>
    </row>
    <row r="561" ht="30.0" customHeight="1">
      <c r="A561" s="24"/>
      <c r="B561" s="25">
        <v>2666.0</v>
      </c>
      <c r="C561" s="26" t="s">
        <v>21</v>
      </c>
      <c r="D561" s="27">
        <v>46062.0</v>
      </c>
      <c r="E561" s="28" t="str">
        <f t="shared" si="1"/>
        <v>2026</v>
      </c>
      <c r="F561" s="28" t="str">
        <f t="shared" si="2"/>
        <v>02 Feb</v>
      </c>
      <c r="G561" s="50" t="s">
        <v>56</v>
      </c>
      <c r="H561" s="29" t="s">
        <v>23</v>
      </c>
      <c r="I561" s="29" t="s">
        <v>281</v>
      </c>
      <c r="J561" s="75" t="s">
        <v>76</v>
      </c>
      <c r="K561" s="76" t="s">
        <v>32</v>
      </c>
      <c r="L561" s="77" t="str">
        <f t="shared" si="3"/>
        <v>SESI KLINIK</v>
      </c>
      <c r="M561" s="78" t="s">
        <v>27</v>
      </c>
      <c r="N561" s="79">
        <v>150000.0</v>
      </c>
      <c r="O561" s="80">
        <v>0.0</v>
      </c>
      <c r="P561" s="32">
        <f t="array" ref="P561">IFNA(XLOOKUP(K561,'⚙️ Pengaturan'!$E$2:$E800,'⚙️ Pengaturan'!$F$2:$F800),"")</f>
        <v>150000</v>
      </c>
      <c r="Q561" s="81">
        <f t="shared" si="9"/>
        <v>0</v>
      </c>
      <c r="R561" s="26" t="s">
        <v>33</v>
      </c>
      <c r="S561" s="38" t="s">
        <v>34</v>
      </c>
      <c r="T561" s="35" t="b">
        <v>1</v>
      </c>
      <c r="U561" s="36"/>
    </row>
    <row r="562" ht="30.0" customHeight="1">
      <c r="A562" s="24"/>
      <c r="B562" s="25">
        <v>2667.0</v>
      </c>
      <c r="C562" s="26" t="s">
        <v>21</v>
      </c>
      <c r="D562" s="27">
        <v>46062.0</v>
      </c>
      <c r="E562" s="28" t="str">
        <f t="shared" si="1"/>
        <v>2026</v>
      </c>
      <c r="F562" s="28" t="str">
        <f t="shared" si="2"/>
        <v>02 Feb</v>
      </c>
      <c r="G562" s="50" t="s">
        <v>61</v>
      </c>
      <c r="H562" s="29" t="s">
        <v>68</v>
      </c>
      <c r="I562" s="29" t="s">
        <v>282</v>
      </c>
      <c r="J562" s="75" t="s">
        <v>76</v>
      </c>
      <c r="K562" s="76" t="s">
        <v>39</v>
      </c>
      <c r="L562" s="77" t="str">
        <f t="shared" si="3"/>
        <v>PAKET KLINIK</v>
      </c>
      <c r="M562" s="78" t="s">
        <v>86</v>
      </c>
      <c r="N562" s="79">
        <v>200000.0</v>
      </c>
      <c r="O562" s="80">
        <v>0.0</v>
      </c>
      <c r="P562" s="32">
        <f t="array" ref="P562">IFNA(XLOOKUP(K562,'⚙️ Pengaturan'!$E$2:$E800,'⚙️ Pengaturan'!$F$2:$F800),"")</f>
        <v>650000</v>
      </c>
      <c r="Q562" s="81">
        <f t="shared" si="9"/>
        <v>-450000</v>
      </c>
      <c r="R562" s="26" t="s">
        <v>33</v>
      </c>
      <c r="S562" s="38" t="s">
        <v>34</v>
      </c>
      <c r="T562" s="35" t="b">
        <v>1</v>
      </c>
      <c r="U562" s="36"/>
    </row>
    <row r="563" ht="30.0" customHeight="1">
      <c r="A563" s="24"/>
      <c r="B563" s="25">
        <v>2668.0</v>
      </c>
      <c r="C563" s="26" t="s">
        <v>21</v>
      </c>
      <c r="D563" s="27">
        <v>46062.0</v>
      </c>
      <c r="E563" s="28" t="str">
        <f t="shared" si="1"/>
        <v>2026</v>
      </c>
      <c r="F563" s="28" t="str">
        <f t="shared" si="2"/>
        <v>02 Feb</v>
      </c>
      <c r="G563" s="50" t="s">
        <v>61</v>
      </c>
      <c r="H563" s="29" t="s">
        <v>345</v>
      </c>
      <c r="I563" s="29" t="s">
        <v>424</v>
      </c>
      <c r="J563" s="75" t="s">
        <v>25</v>
      </c>
      <c r="K563" s="76" t="s">
        <v>26</v>
      </c>
      <c r="L563" s="77" t="str">
        <f t="shared" si="3"/>
        <v>TA KLINIK</v>
      </c>
      <c r="M563" s="78" t="s">
        <v>27</v>
      </c>
      <c r="N563" s="79">
        <v>250000.0</v>
      </c>
      <c r="O563" s="80">
        <v>0.0</v>
      </c>
      <c r="P563" s="32">
        <f t="array" ref="P563">IFNA(XLOOKUP(K563,'⚙️ Pengaturan'!$E$2:$E800,'⚙️ Pengaturan'!$F$2:$F800),"")</f>
        <v>250000</v>
      </c>
      <c r="Q563" s="81">
        <f t="shared" si="9"/>
        <v>0</v>
      </c>
      <c r="R563" s="26" t="s">
        <v>28</v>
      </c>
      <c r="S563" s="38" t="s">
        <v>424</v>
      </c>
      <c r="T563" s="35" t="b">
        <v>1</v>
      </c>
      <c r="U563" s="36"/>
    </row>
    <row r="564" ht="30.0" customHeight="1">
      <c r="A564" s="24"/>
      <c r="B564" s="25">
        <v>2669.0</v>
      </c>
      <c r="C564" s="26" t="s">
        <v>21</v>
      </c>
      <c r="D564" s="27">
        <v>46062.0</v>
      </c>
      <c r="E564" s="28" t="str">
        <f t="shared" si="1"/>
        <v>2026</v>
      </c>
      <c r="F564" s="28" t="str">
        <f t="shared" si="2"/>
        <v>02 Feb</v>
      </c>
      <c r="G564" s="50" t="s">
        <v>61</v>
      </c>
      <c r="H564" s="29" t="s">
        <v>23</v>
      </c>
      <c r="I564" s="29" t="s">
        <v>406</v>
      </c>
      <c r="J564" s="75" t="s">
        <v>25</v>
      </c>
      <c r="K564" s="76" t="s">
        <v>397</v>
      </c>
      <c r="L564" s="77" t="str">
        <f t="shared" si="3"/>
        <v>PAKET KLINIK</v>
      </c>
      <c r="M564" s="78" t="s">
        <v>27</v>
      </c>
      <c r="N564" s="79">
        <v>1300000.0</v>
      </c>
      <c r="O564" s="80">
        <v>0.0</v>
      </c>
      <c r="P564" s="32">
        <f t="array" ref="P564">IFNA(XLOOKUP(K564,'⚙️ Pengaturan'!$E$2:$E800,'⚙️ Pengaturan'!$F$2:$F800),"")</f>
        <v>1300000</v>
      </c>
      <c r="Q564" s="81">
        <f t="shared" si="9"/>
        <v>0</v>
      </c>
      <c r="R564" s="26" t="s">
        <v>28</v>
      </c>
      <c r="S564" s="38" t="s">
        <v>406</v>
      </c>
      <c r="T564" s="35" t="b">
        <v>1</v>
      </c>
      <c r="U564" s="36"/>
    </row>
    <row r="565" ht="30.0" customHeight="1">
      <c r="A565" s="24"/>
      <c r="B565" s="25">
        <v>2670.0</v>
      </c>
      <c r="C565" s="26" t="s">
        <v>21</v>
      </c>
      <c r="D565" s="27">
        <v>46063.0</v>
      </c>
      <c r="E565" s="28" t="str">
        <f t="shared" si="1"/>
        <v>2026</v>
      </c>
      <c r="F565" s="28" t="str">
        <f t="shared" si="2"/>
        <v>02 Feb</v>
      </c>
      <c r="G565" s="50" t="s">
        <v>67</v>
      </c>
      <c r="H565" s="29" t="s">
        <v>345</v>
      </c>
      <c r="I565" s="29" t="s">
        <v>425</v>
      </c>
      <c r="J565" s="75" t="s">
        <v>25</v>
      </c>
      <c r="K565" s="76" t="s">
        <v>26</v>
      </c>
      <c r="L565" s="77" t="str">
        <f t="shared" si="3"/>
        <v>TA KLINIK</v>
      </c>
      <c r="M565" s="78" t="s">
        <v>27</v>
      </c>
      <c r="N565" s="79">
        <v>250000.0</v>
      </c>
      <c r="O565" s="80">
        <v>0.0</v>
      </c>
      <c r="P565" s="32">
        <f t="array" ref="P565">IFNA(XLOOKUP(K565,'⚙️ Pengaturan'!$E$2:$E800,'⚙️ Pengaturan'!$F$2:$F800),"")</f>
        <v>250000</v>
      </c>
      <c r="Q565" s="81">
        <f t="shared" si="9"/>
        <v>0</v>
      </c>
      <c r="R565" s="26" t="s">
        <v>28</v>
      </c>
      <c r="S565" s="38" t="s">
        <v>425</v>
      </c>
      <c r="T565" s="35" t="b">
        <v>1</v>
      </c>
      <c r="U565" s="36"/>
    </row>
    <row r="566" ht="30.0" customHeight="1">
      <c r="A566" s="24"/>
      <c r="B566" s="25">
        <v>2671.0</v>
      </c>
      <c r="C566" s="26" t="s">
        <v>21</v>
      </c>
      <c r="D566" s="27">
        <v>46063.0</v>
      </c>
      <c r="E566" s="28" t="str">
        <f t="shared" si="1"/>
        <v>2026</v>
      </c>
      <c r="F566" s="28" t="str">
        <f t="shared" si="2"/>
        <v>02 Feb</v>
      </c>
      <c r="G566" s="50" t="s">
        <v>22</v>
      </c>
      <c r="H566" s="29" t="s">
        <v>23</v>
      </c>
      <c r="I566" s="29" t="s">
        <v>279</v>
      </c>
      <c r="J566" s="75" t="s">
        <v>25</v>
      </c>
      <c r="K566" s="76" t="s">
        <v>32</v>
      </c>
      <c r="L566" s="77" t="str">
        <f t="shared" si="3"/>
        <v>SESI KLINIK</v>
      </c>
      <c r="M566" s="78" t="s">
        <v>27</v>
      </c>
      <c r="N566" s="79">
        <v>150000.0</v>
      </c>
      <c r="O566" s="80">
        <v>0.0</v>
      </c>
      <c r="P566" s="32">
        <f t="array" ref="P566">IFNA(XLOOKUP(K566,'⚙️ Pengaturan'!$E$2:$E800,'⚙️ Pengaturan'!$F$2:$F800),"")</f>
        <v>150000</v>
      </c>
      <c r="Q566" s="81">
        <f t="shared" si="9"/>
        <v>0</v>
      </c>
      <c r="R566" s="26" t="s">
        <v>33</v>
      </c>
      <c r="S566" s="38" t="s">
        <v>34</v>
      </c>
      <c r="T566" s="35" t="b">
        <v>1</v>
      </c>
      <c r="U566" s="36"/>
    </row>
    <row r="567" ht="30.0" customHeight="1">
      <c r="A567" s="24"/>
      <c r="B567" s="25">
        <v>2672.0</v>
      </c>
      <c r="C567" s="26" t="s">
        <v>21</v>
      </c>
      <c r="D567" s="27">
        <v>46063.0</v>
      </c>
      <c r="E567" s="28" t="str">
        <f t="shared" si="1"/>
        <v>2026</v>
      </c>
      <c r="F567" s="28" t="str">
        <f t="shared" si="2"/>
        <v>02 Feb</v>
      </c>
      <c r="G567" s="50" t="s">
        <v>29</v>
      </c>
      <c r="H567" s="29" t="s">
        <v>70</v>
      </c>
      <c r="I567" s="29" t="s">
        <v>410</v>
      </c>
      <c r="J567" s="75" t="s">
        <v>25</v>
      </c>
      <c r="K567" s="76" t="s">
        <v>369</v>
      </c>
      <c r="L567" s="77" t="str">
        <f t="shared" si="3"/>
        <v>SESI KLINIK</v>
      </c>
      <c r="M567" s="78" t="s">
        <v>27</v>
      </c>
      <c r="N567" s="79">
        <v>180000.0</v>
      </c>
      <c r="O567" s="80">
        <v>0.0</v>
      </c>
      <c r="P567" s="32">
        <f t="array" ref="P567">IFNA(XLOOKUP(K567,'⚙️ Pengaturan'!$E$2:$E800,'⚙️ Pengaturan'!$F$2:$F800),"")</f>
        <v>180000</v>
      </c>
      <c r="Q567" s="81">
        <f t="shared" si="9"/>
        <v>0</v>
      </c>
      <c r="R567" s="26" t="s">
        <v>33</v>
      </c>
      <c r="S567" s="38" t="s">
        <v>34</v>
      </c>
      <c r="T567" s="35" t="b">
        <v>1</v>
      </c>
      <c r="U567" s="36"/>
    </row>
    <row r="568" ht="30.0" customHeight="1">
      <c r="A568" s="24"/>
      <c r="B568" s="25">
        <v>2673.0</v>
      </c>
      <c r="C568" s="26" t="s">
        <v>21</v>
      </c>
      <c r="D568" s="27">
        <v>46063.0</v>
      </c>
      <c r="E568" s="28" t="str">
        <f t="shared" si="1"/>
        <v>2026</v>
      </c>
      <c r="F568" s="28" t="str">
        <f t="shared" si="2"/>
        <v>02 Feb</v>
      </c>
      <c r="G568" s="50" t="s">
        <v>29</v>
      </c>
      <c r="H568" s="29" t="s">
        <v>30</v>
      </c>
      <c r="I568" s="29" t="s">
        <v>411</v>
      </c>
      <c r="J568" s="75" t="s">
        <v>25</v>
      </c>
      <c r="K568" s="76" t="s">
        <v>395</v>
      </c>
      <c r="L568" s="77" t="str">
        <f t="shared" si="3"/>
        <v>PAKET KLINIK</v>
      </c>
      <c r="M568" s="78" t="s">
        <v>86</v>
      </c>
      <c r="N568" s="79">
        <v>300000.0</v>
      </c>
      <c r="O568" s="80">
        <v>0.0</v>
      </c>
      <c r="P568" s="32">
        <f t="array" ref="P568">IFNA(XLOOKUP(K568,'⚙️ Pengaturan'!$E$2:$E800,'⚙️ Pengaturan'!$F$2:$F800),"")</f>
        <v>750000</v>
      </c>
      <c r="Q568" s="81">
        <f t="shared" si="9"/>
        <v>-450000</v>
      </c>
      <c r="R568" s="26" t="s">
        <v>28</v>
      </c>
      <c r="S568" s="38" t="s">
        <v>412</v>
      </c>
      <c r="T568" s="35" t="b">
        <v>1</v>
      </c>
      <c r="U568" s="36"/>
    </row>
    <row r="569" ht="30.0" customHeight="1">
      <c r="A569" s="24"/>
      <c r="B569" s="25">
        <v>2674.0</v>
      </c>
      <c r="C569" s="26" t="s">
        <v>21</v>
      </c>
      <c r="D569" s="27">
        <v>46063.0</v>
      </c>
      <c r="E569" s="28" t="str">
        <f t="shared" si="1"/>
        <v>2026</v>
      </c>
      <c r="F569" s="28" t="str">
        <f t="shared" si="2"/>
        <v>02 Feb</v>
      </c>
      <c r="G569" s="50" t="s">
        <v>37</v>
      </c>
      <c r="H569" s="29" t="s">
        <v>30</v>
      </c>
      <c r="I569" s="29" t="s">
        <v>340</v>
      </c>
      <c r="J569" s="75" t="s">
        <v>76</v>
      </c>
      <c r="K569" s="76" t="s">
        <v>178</v>
      </c>
      <c r="L569" s="77" t="str">
        <f t="shared" si="3"/>
        <v>PAKET VISIT</v>
      </c>
      <c r="M569" s="78" t="s">
        <v>27</v>
      </c>
      <c r="N569" s="79">
        <v>2300000.0</v>
      </c>
      <c r="O569" s="80">
        <v>0.0</v>
      </c>
      <c r="P569" s="32">
        <f t="array" ref="P569">IFNA(XLOOKUP(K569,'⚙️ Pengaturan'!$E$2:$E800,'⚙️ Pengaturan'!$F$2:$F800),"")</f>
        <v>2300000</v>
      </c>
      <c r="Q569" s="81">
        <f t="shared" si="9"/>
        <v>0</v>
      </c>
      <c r="R569" s="26" t="s">
        <v>28</v>
      </c>
      <c r="S569" s="38" t="s">
        <v>346</v>
      </c>
      <c r="T569" s="35" t="b">
        <v>1</v>
      </c>
      <c r="U569" s="36"/>
    </row>
    <row r="570" ht="30.0" customHeight="1">
      <c r="A570" s="24"/>
      <c r="B570" s="25">
        <v>2675.0</v>
      </c>
      <c r="C570" s="26" t="s">
        <v>21</v>
      </c>
      <c r="D570" s="27">
        <v>46063.0</v>
      </c>
      <c r="E570" s="28" t="str">
        <f t="shared" si="1"/>
        <v>2026</v>
      </c>
      <c r="F570" s="28" t="str">
        <f t="shared" si="2"/>
        <v>02 Feb</v>
      </c>
      <c r="G570" s="50" t="s">
        <v>82</v>
      </c>
      <c r="H570" s="29" t="s">
        <v>345</v>
      </c>
      <c r="I570" s="29" t="s">
        <v>426</v>
      </c>
      <c r="J570" s="75" t="s">
        <v>25</v>
      </c>
      <c r="K570" s="76" t="s">
        <v>26</v>
      </c>
      <c r="L570" s="77" t="str">
        <f t="shared" si="3"/>
        <v>TA KLINIK</v>
      </c>
      <c r="M570" s="78" t="s">
        <v>27</v>
      </c>
      <c r="N570" s="79">
        <v>50000.0</v>
      </c>
      <c r="O570" s="80">
        <v>200000.0</v>
      </c>
      <c r="P570" s="32">
        <f t="array" ref="P570">IFNA(XLOOKUP(K570,'⚙️ Pengaturan'!$E$2:$E800,'⚙️ Pengaturan'!$F$2:$F800),"")</f>
        <v>250000</v>
      </c>
      <c r="Q570" s="81">
        <f t="shared" si="9"/>
        <v>0</v>
      </c>
      <c r="R570" s="26" t="s">
        <v>33</v>
      </c>
      <c r="S570" s="38" t="s">
        <v>34</v>
      </c>
      <c r="T570" s="35" t="b">
        <v>1</v>
      </c>
      <c r="U570" s="36"/>
    </row>
    <row r="571" ht="30.0" customHeight="1">
      <c r="A571" s="24"/>
      <c r="B571" s="25">
        <v>2676.0</v>
      </c>
      <c r="C571" s="26" t="s">
        <v>21</v>
      </c>
      <c r="D571" s="27">
        <v>46063.0</v>
      </c>
      <c r="E571" s="28" t="str">
        <f t="shared" si="1"/>
        <v>2026</v>
      </c>
      <c r="F571" s="28" t="str">
        <f t="shared" si="2"/>
        <v>02 Feb</v>
      </c>
      <c r="G571" s="50" t="s">
        <v>82</v>
      </c>
      <c r="H571" s="29" t="s">
        <v>70</v>
      </c>
      <c r="I571" s="29" t="s">
        <v>59</v>
      </c>
      <c r="J571" s="75" t="s">
        <v>25</v>
      </c>
      <c r="K571" s="76" t="s">
        <v>369</v>
      </c>
      <c r="L571" s="77" t="str">
        <f t="shared" si="3"/>
        <v>SESI KLINIK</v>
      </c>
      <c r="M571" s="78" t="s">
        <v>27</v>
      </c>
      <c r="N571" s="79">
        <v>180000.0</v>
      </c>
      <c r="O571" s="80">
        <v>0.0</v>
      </c>
      <c r="P571" s="32">
        <f t="array" ref="P571">IFNA(XLOOKUP(K571,'⚙️ Pengaturan'!$E$2:$E800,'⚙️ Pengaturan'!$F$2:$F800),"")</f>
        <v>180000</v>
      </c>
      <c r="Q571" s="81">
        <f t="shared" si="9"/>
        <v>0</v>
      </c>
      <c r="R571" s="26" t="s">
        <v>33</v>
      </c>
      <c r="S571" s="38" t="s">
        <v>34</v>
      </c>
      <c r="T571" s="35" t="b">
        <v>1</v>
      </c>
      <c r="U571" s="36"/>
    </row>
    <row r="572" ht="30.0" customHeight="1">
      <c r="A572" s="24"/>
      <c r="B572" s="25">
        <v>2677.0</v>
      </c>
      <c r="C572" s="26" t="s">
        <v>21</v>
      </c>
      <c r="D572" s="27">
        <v>46063.0</v>
      </c>
      <c r="E572" s="28" t="str">
        <f t="shared" si="1"/>
        <v>2026</v>
      </c>
      <c r="F572" s="28" t="str">
        <f t="shared" si="2"/>
        <v>02 Feb</v>
      </c>
      <c r="G572" s="50" t="s">
        <v>82</v>
      </c>
      <c r="H572" s="29" t="s">
        <v>30</v>
      </c>
      <c r="I572" s="29" t="s">
        <v>423</v>
      </c>
      <c r="J572" s="75" t="s">
        <v>25</v>
      </c>
      <c r="K572" s="76" t="s">
        <v>369</v>
      </c>
      <c r="L572" s="77" t="str">
        <f t="shared" si="3"/>
        <v>SESI KLINIK</v>
      </c>
      <c r="M572" s="78" t="s">
        <v>27</v>
      </c>
      <c r="N572" s="79">
        <v>180000.0</v>
      </c>
      <c r="O572" s="80">
        <v>0.0</v>
      </c>
      <c r="P572" s="32">
        <f t="array" ref="P572">IFNA(XLOOKUP(K572,'⚙️ Pengaturan'!$E$2:$E800,'⚙️ Pengaturan'!$F$2:$F800),"")</f>
        <v>180000</v>
      </c>
      <c r="Q572" s="81">
        <f t="shared" si="9"/>
        <v>0</v>
      </c>
      <c r="R572" s="26" t="s">
        <v>33</v>
      </c>
      <c r="S572" s="38" t="s">
        <v>34</v>
      </c>
      <c r="T572" s="35" t="b">
        <v>1</v>
      </c>
      <c r="U572" s="36"/>
    </row>
    <row r="573" ht="30.0" customHeight="1">
      <c r="A573" s="24"/>
      <c r="B573" s="25">
        <v>2678.0</v>
      </c>
      <c r="C573" s="26" t="s">
        <v>40</v>
      </c>
      <c r="D573" s="27">
        <v>46063.0</v>
      </c>
      <c r="E573" s="28" t="str">
        <f t="shared" si="1"/>
        <v>2026</v>
      </c>
      <c r="F573" s="28" t="str">
        <f t="shared" si="2"/>
        <v>02 Feb</v>
      </c>
      <c r="G573" s="50" t="s">
        <v>118</v>
      </c>
      <c r="H573" s="29" t="s">
        <v>42</v>
      </c>
      <c r="I573" s="29" t="s">
        <v>418</v>
      </c>
      <c r="J573" s="75" t="s">
        <v>76</v>
      </c>
      <c r="K573" s="76" t="s">
        <v>232</v>
      </c>
      <c r="L573" s="77" t="str">
        <f t="shared" si="3"/>
        <v>SESI VISIT</v>
      </c>
      <c r="M573" s="78" t="s">
        <v>27</v>
      </c>
      <c r="N573" s="79">
        <v>250000.0</v>
      </c>
      <c r="O573" s="80">
        <v>0.0</v>
      </c>
      <c r="P573" s="32">
        <f t="array" ref="P573">IFNA(XLOOKUP(K573,'⚙️ Pengaturan'!$E$2:$E800,'⚙️ Pengaturan'!$F$2:$F800),"")</f>
        <v>250000</v>
      </c>
      <c r="Q573" s="81">
        <f t="shared" si="9"/>
        <v>0</v>
      </c>
      <c r="R573" s="26" t="s">
        <v>33</v>
      </c>
      <c r="S573" s="38" t="s">
        <v>34</v>
      </c>
      <c r="T573" s="35" t="b">
        <v>1</v>
      </c>
      <c r="U573" s="36"/>
    </row>
    <row r="574" ht="30.0" customHeight="1">
      <c r="A574" s="24"/>
      <c r="B574" s="25">
        <v>2679.0</v>
      </c>
      <c r="C574" s="26" t="s">
        <v>40</v>
      </c>
      <c r="D574" s="27">
        <v>46063.0</v>
      </c>
      <c r="E574" s="28" t="str">
        <f t="shared" si="1"/>
        <v>2026</v>
      </c>
      <c r="F574" s="28" t="str">
        <f t="shared" si="2"/>
        <v>02 Feb</v>
      </c>
      <c r="G574" s="50" t="s">
        <v>46</v>
      </c>
      <c r="H574" s="29" t="s">
        <v>48</v>
      </c>
      <c r="I574" s="29" t="s">
        <v>427</v>
      </c>
      <c r="J574" s="75" t="s">
        <v>25</v>
      </c>
      <c r="K574" s="76" t="s">
        <v>26</v>
      </c>
      <c r="L574" s="77" t="str">
        <f t="shared" si="3"/>
        <v>TA KLINIK</v>
      </c>
      <c r="M574" s="78" t="s">
        <v>27</v>
      </c>
      <c r="N574" s="79">
        <v>250000.0</v>
      </c>
      <c r="O574" s="80">
        <v>0.0</v>
      </c>
      <c r="P574" s="32">
        <f t="array" ref="P574">IFNA(XLOOKUP(K574,'⚙️ Pengaturan'!$E$2:$E800,'⚙️ Pengaturan'!$F$2:$F800),"")</f>
        <v>250000</v>
      </c>
      <c r="Q574" s="81">
        <f t="shared" si="9"/>
        <v>0</v>
      </c>
      <c r="R574" s="26" t="s">
        <v>33</v>
      </c>
      <c r="S574" s="38" t="s">
        <v>34</v>
      </c>
      <c r="T574" s="35" t="b">
        <v>1</v>
      </c>
      <c r="U574" s="36"/>
    </row>
    <row r="575" ht="30.0" customHeight="1">
      <c r="A575" s="24"/>
      <c r="B575" s="25">
        <v>2680.0</v>
      </c>
      <c r="C575" s="26" t="s">
        <v>40</v>
      </c>
      <c r="D575" s="27">
        <v>46063.0</v>
      </c>
      <c r="E575" s="28" t="str">
        <f t="shared" si="1"/>
        <v>2026</v>
      </c>
      <c r="F575" s="28" t="str">
        <f t="shared" si="2"/>
        <v>02 Feb</v>
      </c>
      <c r="G575" s="50" t="s">
        <v>46</v>
      </c>
      <c r="H575" s="29" t="s">
        <v>51</v>
      </c>
      <c r="I575" s="29" t="s">
        <v>428</v>
      </c>
      <c r="J575" s="75" t="s">
        <v>25</v>
      </c>
      <c r="K575" s="76" t="s">
        <v>26</v>
      </c>
      <c r="L575" s="77" t="str">
        <f t="shared" si="3"/>
        <v>TA KLINIK</v>
      </c>
      <c r="M575" s="78" t="s">
        <v>27</v>
      </c>
      <c r="N575" s="79">
        <v>250000.0</v>
      </c>
      <c r="O575" s="80">
        <v>0.0</v>
      </c>
      <c r="P575" s="32">
        <f t="array" ref="P575">IFNA(XLOOKUP(K575,'⚙️ Pengaturan'!$E$2:$E800,'⚙️ Pengaturan'!$F$2:$F800),"")</f>
        <v>250000</v>
      </c>
      <c r="Q575" s="81">
        <f t="shared" si="9"/>
        <v>0</v>
      </c>
      <c r="R575" s="26" t="s">
        <v>28</v>
      </c>
      <c r="S575" s="38" t="s">
        <v>428</v>
      </c>
      <c r="T575" s="35" t="b">
        <v>1</v>
      </c>
      <c r="U575" s="36"/>
    </row>
    <row r="576" ht="30.0" customHeight="1">
      <c r="A576" s="24"/>
      <c r="B576" s="25">
        <v>2681.0</v>
      </c>
      <c r="C576" s="26" t="s">
        <v>40</v>
      </c>
      <c r="D576" s="27">
        <v>46063.0</v>
      </c>
      <c r="E576" s="28" t="str">
        <f t="shared" si="1"/>
        <v>2026</v>
      </c>
      <c r="F576" s="28" t="str">
        <f t="shared" si="2"/>
        <v>02 Feb</v>
      </c>
      <c r="G576" s="50" t="s">
        <v>41</v>
      </c>
      <c r="H576" s="29" t="s">
        <v>42</v>
      </c>
      <c r="I576" s="29" t="s">
        <v>429</v>
      </c>
      <c r="J576" s="75" t="s">
        <v>25</v>
      </c>
      <c r="K576" s="76" t="s">
        <v>26</v>
      </c>
      <c r="L576" s="77" t="str">
        <f t="shared" si="3"/>
        <v>TA KLINIK</v>
      </c>
      <c r="M576" s="78" t="s">
        <v>27</v>
      </c>
      <c r="N576" s="79">
        <v>250000.0</v>
      </c>
      <c r="O576" s="80">
        <v>0.0</v>
      </c>
      <c r="P576" s="32">
        <f t="array" ref="P576">IFNA(XLOOKUP(K576,'⚙️ Pengaturan'!$E$2:$E800,'⚙️ Pengaturan'!$F$2:$F800),"")</f>
        <v>250000</v>
      </c>
      <c r="Q576" s="81">
        <f t="shared" si="9"/>
        <v>0</v>
      </c>
      <c r="R576" s="26" t="s">
        <v>28</v>
      </c>
      <c r="S576" s="38" t="s">
        <v>429</v>
      </c>
      <c r="T576" s="35" t="b">
        <v>1</v>
      </c>
      <c r="U576" s="36"/>
    </row>
    <row r="577" ht="30.0" customHeight="1">
      <c r="A577" s="24"/>
      <c r="B577" s="25">
        <v>2682.0</v>
      </c>
      <c r="C577" s="26" t="s">
        <v>40</v>
      </c>
      <c r="D577" s="27">
        <v>46063.0</v>
      </c>
      <c r="E577" s="28" t="str">
        <f t="shared" si="1"/>
        <v>2026</v>
      </c>
      <c r="F577" s="28" t="str">
        <f t="shared" si="2"/>
        <v>02 Feb</v>
      </c>
      <c r="G577" s="50" t="s">
        <v>41</v>
      </c>
      <c r="H577" s="29" t="s">
        <v>58</v>
      </c>
      <c r="I577" s="29" t="s">
        <v>310</v>
      </c>
      <c r="J577" s="75" t="s">
        <v>76</v>
      </c>
      <c r="K577" s="76" t="s">
        <v>32</v>
      </c>
      <c r="L577" s="77" t="str">
        <f t="shared" si="3"/>
        <v>SESI KLINIK</v>
      </c>
      <c r="M577" s="78" t="s">
        <v>27</v>
      </c>
      <c r="N577" s="79">
        <v>150000.0</v>
      </c>
      <c r="O577" s="80">
        <v>0.0</v>
      </c>
      <c r="P577" s="32">
        <f t="array" ref="P577">IFNA(XLOOKUP(K577,'⚙️ Pengaturan'!$E$2:$E800,'⚙️ Pengaturan'!$F$2:$F800),"")</f>
        <v>150000</v>
      </c>
      <c r="Q577" s="81">
        <f t="shared" si="9"/>
        <v>0</v>
      </c>
      <c r="R577" s="26" t="s">
        <v>33</v>
      </c>
      <c r="S577" s="38" t="s">
        <v>34</v>
      </c>
      <c r="T577" s="35" t="b">
        <v>1</v>
      </c>
      <c r="U577" s="36"/>
    </row>
    <row r="578" ht="30.0" customHeight="1">
      <c r="A578" s="24"/>
      <c r="B578" s="25">
        <v>2683.0</v>
      </c>
      <c r="C578" s="26" t="s">
        <v>21</v>
      </c>
      <c r="D578" s="27">
        <v>46064.0</v>
      </c>
      <c r="E578" s="28" t="str">
        <f t="shared" si="1"/>
        <v>2026</v>
      </c>
      <c r="F578" s="28" t="str">
        <f t="shared" si="2"/>
        <v>02 Feb</v>
      </c>
      <c r="G578" s="50" t="s">
        <v>29</v>
      </c>
      <c r="H578" s="29" t="s">
        <v>70</v>
      </c>
      <c r="I578" s="29" t="s">
        <v>59</v>
      </c>
      <c r="J578" s="75" t="s">
        <v>25</v>
      </c>
      <c r="K578" s="76" t="s">
        <v>369</v>
      </c>
      <c r="L578" s="77" t="str">
        <f t="shared" si="3"/>
        <v>SESI KLINIK</v>
      </c>
      <c r="M578" s="78" t="s">
        <v>27</v>
      </c>
      <c r="N578" s="79">
        <v>180000.0</v>
      </c>
      <c r="O578" s="80">
        <v>0.0</v>
      </c>
      <c r="P578" s="32">
        <f t="array" ref="P578">IFNA(XLOOKUP(K578,'⚙️ Pengaturan'!$E$2:$E800,'⚙️ Pengaturan'!$F$2:$F800),"")</f>
        <v>180000</v>
      </c>
      <c r="Q578" s="81">
        <f t="shared" si="9"/>
        <v>0</v>
      </c>
      <c r="R578" s="26" t="s">
        <v>33</v>
      </c>
      <c r="S578" s="38" t="s">
        <v>34</v>
      </c>
      <c r="T578" s="35" t="b">
        <v>1</v>
      </c>
      <c r="U578" s="36"/>
    </row>
    <row r="579" ht="30.0" customHeight="1">
      <c r="A579" s="24"/>
      <c r="B579" s="25">
        <v>2684.0</v>
      </c>
      <c r="C579" s="26" t="s">
        <v>21</v>
      </c>
      <c r="D579" s="27">
        <v>46076.0</v>
      </c>
      <c r="E579" s="28" t="str">
        <f t="shared" si="1"/>
        <v>2026</v>
      </c>
      <c r="F579" s="28" t="str">
        <f t="shared" si="2"/>
        <v>02 Feb</v>
      </c>
      <c r="G579" s="50" t="s">
        <v>29</v>
      </c>
      <c r="H579" s="29" t="s">
        <v>23</v>
      </c>
      <c r="I579" s="29" t="s">
        <v>336</v>
      </c>
      <c r="J579" s="75" t="s">
        <v>76</v>
      </c>
      <c r="K579" s="76" t="s">
        <v>39</v>
      </c>
      <c r="L579" s="77" t="str">
        <f t="shared" si="3"/>
        <v>PAKET KLINIK</v>
      </c>
      <c r="M579" s="78" t="s">
        <v>27</v>
      </c>
      <c r="N579" s="79">
        <v>650000.0</v>
      </c>
      <c r="O579" s="80">
        <v>0.0</v>
      </c>
      <c r="P579" s="32">
        <f t="array" ref="P579">IFNA(XLOOKUP(K579,'⚙️ Pengaturan'!$E$2:$E800,'⚙️ Pengaturan'!$F$2:$F800),"")</f>
        <v>650000</v>
      </c>
      <c r="Q579" s="81">
        <f t="shared" si="9"/>
        <v>0</v>
      </c>
      <c r="R579" s="26" t="s">
        <v>28</v>
      </c>
      <c r="S579" s="38" t="s">
        <v>336</v>
      </c>
      <c r="T579" s="35" t="b">
        <v>1</v>
      </c>
      <c r="U579" s="36"/>
    </row>
    <row r="580" ht="30.0" customHeight="1">
      <c r="A580" s="24"/>
      <c r="B580" s="25">
        <v>2685.0</v>
      </c>
      <c r="C580" s="26" t="s">
        <v>21</v>
      </c>
      <c r="D580" s="27">
        <v>46064.0</v>
      </c>
      <c r="E580" s="28" t="str">
        <f t="shared" si="1"/>
        <v>2026</v>
      </c>
      <c r="F580" s="28" t="str">
        <f t="shared" si="2"/>
        <v>02 Feb</v>
      </c>
      <c r="G580" s="50" t="s">
        <v>29</v>
      </c>
      <c r="H580" s="29" t="s">
        <v>30</v>
      </c>
      <c r="I580" s="29" t="s">
        <v>430</v>
      </c>
      <c r="J580" s="75" t="s">
        <v>25</v>
      </c>
      <c r="K580" s="76" t="s">
        <v>26</v>
      </c>
      <c r="L580" s="77" t="str">
        <f t="shared" si="3"/>
        <v>TA KLINIK</v>
      </c>
      <c r="M580" s="78" t="s">
        <v>27</v>
      </c>
      <c r="N580" s="79">
        <v>250000.0</v>
      </c>
      <c r="O580" s="80">
        <v>0.0</v>
      </c>
      <c r="P580" s="32">
        <f t="array" ref="P580">IFNA(XLOOKUP(K580,'⚙️ Pengaturan'!$E$2:$E800,'⚙️ Pengaturan'!$F$2:$F800),"")</f>
        <v>250000</v>
      </c>
      <c r="Q580" s="81">
        <f t="shared" si="9"/>
        <v>0</v>
      </c>
      <c r="R580" s="26" t="s">
        <v>28</v>
      </c>
      <c r="S580" s="38" t="s">
        <v>430</v>
      </c>
      <c r="T580" s="35" t="b">
        <v>1</v>
      </c>
      <c r="U580" s="36"/>
    </row>
    <row r="581" ht="30.0" customHeight="1">
      <c r="A581" s="24"/>
      <c r="B581" s="25">
        <v>2686.0</v>
      </c>
      <c r="C581" s="26" t="s">
        <v>21</v>
      </c>
      <c r="D581" s="27">
        <v>46064.0</v>
      </c>
      <c r="E581" s="28" t="str">
        <f t="shared" si="1"/>
        <v>2026</v>
      </c>
      <c r="F581" s="28" t="str">
        <f t="shared" si="2"/>
        <v>02 Feb</v>
      </c>
      <c r="G581" s="50" t="s">
        <v>82</v>
      </c>
      <c r="H581" s="29" t="s">
        <v>23</v>
      </c>
      <c r="I581" s="29" t="s">
        <v>224</v>
      </c>
      <c r="J581" s="75" t="s">
        <v>25</v>
      </c>
      <c r="K581" s="76" t="s">
        <v>26</v>
      </c>
      <c r="L581" s="77" t="str">
        <f t="shared" si="3"/>
        <v>TA KLINIK</v>
      </c>
      <c r="M581" s="78" t="s">
        <v>27</v>
      </c>
      <c r="N581" s="79">
        <v>150000.0</v>
      </c>
      <c r="O581" s="80">
        <v>100000.0</v>
      </c>
      <c r="P581" s="32">
        <f t="array" ref="P581">IFNA(XLOOKUP(K581,'⚙️ Pengaturan'!$E$2:$E800,'⚙️ Pengaturan'!$F$2:$F800),"")</f>
        <v>250000</v>
      </c>
      <c r="Q581" s="81">
        <f t="shared" si="9"/>
        <v>0</v>
      </c>
      <c r="R581" s="26" t="s">
        <v>28</v>
      </c>
      <c r="S581" s="38" t="s">
        <v>431</v>
      </c>
      <c r="T581" s="35" t="b">
        <v>1</v>
      </c>
      <c r="U581" s="36"/>
    </row>
    <row r="582" ht="30.0" customHeight="1">
      <c r="A582" s="24"/>
      <c r="B582" s="25">
        <v>2687.0</v>
      </c>
      <c r="C582" s="26" t="s">
        <v>21</v>
      </c>
      <c r="D582" s="27">
        <v>46064.0</v>
      </c>
      <c r="E582" s="28" t="str">
        <f t="shared" si="1"/>
        <v>2026</v>
      </c>
      <c r="F582" s="28" t="str">
        <f t="shared" si="2"/>
        <v>02 Feb</v>
      </c>
      <c r="G582" s="50" t="s">
        <v>37</v>
      </c>
      <c r="H582" s="29" t="s">
        <v>70</v>
      </c>
      <c r="I582" s="29" t="s">
        <v>407</v>
      </c>
      <c r="J582" s="75" t="s">
        <v>25</v>
      </c>
      <c r="K582" s="76" t="s">
        <v>369</v>
      </c>
      <c r="L582" s="77" t="str">
        <f t="shared" si="3"/>
        <v>SESI KLINIK</v>
      </c>
      <c r="M582" s="78" t="s">
        <v>27</v>
      </c>
      <c r="N582" s="79">
        <v>180000.0</v>
      </c>
      <c r="O582" s="80">
        <v>0.0</v>
      </c>
      <c r="P582" s="32">
        <f t="array" ref="P582">IFNA(XLOOKUP(K582,'⚙️ Pengaturan'!$E$2:$E800,'⚙️ Pengaturan'!$F$2:$F800),"")</f>
        <v>180000</v>
      </c>
      <c r="Q582" s="81">
        <f t="shared" si="9"/>
        <v>0</v>
      </c>
      <c r="R582" s="26" t="s">
        <v>28</v>
      </c>
      <c r="S582" s="38" t="s">
        <v>407</v>
      </c>
      <c r="T582" s="35" t="b">
        <v>1</v>
      </c>
      <c r="U582" s="36"/>
    </row>
    <row r="583" ht="30.0" customHeight="1">
      <c r="A583" s="24"/>
      <c r="B583" s="25">
        <v>2688.0</v>
      </c>
      <c r="C583" s="26" t="s">
        <v>21</v>
      </c>
      <c r="D583" s="27">
        <v>46064.0</v>
      </c>
      <c r="E583" s="28" t="str">
        <f t="shared" si="1"/>
        <v>2026</v>
      </c>
      <c r="F583" s="28" t="str">
        <f t="shared" si="2"/>
        <v>02 Feb</v>
      </c>
      <c r="G583" s="50" t="s">
        <v>37</v>
      </c>
      <c r="H583" s="29" t="s">
        <v>345</v>
      </c>
      <c r="I583" s="29" t="s">
        <v>432</v>
      </c>
      <c r="J583" s="75" t="s">
        <v>25</v>
      </c>
      <c r="K583" s="76" t="s">
        <v>26</v>
      </c>
      <c r="L583" s="77" t="str">
        <f t="shared" si="3"/>
        <v>TA KLINIK</v>
      </c>
      <c r="M583" s="78" t="s">
        <v>27</v>
      </c>
      <c r="N583" s="79">
        <v>250000.0</v>
      </c>
      <c r="O583" s="80">
        <v>0.0</v>
      </c>
      <c r="P583" s="32">
        <f t="array" ref="P583">IFNA(XLOOKUP(K583,'⚙️ Pengaturan'!$E$2:$E800,'⚙️ Pengaturan'!$F$2:$F800),"")</f>
        <v>250000</v>
      </c>
      <c r="Q583" s="81">
        <f t="shared" si="9"/>
        <v>0</v>
      </c>
      <c r="R583" s="26" t="s">
        <v>33</v>
      </c>
      <c r="S583" s="38" t="s">
        <v>34</v>
      </c>
      <c r="T583" s="35" t="b">
        <v>1</v>
      </c>
      <c r="U583" s="36"/>
    </row>
    <row r="584" ht="30.0" customHeight="1">
      <c r="A584" s="24"/>
      <c r="B584" s="25">
        <v>2689.0</v>
      </c>
      <c r="C584" s="26" t="s">
        <v>21</v>
      </c>
      <c r="D584" s="27">
        <v>46065.0</v>
      </c>
      <c r="E584" s="28" t="str">
        <f t="shared" si="1"/>
        <v>2026</v>
      </c>
      <c r="F584" s="28" t="str">
        <f t="shared" si="2"/>
        <v>02 Feb</v>
      </c>
      <c r="G584" s="50" t="s">
        <v>37</v>
      </c>
      <c r="H584" s="29" t="s">
        <v>68</v>
      </c>
      <c r="I584" s="29" t="s">
        <v>433</v>
      </c>
      <c r="J584" s="75" t="s">
        <v>25</v>
      </c>
      <c r="K584" s="76" t="s">
        <v>26</v>
      </c>
      <c r="L584" s="77" t="str">
        <f t="shared" si="3"/>
        <v>TA KLINIK</v>
      </c>
      <c r="M584" s="78" t="s">
        <v>27</v>
      </c>
      <c r="N584" s="79">
        <v>250000.0</v>
      </c>
      <c r="O584" s="80">
        <v>0.0</v>
      </c>
      <c r="P584" s="32">
        <f t="array" ref="P584">IFNA(XLOOKUP(K584,'⚙️ Pengaturan'!$E$2:$E800,'⚙️ Pengaturan'!$F$2:$F800),"")</f>
        <v>250000</v>
      </c>
      <c r="Q584" s="81">
        <f t="shared" si="9"/>
        <v>0</v>
      </c>
      <c r="R584" s="26" t="s">
        <v>28</v>
      </c>
      <c r="S584" s="38" t="s">
        <v>433</v>
      </c>
      <c r="T584" s="35" t="b">
        <v>1</v>
      </c>
      <c r="U584" s="36"/>
    </row>
    <row r="585" ht="30.0" customHeight="1">
      <c r="A585" s="24"/>
      <c r="B585" s="25">
        <v>2690.0</v>
      </c>
      <c r="C585" s="26" t="s">
        <v>21</v>
      </c>
      <c r="D585" s="27">
        <v>46065.0</v>
      </c>
      <c r="E585" s="28" t="str">
        <f t="shared" si="1"/>
        <v>2026</v>
      </c>
      <c r="F585" s="28" t="str">
        <f t="shared" si="2"/>
        <v>02 Feb</v>
      </c>
      <c r="G585" s="50" t="s">
        <v>37</v>
      </c>
      <c r="H585" s="29" t="s">
        <v>68</v>
      </c>
      <c r="I585" s="29" t="s">
        <v>433</v>
      </c>
      <c r="J585" s="75" t="s">
        <v>25</v>
      </c>
      <c r="K585" s="76" t="s">
        <v>434</v>
      </c>
      <c r="L585" s="77" t="str">
        <f t="shared" si="3"/>
        <v>PAKET KLINIK</v>
      </c>
      <c r="M585" s="78" t="s">
        <v>27</v>
      </c>
      <c r="N585" s="79">
        <v>2400000.0</v>
      </c>
      <c r="O585" s="80">
        <v>0.0</v>
      </c>
      <c r="P585" s="32">
        <f t="array" ref="P585">IFNA(XLOOKUP(K585,'⚙️ Pengaturan'!$E$2:$E800,'⚙️ Pengaturan'!$F$2:$F800),"")</f>
        <v>2400000</v>
      </c>
      <c r="Q585" s="81">
        <f t="shared" si="9"/>
        <v>0</v>
      </c>
      <c r="R585" s="26" t="s">
        <v>28</v>
      </c>
      <c r="S585" s="38" t="s">
        <v>433</v>
      </c>
      <c r="T585" s="35" t="b">
        <v>1</v>
      </c>
      <c r="U585" s="36"/>
    </row>
    <row r="586" ht="30.0" customHeight="1">
      <c r="A586" s="24"/>
      <c r="B586" s="25">
        <v>2691.0</v>
      </c>
      <c r="C586" s="26" t="s">
        <v>40</v>
      </c>
      <c r="D586" s="27">
        <v>46064.0</v>
      </c>
      <c r="E586" s="28" t="str">
        <f t="shared" si="1"/>
        <v>2026</v>
      </c>
      <c r="F586" s="28" t="str">
        <f t="shared" si="2"/>
        <v>02 Feb</v>
      </c>
      <c r="G586" s="50" t="s">
        <v>118</v>
      </c>
      <c r="H586" s="29" t="s">
        <v>42</v>
      </c>
      <c r="I586" s="29" t="s">
        <v>418</v>
      </c>
      <c r="J586" s="75" t="s">
        <v>25</v>
      </c>
      <c r="K586" s="76" t="s">
        <v>232</v>
      </c>
      <c r="L586" s="77" t="str">
        <f t="shared" si="3"/>
        <v>SESI VISIT</v>
      </c>
      <c r="M586" s="78" t="s">
        <v>27</v>
      </c>
      <c r="N586" s="79">
        <v>250000.0</v>
      </c>
      <c r="O586" s="80">
        <v>0.0</v>
      </c>
      <c r="P586" s="32">
        <f t="array" ref="P586">IFNA(XLOOKUP(K586,'⚙️ Pengaturan'!$E$2:$E800,'⚙️ Pengaturan'!$F$2:$F800),"")</f>
        <v>250000</v>
      </c>
      <c r="Q586" s="81">
        <f t="shared" si="9"/>
        <v>0</v>
      </c>
      <c r="R586" s="26" t="s">
        <v>33</v>
      </c>
      <c r="S586" s="38" t="s">
        <v>34</v>
      </c>
      <c r="T586" s="35" t="b">
        <v>1</v>
      </c>
      <c r="U586" s="36"/>
    </row>
    <row r="587" ht="30.0" customHeight="1">
      <c r="A587" s="24"/>
      <c r="B587" s="25">
        <v>2692.0</v>
      </c>
      <c r="C587" s="26" t="s">
        <v>40</v>
      </c>
      <c r="D587" s="27">
        <v>46064.0</v>
      </c>
      <c r="E587" s="28" t="str">
        <f t="shared" si="1"/>
        <v>2026</v>
      </c>
      <c r="F587" s="28" t="str">
        <f t="shared" si="2"/>
        <v>02 Feb</v>
      </c>
      <c r="G587" s="50" t="s">
        <v>46</v>
      </c>
      <c r="H587" s="29" t="s">
        <v>58</v>
      </c>
      <c r="I587" s="29" t="s">
        <v>370</v>
      </c>
      <c r="J587" s="75" t="s">
        <v>76</v>
      </c>
      <c r="K587" s="76" t="s">
        <v>395</v>
      </c>
      <c r="L587" s="77" t="str">
        <f t="shared" si="3"/>
        <v>PAKET KLINIK</v>
      </c>
      <c r="M587" s="78" t="s">
        <v>63</v>
      </c>
      <c r="N587" s="79">
        <v>250000.0</v>
      </c>
      <c r="O587" s="80">
        <v>500000.0</v>
      </c>
      <c r="P587" s="32">
        <f t="array" ref="P587">IFNA(XLOOKUP(K587,'⚙️ Pengaturan'!$E$2:$E800,'⚙️ Pengaturan'!$F$2:$F800),"")</f>
        <v>750000</v>
      </c>
      <c r="Q587" s="81">
        <f t="shared" si="9"/>
        <v>0</v>
      </c>
      <c r="R587" s="26" t="s">
        <v>33</v>
      </c>
      <c r="S587" s="38" t="s">
        <v>34</v>
      </c>
      <c r="T587" s="35" t="b">
        <v>1</v>
      </c>
      <c r="U587" s="36"/>
    </row>
    <row r="588" ht="30.0" customHeight="1">
      <c r="A588" s="24"/>
      <c r="B588" s="25">
        <v>2693.0</v>
      </c>
      <c r="C588" s="26" t="s">
        <v>40</v>
      </c>
      <c r="D588" s="27">
        <v>46064.0</v>
      </c>
      <c r="E588" s="28" t="str">
        <f t="shared" si="1"/>
        <v>2026</v>
      </c>
      <c r="F588" s="28" t="str">
        <f t="shared" si="2"/>
        <v>02 Feb</v>
      </c>
      <c r="G588" s="50" t="s">
        <v>46</v>
      </c>
      <c r="H588" s="29" t="s">
        <v>42</v>
      </c>
      <c r="I588" s="29" t="s">
        <v>129</v>
      </c>
      <c r="J588" s="75" t="s">
        <v>76</v>
      </c>
      <c r="K588" s="76" t="s">
        <v>39</v>
      </c>
      <c r="L588" s="77" t="str">
        <f t="shared" si="3"/>
        <v>PAKET KLINIK</v>
      </c>
      <c r="M588" s="78" t="s">
        <v>27</v>
      </c>
      <c r="N588" s="79">
        <v>650000.0</v>
      </c>
      <c r="O588" s="80">
        <v>0.0</v>
      </c>
      <c r="P588" s="32">
        <f t="array" ref="P588">IFNA(XLOOKUP(K588,'⚙️ Pengaturan'!$E$2:$E800,'⚙️ Pengaturan'!$F$2:$F800),"")</f>
        <v>650000</v>
      </c>
      <c r="Q588" s="81">
        <f t="shared" si="9"/>
        <v>0</v>
      </c>
      <c r="R588" s="26" t="s">
        <v>28</v>
      </c>
      <c r="S588" s="38" t="s">
        <v>129</v>
      </c>
      <c r="T588" s="35" t="b">
        <v>1</v>
      </c>
      <c r="U588" s="36"/>
    </row>
    <row r="589" ht="30.0" customHeight="1">
      <c r="A589" s="24"/>
      <c r="B589" s="25">
        <v>2694.0</v>
      </c>
      <c r="C589" s="26" t="s">
        <v>40</v>
      </c>
      <c r="D589" s="27">
        <v>46064.0</v>
      </c>
      <c r="E589" s="28" t="str">
        <f t="shared" si="1"/>
        <v>2026</v>
      </c>
      <c r="F589" s="28" t="str">
        <f t="shared" si="2"/>
        <v>02 Feb</v>
      </c>
      <c r="G589" s="50" t="s">
        <v>41</v>
      </c>
      <c r="H589" s="29" t="s">
        <v>58</v>
      </c>
      <c r="I589" s="29" t="s">
        <v>416</v>
      </c>
      <c r="J589" s="75" t="s">
        <v>25</v>
      </c>
      <c r="K589" s="76" t="s">
        <v>369</v>
      </c>
      <c r="L589" s="77" t="str">
        <f t="shared" si="3"/>
        <v>SESI KLINIK</v>
      </c>
      <c r="M589" s="78" t="s">
        <v>27</v>
      </c>
      <c r="N589" s="79">
        <v>180000.0</v>
      </c>
      <c r="O589" s="80">
        <v>0.0</v>
      </c>
      <c r="P589" s="32">
        <f t="array" ref="P589">IFNA(XLOOKUP(K589,'⚙️ Pengaturan'!$E$2:$E800,'⚙️ Pengaturan'!$F$2:$F800),"")</f>
        <v>180000</v>
      </c>
      <c r="Q589" s="81">
        <f t="shared" si="9"/>
        <v>0</v>
      </c>
      <c r="R589" s="26" t="s">
        <v>28</v>
      </c>
      <c r="S589" s="38" t="s">
        <v>416</v>
      </c>
      <c r="T589" s="35" t="b">
        <v>1</v>
      </c>
      <c r="U589" s="36"/>
    </row>
    <row r="590" ht="30.0" customHeight="1">
      <c r="A590" s="24"/>
      <c r="B590" s="25">
        <v>2695.0</v>
      </c>
      <c r="C590" s="26" t="s">
        <v>40</v>
      </c>
      <c r="D590" s="27">
        <v>46064.0</v>
      </c>
      <c r="E590" s="28" t="str">
        <f t="shared" si="1"/>
        <v>2026</v>
      </c>
      <c r="F590" s="28" t="str">
        <f t="shared" si="2"/>
        <v>02 Feb</v>
      </c>
      <c r="G590" s="50" t="s">
        <v>41</v>
      </c>
      <c r="H590" s="29" t="s">
        <v>58</v>
      </c>
      <c r="I590" s="29" t="s">
        <v>416</v>
      </c>
      <c r="J590" s="75" t="s">
        <v>76</v>
      </c>
      <c r="K590" s="76" t="s">
        <v>369</v>
      </c>
      <c r="L590" s="77" t="str">
        <f t="shared" si="3"/>
        <v>SESI KLINIK</v>
      </c>
      <c r="M590" s="78" t="s">
        <v>27</v>
      </c>
      <c r="N590" s="79">
        <v>180000.0</v>
      </c>
      <c r="O590" s="80">
        <v>0.0</v>
      </c>
      <c r="P590" s="32">
        <f t="array" ref="P590">IFNA(XLOOKUP(K590,'⚙️ Pengaturan'!$E$2:$E800,'⚙️ Pengaturan'!$F$2:$F800),"")</f>
        <v>180000</v>
      </c>
      <c r="Q590" s="81">
        <f t="shared" si="9"/>
        <v>0</v>
      </c>
      <c r="R590" s="26" t="s">
        <v>28</v>
      </c>
      <c r="S590" s="38" t="s">
        <v>416</v>
      </c>
      <c r="T590" s="35" t="b">
        <v>1</v>
      </c>
      <c r="U590" s="36" t="s">
        <v>435</v>
      </c>
    </row>
    <row r="591" ht="30.0" customHeight="1">
      <c r="A591" s="24"/>
      <c r="B591" s="25">
        <v>2696.0</v>
      </c>
      <c r="C591" s="26" t="s">
        <v>40</v>
      </c>
      <c r="D591" s="27">
        <v>46064.0</v>
      </c>
      <c r="E591" s="28" t="str">
        <f t="shared" si="1"/>
        <v>2026</v>
      </c>
      <c r="F591" s="28" t="str">
        <f t="shared" si="2"/>
        <v>02 Feb</v>
      </c>
      <c r="G591" s="50" t="s">
        <v>41</v>
      </c>
      <c r="H591" s="29" t="s">
        <v>48</v>
      </c>
      <c r="I591" s="29" t="s">
        <v>424</v>
      </c>
      <c r="J591" s="75" t="s">
        <v>25</v>
      </c>
      <c r="K591" s="76" t="s">
        <v>369</v>
      </c>
      <c r="L591" s="77" t="str">
        <f t="shared" si="3"/>
        <v>SESI KLINIK</v>
      </c>
      <c r="M591" s="78" t="s">
        <v>27</v>
      </c>
      <c r="N591" s="79">
        <v>180000.0</v>
      </c>
      <c r="O591" s="80">
        <v>0.0</v>
      </c>
      <c r="P591" s="32">
        <f t="array" ref="P591">IFNA(XLOOKUP(K591,'⚙️ Pengaturan'!$E$2:$E800,'⚙️ Pengaturan'!$F$2:$F800),"")</f>
        <v>180000</v>
      </c>
      <c r="Q591" s="81">
        <f t="shared" si="9"/>
        <v>0</v>
      </c>
      <c r="R591" s="26" t="s">
        <v>28</v>
      </c>
      <c r="S591" s="38" t="s">
        <v>424</v>
      </c>
      <c r="T591" s="35" t="b">
        <v>1</v>
      </c>
      <c r="U591" s="36"/>
    </row>
    <row r="592" ht="30.0" customHeight="1">
      <c r="A592" s="24"/>
      <c r="B592" s="25">
        <v>2697.0</v>
      </c>
      <c r="C592" s="26" t="s">
        <v>40</v>
      </c>
      <c r="D592" s="27">
        <v>46064.0</v>
      </c>
      <c r="E592" s="28" t="str">
        <f t="shared" si="1"/>
        <v>2026</v>
      </c>
      <c r="F592" s="28" t="str">
        <f t="shared" si="2"/>
        <v>02 Feb</v>
      </c>
      <c r="G592" s="50" t="s">
        <v>41</v>
      </c>
      <c r="H592" s="29" t="s">
        <v>42</v>
      </c>
      <c r="I592" s="29" t="s">
        <v>417</v>
      </c>
      <c r="J592" s="75" t="s">
        <v>25</v>
      </c>
      <c r="K592" s="76" t="s">
        <v>369</v>
      </c>
      <c r="L592" s="77" t="str">
        <f t="shared" si="3"/>
        <v>SESI KLINIK</v>
      </c>
      <c r="M592" s="78" t="s">
        <v>27</v>
      </c>
      <c r="N592" s="79">
        <v>180000.0</v>
      </c>
      <c r="O592" s="80">
        <v>0.0</v>
      </c>
      <c r="P592" s="32">
        <f t="array" ref="P592">IFNA(XLOOKUP(K592,'⚙️ Pengaturan'!$E$2:$E800,'⚙️ Pengaturan'!$F$2:$F800),"")</f>
        <v>180000</v>
      </c>
      <c r="Q592" s="81">
        <f t="shared" si="9"/>
        <v>0</v>
      </c>
      <c r="R592" s="26" t="s">
        <v>28</v>
      </c>
      <c r="S592" s="38" t="s">
        <v>417</v>
      </c>
      <c r="T592" s="35" t="b">
        <v>1</v>
      </c>
      <c r="U592" s="36"/>
    </row>
    <row r="593" ht="30.0" customHeight="1">
      <c r="A593" s="24"/>
      <c r="B593" s="25">
        <v>2698.0</v>
      </c>
      <c r="C593" s="26" t="s">
        <v>40</v>
      </c>
      <c r="D593" s="27">
        <v>46064.0</v>
      </c>
      <c r="E593" s="28" t="str">
        <f t="shared" si="1"/>
        <v>2026</v>
      </c>
      <c r="F593" s="28" t="str">
        <f t="shared" si="2"/>
        <v>02 Feb</v>
      </c>
      <c r="G593" s="50" t="s">
        <v>41</v>
      </c>
      <c r="H593" s="29" t="s">
        <v>51</v>
      </c>
      <c r="I593" s="29" t="s">
        <v>414</v>
      </c>
      <c r="J593" s="75" t="s">
        <v>25</v>
      </c>
      <c r="K593" s="76" t="s">
        <v>395</v>
      </c>
      <c r="L593" s="77" t="str">
        <f t="shared" si="3"/>
        <v>PAKET KLINIK</v>
      </c>
      <c r="M593" s="78" t="s">
        <v>27</v>
      </c>
      <c r="N593" s="79">
        <v>750000.0</v>
      </c>
      <c r="O593" s="80">
        <v>0.0</v>
      </c>
      <c r="P593" s="32">
        <f t="array" ref="P593">IFNA(XLOOKUP(K593,'⚙️ Pengaturan'!$E$2:$E800,'⚙️ Pengaturan'!$F$2:$F800),"")</f>
        <v>750000</v>
      </c>
      <c r="Q593" s="81">
        <f t="shared" si="9"/>
        <v>0</v>
      </c>
      <c r="R593" s="26" t="s">
        <v>28</v>
      </c>
      <c r="S593" s="38" t="s">
        <v>414</v>
      </c>
      <c r="T593" s="35" t="b">
        <v>1</v>
      </c>
      <c r="U593" s="36"/>
    </row>
    <row r="594" ht="30.0" customHeight="1">
      <c r="A594" s="24"/>
      <c r="B594" s="25">
        <v>2699.0</v>
      </c>
      <c r="C594" s="26" t="s">
        <v>40</v>
      </c>
      <c r="D594" s="27">
        <v>46064.0</v>
      </c>
      <c r="E594" s="28" t="str">
        <f t="shared" si="1"/>
        <v>2026</v>
      </c>
      <c r="F594" s="28" t="str">
        <f t="shared" si="2"/>
        <v>02 Feb</v>
      </c>
      <c r="G594" s="50" t="s">
        <v>95</v>
      </c>
      <c r="H594" s="29" t="s">
        <v>70</v>
      </c>
      <c r="I594" s="29" t="s">
        <v>436</v>
      </c>
      <c r="J594" s="75" t="s">
        <v>76</v>
      </c>
      <c r="K594" s="76" t="s">
        <v>44</v>
      </c>
      <c r="L594" s="77" t="str">
        <f t="shared" si="3"/>
        <v>PAKET KLINIK</v>
      </c>
      <c r="M594" s="78" t="s">
        <v>27</v>
      </c>
      <c r="N594" s="79">
        <v>1200000.0</v>
      </c>
      <c r="O594" s="80">
        <v>0.0</v>
      </c>
      <c r="P594" s="32">
        <f t="array" ref="P594">IFNA(XLOOKUP(K594,'⚙️ Pengaturan'!$E$2:$E800,'⚙️ Pengaturan'!$F$2:$F800),"")</f>
        <v>1200000</v>
      </c>
      <c r="Q594" s="81">
        <f t="shared" si="9"/>
        <v>0</v>
      </c>
      <c r="R594" s="26" t="s">
        <v>28</v>
      </c>
      <c r="S594" s="38" t="s">
        <v>436</v>
      </c>
      <c r="T594" s="35" t="b">
        <v>1</v>
      </c>
      <c r="U594" s="36"/>
    </row>
    <row r="595" ht="30.0" customHeight="1">
      <c r="A595" s="24"/>
      <c r="B595" s="25">
        <v>2700.0</v>
      </c>
      <c r="C595" s="26" t="s">
        <v>40</v>
      </c>
      <c r="D595" s="27">
        <v>46064.0</v>
      </c>
      <c r="E595" s="28" t="str">
        <f t="shared" si="1"/>
        <v>2026</v>
      </c>
      <c r="F595" s="28" t="str">
        <f t="shared" si="2"/>
        <v>02 Feb</v>
      </c>
      <c r="G595" s="50" t="s">
        <v>56</v>
      </c>
      <c r="H595" s="29" t="s">
        <v>42</v>
      </c>
      <c r="I595" s="29" t="s">
        <v>136</v>
      </c>
      <c r="J595" s="75" t="s">
        <v>76</v>
      </c>
      <c r="K595" s="76" t="s">
        <v>39</v>
      </c>
      <c r="L595" s="77" t="str">
        <f t="shared" si="3"/>
        <v>PAKET KLINIK</v>
      </c>
      <c r="M595" s="78" t="s">
        <v>27</v>
      </c>
      <c r="N595" s="79">
        <v>650000.0</v>
      </c>
      <c r="O595" s="80">
        <v>0.0</v>
      </c>
      <c r="P595" s="32">
        <f t="array" ref="P595">IFNA(XLOOKUP(K595,'⚙️ Pengaturan'!$E$2:$E800,'⚙️ Pengaturan'!$F$2:$F800),"")</f>
        <v>650000</v>
      </c>
      <c r="Q595" s="81">
        <f t="shared" si="9"/>
        <v>0</v>
      </c>
      <c r="R595" s="26" t="s">
        <v>28</v>
      </c>
      <c r="S595" s="38" t="s">
        <v>129</v>
      </c>
      <c r="T595" s="35" t="b">
        <v>1</v>
      </c>
      <c r="U595" s="36"/>
    </row>
    <row r="596" ht="30.0" customHeight="1">
      <c r="A596" s="24"/>
      <c r="B596" s="25">
        <v>2701.0</v>
      </c>
      <c r="C596" s="26" t="s">
        <v>40</v>
      </c>
      <c r="D596" s="27">
        <v>46064.0</v>
      </c>
      <c r="E596" s="28" t="str">
        <f t="shared" si="1"/>
        <v>2026</v>
      </c>
      <c r="F596" s="28" t="str">
        <f t="shared" si="2"/>
        <v>02 Feb</v>
      </c>
      <c r="G596" s="50" t="s">
        <v>56</v>
      </c>
      <c r="H596" s="29" t="s">
        <v>51</v>
      </c>
      <c r="I596" s="29" t="s">
        <v>419</v>
      </c>
      <c r="J596" s="75" t="s">
        <v>25</v>
      </c>
      <c r="K596" s="76" t="s">
        <v>369</v>
      </c>
      <c r="L596" s="77" t="str">
        <f t="shared" si="3"/>
        <v>SESI KLINIK</v>
      </c>
      <c r="M596" s="78" t="s">
        <v>27</v>
      </c>
      <c r="N596" s="79">
        <v>180000.0</v>
      </c>
      <c r="O596" s="80">
        <v>0.0</v>
      </c>
      <c r="P596" s="32">
        <f t="array" ref="P596">IFNA(XLOOKUP(K596,'⚙️ Pengaturan'!$E$2:$E800,'⚙️ Pengaturan'!$F$2:$F800),"")</f>
        <v>180000</v>
      </c>
      <c r="Q596" s="81">
        <f t="shared" si="9"/>
        <v>0</v>
      </c>
      <c r="R596" s="26" t="s">
        <v>33</v>
      </c>
      <c r="S596" s="38" t="s">
        <v>34</v>
      </c>
      <c r="T596" s="35" t="b">
        <v>1</v>
      </c>
      <c r="U596" s="36"/>
    </row>
    <row r="597" ht="30.0" customHeight="1">
      <c r="A597" s="24"/>
      <c r="B597" s="25">
        <v>2702.0</v>
      </c>
      <c r="C597" s="26" t="s">
        <v>40</v>
      </c>
      <c r="D597" s="27">
        <v>46064.0</v>
      </c>
      <c r="E597" s="28" t="str">
        <f t="shared" si="1"/>
        <v>2026</v>
      </c>
      <c r="F597" s="28" t="str">
        <f t="shared" si="2"/>
        <v>02 Feb</v>
      </c>
      <c r="G597" s="50" t="s">
        <v>41</v>
      </c>
      <c r="H597" s="29" t="s">
        <v>58</v>
      </c>
      <c r="I597" s="29" t="s">
        <v>416</v>
      </c>
      <c r="J597" s="75" t="s">
        <v>76</v>
      </c>
      <c r="K597" s="76" t="s">
        <v>369</v>
      </c>
      <c r="L597" s="77" t="str">
        <f t="shared" si="3"/>
        <v>SESI KLINIK</v>
      </c>
      <c r="M597" s="78" t="s">
        <v>27</v>
      </c>
      <c r="N597" s="79">
        <v>180000.0</v>
      </c>
      <c r="O597" s="80">
        <v>0.0</v>
      </c>
      <c r="P597" s="32">
        <f t="array" ref="P597">IFNA(XLOOKUP(K597,'⚙️ Pengaturan'!$E$2:$E800,'⚙️ Pengaturan'!$F$2:$F800),"")</f>
        <v>180000</v>
      </c>
      <c r="Q597" s="81">
        <f t="shared" si="9"/>
        <v>0</v>
      </c>
      <c r="R597" s="26" t="s">
        <v>28</v>
      </c>
      <c r="S597" s="38" t="s">
        <v>416</v>
      </c>
      <c r="T597" s="35" t="b">
        <v>1</v>
      </c>
      <c r="U597" s="36" t="s">
        <v>437</v>
      </c>
    </row>
    <row r="598" ht="30.0" customHeight="1">
      <c r="A598" s="24"/>
      <c r="B598" s="25">
        <v>2703.0</v>
      </c>
      <c r="C598" s="26" t="s">
        <v>40</v>
      </c>
      <c r="D598" s="27">
        <v>46064.0</v>
      </c>
      <c r="E598" s="28" t="str">
        <f t="shared" si="1"/>
        <v>2026</v>
      </c>
      <c r="F598" s="28" t="str">
        <f t="shared" si="2"/>
        <v>02 Feb</v>
      </c>
      <c r="G598" s="50" t="s">
        <v>61</v>
      </c>
      <c r="H598" s="29" t="s">
        <v>58</v>
      </c>
      <c r="I598" s="29" t="s">
        <v>438</v>
      </c>
      <c r="J598" s="75" t="s">
        <v>25</v>
      </c>
      <c r="K598" s="76" t="s">
        <v>26</v>
      </c>
      <c r="L598" s="77" t="str">
        <f t="shared" si="3"/>
        <v>TA KLINIK</v>
      </c>
      <c r="M598" s="78" t="s">
        <v>27</v>
      </c>
      <c r="N598" s="79">
        <v>250000.0</v>
      </c>
      <c r="O598" s="80">
        <v>0.0</v>
      </c>
      <c r="P598" s="32">
        <f t="array" ref="P598">IFNA(XLOOKUP(K598,'⚙️ Pengaturan'!$E$2:$E800,'⚙️ Pengaturan'!$F$2:$F800),"")</f>
        <v>250000</v>
      </c>
      <c r="Q598" s="81">
        <f t="shared" si="9"/>
        <v>0</v>
      </c>
      <c r="R598" s="26" t="s">
        <v>33</v>
      </c>
      <c r="S598" s="38" t="s">
        <v>34</v>
      </c>
      <c r="T598" s="35" t="b">
        <v>1</v>
      </c>
      <c r="U598" s="36"/>
    </row>
    <row r="599" ht="30.0" customHeight="1">
      <c r="A599" s="24"/>
      <c r="B599" s="25">
        <v>2704.0</v>
      </c>
      <c r="C599" s="26" t="s">
        <v>40</v>
      </c>
      <c r="D599" s="27">
        <v>46064.0</v>
      </c>
      <c r="E599" s="28" t="str">
        <f t="shared" si="1"/>
        <v>2026</v>
      </c>
      <c r="F599" s="28" t="str">
        <f t="shared" si="2"/>
        <v>02 Feb</v>
      </c>
      <c r="G599" s="50" t="s">
        <v>61</v>
      </c>
      <c r="H599" s="29" t="s">
        <v>48</v>
      </c>
      <c r="I599" s="29" t="s">
        <v>439</v>
      </c>
      <c r="J599" s="75" t="s">
        <v>25</v>
      </c>
      <c r="K599" s="76" t="s">
        <v>26</v>
      </c>
      <c r="L599" s="77" t="str">
        <f t="shared" si="3"/>
        <v>TA KLINIK</v>
      </c>
      <c r="M599" s="78" t="s">
        <v>27</v>
      </c>
      <c r="N599" s="79">
        <v>250000.0</v>
      </c>
      <c r="O599" s="80">
        <v>0.0</v>
      </c>
      <c r="P599" s="32">
        <f t="array" ref="P599">IFNA(XLOOKUP(K599,'⚙️ Pengaturan'!$E$2:$E800,'⚙️ Pengaturan'!$F$2:$F800),"")</f>
        <v>250000</v>
      </c>
      <c r="Q599" s="81">
        <f t="shared" si="9"/>
        <v>0</v>
      </c>
      <c r="R599" s="26" t="s">
        <v>45</v>
      </c>
      <c r="S599" s="38" t="s">
        <v>439</v>
      </c>
      <c r="T599" s="35" t="b">
        <v>1</v>
      </c>
      <c r="U599" s="36"/>
    </row>
    <row r="600" ht="30.0" customHeight="1">
      <c r="A600" s="24"/>
      <c r="B600" s="25">
        <v>2705.0</v>
      </c>
      <c r="C600" s="26" t="s">
        <v>21</v>
      </c>
      <c r="D600" s="27">
        <v>46065.0</v>
      </c>
      <c r="E600" s="28" t="str">
        <f t="shared" si="1"/>
        <v>2026</v>
      </c>
      <c r="F600" s="28" t="str">
        <f t="shared" si="2"/>
        <v>02 Feb</v>
      </c>
      <c r="G600" s="50" t="s">
        <v>67</v>
      </c>
      <c r="H600" s="29" t="s">
        <v>48</v>
      </c>
      <c r="I600" s="29" t="s">
        <v>337</v>
      </c>
      <c r="J600" s="75" t="s">
        <v>25</v>
      </c>
      <c r="K600" s="76" t="s">
        <v>39</v>
      </c>
      <c r="L600" s="77" t="str">
        <f t="shared" si="3"/>
        <v>PAKET KLINIK</v>
      </c>
      <c r="M600" s="78" t="s">
        <v>63</v>
      </c>
      <c r="N600" s="79">
        <v>50000.0</v>
      </c>
      <c r="O600" s="80">
        <v>0.0</v>
      </c>
      <c r="P600" s="44">
        <v>50000.0</v>
      </c>
      <c r="Q600" s="81">
        <f t="shared" si="9"/>
        <v>0</v>
      </c>
      <c r="R600" s="26" t="s">
        <v>33</v>
      </c>
      <c r="S600" s="38" t="s">
        <v>34</v>
      </c>
      <c r="T600" s="35" t="b">
        <v>1</v>
      </c>
      <c r="U600" s="36"/>
    </row>
    <row r="601" ht="30.0" customHeight="1">
      <c r="A601" s="24"/>
      <c r="B601" s="25">
        <v>2706.0</v>
      </c>
      <c r="C601" s="26" t="s">
        <v>21</v>
      </c>
      <c r="D601" s="27">
        <v>46065.0</v>
      </c>
      <c r="E601" s="28" t="str">
        <f t="shared" si="1"/>
        <v>2026</v>
      </c>
      <c r="F601" s="28" t="str">
        <f t="shared" si="2"/>
        <v>02 Feb</v>
      </c>
      <c r="G601" s="50" t="s">
        <v>29</v>
      </c>
      <c r="H601" s="29" t="s">
        <v>42</v>
      </c>
      <c r="I601" s="29" t="s">
        <v>440</v>
      </c>
      <c r="J601" s="75" t="s">
        <v>25</v>
      </c>
      <c r="K601" s="76" t="s">
        <v>26</v>
      </c>
      <c r="L601" s="77" t="str">
        <f t="shared" si="3"/>
        <v>TA KLINIK</v>
      </c>
      <c r="M601" s="78" t="s">
        <v>27</v>
      </c>
      <c r="N601" s="79">
        <v>250000.0</v>
      </c>
      <c r="O601" s="80">
        <v>0.0</v>
      </c>
      <c r="P601" s="32">
        <f t="array" ref="P601">IFNA(XLOOKUP(K601,'⚙️ Pengaturan'!$E$2:$E800,'⚙️ Pengaturan'!$F$2:$F800),"")</f>
        <v>250000</v>
      </c>
      <c r="Q601" s="81">
        <f t="shared" si="9"/>
        <v>0</v>
      </c>
      <c r="R601" s="26" t="s">
        <v>28</v>
      </c>
      <c r="S601" s="38" t="s">
        <v>441</v>
      </c>
      <c r="T601" s="35" t="b">
        <v>1</v>
      </c>
      <c r="U601" s="36"/>
    </row>
    <row r="602" ht="30.0" customHeight="1">
      <c r="A602" s="24"/>
      <c r="B602" s="25">
        <v>2707.0</v>
      </c>
      <c r="C602" s="26" t="s">
        <v>21</v>
      </c>
      <c r="D602" s="27">
        <v>46065.0</v>
      </c>
      <c r="E602" s="28" t="str">
        <f t="shared" si="1"/>
        <v>2026</v>
      </c>
      <c r="F602" s="28" t="str">
        <f t="shared" si="2"/>
        <v>02 Feb</v>
      </c>
      <c r="G602" s="50" t="s">
        <v>82</v>
      </c>
      <c r="H602" s="29" t="s">
        <v>51</v>
      </c>
      <c r="I602" s="29" t="s">
        <v>442</v>
      </c>
      <c r="J602" s="75" t="s">
        <v>25</v>
      </c>
      <c r="K602" s="76" t="s">
        <v>26</v>
      </c>
      <c r="L602" s="77" t="str">
        <f t="shared" si="3"/>
        <v>TA KLINIK</v>
      </c>
      <c r="M602" s="78" t="s">
        <v>27</v>
      </c>
      <c r="N602" s="79">
        <v>250000.0</v>
      </c>
      <c r="O602" s="80">
        <v>0.0</v>
      </c>
      <c r="P602" s="32">
        <f t="array" ref="P602">IFNA(XLOOKUP(K602,'⚙️ Pengaturan'!$E$2:$E800,'⚙️ Pengaturan'!$F$2:$F800),"")</f>
        <v>250000</v>
      </c>
      <c r="Q602" s="81">
        <f t="shared" si="9"/>
        <v>0</v>
      </c>
      <c r="R602" s="26" t="s">
        <v>28</v>
      </c>
      <c r="S602" s="38" t="s">
        <v>442</v>
      </c>
      <c r="T602" s="35" t="b">
        <v>1</v>
      </c>
      <c r="U602" s="36"/>
    </row>
    <row r="603" ht="30.0" customHeight="1">
      <c r="A603" s="24"/>
      <c r="B603" s="25">
        <v>2708.0</v>
      </c>
      <c r="C603" s="26" t="s">
        <v>21</v>
      </c>
      <c r="D603" s="27">
        <v>46065.0</v>
      </c>
      <c r="E603" s="28" t="str">
        <f t="shared" si="1"/>
        <v>2026</v>
      </c>
      <c r="F603" s="28" t="str">
        <f t="shared" si="2"/>
        <v>02 Feb</v>
      </c>
      <c r="G603" s="50" t="s">
        <v>82</v>
      </c>
      <c r="H603" s="29" t="s">
        <v>42</v>
      </c>
      <c r="I603" s="29" t="s">
        <v>429</v>
      </c>
      <c r="J603" s="75" t="s">
        <v>25</v>
      </c>
      <c r="K603" s="76" t="s">
        <v>369</v>
      </c>
      <c r="L603" s="77" t="str">
        <f t="shared" si="3"/>
        <v>SESI KLINIK</v>
      </c>
      <c r="M603" s="78" t="s">
        <v>27</v>
      </c>
      <c r="N603" s="79">
        <v>180000.0</v>
      </c>
      <c r="O603" s="80">
        <v>0.0</v>
      </c>
      <c r="P603" s="32">
        <f t="array" ref="P603">IFNA(XLOOKUP(K603,'⚙️ Pengaturan'!$E$2:$E800,'⚙️ Pengaturan'!$F$2:$F800),"")</f>
        <v>180000</v>
      </c>
      <c r="Q603" s="81">
        <f t="shared" si="9"/>
        <v>0</v>
      </c>
      <c r="R603" s="26" t="s">
        <v>33</v>
      </c>
      <c r="S603" s="38" t="s">
        <v>34</v>
      </c>
      <c r="T603" s="35" t="b">
        <v>1</v>
      </c>
      <c r="U603" s="36"/>
    </row>
    <row r="604" ht="30.0" customHeight="1">
      <c r="A604" s="24"/>
      <c r="B604" s="25">
        <v>2709.0</v>
      </c>
      <c r="C604" s="26" t="s">
        <v>21</v>
      </c>
      <c r="D604" s="27">
        <v>46065.0</v>
      </c>
      <c r="E604" s="28" t="str">
        <f t="shared" si="1"/>
        <v>2026</v>
      </c>
      <c r="F604" s="28" t="str">
        <f t="shared" si="2"/>
        <v>02 Feb</v>
      </c>
      <c r="G604" s="50" t="s">
        <v>67</v>
      </c>
      <c r="H604" s="29" t="s">
        <v>30</v>
      </c>
      <c r="I604" s="29" t="s">
        <v>357</v>
      </c>
      <c r="J604" s="75" t="s">
        <v>76</v>
      </c>
      <c r="K604" s="76" t="s">
        <v>197</v>
      </c>
      <c r="L604" s="77" t="str">
        <f t="shared" si="3"/>
        <v>PAKET VISIT</v>
      </c>
      <c r="M604" s="78" t="s">
        <v>27</v>
      </c>
      <c r="N604" s="79">
        <v>1800000.0</v>
      </c>
      <c r="O604" s="80">
        <v>0.0</v>
      </c>
      <c r="P604" s="32">
        <f t="array" ref="P604">IFNA(XLOOKUP(K604,'⚙️ Pengaturan'!$E$2:$E800,'⚙️ Pengaturan'!$F$2:$F800),"")</f>
        <v>1800000</v>
      </c>
      <c r="Q604" s="81">
        <f t="shared" si="9"/>
        <v>0</v>
      </c>
      <c r="R604" s="26" t="s">
        <v>28</v>
      </c>
      <c r="S604" s="38" t="s">
        <v>358</v>
      </c>
      <c r="T604" s="35" t="b">
        <v>1</v>
      </c>
      <c r="U604" s="36"/>
    </row>
    <row r="605" ht="30.0" customHeight="1">
      <c r="A605" s="24"/>
      <c r="B605" s="25">
        <v>2710.0</v>
      </c>
      <c r="C605" s="26" t="s">
        <v>21</v>
      </c>
      <c r="D605" s="27">
        <v>46065.0</v>
      </c>
      <c r="E605" s="28" t="str">
        <f t="shared" si="1"/>
        <v>2026</v>
      </c>
      <c r="F605" s="28" t="str">
        <f t="shared" si="2"/>
        <v>02 Feb</v>
      </c>
      <c r="G605" s="50" t="s">
        <v>89</v>
      </c>
      <c r="H605" s="29" t="s">
        <v>345</v>
      </c>
      <c r="I605" s="29" t="s">
        <v>443</v>
      </c>
      <c r="J605" s="75" t="s">
        <v>25</v>
      </c>
      <c r="K605" s="76" t="s">
        <v>232</v>
      </c>
      <c r="L605" s="77" t="str">
        <f t="shared" si="3"/>
        <v>SESI VISIT</v>
      </c>
      <c r="M605" s="78" t="s">
        <v>27</v>
      </c>
      <c r="N605" s="79">
        <v>250000.0</v>
      </c>
      <c r="O605" s="80">
        <v>0.0</v>
      </c>
      <c r="P605" s="32">
        <f t="array" ref="P605">IFNA(XLOOKUP(K605,'⚙️ Pengaturan'!$E$2:$E800,'⚙️ Pengaturan'!$F$2:$F800),"")</f>
        <v>250000</v>
      </c>
      <c r="Q605" s="81">
        <f t="shared" si="9"/>
        <v>0</v>
      </c>
      <c r="R605" s="26" t="s">
        <v>28</v>
      </c>
      <c r="S605" s="38" t="s">
        <v>444</v>
      </c>
      <c r="T605" s="35" t="b">
        <v>1</v>
      </c>
      <c r="U605" s="36"/>
    </row>
    <row r="606" ht="30.0" customHeight="1">
      <c r="A606" s="24"/>
      <c r="B606" s="25">
        <v>2711.0</v>
      </c>
      <c r="C606" s="26" t="s">
        <v>21</v>
      </c>
      <c r="D606" s="27">
        <v>46065.0</v>
      </c>
      <c r="E606" s="28" t="str">
        <f t="shared" si="1"/>
        <v>2026</v>
      </c>
      <c r="F606" s="28" t="str">
        <f t="shared" si="2"/>
        <v>02 Feb</v>
      </c>
      <c r="G606" s="50" t="s">
        <v>37</v>
      </c>
      <c r="H606" s="29" t="s">
        <v>51</v>
      </c>
      <c r="I606" s="29" t="s">
        <v>428</v>
      </c>
      <c r="J606" s="75" t="s">
        <v>25</v>
      </c>
      <c r="K606" s="76" t="s">
        <v>369</v>
      </c>
      <c r="L606" s="77" t="str">
        <f t="shared" si="3"/>
        <v>SESI KLINIK</v>
      </c>
      <c r="M606" s="78" t="s">
        <v>27</v>
      </c>
      <c r="N606" s="79">
        <v>180000.0</v>
      </c>
      <c r="O606" s="80">
        <v>0.0</v>
      </c>
      <c r="P606" s="32">
        <f t="array" ref="P606">IFNA(XLOOKUP(K606,'⚙️ Pengaturan'!$E$2:$E800,'⚙️ Pengaturan'!$F$2:$F800),"")</f>
        <v>180000</v>
      </c>
      <c r="Q606" s="81">
        <f t="shared" si="9"/>
        <v>0</v>
      </c>
      <c r="R606" s="26" t="s">
        <v>113</v>
      </c>
      <c r="S606" s="38" t="s">
        <v>428</v>
      </c>
      <c r="T606" s="35" t="b">
        <v>1</v>
      </c>
      <c r="U606" s="36"/>
    </row>
    <row r="607" ht="30.0" customHeight="1">
      <c r="A607" s="24"/>
      <c r="B607" s="25">
        <v>2712.0</v>
      </c>
      <c r="C607" s="26" t="s">
        <v>21</v>
      </c>
      <c r="D607" s="27">
        <v>46065.0</v>
      </c>
      <c r="E607" s="28" t="str">
        <f t="shared" si="1"/>
        <v>2026</v>
      </c>
      <c r="F607" s="28" t="str">
        <f t="shared" si="2"/>
        <v>02 Feb</v>
      </c>
      <c r="G607" s="50" t="s">
        <v>37</v>
      </c>
      <c r="H607" s="29" t="s">
        <v>58</v>
      </c>
      <c r="I607" s="29" t="s">
        <v>227</v>
      </c>
      <c r="J607" s="75" t="s">
        <v>76</v>
      </c>
      <c r="K607" s="76" t="s">
        <v>44</v>
      </c>
      <c r="L607" s="77" t="str">
        <f t="shared" si="3"/>
        <v>PAKET KLINIK</v>
      </c>
      <c r="M607" s="78" t="s">
        <v>63</v>
      </c>
      <c r="N607" s="79">
        <v>1000000.0</v>
      </c>
      <c r="O607" s="80">
        <v>0.0</v>
      </c>
      <c r="P607" s="32">
        <f t="array" ref="P607">IFNA(XLOOKUP(K607,'⚙️ Pengaturan'!$E$2:$E800,'⚙️ Pengaturan'!$F$2:$F800),"")</f>
        <v>1200000</v>
      </c>
      <c r="Q607" s="81">
        <f t="shared" si="9"/>
        <v>-200000</v>
      </c>
      <c r="R607" s="26" t="s">
        <v>33</v>
      </c>
      <c r="S607" s="38" t="s">
        <v>34</v>
      </c>
      <c r="T607" s="35" t="b">
        <v>1</v>
      </c>
      <c r="U607" s="36"/>
    </row>
    <row r="608" ht="30.0" customHeight="1">
      <c r="A608" s="24"/>
      <c r="B608" s="25">
        <v>2713.0</v>
      </c>
      <c r="C608" s="26" t="s">
        <v>40</v>
      </c>
      <c r="D608" s="27">
        <v>46065.0</v>
      </c>
      <c r="E608" s="28" t="str">
        <f t="shared" si="1"/>
        <v>2026</v>
      </c>
      <c r="F608" s="28" t="str">
        <f t="shared" si="2"/>
        <v>02 Feb</v>
      </c>
      <c r="G608" s="50" t="s">
        <v>46</v>
      </c>
      <c r="H608" s="29" t="s">
        <v>345</v>
      </c>
      <c r="I608" s="29" t="s">
        <v>269</v>
      </c>
      <c r="J608" s="75" t="s">
        <v>76</v>
      </c>
      <c r="K608" s="76" t="s">
        <v>32</v>
      </c>
      <c r="L608" s="77" t="str">
        <f t="shared" si="3"/>
        <v>SESI KLINIK</v>
      </c>
      <c r="M608" s="78" t="s">
        <v>27</v>
      </c>
      <c r="N608" s="79">
        <v>150000.0</v>
      </c>
      <c r="O608" s="80">
        <v>0.0</v>
      </c>
      <c r="P608" s="32">
        <f t="array" ref="P608">IFNA(XLOOKUP(K608,'⚙️ Pengaturan'!$E$2:$E800,'⚙️ Pengaturan'!$F$2:$F800),"")</f>
        <v>150000</v>
      </c>
      <c r="Q608" s="81">
        <f t="shared" si="9"/>
        <v>0</v>
      </c>
      <c r="R608" s="26" t="s">
        <v>33</v>
      </c>
      <c r="S608" s="38" t="s">
        <v>34</v>
      </c>
      <c r="T608" s="35" t="b">
        <v>1</v>
      </c>
      <c r="U608" s="36"/>
    </row>
    <row r="609" ht="30.0" customHeight="1">
      <c r="A609" s="24"/>
      <c r="B609" s="25">
        <v>2714.0</v>
      </c>
      <c r="C609" s="26" t="s">
        <v>40</v>
      </c>
      <c r="D609" s="27">
        <v>46065.0</v>
      </c>
      <c r="E609" s="28" t="str">
        <f t="shared" si="1"/>
        <v>2026</v>
      </c>
      <c r="F609" s="28" t="str">
        <f t="shared" si="2"/>
        <v>02 Feb</v>
      </c>
      <c r="G609" s="50" t="s">
        <v>41</v>
      </c>
      <c r="H609" s="29" t="s">
        <v>345</v>
      </c>
      <c r="I609" s="29" t="s">
        <v>426</v>
      </c>
      <c r="J609" s="75" t="s">
        <v>25</v>
      </c>
      <c r="K609" s="76" t="s">
        <v>369</v>
      </c>
      <c r="L609" s="77" t="str">
        <f t="shared" si="3"/>
        <v>SESI KLINIK</v>
      </c>
      <c r="M609" s="78" t="s">
        <v>27</v>
      </c>
      <c r="N609" s="79">
        <v>180000.0</v>
      </c>
      <c r="O609" s="80">
        <v>0.0</v>
      </c>
      <c r="P609" s="32">
        <f t="array" ref="P609">IFNA(XLOOKUP(K609,'⚙️ Pengaturan'!$E$2:$E800,'⚙️ Pengaturan'!$F$2:$F800),"")</f>
        <v>180000</v>
      </c>
      <c r="Q609" s="81">
        <f t="shared" si="9"/>
        <v>0</v>
      </c>
      <c r="R609" s="26" t="s">
        <v>33</v>
      </c>
      <c r="S609" s="38" t="s">
        <v>34</v>
      </c>
      <c r="T609" s="35" t="b">
        <v>1</v>
      </c>
      <c r="U609" s="36"/>
    </row>
    <row r="610" ht="30.0" customHeight="1">
      <c r="A610" s="24"/>
      <c r="B610" s="25">
        <v>2715.0</v>
      </c>
      <c r="C610" s="26" t="s">
        <v>40</v>
      </c>
      <c r="D610" s="27">
        <v>46065.0</v>
      </c>
      <c r="E610" s="28" t="str">
        <f t="shared" si="1"/>
        <v>2026</v>
      </c>
      <c r="F610" s="28" t="str">
        <f t="shared" si="2"/>
        <v>02 Feb</v>
      </c>
      <c r="G610" s="50" t="s">
        <v>41</v>
      </c>
      <c r="H610" s="29" t="s">
        <v>30</v>
      </c>
      <c r="I610" s="29" t="s">
        <v>411</v>
      </c>
      <c r="J610" s="75" t="s">
        <v>76</v>
      </c>
      <c r="K610" s="76" t="s">
        <v>395</v>
      </c>
      <c r="L610" s="77" t="str">
        <f t="shared" si="3"/>
        <v>PAKET KLINIK</v>
      </c>
      <c r="M610" s="78" t="s">
        <v>63</v>
      </c>
      <c r="N610" s="79">
        <v>450000.0</v>
      </c>
      <c r="O610" s="80">
        <v>300000.0</v>
      </c>
      <c r="P610" s="32">
        <f t="array" ref="P610">IFNA(XLOOKUP(K610,'⚙️ Pengaturan'!$E$2:$E800,'⚙️ Pengaturan'!$F$2:$F800),"")</f>
        <v>750000</v>
      </c>
      <c r="Q610" s="81">
        <f t="shared" si="9"/>
        <v>0</v>
      </c>
      <c r="R610" s="26" t="s">
        <v>28</v>
      </c>
      <c r="S610" s="38" t="s">
        <v>411</v>
      </c>
      <c r="T610" s="35" t="b">
        <v>1</v>
      </c>
      <c r="U610" s="36"/>
    </row>
    <row r="611" ht="30.0" customHeight="1">
      <c r="A611" s="24"/>
      <c r="B611" s="25">
        <v>2716.0</v>
      </c>
      <c r="C611" s="26" t="s">
        <v>40</v>
      </c>
      <c r="D611" s="27">
        <v>46065.0</v>
      </c>
      <c r="E611" s="28" t="str">
        <f t="shared" si="1"/>
        <v>2026</v>
      </c>
      <c r="F611" s="28" t="str">
        <f t="shared" si="2"/>
        <v>02 Feb</v>
      </c>
      <c r="G611" s="50" t="s">
        <v>53</v>
      </c>
      <c r="H611" s="29" t="s">
        <v>68</v>
      </c>
      <c r="I611" s="29" t="s">
        <v>445</v>
      </c>
      <c r="J611" s="75" t="s">
        <v>25</v>
      </c>
      <c r="K611" s="76" t="s">
        <v>26</v>
      </c>
      <c r="L611" s="77" t="str">
        <f t="shared" si="3"/>
        <v>TA KLINIK</v>
      </c>
      <c r="M611" s="78" t="s">
        <v>27</v>
      </c>
      <c r="N611" s="79">
        <v>250000.0</v>
      </c>
      <c r="O611" s="80">
        <v>0.0</v>
      </c>
      <c r="P611" s="32">
        <f t="array" ref="P611">IFNA(XLOOKUP(K611,'⚙️ Pengaturan'!$E$2:$E800,'⚙️ Pengaturan'!$F$2:$F800),"")</f>
        <v>250000</v>
      </c>
      <c r="Q611" s="81">
        <f t="shared" si="9"/>
        <v>0</v>
      </c>
      <c r="R611" s="26" t="s">
        <v>33</v>
      </c>
      <c r="S611" s="38" t="s">
        <v>34</v>
      </c>
      <c r="T611" s="35" t="b">
        <v>1</v>
      </c>
      <c r="U611" s="36"/>
    </row>
    <row r="612" ht="30.0" customHeight="1">
      <c r="A612" s="24"/>
      <c r="B612" s="25">
        <v>2717.0</v>
      </c>
      <c r="C612" s="26" t="s">
        <v>40</v>
      </c>
      <c r="D612" s="27">
        <v>46065.0</v>
      </c>
      <c r="E612" s="28" t="str">
        <f t="shared" si="1"/>
        <v>2026</v>
      </c>
      <c r="F612" s="28" t="str">
        <f t="shared" si="2"/>
        <v>02 Feb</v>
      </c>
      <c r="G612" s="50" t="s">
        <v>53</v>
      </c>
      <c r="H612" s="29" t="s">
        <v>345</v>
      </c>
      <c r="I612" s="29" t="s">
        <v>446</v>
      </c>
      <c r="J612" s="75" t="s">
        <v>25</v>
      </c>
      <c r="K612" s="76" t="s">
        <v>26</v>
      </c>
      <c r="L612" s="77" t="str">
        <f t="shared" si="3"/>
        <v>TA KLINIK</v>
      </c>
      <c r="M612" s="78" t="s">
        <v>27</v>
      </c>
      <c r="N612" s="79">
        <v>250000.0</v>
      </c>
      <c r="O612" s="80">
        <v>0.0</v>
      </c>
      <c r="P612" s="32">
        <f t="array" ref="P612">IFNA(XLOOKUP(K612,'⚙️ Pengaturan'!$E$2:$E800,'⚙️ Pengaturan'!$F$2:$F800),"")</f>
        <v>250000</v>
      </c>
      <c r="Q612" s="81">
        <f t="shared" si="9"/>
        <v>0</v>
      </c>
      <c r="R612" s="26" t="s">
        <v>33</v>
      </c>
      <c r="S612" s="38" t="s">
        <v>34</v>
      </c>
      <c r="T612" s="35" t="b">
        <v>1</v>
      </c>
      <c r="U612" s="36"/>
    </row>
    <row r="613" ht="30.0" customHeight="1">
      <c r="A613" s="24"/>
      <c r="B613" s="25">
        <v>2718.0</v>
      </c>
      <c r="C613" s="26" t="s">
        <v>40</v>
      </c>
      <c r="D613" s="27">
        <v>46065.0</v>
      </c>
      <c r="E613" s="28" t="str">
        <f t="shared" si="1"/>
        <v>2026</v>
      </c>
      <c r="F613" s="28" t="str">
        <f t="shared" si="2"/>
        <v>02 Feb</v>
      </c>
      <c r="G613" s="50" t="s">
        <v>56</v>
      </c>
      <c r="H613" s="29" t="s">
        <v>345</v>
      </c>
      <c r="I613" s="29" t="s">
        <v>447</v>
      </c>
      <c r="J613" s="75" t="s">
        <v>25</v>
      </c>
      <c r="K613" s="76" t="s">
        <v>26</v>
      </c>
      <c r="L613" s="77" t="str">
        <f t="shared" si="3"/>
        <v>TA KLINIK</v>
      </c>
      <c r="M613" s="78" t="s">
        <v>27</v>
      </c>
      <c r="N613" s="79">
        <v>250000.0</v>
      </c>
      <c r="O613" s="80">
        <v>0.0</v>
      </c>
      <c r="P613" s="32">
        <f t="array" ref="P613">IFNA(XLOOKUP(K613,'⚙️ Pengaturan'!$E$2:$E800,'⚙️ Pengaturan'!$F$2:$F800),"")</f>
        <v>250000</v>
      </c>
      <c r="Q613" s="81">
        <f t="shared" si="9"/>
        <v>0</v>
      </c>
      <c r="R613" s="26" t="s">
        <v>28</v>
      </c>
      <c r="S613" s="38" t="s">
        <v>447</v>
      </c>
      <c r="T613" s="35" t="b">
        <v>1</v>
      </c>
      <c r="U613" s="36"/>
    </row>
    <row r="614" ht="30.0" customHeight="1">
      <c r="A614" s="24"/>
      <c r="B614" s="25">
        <v>2719.0</v>
      </c>
      <c r="C614" s="26" t="s">
        <v>40</v>
      </c>
      <c r="D614" s="27">
        <v>46065.0</v>
      </c>
      <c r="E614" s="28" t="str">
        <f t="shared" si="1"/>
        <v>2026</v>
      </c>
      <c r="F614" s="28" t="str">
        <f t="shared" si="2"/>
        <v>02 Feb</v>
      </c>
      <c r="G614" s="50" t="s">
        <v>56</v>
      </c>
      <c r="H614" s="29" t="s">
        <v>345</v>
      </c>
      <c r="I614" s="29" t="s">
        <v>447</v>
      </c>
      <c r="J614" s="75" t="s">
        <v>25</v>
      </c>
      <c r="K614" s="76" t="s">
        <v>395</v>
      </c>
      <c r="L614" s="77" t="str">
        <f t="shared" si="3"/>
        <v>PAKET KLINIK</v>
      </c>
      <c r="M614" s="78" t="s">
        <v>27</v>
      </c>
      <c r="N614" s="79">
        <v>750000.0</v>
      </c>
      <c r="O614" s="80">
        <v>0.0</v>
      </c>
      <c r="P614" s="32">
        <f t="array" ref="P614">IFNA(XLOOKUP(K614,'⚙️ Pengaturan'!$E$2:$E800,'⚙️ Pengaturan'!$F$2:$F800),"")</f>
        <v>750000</v>
      </c>
      <c r="Q614" s="81">
        <f t="shared" si="9"/>
        <v>0</v>
      </c>
      <c r="R614" s="26" t="s">
        <v>28</v>
      </c>
      <c r="S614" s="38" t="s">
        <v>447</v>
      </c>
      <c r="T614" s="35" t="b">
        <v>1</v>
      </c>
      <c r="U614" s="36"/>
    </row>
    <row r="615" ht="30.0" customHeight="1">
      <c r="A615" s="24"/>
      <c r="B615" s="25">
        <v>2720.0</v>
      </c>
      <c r="C615" s="26" t="s">
        <v>40</v>
      </c>
      <c r="D615" s="27">
        <v>46065.0</v>
      </c>
      <c r="E615" s="28" t="str">
        <f t="shared" si="1"/>
        <v>2026</v>
      </c>
      <c r="F615" s="28" t="str">
        <f t="shared" si="2"/>
        <v>02 Feb</v>
      </c>
      <c r="G615" s="50" t="s">
        <v>61</v>
      </c>
      <c r="H615" s="29" t="s">
        <v>23</v>
      </c>
      <c r="I615" s="29" t="s">
        <v>281</v>
      </c>
      <c r="J615" s="75" t="s">
        <v>25</v>
      </c>
      <c r="K615" s="76" t="s">
        <v>369</v>
      </c>
      <c r="L615" s="77" t="str">
        <f t="shared" si="3"/>
        <v>SESI KLINIK</v>
      </c>
      <c r="M615" s="78" t="s">
        <v>27</v>
      </c>
      <c r="N615" s="79">
        <v>180000.0</v>
      </c>
      <c r="O615" s="80">
        <v>0.0</v>
      </c>
      <c r="P615" s="32">
        <f t="array" ref="P615">IFNA(XLOOKUP(K615,'⚙️ Pengaturan'!$E$2:$E800,'⚙️ Pengaturan'!$F$2:$F800),"")</f>
        <v>180000</v>
      </c>
      <c r="Q615" s="81">
        <f t="shared" si="9"/>
        <v>0</v>
      </c>
      <c r="R615" s="26" t="s">
        <v>33</v>
      </c>
      <c r="S615" s="38" t="s">
        <v>34</v>
      </c>
      <c r="T615" s="35" t="b">
        <v>1</v>
      </c>
      <c r="U615" s="36"/>
    </row>
    <row r="616" ht="30.0" customHeight="1">
      <c r="A616" s="24"/>
      <c r="B616" s="25">
        <v>2721.0</v>
      </c>
      <c r="C616" s="26" t="s">
        <v>40</v>
      </c>
      <c r="D616" s="27">
        <v>46065.0</v>
      </c>
      <c r="E616" s="28" t="str">
        <f t="shared" si="1"/>
        <v>2026</v>
      </c>
      <c r="F616" s="28" t="str">
        <f t="shared" si="2"/>
        <v>02 Feb</v>
      </c>
      <c r="G616" s="50" t="s">
        <v>61</v>
      </c>
      <c r="H616" s="29" t="s">
        <v>345</v>
      </c>
      <c r="I616" s="29" t="s">
        <v>448</v>
      </c>
      <c r="J616" s="75" t="s">
        <v>25</v>
      </c>
      <c r="K616" s="76" t="s">
        <v>369</v>
      </c>
      <c r="L616" s="77" t="str">
        <f t="shared" si="3"/>
        <v>SESI KLINIK</v>
      </c>
      <c r="M616" s="78" t="s">
        <v>27</v>
      </c>
      <c r="N616" s="79">
        <v>180000.0</v>
      </c>
      <c r="O616" s="80">
        <v>0.0</v>
      </c>
      <c r="P616" s="32">
        <f t="array" ref="P616">IFNA(XLOOKUP(K616,'⚙️ Pengaturan'!$E$2:$E800,'⚙️ Pengaturan'!$F$2:$F800),"")</f>
        <v>180000</v>
      </c>
      <c r="Q616" s="81">
        <f t="shared" si="9"/>
        <v>0</v>
      </c>
      <c r="R616" s="26" t="s">
        <v>33</v>
      </c>
      <c r="S616" s="38" t="s">
        <v>34</v>
      </c>
      <c r="T616" s="35" t="b">
        <v>1</v>
      </c>
      <c r="U616" s="36"/>
    </row>
    <row r="617" ht="30.0" customHeight="1">
      <c r="A617" s="24"/>
      <c r="B617" s="25">
        <v>2722.0</v>
      </c>
      <c r="C617" s="26" t="s">
        <v>40</v>
      </c>
      <c r="D617" s="27">
        <v>46066.0</v>
      </c>
      <c r="E617" s="28" t="str">
        <f t="shared" si="1"/>
        <v>2026</v>
      </c>
      <c r="F617" s="28" t="str">
        <f t="shared" si="2"/>
        <v>02 Feb</v>
      </c>
      <c r="G617" s="50" t="s">
        <v>118</v>
      </c>
      <c r="H617" s="29" t="s">
        <v>345</v>
      </c>
      <c r="I617" s="29" t="s">
        <v>449</v>
      </c>
      <c r="J617" s="75" t="s">
        <v>76</v>
      </c>
      <c r="K617" s="76" t="s">
        <v>232</v>
      </c>
      <c r="L617" s="77" t="str">
        <f t="shared" si="3"/>
        <v>SESI VISIT</v>
      </c>
      <c r="M617" s="78" t="s">
        <v>27</v>
      </c>
      <c r="N617" s="79">
        <v>250000.0</v>
      </c>
      <c r="O617" s="80">
        <v>0.0</v>
      </c>
      <c r="P617" s="32">
        <f t="array" ref="P617">IFNA(XLOOKUP(K617,'⚙️ Pengaturan'!$E$2:$E800,'⚙️ Pengaturan'!$F$2:$F800),"")</f>
        <v>250000</v>
      </c>
      <c r="Q617" s="81">
        <f t="shared" si="9"/>
        <v>0</v>
      </c>
      <c r="R617" s="26" t="s">
        <v>28</v>
      </c>
      <c r="S617" s="38" t="s">
        <v>444</v>
      </c>
      <c r="T617" s="35" t="b">
        <v>1</v>
      </c>
      <c r="U617" s="36"/>
    </row>
    <row r="618" ht="30.0" customHeight="1">
      <c r="A618" s="24"/>
      <c r="B618" s="25">
        <v>2723.0</v>
      </c>
      <c r="C618" s="26" t="s">
        <v>21</v>
      </c>
      <c r="D618" s="27">
        <v>46066.0</v>
      </c>
      <c r="E618" s="28" t="str">
        <f t="shared" si="1"/>
        <v>2026</v>
      </c>
      <c r="F618" s="28" t="str">
        <f t="shared" si="2"/>
        <v>02 Feb</v>
      </c>
      <c r="G618" s="50" t="s">
        <v>46</v>
      </c>
      <c r="H618" s="29" t="s">
        <v>345</v>
      </c>
      <c r="I618" s="29" t="s">
        <v>450</v>
      </c>
      <c r="J618" s="75" t="s">
        <v>25</v>
      </c>
      <c r="K618" s="76" t="s">
        <v>26</v>
      </c>
      <c r="L618" s="77" t="str">
        <f t="shared" si="3"/>
        <v>TA KLINIK</v>
      </c>
      <c r="M618" s="78" t="s">
        <v>27</v>
      </c>
      <c r="N618" s="79">
        <v>250000.0</v>
      </c>
      <c r="O618" s="80">
        <v>0.0</v>
      </c>
      <c r="P618" s="32">
        <f t="array" ref="P618">IFNA(XLOOKUP(K618,'⚙️ Pengaturan'!$E$2:$E800,'⚙️ Pengaturan'!$F$2:$F800),"")</f>
        <v>250000</v>
      </c>
      <c r="Q618" s="81">
        <f t="shared" si="9"/>
        <v>0</v>
      </c>
      <c r="R618" s="26" t="s">
        <v>33</v>
      </c>
      <c r="S618" s="38" t="s">
        <v>34</v>
      </c>
      <c r="T618" s="35" t="b">
        <v>1</v>
      </c>
      <c r="U618" s="36"/>
    </row>
    <row r="619" ht="30.0" customHeight="1">
      <c r="A619" s="24"/>
      <c r="B619" s="25">
        <v>2724.0</v>
      </c>
      <c r="C619" s="26" t="s">
        <v>21</v>
      </c>
      <c r="D619" s="27">
        <v>46066.0</v>
      </c>
      <c r="E619" s="28" t="str">
        <f t="shared" si="1"/>
        <v>2026</v>
      </c>
      <c r="F619" s="28" t="str">
        <f t="shared" si="2"/>
        <v>02 Feb</v>
      </c>
      <c r="G619" s="50" t="s">
        <v>41</v>
      </c>
      <c r="H619" s="29" t="s">
        <v>70</v>
      </c>
      <c r="I619" s="29" t="s">
        <v>279</v>
      </c>
      <c r="J619" s="75" t="s">
        <v>25</v>
      </c>
      <c r="K619" s="76" t="s">
        <v>32</v>
      </c>
      <c r="L619" s="77" t="str">
        <f t="shared" si="3"/>
        <v>SESI KLINIK</v>
      </c>
      <c r="M619" s="78" t="s">
        <v>27</v>
      </c>
      <c r="N619" s="79">
        <v>150000.0</v>
      </c>
      <c r="O619" s="80">
        <v>0.0</v>
      </c>
      <c r="P619" s="32">
        <f t="array" ref="P619">IFNA(XLOOKUP(K619,'⚙️ Pengaturan'!$E$2:$E800,'⚙️ Pengaturan'!$F$2:$F800),"")</f>
        <v>150000</v>
      </c>
      <c r="Q619" s="81">
        <f t="shared" si="9"/>
        <v>0</v>
      </c>
      <c r="R619" s="26" t="s">
        <v>33</v>
      </c>
      <c r="S619" s="38" t="s">
        <v>34</v>
      </c>
      <c r="T619" s="35" t="b">
        <v>1</v>
      </c>
      <c r="U619" s="36"/>
    </row>
    <row r="620" ht="30.0" customHeight="1">
      <c r="A620" s="24"/>
      <c r="B620" s="25">
        <v>2725.0</v>
      </c>
      <c r="C620" s="26" t="s">
        <v>21</v>
      </c>
      <c r="D620" s="27">
        <v>46066.0</v>
      </c>
      <c r="E620" s="28" t="str">
        <f t="shared" si="1"/>
        <v>2026</v>
      </c>
      <c r="F620" s="28" t="str">
        <f t="shared" si="2"/>
        <v>02 Feb</v>
      </c>
      <c r="G620" s="50" t="s">
        <v>53</v>
      </c>
      <c r="H620" s="29" t="s">
        <v>345</v>
      </c>
      <c r="I620" s="29" t="s">
        <v>430</v>
      </c>
      <c r="J620" s="75" t="s">
        <v>25</v>
      </c>
      <c r="K620" s="76" t="s">
        <v>369</v>
      </c>
      <c r="L620" s="77" t="str">
        <f t="shared" si="3"/>
        <v>SESI KLINIK</v>
      </c>
      <c r="M620" s="78" t="s">
        <v>27</v>
      </c>
      <c r="N620" s="79">
        <v>180000.0</v>
      </c>
      <c r="O620" s="80">
        <v>0.0</v>
      </c>
      <c r="P620" s="32">
        <f t="array" ref="P620">IFNA(XLOOKUP(K620,'⚙️ Pengaturan'!$E$2:$E800,'⚙️ Pengaturan'!$F$2:$F800),"")</f>
        <v>180000</v>
      </c>
      <c r="Q620" s="81">
        <f t="shared" si="9"/>
        <v>0</v>
      </c>
      <c r="R620" s="26" t="s">
        <v>28</v>
      </c>
      <c r="S620" s="38" t="s">
        <v>430</v>
      </c>
      <c r="T620" s="35" t="b">
        <v>1</v>
      </c>
      <c r="U620" s="36"/>
    </row>
    <row r="621" ht="30.0" customHeight="1">
      <c r="A621" s="24"/>
      <c r="B621" s="25">
        <v>2726.0</v>
      </c>
      <c r="C621" s="26" t="s">
        <v>21</v>
      </c>
      <c r="D621" s="27">
        <v>46067.0</v>
      </c>
      <c r="E621" s="28" t="str">
        <f t="shared" si="1"/>
        <v>2026</v>
      </c>
      <c r="F621" s="28" t="str">
        <f t="shared" si="2"/>
        <v>02 Feb</v>
      </c>
      <c r="G621" s="50" t="s">
        <v>22</v>
      </c>
      <c r="H621" s="29" t="s">
        <v>42</v>
      </c>
      <c r="I621" s="29" t="s">
        <v>439</v>
      </c>
      <c r="J621" s="75" t="s">
        <v>25</v>
      </c>
      <c r="K621" s="76" t="s">
        <v>369</v>
      </c>
      <c r="L621" s="77" t="str">
        <f t="shared" si="3"/>
        <v>SESI KLINIK</v>
      </c>
      <c r="M621" s="78" t="s">
        <v>27</v>
      </c>
      <c r="N621" s="79">
        <v>180000.0</v>
      </c>
      <c r="O621" s="80">
        <v>0.0</v>
      </c>
      <c r="P621" s="32">
        <f t="array" ref="P621">IFNA(XLOOKUP(K621,'⚙️ Pengaturan'!$E$2:$E800,'⚙️ Pengaturan'!$F$2:$F800),"")</f>
        <v>180000</v>
      </c>
      <c r="Q621" s="81">
        <f t="shared" si="9"/>
        <v>0</v>
      </c>
      <c r="R621" s="26" t="s">
        <v>33</v>
      </c>
      <c r="S621" s="38" t="s">
        <v>34</v>
      </c>
      <c r="T621" s="35" t="b">
        <v>1</v>
      </c>
      <c r="U621" s="36"/>
    </row>
    <row r="622" ht="30.0" customHeight="1">
      <c r="A622" s="24"/>
      <c r="B622" s="25">
        <v>2727.0</v>
      </c>
      <c r="C622" s="26" t="s">
        <v>21</v>
      </c>
      <c r="D622" s="27">
        <v>46067.0</v>
      </c>
      <c r="E622" s="28" t="str">
        <f t="shared" si="1"/>
        <v>2026</v>
      </c>
      <c r="F622" s="28" t="str">
        <f t="shared" si="2"/>
        <v>02 Feb</v>
      </c>
      <c r="G622" s="50" t="s">
        <v>29</v>
      </c>
      <c r="H622" s="29" t="s">
        <v>51</v>
      </c>
      <c r="I622" s="29" t="s">
        <v>451</v>
      </c>
      <c r="J622" s="75" t="s">
        <v>25</v>
      </c>
      <c r="K622" s="76" t="s">
        <v>26</v>
      </c>
      <c r="L622" s="77" t="str">
        <f t="shared" si="3"/>
        <v>TA KLINIK</v>
      </c>
      <c r="M622" s="78" t="s">
        <v>27</v>
      </c>
      <c r="N622" s="79">
        <v>250000.0</v>
      </c>
      <c r="O622" s="80">
        <v>0.0</v>
      </c>
      <c r="P622" s="32">
        <f t="array" ref="P622">IFNA(XLOOKUP(K622,'⚙️ Pengaturan'!$E$2:$E800,'⚙️ Pengaturan'!$F$2:$F800),"")</f>
        <v>250000</v>
      </c>
      <c r="Q622" s="81">
        <f t="shared" si="9"/>
        <v>0</v>
      </c>
      <c r="R622" s="26" t="s">
        <v>28</v>
      </c>
      <c r="S622" s="38" t="s">
        <v>451</v>
      </c>
      <c r="T622" s="35" t="b">
        <v>1</v>
      </c>
      <c r="U622" s="36"/>
    </row>
    <row r="623" ht="30.0" customHeight="1">
      <c r="A623" s="24"/>
      <c r="B623" s="25">
        <v>2728.0</v>
      </c>
      <c r="C623" s="26" t="s">
        <v>21</v>
      </c>
      <c r="D623" s="27">
        <v>46067.0</v>
      </c>
      <c r="E623" s="28" t="str">
        <f t="shared" si="1"/>
        <v>2026</v>
      </c>
      <c r="F623" s="28" t="str">
        <f t="shared" si="2"/>
        <v>02 Feb</v>
      </c>
      <c r="G623" s="50" t="s">
        <v>89</v>
      </c>
      <c r="H623" s="29" t="s">
        <v>58</v>
      </c>
      <c r="I623" s="29" t="s">
        <v>205</v>
      </c>
      <c r="J623" s="75" t="s">
        <v>76</v>
      </c>
      <c r="K623" s="76" t="s">
        <v>39</v>
      </c>
      <c r="L623" s="77" t="str">
        <f t="shared" si="3"/>
        <v>PAKET KLINIK</v>
      </c>
      <c r="M623" s="78" t="s">
        <v>86</v>
      </c>
      <c r="N623" s="79">
        <v>300000.0</v>
      </c>
      <c r="O623" s="80">
        <v>0.0</v>
      </c>
      <c r="P623" s="32">
        <f t="array" ref="P623">IFNA(XLOOKUP(K623,'⚙️ Pengaturan'!$E$2:$E800,'⚙️ Pengaturan'!$F$2:$F800),"")</f>
        <v>650000</v>
      </c>
      <c r="Q623" s="81">
        <f t="shared" si="9"/>
        <v>-350000</v>
      </c>
      <c r="R623" s="26" t="s">
        <v>33</v>
      </c>
      <c r="S623" s="38" t="s">
        <v>34</v>
      </c>
      <c r="T623" s="35" t="b">
        <v>1</v>
      </c>
      <c r="U623" s="36"/>
    </row>
    <row r="624" ht="30.0" customHeight="1">
      <c r="A624" s="24"/>
      <c r="B624" s="25">
        <v>2729.0</v>
      </c>
      <c r="C624" s="26" t="s">
        <v>21</v>
      </c>
      <c r="D624" s="27">
        <v>46067.0</v>
      </c>
      <c r="E624" s="28" t="str">
        <f t="shared" si="1"/>
        <v>2026</v>
      </c>
      <c r="F624" s="28" t="str">
        <f t="shared" si="2"/>
        <v>02 Feb</v>
      </c>
      <c r="G624" s="50" t="s">
        <v>37</v>
      </c>
      <c r="H624" s="29" t="s">
        <v>51</v>
      </c>
      <c r="I624" s="29" t="s">
        <v>52</v>
      </c>
      <c r="J624" s="75" t="s">
        <v>76</v>
      </c>
      <c r="K624" s="76" t="s">
        <v>32</v>
      </c>
      <c r="L624" s="77" t="str">
        <f t="shared" si="3"/>
        <v>SESI KLINIK</v>
      </c>
      <c r="M624" s="78" t="s">
        <v>27</v>
      </c>
      <c r="N624" s="79">
        <v>150000.0</v>
      </c>
      <c r="O624" s="80">
        <v>0.0</v>
      </c>
      <c r="P624" s="32">
        <f t="array" ref="P624">IFNA(XLOOKUP(K624,'⚙️ Pengaturan'!$E$2:$E800,'⚙️ Pengaturan'!$F$2:$F800),"")</f>
        <v>150000</v>
      </c>
      <c r="Q624" s="81">
        <f t="shared" si="9"/>
        <v>0</v>
      </c>
      <c r="R624" s="26" t="s">
        <v>33</v>
      </c>
      <c r="S624" s="38" t="s">
        <v>34</v>
      </c>
      <c r="T624" s="35" t="b">
        <v>1</v>
      </c>
      <c r="U624" s="36"/>
    </row>
    <row r="625" ht="30.0" customHeight="1">
      <c r="A625" s="24"/>
      <c r="B625" s="25">
        <v>2730.0</v>
      </c>
      <c r="C625" s="26" t="s">
        <v>40</v>
      </c>
      <c r="D625" s="27">
        <v>46067.0</v>
      </c>
      <c r="E625" s="28" t="str">
        <f t="shared" si="1"/>
        <v>2026</v>
      </c>
      <c r="F625" s="28" t="str">
        <f t="shared" si="2"/>
        <v>02 Feb</v>
      </c>
      <c r="G625" s="50" t="s">
        <v>46</v>
      </c>
      <c r="H625" s="29" t="s">
        <v>23</v>
      </c>
      <c r="I625" s="29" t="s">
        <v>452</v>
      </c>
      <c r="J625" s="75" t="s">
        <v>25</v>
      </c>
      <c r="K625" s="76" t="s">
        <v>26</v>
      </c>
      <c r="L625" s="77" t="str">
        <f t="shared" si="3"/>
        <v>TA KLINIK</v>
      </c>
      <c r="M625" s="78" t="s">
        <v>27</v>
      </c>
      <c r="N625" s="79">
        <v>250000.0</v>
      </c>
      <c r="O625" s="80">
        <v>0.0</v>
      </c>
      <c r="P625" s="32">
        <f t="array" ref="P625">IFNA(XLOOKUP(K625,'⚙️ Pengaturan'!$E$2:$E800,'⚙️ Pengaturan'!$F$2:$F800),"")</f>
        <v>250000</v>
      </c>
      <c r="Q625" s="81">
        <f t="shared" si="9"/>
        <v>0</v>
      </c>
      <c r="R625" s="26" t="s">
        <v>28</v>
      </c>
      <c r="S625" s="38" t="s">
        <v>452</v>
      </c>
      <c r="T625" s="35" t="b">
        <v>1</v>
      </c>
      <c r="U625" s="36"/>
    </row>
    <row r="626" ht="30.0" customHeight="1">
      <c r="A626" s="24"/>
      <c r="B626" s="25">
        <v>2731.0</v>
      </c>
      <c r="C626" s="26" t="s">
        <v>40</v>
      </c>
      <c r="D626" s="27">
        <v>46067.0</v>
      </c>
      <c r="E626" s="28" t="str">
        <f t="shared" si="1"/>
        <v>2026</v>
      </c>
      <c r="F626" s="28" t="str">
        <f t="shared" si="2"/>
        <v>02 Feb</v>
      </c>
      <c r="G626" s="50" t="s">
        <v>41</v>
      </c>
      <c r="H626" s="29" t="s">
        <v>23</v>
      </c>
      <c r="I626" s="29" t="s">
        <v>268</v>
      </c>
      <c r="J626" s="75" t="s">
        <v>25</v>
      </c>
      <c r="K626" s="76" t="s">
        <v>26</v>
      </c>
      <c r="L626" s="77" t="str">
        <f t="shared" si="3"/>
        <v>TA KLINIK</v>
      </c>
      <c r="M626" s="78" t="s">
        <v>27</v>
      </c>
      <c r="N626" s="79">
        <v>250000.0</v>
      </c>
      <c r="O626" s="80">
        <v>0.0</v>
      </c>
      <c r="P626" s="32">
        <f t="array" ref="P626">IFNA(XLOOKUP(K626,'⚙️ Pengaturan'!$E$2:$E800,'⚙️ Pengaturan'!$F$2:$F800),"")</f>
        <v>250000</v>
      </c>
      <c r="Q626" s="81">
        <f t="shared" si="9"/>
        <v>0</v>
      </c>
      <c r="R626" s="26" t="s">
        <v>28</v>
      </c>
      <c r="S626" s="38" t="s">
        <v>268</v>
      </c>
      <c r="T626" s="35" t="b">
        <v>1</v>
      </c>
      <c r="U626" s="36"/>
    </row>
    <row r="627" ht="30.0" customHeight="1">
      <c r="A627" s="24"/>
      <c r="B627" s="25">
        <v>2732.0</v>
      </c>
      <c r="C627" s="26" t="s">
        <v>40</v>
      </c>
      <c r="D627" s="27">
        <v>46067.0</v>
      </c>
      <c r="E627" s="28" t="str">
        <f t="shared" si="1"/>
        <v>2026</v>
      </c>
      <c r="F627" s="28" t="str">
        <f t="shared" si="2"/>
        <v>02 Feb</v>
      </c>
      <c r="G627" s="50" t="s">
        <v>53</v>
      </c>
      <c r="H627" s="29" t="s">
        <v>70</v>
      </c>
      <c r="I627" s="29" t="s">
        <v>407</v>
      </c>
      <c r="J627" s="75" t="s">
        <v>76</v>
      </c>
      <c r="K627" s="76" t="s">
        <v>369</v>
      </c>
      <c r="L627" s="77" t="str">
        <f t="shared" si="3"/>
        <v>SESI KLINIK</v>
      </c>
      <c r="M627" s="78" t="s">
        <v>27</v>
      </c>
      <c r="N627" s="79">
        <v>180000.0</v>
      </c>
      <c r="O627" s="80">
        <v>0.0</v>
      </c>
      <c r="P627" s="32">
        <f t="array" ref="P627">IFNA(XLOOKUP(K627,'⚙️ Pengaturan'!$E$2:$E800,'⚙️ Pengaturan'!$F$2:$F800),"")</f>
        <v>180000</v>
      </c>
      <c r="Q627" s="81">
        <f t="shared" si="9"/>
        <v>0</v>
      </c>
      <c r="R627" s="26" t="s">
        <v>28</v>
      </c>
      <c r="S627" s="38" t="s">
        <v>407</v>
      </c>
      <c r="T627" s="35" t="b">
        <v>1</v>
      </c>
      <c r="U627" s="36"/>
    </row>
    <row r="628" ht="30.0" customHeight="1">
      <c r="A628" s="24"/>
      <c r="B628" s="25">
        <v>2733.0</v>
      </c>
      <c r="C628" s="26" t="s">
        <v>40</v>
      </c>
      <c r="D628" s="27">
        <v>46067.0</v>
      </c>
      <c r="E628" s="28" t="str">
        <f t="shared" si="1"/>
        <v>2026</v>
      </c>
      <c r="F628" s="28" t="str">
        <f t="shared" si="2"/>
        <v>02 Feb</v>
      </c>
      <c r="G628" s="50" t="s">
        <v>53</v>
      </c>
      <c r="H628" s="29" t="s">
        <v>23</v>
      </c>
      <c r="I628" s="29" t="s">
        <v>453</v>
      </c>
      <c r="J628" s="75" t="s">
        <v>25</v>
      </c>
      <c r="K628" s="76" t="s">
        <v>26</v>
      </c>
      <c r="L628" s="77" t="str">
        <f t="shared" si="3"/>
        <v>TA KLINIK</v>
      </c>
      <c r="M628" s="78" t="s">
        <v>27</v>
      </c>
      <c r="N628" s="79">
        <v>250000.0</v>
      </c>
      <c r="O628" s="80">
        <v>0.0</v>
      </c>
      <c r="P628" s="32">
        <f t="array" ref="P628">IFNA(XLOOKUP(K628,'⚙️ Pengaturan'!$E$2:$E800,'⚙️ Pengaturan'!$F$2:$F800),"")</f>
        <v>250000</v>
      </c>
      <c r="Q628" s="81">
        <f t="shared" si="9"/>
        <v>0</v>
      </c>
      <c r="R628" s="26" t="s">
        <v>33</v>
      </c>
      <c r="S628" s="38" t="s">
        <v>34</v>
      </c>
      <c r="T628" s="35" t="b">
        <v>1</v>
      </c>
      <c r="U628" s="36"/>
    </row>
    <row r="629" ht="30.0" customHeight="1">
      <c r="A629" s="24"/>
      <c r="B629" s="25">
        <v>2734.0</v>
      </c>
      <c r="C629" s="26" t="s">
        <v>40</v>
      </c>
      <c r="D629" s="27">
        <v>46067.0</v>
      </c>
      <c r="E629" s="28" t="str">
        <f t="shared" si="1"/>
        <v>2026</v>
      </c>
      <c r="F629" s="28" t="str">
        <f t="shared" si="2"/>
        <v>02 Feb</v>
      </c>
      <c r="G629" s="50" t="s">
        <v>56</v>
      </c>
      <c r="H629" s="29" t="s">
        <v>23</v>
      </c>
      <c r="I629" s="29" t="s">
        <v>454</v>
      </c>
      <c r="J629" s="75" t="s">
        <v>25</v>
      </c>
      <c r="K629" s="76" t="s">
        <v>26</v>
      </c>
      <c r="L629" s="77" t="str">
        <f t="shared" si="3"/>
        <v>TA KLINIK</v>
      </c>
      <c r="M629" s="78" t="s">
        <v>27</v>
      </c>
      <c r="N629" s="79">
        <v>250000.0</v>
      </c>
      <c r="O629" s="80">
        <v>0.0</v>
      </c>
      <c r="P629" s="32">
        <f t="array" ref="P629">IFNA(XLOOKUP(K629,'⚙️ Pengaturan'!$E$2:$E800,'⚙️ Pengaturan'!$F$2:$F800),"")</f>
        <v>250000</v>
      </c>
      <c r="Q629" s="81">
        <f t="shared" si="9"/>
        <v>0</v>
      </c>
      <c r="R629" s="26" t="s">
        <v>33</v>
      </c>
      <c r="S629" s="38" t="s">
        <v>34</v>
      </c>
      <c r="T629" s="35" t="b">
        <v>1</v>
      </c>
      <c r="U629" s="36"/>
    </row>
    <row r="630" ht="30.0" customHeight="1">
      <c r="A630" s="24"/>
      <c r="B630" s="25">
        <v>2735.0</v>
      </c>
      <c r="C630" s="26" t="s">
        <v>21</v>
      </c>
      <c r="D630" s="27">
        <v>46068.0</v>
      </c>
      <c r="E630" s="28" t="str">
        <f t="shared" si="1"/>
        <v>2026</v>
      </c>
      <c r="F630" s="28" t="str">
        <f t="shared" si="2"/>
        <v>02 Feb</v>
      </c>
      <c r="G630" s="50" t="s">
        <v>67</v>
      </c>
      <c r="H630" s="29" t="s">
        <v>68</v>
      </c>
      <c r="I630" s="29" t="s">
        <v>445</v>
      </c>
      <c r="J630" s="75" t="s">
        <v>25</v>
      </c>
      <c r="K630" s="76" t="s">
        <v>369</v>
      </c>
      <c r="L630" s="77" t="str">
        <f t="shared" si="3"/>
        <v>SESI KLINIK</v>
      </c>
      <c r="M630" s="78" t="s">
        <v>27</v>
      </c>
      <c r="N630" s="79">
        <v>180000.0</v>
      </c>
      <c r="O630" s="80">
        <v>0.0</v>
      </c>
      <c r="P630" s="32">
        <f t="array" ref="P630">IFNA(XLOOKUP(K630,'⚙️ Pengaturan'!$E$2:$E800,'⚙️ Pengaturan'!$F$2:$F800),"")</f>
        <v>180000</v>
      </c>
      <c r="Q630" s="81">
        <f t="shared" si="9"/>
        <v>0</v>
      </c>
      <c r="R630" s="26" t="s">
        <v>33</v>
      </c>
      <c r="S630" s="38" t="s">
        <v>34</v>
      </c>
      <c r="T630" s="35" t="b">
        <v>1</v>
      </c>
      <c r="U630" s="36"/>
    </row>
    <row r="631" ht="30.0" customHeight="1">
      <c r="A631" s="24"/>
      <c r="B631" s="25">
        <v>2736.0</v>
      </c>
      <c r="C631" s="26" t="s">
        <v>21</v>
      </c>
      <c r="D631" s="27">
        <v>46068.0</v>
      </c>
      <c r="E631" s="28" t="str">
        <f t="shared" si="1"/>
        <v>2026</v>
      </c>
      <c r="F631" s="28" t="str">
        <f t="shared" si="2"/>
        <v>02 Feb</v>
      </c>
      <c r="G631" s="50" t="s">
        <v>67</v>
      </c>
      <c r="H631" s="29" t="s">
        <v>23</v>
      </c>
      <c r="I631" s="29" t="s">
        <v>455</v>
      </c>
      <c r="J631" s="75" t="s">
        <v>76</v>
      </c>
      <c r="K631" s="76" t="s">
        <v>39</v>
      </c>
      <c r="L631" s="77" t="str">
        <f t="shared" si="3"/>
        <v>PAKET KLINIK</v>
      </c>
      <c r="M631" s="78" t="s">
        <v>63</v>
      </c>
      <c r="N631" s="79">
        <v>450000.0</v>
      </c>
      <c r="O631" s="80">
        <v>0.0</v>
      </c>
      <c r="P631" s="32">
        <f t="array" ref="P631">IFNA(XLOOKUP(K631,'⚙️ Pengaturan'!$E$2:$E800,'⚙️ Pengaturan'!$F$2:$F800),"")</f>
        <v>650000</v>
      </c>
      <c r="Q631" s="81">
        <f t="shared" si="9"/>
        <v>-200000</v>
      </c>
      <c r="R631" s="26" t="s">
        <v>113</v>
      </c>
      <c r="S631" s="38" t="s">
        <v>248</v>
      </c>
      <c r="T631" s="35" t="b">
        <v>1</v>
      </c>
      <c r="U631" s="36"/>
    </row>
    <row r="632" ht="30.0" customHeight="1">
      <c r="A632" s="24"/>
      <c r="B632" s="25">
        <v>2737.0</v>
      </c>
      <c r="C632" s="26" t="s">
        <v>21</v>
      </c>
      <c r="D632" s="27">
        <v>46066.0</v>
      </c>
      <c r="E632" s="28" t="str">
        <f t="shared" si="1"/>
        <v>2026</v>
      </c>
      <c r="F632" s="28" t="str">
        <f t="shared" si="2"/>
        <v>02 Feb</v>
      </c>
      <c r="G632" s="50" t="s">
        <v>22</v>
      </c>
      <c r="H632" s="29" t="s">
        <v>70</v>
      </c>
      <c r="I632" s="29" t="s">
        <v>166</v>
      </c>
      <c r="J632" s="75" t="s">
        <v>76</v>
      </c>
      <c r="K632" s="76" t="s">
        <v>39</v>
      </c>
      <c r="L632" s="77" t="str">
        <f t="shared" si="3"/>
        <v>PAKET KLINIK</v>
      </c>
      <c r="M632" s="78" t="s">
        <v>27</v>
      </c>
      <c r="N632" s="79">
        <v>650000.0</v>
      </c>
      <c r="O632" s="80">
        <v>0.0</v>
      </c>
      <c r="P632" s="32">
        <f t="array" ref="P632">IFNA(XLOOKUP(K632,'⚙️ Pengaturan'!$E$2:$E800,'⚙️ Pengaturan'!$F$2:$F800),"")</f>
        <v>650000</v>
      </c>
      <c r="Q632" s="81">
        <f t="shared" si="9"/>
        <v>0</v>
      </c>
      <c r="R632" s="26" t="s">
        <v>28</v>
      </c>
      <c r="S632" s="38" t="s">
        <v>166</v>
      </c>
      <c r="T632" s="35" t="b">
        <v>1</v>
      </c>
      <c r="U632" s="36"/>
    </row>
    <row r="633" ht="30.0" customHeight="1">
      <c r="A633" s="24"/>
      <c r="B633" s="25">
        <v>2738.0</v>
      </c>
      <c r="C633" s="26" t="s">
        <v>21</v>
      </c>
      <c r="D633" s="27">
        <v>46068.0</v>
      </c>
      <c r="E633" s="28" t="str">
        <f t="shared" si="1"/>
        <v>2026</v>
      </c>
      <c r="F633" s="28" t="str">
        <f t="shared" si="2"/>
        <v>02 Feb</v>
      </c>
      <c r="G633" s="50" t="s">
        <v>22</v>
      </c>
      <c r="H633" s="29" t="s">
        <v>30</v>
      </c>
      <c r="I633" s="29" t="s">
        <v>456</v>
      </c>
      <c r="J633" s="75" t="s">
        <v>76</v>
      </c>
      <c r="K633" s="76" t="s">
        <v>39</v>
      </c>
      <c r="L633" s="77" t="str">
        <f t="shared" si="3"/>
        <v>PAKET KLINIK</v>
      </c>
      <c r="M633" s="78" t="s">
        <v>27</v>
      </c>
      <c r="N633" s="79">
        <v>650000.0</v>
      </c>
      <c r="O633" s="80">
        <v>0.0</v>
      </c>
      <c r="P633" s="32">
        <f t="array" ref="P633">IFNA(XLOOKUP(K633,'⚙️ Pengaturan'!$E$2:$E800,'⚙️ Pengaturan'!$F$2:$F800),"")</f>
        <v>650000</v>
      </c>
      <c r="Q633" s="81">
        <f t="shared" si="9"/>
        <v>0</v>
      </c>
      <c r="R633" s="26" t="s">
        <v>28</v>
      </c>
      <c r="S633" s="38" t="s">
        <v>166</v>
      </c>
      <c r="T633" s="35" t="b">
        <v>1</v>
      </c>
      <c r="U633" s="36"/>
    </row>
    <row r="634" ht="30.0" customHeight="1">
      <c r="A634" s="24"/>
      <c r="B634" s="25">
        <v>2739.0</v>
      </c>
      <c r="C634" s="26" t="s">
        <v>21</v>
      </c>
      <c r="D634" s="27">
        <v>46068.0</v>
      </c>
      <c r="E634" s="28" t="str">
        <f t="shared" si="1"/>
        <v>2026</v>
      </c>
      <c r="F634" s="28" t="str">
        <f t="shared" si="2"/>
        <v>02 Feb</v>
      </c>
      <c r="G634" s="50" t="s">
        <v>22</v>
      </c>
      <c r="H634" s="29" t="s">
        <v>30</v>
      </c>
      <c r="I634" s="29" t="s">
        <v>38</v>
      </c>
      <c r="J634" s="75" t="s">
        <v>76</v>
      </c>
      <c r="K634" s="76" t="s">
        <v>39</v>
      </c>
      <c r="L634" s="77" t="str">
        <f t="shared" si="3"/>
        <v>PAKET KLINIK</v>
      </c>
      <c r="M634" s="78" t="s">
        <v>27</v>
      </c>
      <c r="N634" s="79">
        <v>650000.0</v>
      </c>
      <c r="O634" s="80">
        <v>0.0</v>
      </c>
      <c r="P634" s="32">
        <f t="array" ref="P634">IFNA(XLOOKUP(K634,'⚙️ Pengaturan'!$E$2:$E800,'⚙️ Pengaturan'!$F$2:$F800),"")</f>
        <v>650000</v>
      </c>
      <c r="Q634" s="81">
        <f t="shared" si="9"/>
        <v>0</v>
      </c>
      <c r="R634" s="26" t="s">
        <v>33</v>
      </c>
      <c r="S634" s="38" t="s">
        <v>34</v>
      </c>
      <c r="T634" s="35" t="b">
        <v>1</v>
      </c>
      <c r="U634" s="36"/>
    </row>
    <row r="635" ht="30.0" customHeight="1">
      <c r="A635" s="24"/>
      <c r="B635" s="25">
        <v>2740.0</v>
      </c>
      <c r="C635" s="26" t="s">
        <v>21</v>
      </c>
      <c r="D635" s="27">
        <v>46068.0</v>
      </c>
      <c r="E635" s="28" t="str">
        <f t="shared" si="1"/>
        <v>2026</v>
      </c>
      <c r="F635" s="28" t="str">
        <f t="shared" si="2"/>
        <v>02 Feb</v>
      </c>
      <c r="G635" s="50" t="s">
        <v>22</v>
      </c>
      <c r="H635" s="29" t="s">
        <v>345</v>
      </c>
      <c r="I635" s="29" t="s">
        <v>457</v>
      </c>
      <c r="J635" s="75" t="s">
        <v>25</v>
      </c>
      <c r="K635" s="76" t="s">
        <v>26</v>
      </c>
      <c r="L635" s="77" t="str">
        <f t="shared" si="3"/>
        <v>TA KLINIK</v>
      </c>
      <c r="M635" s="78" t="s">
        <v>27</v>
      </c>
      <c r="N635" s="79">
        <v>250000.0</v>
      </c>
      <c r="O635" s="80">
        <v>0.0</v>
      </c>
      <c r="P635" s="32">
        <f t="array" ref="P635">IFNA(XLOOKUP(K635,'⚙️ Pengaturan'!$E$2:$E800,'⚙️ Pengaturan'!$F$2:$F800),"")</f>
        <v>250000</v>
      </c>
      <c r="Q635" s="81">
        <f t="shared" si="9"/>
        <v>0</v>
      </c>
      <c r="R635" s="26" t="s">
        <v>28</v>
      </c>
      <c r="S635" s="38" t="s">
        <v>457</v>
      </c>
      <c r="T635" s="35" t="b">
        <v>1</v>
      </c>
      <c r="U635" s="36"/>
    </row>
    <row r="636" ht="30.0" customHeight="1">
      <c r="A636" s="24"/>
      <c r="B636" s="25">
        <v>2741.0</v>
      </c>
      <c r="C636" s="26" t="s">
        <v>21</v>
      </c>
      <c r="D636" s="27">
        <v>46068.0</v>
      </c>
      <c r="E636" s="28" t="str">
        <f t="shared" si="1"/>
        <v>2026</v>
      </c>
      <c r="F636" s="28" t="str">
        <f t="shared" si="2"/>
        <v>02 Feb</v>
      </c>
      <c r="G636" s="50" t="s">
        <v>29</v>
      </c>
      <c r="H636" s="29" t="s">
        <v>68</v>
      </c>
      <c r="I636" s="29" t="s">
        <v>442</v>
      </c>
      <c r="J636" s="75" t="s">
        <v>25</v>
      </c>
      <c r="K636" s="76" t="s">
        <v>369</v>
      </c>
      <c r="L636" s="77" t="str">
        <f t="shared" si="3"/>
        <v>SESI KLINIK</v>
      </c>
      <c r="M636" s="78" t="s">
        <v>27</v>
      </c>
      <c r="N636" s="79">
        <v>180000.0</v>
      </c>
      <c r="O636" s="80">
        <v>0.0</v>
      </c>
      <c r="P636" s="32">
        <f t="array" ref="P636">IFNA(XLOOKUP(K636,'⚙️ Pengaturan'!$E$2:$E800,'⚙️ Pengaturan'!$F$2:$F800),"")</f>
        <v>180000</v>
      </c>
      <c r="Q636" s="81">
        <f t="shared" si="9"/>
        <v>0</v>
      </c>
      <c r="R636" s="26" t="s">
        <v>28</v>
      </c>
      <c r="S636" s="38" t="s">
        <v>442</v>
      </c>
      <c r="T636" s="35" t="b">
        <v>1</v>
      </c>
      <c r="U636" s="36"/>
    </row>
    <row r="637" ht="30.0" customHeight="1">
      <c r="A637" s="24"/>
      <c r="B637" s="25">
        <v>2742.0</v>
      </c>
      <c r="C637" s="26" t="s">
        <v>21</v>
      </c>
      <c r="D637" s="27">
        <v>46068.0</v>
      </c>
      <c r="E637" s="28" t="str">
        <f t="shared" si="1"/>
        <v>2026</v>
      </c>
      <c r="F637" s="28" t="str">
        <f t="shared" si="2"/>
        <v>02 Feb</v>
      </c>
      <c r="G637" s="50" t="s">
        <v>29</v>
      </c>
      <c r="H637" s="29" t="s">
        <v>23</v>
      </c>
      <c r="I637" s="29" t="s">
        <v>268</v>
      </c>
      <c r="J637" s="75" t="s">
        <v>25</v>
      </c>
      <c r="K637" s="76" t="s">
        <v>395</v>
      </c>
      <c r="L637" s="77" t="str">
        <f t="shared" si="3"/>
        <v>PAKET KLINIK</v>
      </c>
      <c r="M637" s="78" t="s">
        <v>27</v>
      </c>
      <c r="N637" s="79">
        <v>750000.0</v>
      </c>
      <c r="O637" s="80">
        <v>0.0</v>
      </c>
      <c r="P637" s="32">
        <f t="array" ref="P637">IFNA(XLOOKUP(K637,'⚙️ Pengaturan'!$E$2:$E800,'⚙️ Pengaturan'!$F$2:$F800),"")</f>
        <v>750000</v>
      </c>
      <c r="Q637" s="81">
        <f t="shared" si="9"/>
        <v>0</v>
      </c>
      <c r="R637" s="26" t="s">
        <v>28</v>
      </c>
      <c r="S637" s="38" t="s">
        <v>268</v>
      </c>
      <c r="T637" s="35" t="b">
        <v>1</v>
      </c>
      <c r="U637" s="36"/>
    </row>
    <row r="638" ht="30.0" customHeight="1">
      <c r="A638" s="24"/>
      <c r="B638" s="25">
        <v>2743.0</v>
      </c>
      <c r="C638" s="26" t="s">
        <v>21</v>
      </c>
      <c r="D638" s="27">
        <v>46068.0</v>
      </c>
      <c r="E638" s="28" t="str">
        <f t="shared" si="1"/>
        <v>2026</v>
      </c>
      <c r="F638" s="28" t="str">
        <f t="shared" si="2"/>
        <v>02 Feb</v>
      </c>
      <c r="G638" s="50" t="s">
        <v>29</v>
      </c>
      <c r="H638" s="29" t="s">
        <v>345</v>
      </c>
      <c r="I638" s="29" t="s">
        <v>426</v>
      </c>
      <c r="J638" s="75" t="s">
        <v>25</v>
      </c>
      <c r="K638" s="76" t="s">
        <v>369</v>
      </c>
      <c r="L638" s="77" t="str">
        <f t="shared" si="3"/>
        <v>SESI KLINIK</v>
      </c>
      <c r="M638" s="78" t="s">
        <v>27</v>
      </c>
      <c r="N638" s="79">
        <v>50000.0</v>
      </c>
      <c r="O638" s="80">
        <v>130000.0</v>
      </c>
      <c r="P638" s="32">
        <f t="array" ref="P638">IFNA(XLOOKUP(K638,'⚙️ Pengaturan'!$E$2:$E800,'⚙️ Pengaturan'!$F$2:$F800),"")</f>
        <v>180000</v>
      </c>
      <c r="Q638" s="81">
        <f t="shared" si="9"/>
        <v>0</v>
      </c>
      <c r="R638" s="26" t="s">
        <v>33</v>
      </c>
      <c r="S638" s="38" t="s">
        <v>34</v>
      </c>
      <c r="T638" s="35" t="b">
        <v>1</v>
      </c>
      <c r="U638" s="36"/>
    </row>
    <row r="639" ht="30.0" customHeight="1">
      <c r="A639" s="24"/>
      <c r="B639" s="25">
        <v>2744.0</v>
      </c>
      <c r="C639" s="26" t="s">
        <v>21</v>
      </c>
      <c r="D639" s="27">
        <v>46068.0</v>
      </c>
      <c r="E639" s="28" t="str">
        <f t="shared" si="1"/>
        <v>2026</v>
      </c>
      <c r="F639" s="28" t="str">
        <f t="shared" si="2"/>
        <v>02 Feb</v>
      </c>
      <c r="G639" s="50" t="s">
        <v>37</v>
      </c>
      <c r="H639" s="29" t="s">
        <v>30</v>
      </c>
      <c r="I639" s="29" t="s">
        <v>430</v>
      </c>
      <c r="J639" s="75" t="s">
        <v>25</v>
      </c>
      <c r="K639" s="76" t="s">
        <v>369</v>
      </c>
      <c r="L639" s="77" t="str">
        <f t="shared" si="3"/>
        <v>SESI KLINIK</v>
      </c>
      <c r="M639" s="78" t="s">
        <v>27</v>
      </c>
      <c r="N639" s="79">
        <v>180000.0</v>
      </c>
      <c r="O639" s="80">
        <v>0.0</v>
      </c>
      <c r="P639" s="32">
        <f t="array" ref="P639">IFNA(XLOOKUP(K639,'⚙️ Pengaturan'!$E$2:$E800,'⚙️ Pengaturan'!$F$2:$F800),"")</f>
        <v>180000</v>
      </c>
      <c r="Q639" s="81">
        <f t="shared" si="9"/>
        <v>0</v>
      </c>
      <c r="R639" s="26" t="s">
        <v>28</v>
      </c>
      <c r="S639" s="38" t="s">
        <v>430</v>
      </c>
      <c r="T639" s="35" t="b">
        <v>1</v>
      </c>
      <c r="U639" s="36"/>
    </row>
    <row r="640" ht="30.0" customHeight="1">
      <c r="A640" s="24"/>
      <c r="B640" s="25">
        <v>2745.0</v>
      </c>
      <c r="C640" s="26" t="s">
        <v>21</v>
      </c>
      <c r="D640" s="27">
        <v>46068.0</v>
      </c>
      <c r="E640" s="28" t="str">
        <f t="shared" si="1"/>
        <v>2026</v>
      </c>
      <c r="F640" s="28" t="str">
        <f t="shared" si="2"/>
        <v>02 Feb</v>
      </c>
      <c r="G640" s="50" t="s">
        <v>82</v>
      </c>
      <c r="H640" s="29" t="s">
        <v>345</v>
      </c>
      <c r="I640" s="29" t="s">
        <v>458</v>
      </c>
      <c r="J640" s="75" t="s">
        <v>25</v>
      </c>
      <c r="K640" s="76" t="s">
        <v>26</v>
      </c>
      <c r="L640" s="77" t="str">
        <f t="shared" si="3"/>
        <v>TA KLINIK</v>
      </c>
      <c r="M640" s="78" t="s">
        <v>27</v>
      </c>
      <c r="N640" s="79">
        <v>200000.0</v>
      </c>
      <c r="O640" s="80">
        <v>50000.0</v>
      </c>
      <c r="P640" s="32">
        <f t="array" ref="P640">IFNA(XLOOKUP(K640,'⚙️ Pengaturan'!$E$2:$E800,'⚙️ Pengaturan'!$F$2:$F800),"")</f>
        <v>250000</v>
      </c>
      <c r="Q640" s="81">
        <f t="shared" si="9"/>
        <v>0</v>
      </c>
      <c r="R640" s="26" t="s">
        <v>33</v>
      </c>
      <c r="S640" s="38" t="s">
        <v>34</v>
      </c>
      <c r="T640" s="35" t="b">
        <v>1</v>
      </c>
      <c r="U640" s="36"/>
    </row>
    <row r="641" ht="30.0" customHeight="1">
      <c r="A641" s="24"/>
      <c r="B641" s="25">
        <v>2746.0</v>
      </c>
      <c r="C641" s="26" t="s">
        <v>21</v>
      </c>
      <c r="D641" s="27">
        <v>46068.0</v>
      </c>
      <c r="E641" s="28" t="str">
        <f t="shared" si="1"/>
        <v>2026</v>
      </c>
      <c r="F641" s="28" t="str">
        <f t="shared" si="2"/>
        <v>02 Feb</v>
      </c>
      <c r="G641" s="50" t="s">
        <v>37</v>
      </c>
      <c r="H641" s="29" t="s">
        <v>30</v>
      </c>
      <c r="I641" s="29" t="s">
        <v>340</v>
      </c>
      <c r="J641" s="75" t="s">
        <v>25</v>
      </c>
      <c r="K641" s="76" t="s">
        <v>32</v>
      </c>
      <c r="L641" s="77" t="str">
        <f t="shared" si="3"/>
        <v>SESI KLINIK</v>
      </c>
      <c r="M641" s="78" t="s">
        <v>27</v>
      </c>
      <c r="N641" s="79">
        <v>150000.0</v>
      </c>
      <c r="O641" s="80">
        <v>0.0</v>
      </c>
      <c r="P641" s="32">
        <f t="array" ref="P641">IFNA(XLOOKUP(K641,'⚙️ Pengaturan'!$E$2:$E800,'⚙️ Pengaturan'!$F$2:$F800),"")</f>
        <v>150000</v>
      </c>
      <c r="Q641" s="81">
        <f t="shared" si="9"/>
        <v>0</v>
      </c>
      <c r="R641" s="26" t="s">
        <v>28</v>
      </c>
      <c r="S641" s="38" t="s">
        <v>34</v>
      </c>
      <c r="T641" s="35" t="b">
        <v>1</v>
      </c>
      <c r="U641" s="36"/>
    </row>
    <row r="642" ht="30.0" customHeight="1">
      <c r="A642" s="24"/>
      <c r="B642" s="25">
        <v>2747.0</v>
      </c>
      <c r="C642" s="26" t="s">
        <v>21</v>
      </c>
      <c r="D642" s="27">
        <v>46068.0</v>
      </c>
      <c r="E642" s="28" t="str">
        <f t="shared" si="1"/>
        <v>2026</v>
      </c>
      <c r="F642" s="28" t="str">
        <f t="shared" si="2"/>
        <v>02 Feb</v>
      </c>
      <c r="G642" s="50" t="s">
        <v>37</v>
      </c>
      <c r="H642" s="29" t="s">
        <v>345</v>
      </c>
      <c r="I642" s="29" t="s">
        <v>357</v>
      </c>
      <c r="J642" s="75" t="s">
        <v>25</v>
      </c>
      <c r="K642" s="76" t="s">
        <v>26</v>
      </c>
      <c r="L642" s="77" t="str">
        <f t="shared" si="3"/>
        <v>TA KLINIK</v>
      </c>
      <c r="M642" s="78" t="s">
        <v>27</v>
      </c>
      <c r="N642" s="79">
        <v>250000.0</v>
      </c>
      <c r="O642" s="80">
        <v>0.0</v>
      </c>
      <c r="P642" s="32">
        <f t="array" ref="P642">IFNA(XLOOKUP(K642,'⚙️ Pengaturan'!$E$2:$E800,'⚙️ Pengaturan'!$F$2:$F800),"")</f>
        <v>250000</v>
      </c>
      <c r="Q642" s="81">
        <f t="shared" si="9"/>
        <v>0</v>
      </c>
      <c r="R642" s="26" t="s">
        <v>28</v>
      </c>
      <c r="S642" s="38" t="s">
        <v>459</v>
      </c>
      <c r="T642" s="35" t="b">
        <v>1</v>
      </c>
      <c r="U642" s="36"/>
    </row>
    <row r="643" ht="30.0" customHeight="1">
      <c r="A643" s="24"/>
      <c r="B643" s="25">
        <v>2748.0</v>
      </c>
      <c r="C643" s="26" t="s">
        <v>40</v>
      </c>
      <c r="D643" s="27">
        <v>46068.0</v>
      </c>
      <c r="E643" s="28" t="str">
        <f t="shared" si="1"/>
        <v>2026</v>
      </c>
      <c r="F643" s="28" t="str">
        <f t="shared" si="2"/>
        <v>02 Feb</v>
      </c>
      <c r="G643" s="50" t="s">
        <v>89</v>
      </c>
      <c r="H643" s="29" t="s">
        <v>58</v>
      </c>
      <c r="I643" s="29" t="s">
        <v>416</v>
      </c>
      <c r="J643" s="75" t="s">
        <v>76</v>
      </c>
      <c r="K643" s="76" t="s">
        <v>369</v>
      </c>
      <c r="L643" s="77" t="str">
        <f t="shared" si="3"/>
        <v>SESI KLINIK</v>
      </c>
      <c r="M643" s="78" t="s">
        <v>27</v>
      </c>
      <c r="N643" s="79">
        <v>180000.0</v>
      </c>
      <c r="O643" s="80">
        <v>0.0</v>
      </c>
      <c r="P643" s="32">
        <f t="array" ref="P643">IFNA(XLOOKUP(K643,'⚙️ Pengaturan'!$E$2:$E800,'⚙️ Pengaturan'!$F$2:$F800),"")</f>
        <v>180000</v>
      </c>
      <c r="Q643" s="81">
        <f t="shared" si="9"/>
        <v>0</v>
      </c>
      <c r="R643" s="26" t="s">
        <v>28</v>
      </c>
      <c r="S643" s="38" t="s">
        <v>416</v>
      </c>
      <c r="T643" s="35" t="b">
        <v>1</v>
      </c>
      <c r="U643" s="36" t="s">
        <v>460</v>
      </c>
    </row>
    <row r="644" ht="30.0" customHeight="1">
      <c r="A644" s="24"/>
      <c r="B644" s="25">
        <v>2749.0</v>
      </c>
      <c r="C644" s="26" t="s">
        <v>40</v>
      </c>
      <c r="D644" s="27">
        <v>46068.0</v>
      </c>
      <c r="E644" s="28" t="str">
        <f t="shared" si="1"/>
        <v>2026</v>
      </c>
      <c r="F644" s="28" t="str">
        <f t="shared" si="2"/>
        <v>02 Feb</v>
      </c>
      <c r="G644" s="50" t="s">
        <v>89</v>
      </c>
      <c r="H644" s="29" t="s">
        <v>58</v>
      </c>
      <c r="I644" s="29" t="s">
        <v>416</v>
      </c>
      <c r="J644" s="75" t="s">
        <v>76</v>
      </c>
      <c r="K644" s="76" t="s">
        <v>369</v>
      </c>
      <c r="L644" s="77" t="str">
        <f t="shared" si="3"/>
        <v>SESI KLINIK</v>
      </c>
      <c r="M644" s="78" t="s">
        <v>27</v>
      </c>
      <c r="N644" s="79">
        <v>180000.0</v>
      </c>
      <c r="O644" s="80">
        <v>0.0</v>
      </c>
      <c r="P644" s="32">
        <f t="array" ref="P644">IFNA(XLOOKUP(K644,'⚙️ Pengaturan'!$E$2:$E800,'⚙️ Pengaturan'!$F$2:$F800),"")</f>
        <v>180000</v>
      </c>
      <c r="Q644" s="81">
        <f t="shared" si="9"/>
        <v>0</v>
      </c>
      <c r="R644" s="26" t="s">
        <v>28</v>
      </c>
      <c r="S644" s="38" t="s">
        <v>416</v>
      </c>
      <c r="T644" s="35" t="b">
        <v>1</v>
      </c>
      <c r="U644" s="36" t="s">
        <v>460</v>
      </c>
    </row>
    <row r="645" ht="30.0" customHeight="1">
      <c r="A645" s="24"/>
      <c r="B645" s="25">
        <v>2750.0</v>
      </c>
      <c r="C645" s="26" t="s">
        <v>40</v>
      </c>
      <c r="D645" s="27">
        <v>46068.0</v>
      </c>
      <c r="E645" s="28" t="str">
        <f t="shared" si="1"/>
        <v>2026</v>
      </c>
      <c r="F645" s="28" t="str">
        <f t="shared" si="2"/>
        <v>02 Feb</v>
      </c>
      <c r="G645" s="50" t="s">
        <v>118</v>
      </c>
      <c r="H645" s="29" t="s">
        <v>42</v>
      </c>
      <c r="I645" s="29" t="s">
        <v>418</v>
      </c>
      <c r="J645" s="75" t="s">
        <v>76</v>
      </c>
      <c r="K645" s="76" t="s">
        <v>92</v>
      </c>
      <c r="L645" s="77" t="str">
        <f t="shared" si="3"/>
        <v>SESI VISIT</v>
      </c>
      <c r="M645" s="78" t="s">
        <v>27</v>
      </c>
      <c r="N645" s="79">
        <v>200000.0</v>
      </c>
      <c r="O645" s="80">
        <v>0.0</v>
      </c>
      <c r="P645" s="32">
        <f t="array" ref="P645">IFNA(XLOOKUP(K645,'⚙️ Pengaturan'!$E$2:$E800,'⚙️ Pengaturan'!$F$2:$F800),"")</f>
        <v>200000</v>
      </c>
      <c r="Q645" s="81">
        <f t="shared" si="9"/>
        <v>0</v>
      </c>
      <c r="R645" s="26" t="s">
        <v>33</v>
      </c>
      <c r="S645" s="38" t="s">
        <v>34</v>
      </c>
      <c r="T645" s="35" t="b">
        <v>1</v>
      </c>
      <c r="U645" s="36"/>
    </row>
    <row r="646" ht="30.0" customHeight="1">
      <c r="A646" s="24"/>
      <c r="B646" s="25">
        <v>2751.0</v>
      </c>
      <c r="C646" s="26" t="s">
        <v>40</v>
      </c>
      <c r="D646" s="27">
        <v>46068.0</v>
      </c>
      <c r="E646" s="28" t="str">
        <f t="shared" si="1"/>
        <v>2026</v>
      </c>
      <c r="F646" s="28" t="str">
        <f t="shared" si="2"/>
        <v>02 Feb</v>
      </c>
      <c r="G646" s="50" t="s">
        <v>46</v>
      </c>
      <c r="H646" s="29" t="s">
        <v>51</v>
      </c>
      <c r="I646" s="29" t="s">
        <v>461</v>
      </c>
      <c r="J646" s="75" t="s">
        <v>25</v>
      </c>
      <c r="K646" s="76" t="s">
        <v>26</v>
      </c>
      <c r="L646" s="77" t="str">
        <f t="shared" si="3"/>
        <v>TA KLINIK</v>
      </c>
      <c r="M646" s="78" t="s">
        <v>27</v>
      </c>
      <c r="N646" s="79">
        <v>250000.0</v>
      </c>
      <c r="O646" s="80">
        <v>0.0</v>
      </c>
      <c r="P646" s="32">
        <f t="array" ref="P646">IFNA(XLOOKUP(K646,'⚙️ Pengaturan'!$E$2:$E800,'⚙️ Pengaturan'!$F$2:$F800),"")</f>
        <v>250000</v>
      </c>
      <c r="Q646" s="81">
        <f t="shared" si="9"/>
        <v>0</v>
      </c>
      <c r="R646" s="26" t="s">
        <v>28</v>
      </c>
      <c r="S646" s="38" t="s">
        <v>461</v>
      </c>
      <c r="T646" s="35" t="b">
        <v>1</v>
      </c>
      <c r="U646" s="36"/>
    </row>
    <row r="647" ht="30.0" customHeight="1">
      <c r="A647" s="24"/>
      <c r="B647" s="25">
        <v>2752.0</v>
      </c>
      <c r="C647" s="26" t="s">
        <v>40</v>
      </c>
      <c r="D647" s="27">
        <v>46068.0</v>
      </c>
      <c r="E647" s="28" t="str">
        <f t="shared" si="1"/>
        <v>2026</v>
      </c>
      <c r="F647" s="28" t="str">
        <f t="shared" si="2"/>
        <v>02 Feb</v>
      </c>
      <c r="G647" s="50" t="s">
        <v>41</v>
      </c>
      <c r="H647" s="29" t="s">
        <v>42</v>
      </c>
      <c r="I647" s="29" t="s">
        <v>440</v>
      </c>
      <c r="J647" s="75" t="s">
        <v>25</v>
      </c>
      <c r="K647" s="76" t="s">
        <v>369</v>
      </c>
      <c r="L647" s="77" t="str">
        <f t="shared" si="3"/>
        <v>SESI KLINIK</v>
      </c>
      <c r="M647" s="78" t="s">
        <v>27</v>
      </c>
      <c r="N647" s="79">
        <v>180000.0</v>
      </c>
      <c r="O647" s="80">
        <v>0.0</v>
      </c>
      <c r="P647" s="32">
        <f t="array" ref="P647">IFNA(XLOOKUP(K647,'⚙️ Pengaturan'!$E$2:$E800,'⚙️ Pengaturan'!$F$2:$F800),"")</f>
        <v>180000</v>
      </c>
      <c r="Q647" s="81">
        <f t="shared" si="9"/>
        <v>0</v>
      </c>
      <c r="R647" s="26" t="s">
        <v>33</v>
      </c>
      <c r="S647" s="38" t="s">
        <v>34</v>
      </c>
      <c r="T647" s="35" t="b">
        <v>1</v>
      </c>
      <c r="U647" s="36"/>
    </row>
    <row r="648" ht="30.0" customHeight="1">
      <c r="A648" s="24"/>
      <c r="B648" s="25">
        <v>2753.0</v>
      </c>
      <c r="C648" s="26" t="s">
        <v>40</v>
      </c>
      <c r="D648" s="27">
        <v>46068.0</v>
      </c>
      <c r="E648" s="28" t="str">
        <f t="shared" si="1"/>
        <v>2026</v>
      </c>
      <c r="F648" s="28" t="str">
        <f t="shared" si="2"/>
        <v>02 Feb</v>
      </c>
      <c r="G648" s="50" t="s">
        <v>56</v>
      </c>
      <c r="H648" s="29" t="s">
        <v>48</v>
      </c>
      <c r="I648" s="29" t="s">
        <v>438</v>
      </c>
      <c r="J648" s="75" t="s">
        <v>25</v>
      </c>
      <c r="K648" s="76" t="s">
        <v>395</v>
      </c>
      <c r="L648" s="77" t="str">
        <f t="shared" si="3"/>
        <v>PAKET KLINIK</v>
      </c>
      <c r="M648" s="78" t="s">
        <v>86</v>
      </c>
      <c r="N648" s="79">
        <v>200000.0</v>
      </c>
      <c r="O648" s="80">
        <v>0.0</v>
      </c>
      <c r="P648" s="32">
        <f t="array" ref="P648">IFNA(XLOOKUP(K648,'⚙️ Pengaturan'!$E$2:$E800,'⚙️ Pengaturan'!$F$2:$F800),"")</f>
        <v>750000</v>
      </c>
      <c r="Q648" s="81">
        <f t="shared" si="9"/>
        <v>-550000</v>
      </c>
      <c r="R648" s="26" t="s">
        <v>33</v>
      </c>
      <c r="S648" s="38" t="s">
        <v>34</v>
      </c>
      <c r="T648" s="35" t="b">
        <v>1</v>
      </c>
      <c r="U648" s="36"/>
    </row>
    <row r="649" ht="30.0" customHeight="1">
      <c r="A649" s="24"/>
      <c r="B649" s="25">
        <v>2754.0</v>
      </c>
      <c r="C649" s="26" t="s">
        <v>40</v>
      </c>
      <c r="D649" s="27">
        <v>46068.0</v>
      </c>
      <c r="E649" s="28" t="str">
        <f t="shared" si="1"/>
        <v>2026</v>
      </c>
      <c r="F649" s="28" t="str">
        <f t="shared" si="2"/>
        <v>02 Feb</v>
      </c>
      <c r="G649" s="50" t="s">
        <v>56</v>
      </c>
      <c r="H649" s="29" t="s">
        <v>42</v>
      </c>
      <c r="I649" s="29" t="s">
        <v>60</v>
      </c>
      <c r="J649" s="75" t="s">
        <v>76</v>
      </c>
      <c r="K649" s="76" t="s">
        <v>44</v>
      </c>
      <c r="L649" s="77" t="str">
        <f t="shared" si="3"/>
        <v>PAKET KLINIK</v>
      </c>
      <c r="M649" s="78" t="s">
        <v>63</v>
      </c>
      <c r="N649" s="79">
        <v>700000.0</v>
      </c>
      <c r="O649" s="80">
        <v>500000.0</v>
      </c>
      <c r="P649" s="32">
        <f t="array" ref="P649">IFNA(XLOOKUP(K649,'⚙️ Pengaturan'!$E$2:$E800,'⚙️ Pengaturan'!$F$2:$F800),"")</f>
        <v>1200000</v>
      </c>
      <c r="Q649" s="81">
        <f t="shared" si="9"/>
        <v>0</v>
      </c>
      <c r="R649" s="26" t="s">
        <v>28</v>
      </c>
      <c r="S649" s="38" t="s">
        <v>60</v>
      </c>
      <c r="T649" s="35" t="b">
        <v>1</v>
      </c>
      <c r="U649" s="36"/>
    </row>
    <row r="650" ht="30.0" customHeight="1">
      <c r="A650" s="24"/>
      <c r="B650" s="25">
        <v>2755.0</v>
      </c>
      <c r="C650" s="26" t="s">
        <v>21</v>
      </c>
      <c r="D650" s="27">
        <v>46069.0</v>
      </c>
      <c r="E650" s="28" t="str">
        <f t="shared" si="1"/>
        <v>2026</v>
      </c>
      <c r="F650" s="28" t="str">
        <f t="shared" si="2"/>
        <v>02 Feb</v>
      </c>
      <c r="G650" s="50" t="s">
        <v>22</v>
      </c>
      <c r="H650" s="29" t="s">
        <v>51</v>
      </c>
      <c r="I650" s="29" t="s">
        <v>462</v>
      </c>
      <c r="J650" s="75" t="s">
        <v>25</v>
      </c>
      <c r="K650" s="76" t="s">
        <v>26</v>
      </c>
      <c r="L650" s="77" t="str">
        <f t="shared" si="3"/>
        <v>TA KLINIK</v>
      </c>
      <c r="M650" s="78" t="s">
        <v>27</v>
      </c>
      <c r="N650" s="79">
        <v>200000.0</v>
      </c>
      <c r="O650" s="80">
        <v>50000.0</v>
      </c>
      <c r="P650" s="32">
        <f t="array" ref="P650">IFNA(XLOOKUP(K650,'⚙️ Pengaturan'!$E$2:$E800,'⚙️ Pengaturan'!$F$2:$F800),"")</f>
        <v>250000</v>
      </c>
      <c r="Q650" s="81">
        <f t="shared" si="9"/>
        <v>0</v>
      </c>
      <c r="R650" s="26" t="s">
        <v>28</v>
      </c>
      <c r="S650" s="38" t="s">
        <v>462</v>
      </c>
      <c r="T650" s="35" t="b">
        <v>1</v>
      </c>
      <c r="U650" s="36"/>
    </row>
    <row r="651" ht="30.0" customHeight="1">
      <c r="A651" s="24"/>
      <c r="B651" s="25">
        <v>2756.0</v>
      </c>
      <c r="C651" s="26" t="s">
        <v>21</v>
      </c>
      <c r="D651" s="27">
        <v>46069.0</v>
      </c>
      <c r="E651" s="28" t="str">
        <f t="shared" si="1"/>
        <v>2026</v>
      </c>
      <c r="F651" s="28" t="str">
        <f t="shared" si="2"/>
        <v>02 Feb</v>
      </c>
      <c r="G651" s="50" t="s">
        <v>22</v>
      </c>
      <c r="H651" s="29" t="s">
        <v>48</v>
      </c>
      <c r="I651" s="29" t="s">
        <v>452</v>
      </c>
      <c r="J651" s="75" t="s">
        <v>25</v>
      </c>
      <c r="K651" s="76" t="s">
        <v>369</v>
      </c>
      <c r="L651" s="77" t="str">
        <f t="shared" si="3"/>
        <v>SESI KLINIK</v>
      </c>
      <c r="M651" s="78" t="s">
        <v>27</v>
      </c>
      <c r="N651" s="79">
        <v>180000.0</v>
      </c>
      <c r="O651" s="80">
        <v>0.0</v>
      </c>
      <c r="P651" s="32">
        <f t="array" ref="P651">IFNA(XLOOKUP(K651,'⚙️ Pengaturan'!$E$2:$E800,'⚙️ Pengaturan'!$F$2:$F800),"")</f>
        <v>180000</v>
      </c>
      <c r="Q651" s="81">
        <f t="shared" si="9"/>
        <v>0</v>
      </c>
      <c r="R651" s="26" t="s">
        <v>113</v>
      </c>
      <c r="S651" s="38" t="s">
        <v>452</v>
      </c>
      <c r="T651" s="35" t="b">
        <v>1</v>
      </c>
      <c r="U651" s="36"/>
    </row>
    <row r="652" ht="30.0" customHeight="1">
      <c r="A652" s="24"/>
      <c r="B652" s="25">
        <v>2757.0</v>
      </c>
      <c r="C652" s="26" t="s">
        <v>21</v>
      </c>
      <c r="D652" s="27">
        <v>46069.0</v>
      </c>
      <c r="E652" s="28" t="str">
        <f t="shared" si="1"/>
        <v>2026</v>
      </c>
      <c r="F652" s="28" t="str">
        <f t="shared" si="2"/>
        <v>02 Feb</v>
      </c>
      <c r="G652" s="50" t="s">
        <v>22</v>
      </c>
      <c r="H652" s="29" t="s">
        <v>42</v>
      </c>
      <c r="I652" s="29" t="s">
        <v>463</v>
      </c>
      <c r="J652" s="75" t="s">
        <v>25</v>
      </c>
      <c r="K652" s="76" t="s">
        <v>26</v>
      </c>
      <c r="L652" s="77" t="str">
        <f t="shared" si="3"/>
        <v>TA KLINIK</v>
      </c>
      <c r="M652" s="78" t="s">
        <v>27</v>
      </c>
      <c r="N652" s="79">
        <v>250000.0</v>
      </c>
      <c r="O652" s="80">
        <v>0.0</v>
      </c>
      <c r="P652" s="32">
        <f t="array" ref="P652">IFNA(XLOOKUP(K652,'⚙️ Pengaturan'!$E$2:$E800,'⚙️ Pengaturan'!$F$2:$F800),"")</f>
        <v>250000</v>
      </c>
      <c r="Q652" s="81">
        <f t="shared" si="9"/>
        <v>0</v>
      </c>
      <c r="R652" s="26" t="s">
        <v>33</v>
      </c>
      <c r="S652" s="38" t="s">
        <v>34</v>
      </c>
      <c r="T652" s="35" t="b">
        <v>1</v>
      </c>
      <c r="U652" s="36"/>
    </row>
    <row r="653" ht="30.0" customHeight="1">
      <c r="A653" s="24"/>
      <c r="B653" s="25">
        <v>2758.0</v>
      </c>
      <c r="C653" s="26" t="s">
        <v>21</v>
      </c>
      <c r="D653" s="27">
        <v>46069.0</v>
      </c>
      <c r="E653" s="28" t="str">
        <f t="shared" si="1"/>
        <v>2026</v>
      </c>
      <c r="F653" s="28" t="str">
        <f t="shared" si="2"/>
        <v>02 Feb</v>
      </c>
      <c r="G653" s="50" t="s">
        <v>29</v>
      </c>
      <c r="H653" s="29" t="s">
        <v>51</v>
      </c>
      <c r="I653" s="29" t="s">
        <v>464</v>
      </c>
      <c r="J653" s="75" t="s">
        <v>25</v>
      </c>
      <c r="K653" s="76" t="s">
        <v>26</v>
      </c>
      <c r="L653" s="77" t="str">
        <f t="shared" si="3"/>
        <v>TA KLINIK</v>
      </c>
      <c r="M653" s="78" t="s">
        <v>27</v>
      </c>
      <c r="N653" s="79">
        <v>250000.0</v>
      </c>
      <c r="O653" s="80">
        <v>0.0</v>
      </c>
      <c r="P653" s="32">
        <f t="array" ref="P653">IFNA(XLOOKUP(K653,'⚙️ Pengaturan'!$E$2:$E800,'⚙️ Pengaturan'!$F$2:$F800),"")</f>
        <v>250000</v>
      </c>
      <c r="Q653" s="81">
        <f t="shared" si="9"/>
        <v>0</v>
      </c>
      <c r="R653" s="26" t="s">
        <v>28</v>
      </c>
      <c r="S653" s="38" t="s">
        <v>465</v>
      </c>
      <c r="T653" s="35" t="b">
        <v>1</v>
      </c>
      <c r="U653" s="36"/>
    </row>
    <row r="654" ht="30.0" customHeight="1">
      <c r="A654" s="24"/>
      <c r="B654" s="25">
        <v>2759.0</v>
      </c>
      <c r="C654" s="26" t="s">
        <v>21</v>
      </c>
      <c r="D654" s="27">
        <v>46069.0</v>
      </c>
      <c r="E654" s="28" t="str">
        <f t="shared" si="1"/>
        <v>2026</v>
      </c>
      <c r="F654" s="28" t="str">
        <f t="shared" si="2"/>
        <v>02 Feb</v>
      </c>
      <c r="G654" s="50" t="s">
        <v>37</v>
      </c>
      <c r="H654" s="29" t="s">
        <v>58</v>
      </c>
      <c r="I654" s="29" t="s">
        <v>162</v>
      </c>
      <c r="J654" s="75" t="s">
        <v>76</v>
      </c>
      <c r="K654" s="76" t="s">
        <v>44</v>
      </c>
      <c r="L654" s="77" t="str">
        <f t="shared" si="3"/>
        <v>PAKET KLINIK</v>
      </c>
      <c r="M654" s="78" t="s">
        <v>86</v>
      </c>
      <c r="N654" s="79">
        <v>500000.0</v>
      </c>
      <c r="O654" s="80">
        <v>0.0</v>
      </c>
      <c r="P654" s="32">
        <f t="array" ref="P654">IFNA(XLOOKUP(K654,'⚙️ Pengaturan'!$E$2:$E800,'⚙️ Pengaturan'!$F$2:$F800),"")</f>
        <v>1200000</v>
      </c>
      <c r="Q654" s="81">
        <f t="shared" si="9"/>
        <v>-700000</v>
      </c>
      <c r="R654" s="26" t="s">
        <v>28</v>
      </c>
      <c r="S654" s="38" t="s">
        <v>162</v>
      </c>
      <c r="T654" s="35" t="b">
        <v>1</v>
      </c>
      <c r="U654" s="36"/>
    </row>
    <row r="655" ht="30.0" customHeight="1">
      <c r="A655" s="24"/>
      <c r="B655" s="25">
        <v>2760.0</v>
      </c>
      <c r="C655" s="26" t="s">
        <v>21</v>
      </c>
      <c r="D655" s="27">
        <v>46069.0</v>
      </c>
      <c r="E655" s="28" t="str">
        <f t="shared" si="1"/>
        <v>2026</v>
      </c>
      <c r="F655" s="28" t="str">
        <f t="shared" si="2"/>
        <v>02 Feb</v>
      </c>
      <c r="G655" s="50" t="s">
        <v>37</v>
      </c>
      <c r="H655" s="29" t="s">
        <v>42</v>
      </c>
      <c r="I655" s="29" t="s">
        <v>466</v>
      </c>
      <c r="J655" s="75" t="s">
        <v>25</v>
      </c>
      <c r="K655" s="76" t="s">
        <v>26</v>
      </c>
      <c r="L655" s="77" t="str">
        <f t="shared" si="3"/>
        <v>TA KLINIK</v>
      </c>
      <c r="M655" s="78" t="s">
        <v>27</v>
      </c>
      <c r="N655" s="79">
        <v>250000.0</v>
      </c>
      <c r="O655" s="80">
        <v>0.0</v>
      </c>
      <c r="P655" s="32">
        <f t="array" ref="P655">IFNA(XLOOKUP(K655,'⚙️ Pengaturan'!$E$2:$E800,'⚙️ Pengaturan'!$F$2:$F800),"")</f>
        <v>250000</v>
      </c>
      <c r="Q655" s="81">
        <f t="shared" si="9"/>
        <v>0</v>
      </c>
      <c r="R655" s="26" t="s">
        <v>33</v>
      </c>
      <c r="S655" s="38" t="s">
        <v>34</v>
      </c>
      <c r="T655" s="35" t="b">
        <v>1</v>
      </c>
      <c r="U655" s="36"/>
    </row>
    <row r="656" ht="30.0" customHeight="1">
      <c r="A656" s="24"/>
      <c r="B656" s="25">
        <v>2761.0</v>
      </c>
      <c r="C656" s="26" t="s">
        <v>21</v>
      </c>
      <c r="D656" s="27">
        <v>46069.0</v>
      </c>
      <c r="E656" s="28" t="str">
        <f t="shared" si="1"/>
        <v>2026</v>
      </c>
      <c r="F656" s="28" t="str">
        <f t="shared" si="2"/>
        <v>02 Feb</v>
      </c>
      <c r="G656" s="50" t="s">
        <v>37</v>
      </c>
      <c r="H656" s="29" t="s">
        <v>51</v>
      </c>
      <c r="I656" s="29" t="s">
        <v>467</v>
      </c>
      <c r="J656" s="75" t="s">
        <v>25</v>
      </c>
      <c r="K656" s="76" t="s">
        <v>26</v>
      </c>
      <c r="L656" s="77" t="str">
        <f t="shared" si="3"/>
        <v>TA KLINIK</v>
      </c>
      <c r="M656" s="78" t="s">
        <v>27</v>
      </c>
      <c r="N656" s="79">
        <v>250000.0</v>
      </c>
      <c r="O656" s="80">
        <v>0.0</v>
      </c>
      <c r="P656" s="32">
        <f t="array" ref="P656">IFNA(XLOOKUP(K656,'⚙️ Pengaturan'!$E$2:$E800,'⚙️ Pengaturan'!$F$2:$F800),"")</f>
        <v>250000</v>
      </c>
      <c r="Q656" s="81">
        <f t="shared" si="9"/>
        <v>0</v>
      </c>
      <c r="R656" s="26" t="s">
        <v>28</v>
      </c>
      <c r="S656" s="38" t="s">
        <v>467</v>
      </c>
      <c r="T656" s="35" t="b">
        <v>1</v>
      </c>
      <c r="U656" s="36"/>
    </row>
    <row r="657" ht="30.0" customHeight="1">
      <c r="A657" s="24"/>
      <c r="B657" s="25">
        <v>2762.0</v>
      </c>
      <c r="C657" s="26" t="s">
        <v>40</v>
      </c>
      <c r="D657" s="27">
        <v>46069.0</v>
      </c>
      <c r="E657" s="28" t="str">
        <f t="shared" si="1"/>
        <v>2026</v>
      </c>
      <c r="F657" s="28" t="str">
        <f t="shared" si="2"/>
        <v>02 Feb</v>
      </c>
      <c r="G657" s="50" t="s">
        <v>46</v>
      </c>
      <c r="H657" s="29" t="s">
        <v>30</v>
      </c>
      <c r="I657" s="29" t="s">
        <v>116</v>
      </c>
      <c r="J657" s="75" t="s">
        <v>76</v>
      </c>
      <c r="K657" s="76" t="s">
        <v>44</v>
      </c>
      <c r="L657" s="77" t="str">
        <f t="shared" si="3"/>
        <v>PAKET KLINIK</v>
      </c>
      <c r="M657" s="78" t="s">
        <v>27</v>
      </c>
      <c r="N657" s="79">
        <v>1200000.0</v>
      </c>
      <c r="O657" s="80">
        <v>0.0</v>
      </c>
      <c r="P657" s="32">
        <f t="array" ref="P657">IFNA(XLOOKUP(K657,'⚙️ Pengaturan'!$E$2:$E800,'⚙️ Pengaturan'!$F$2:$F800),"")</f>
        <v>1200000</v>
      </c>
      <c r="Q657" s="81">
        <f t="shared" si="9"/>
        <v>0</v>
      </c>
      <c r="R657" s="26" t="s">
        <v>28</v>
      </c>
      <c r="S657" s="38" t="s">
        <v>117</v>
      </c>
      <c r="T657" s="35" t="b">
        <v>1</v>
      </c>
      <c r="U657" s="36"/>
    </row>
    <row r="658" ht="30.0" customHeight="1">
      <c r="A658" s="24"/>
      <c r="B658" s="25">
        <v>2763.0</v>
      </c>
      <c r="C658" s="26" t="s">
        <v>40</v>
      </c>
      <c r="D658" s="27">
        <v>46069.0</v>
      </c>
      <c r="E658" s="28" t="str">
        <f t="shared" si="1"/>
        <v>2026</v>
      </c>
      <c r="F658" s="28" t="str">
        <f t="shared" si="2"/>
        <v>02 Feb</v>
      </c>
      <c r="G658" s="50" t="s">
        <v>46</v>
      </c>
      <c r="H658" s="29" t="s">
        <v>68</v>
      </c>
      <c r="I658" s="29" t="s">
        <v>146</v>
      </c>
      <c r="J658" s="75" t="s">
        <v>76</v>
      </c>
      <c r="K658" s="76" t="s">
        <v>39</v>
      </c>
      <c r="L658" s="77" t="str">
        <f t="shared" si="3"/>
        <v>PAKET KLINIK</v>
      </c>
      <c r="M658" s="78" t="s">
        <v>27</v>
      </c>
      <c r="N658" s="79">
        <v>650000.0</v>
      </c>
      <c r="O658" s="80">
        <v>0.0</v>
      </c>
      <c r="P658" s="32">
        <f t="array" ref="P658">IFNA(XLOOKUP(K658,'⚙️ Pengaturan'!$E$2:$E800,'⚙️ Pengaturan'!$F$2:$F800),"")</f>
        <v>650000</v>
      </c>
      <c r="Q658" s="81">
        <f t="shared" si="9"/>
        <v>0</v>
      </c>
      <c r="R658" s="26" t="s">
        <v>28</v>
      </c>
      <c r="S658" s="38" t="s">
        <v>146</v>
      </c>
      <c r="T658" s="35" t="b">
        <v>1</v>
      </c>
      <c r="U658" s="36"/>
    </row>
    <row r="659" ht="30.0" customHeight="1">
      <c r="A659" s="24"/>
      <c r="B659" s="25">
        <v>2764.0</v>
      </c>
      <c r="C659" s="26" t="s">
        <v>40</v>
      </c>
      <c r="D659" s="27">
        <v>46069.0</v>
      </c>
      <c r="E659" s="28" t="str">
        <f t="shared" si="1"/>
        <v>2026</v>
      </c>
      <c r="F659" s="28" t="str">
        <f t="shared" si="2"/>
        <v>02 Feb</v>
      </c>
      <c r="G659" s="50" t="s">
        <v>41</v>
      </c>
      <c r="H659" s="29" t="s">
        <v>345</v>
      </c>
      <c r="I659" s="29" t="s">
        <v>458</v>
      </c>
      <c r="J659" s="75" t="s">
        <v>25</v>
      </c>
      <c r="K659" s="76" t="s">
        <v>369</v>
      </c>
      <c r="L659" s="77" t="str">
        <f t="shared" si="3"/>
        <v>SESI KLINIK</v>
      </c>
      <c r="M659" s="78" t="s">
        <v>27</v>
      </c>
      <c r="N659" s="79">
        <v>144000.0</v>
      </c>
      <c r="O659" s="80">
        <v>36000.0</v>
      </c>
      <c r="P659" s="32">
        <f t="array" ref="P659">IFNA(XLOOKUP(K659,'⚙️ Pengaturan'!$E$2:$E800,'⚙️ Pengaturan'!$F$2:$F800),"")</f>
        <v>180000</v>
      </c>
      <c r="Q659" s="81">
        <f t="shared" si="9"/>
        <v>0</v>
      </c>
      <c r="R659" s="26" t="s">
        <v>33</v>
      </c>
      <c r="S659" s="38" t="s">
        <v>34</v>
      </c>
      <c r="T659" s="35" t="b">
        <v>1</v>
      </c>
      <c r="U659" s="36" t="s">
        <v>468</v>
      </c>
    </row>
    <row r="660" ht="30.0" customHeight="1">
      <c r="A660" s="24"/>
      <c r="B660" s="25">
        <v>2765.0</v>
      </c>
      <c r="C660" s="26" t="s">
        <v>40</v>
      </c>
      <c r="D660" s="27">
        <v>46069.0</v>
      </c>
      <c r="E660" s="28" t="str">
        <f t="shared" si="1"/>
        <v>2026</v>
      </c>
      <c r="F660" s="28" t="str">
        <f t="shared" si="2"/>
        <v>02 Feb</v>
      </c>
      <c r="G660" s="50" t="s">
        <v>53</v>
      </c>
      <c r="H660" s="29" t="s">
        <v>23</v>
      </c>
      <c r="I660" s="29" t="s">
        <v>469</v>
      </c>
      <c r="J660" s="75" t="s">
        <v>76</v>
      </c>
      <c r="K660" s="76" t="s">
        <v>26</v>
      </c>
      <c r="L660" s="77" t="str">
        <f t="shared" si="3"/>
        <v>TA KLINIK</v>
      </c>
      <c r="M660" s="78" t="s">
        <v>27</v>
      </c>
      <c r="N660" s="79">
        <v>250000.0</v>
      </c>
      <c r="O660" s="80">
        <v>0.0</v>
      </c>
      <c r="P660" s="32">
        <f t="array" ref="P660">IFNA(XLOOKUP(K660,'⚙️ Pengaturan'!$E$2:$E800,'⚙️ Pengaturan'!$F$2:$F800),"")</f>
        <v>250000</v>
      </c>
      <c r="Q660" s="81">
        <f t="shared" si="9"/>
        <v>0</v>
      </c>
      <c r="R660" s="26" t="s">
        <v>33</v>
      </c>
      <c r="S660" s="38" t="s">
        <v>34</v>
      </c>
      <c r="T660" s="35" t="b">
        <v>1</v>
      </c>
      <c r="U660" s="36"/>
    </row>
    <row r="661" ht="30.0" customHeight="1">
      <c r="A661" s="24"/>
      <c r="B661" s="25">
        <v>2766.0</v>
      </c>
      <c r="C661" s="26" t="s">
        <v>40</v>
      </c>
      <c r="D661" s="27">
        <v>46069.0</v>
      </c>
      <c r="E661" s="28" t="str">
        <f t="shared" si="1"/>
        <v>2026</v>
      </c>
      <c r="F661" s="28" t="str">
        <f t="shared" si="2"/>
        <v>02 Feb</v>
      </c>
      <c r="G661" s="50" t="s">
        <v>53</v>
      </c>
      <c r="H661" s="29" t="s">
        <v>345</v>
      </c>
      <c r="I661" s="29" t="s">
        <v>470</v>
      </c>
      <c r="J661" s="75" t="s">
        <v>25</v>
      </c>
      <c r="K661" s="76" t="s">
        <v>26</v>
      </c>
      <c r="L661" s="77" t="str">
        <f t="shared" si="3"/>
        <v>TA KLINIK</v>
      </c>
      <c r="M661" s="78" t="s">
        <v>27</v>
      </c>
      <c r="N661" s="79">
        <v>250000.0</v>
      </c>
      <c r="O661" s="80">
        <v>0.0</v>
      </c>
      <c r="P661" s="32">
        <f t="array" ref="P661">IFNA(XLOOKUP(K661,'⚙️ Pengaturan'!$E$2:$E800,'⚙️ Pengaturan'!$F$2:$F800),"")</f>
        <v>250000</v>
      </c>
      <c r="Q661" s="81">
        <f t="shared" si="9"/>
        <v>0</v>
      </c>
      <c r="R661" s="26" t="s">
        <v>28</v>
      </c>
      <c r="S661" s="38" t="s">
        <v>470</v>
      </c>
      <c r="T661" s="35" t="b">
        <v>1</v>
      </c>
      <c r="U661" s="36"/>
    </row>
    <row r="662" ht="30.0" customHeight="1">
      <c r="A662" s="24"/>
      <c r="B662" s="25">
        <v>2767.0</v>
      </c>
      <c r="C662" s="26" t="s">
        <v>40</v>
      </c>
      <c r="D662" s="27">
        <v>46069.0</v>
      </c>
      <c r="E662" s="28" t="str">
        <f t="shared" si="1"/>
        <v>2026</v>
      </c>
      <c r="F662" s="28" t="str">
        <f t="shared" si="2"/>
        <v>02 Feb</v>
      </c>
      <c r="G662" s="50" t="s">
        <v>56</v>
      </c>
      <c r="H662" s="29" t="s">
        <v>345</v>
      </c>
      <c r="I662" s="29" t="s">
        <v>471</v>
      </c>
      <c r="J662" s="75" t="s">
        <v>25</v>
      </c>
      <c r="K662" s="76" t="s">
        <v>26</v>
      </c>
      <c r="L662" s="77" t="str">
        <f t="shared" si="3"/>
        <v>TA KLINIK</v>
      </c>
      <c r="M662" s="78" t="s">
        <v>27</v>
      </c>
      <c r="N662" s="79">
        <v>250000.0</v>
      </c>
      <c r="O662" s="80">
        <v>0.0</v>
      </c>
      <c r="P662" s="32">
        <f t="array" ref="P662">IFNA(XLOOKUP(K662,'⚙️ Pengaturan'!$E$2:$E800,'⚙️ Pengaturan'!$F$2:$F800),"")</f>
        <v>250000</v>
      </c>
      <c r="Q662" s="81">
        <f t="shared" si="9"/>
        <v>0</v>
      </c>
      <c r="R662" s="26" t="s">
        <v>28</v>
      </c>
      <c r="S662" s="38" t="s">
        <v>471</v>
      </c>
      <c r="T662" s="35" t="b">
        <v>1</v>
      </c>
      <c r="U662" s="36"/>
    </row>
    <row r="663" ht="30.0" customHeight="1">
      <c r="A663" s="24"/>
      <c r="B663" s="25">
        <v>2768.0</v>
      </c>
      <c r="C663" s="26" t="s">
        <v>40</v>
      </c>
      <c r="D663" s="27">
        <v>46069.0</v>
      </c>
      <c r="E663" s="28" t="str">
        <f t="shared" si="1"/>
        <v>2026</v>
      </c>
      <c r="F663" s="28" t="str">
        <f t="shared" si="2"/>
        <v>02 Feb</v>
      </c>
      <c r="G663" s="50" t="s">
        <v>56</v>
      </c>
      <c r="H663" s="29" t="s">
        <v>23</v>
      </c>
      <c r="I663" s="29" t="s">
        <v>246</v>
      </c>
      <c r="J663" s="75" t="s">
        <v>76</v>
      </c>
      <c r="K663" s="76" t="s">
        <v>44</v>
      </c>
      <c r="L663" s="77" t="str">
        <f t="shared" si="3"/>
        <v>PAKET KLINIK</v>
      </c>
      <c r="M663" s="78" t="s">
        <v>27</v>
      </c>
      <c r="N663" s="79">
        <v>1200000.0</v>
      </c>
      <c r="O663" s="80">
        <v>0.0</v>
      </c>
      <c r="P663" s="32">
        <f t="array" ref="P663">IFNA(XLOOKUP(K663,'⚙️ Pengaturan'!$E$2:$E800,'⚙️ Pengaturan'!$F$2:$F800),"")</f>
        <v>1200000</v>
      </c>
      <c r="Q663" s="81">
        <f t="shared" si="9"/>
        <v>0</v>
      </c>
      <c r="R663" s="26" t="s">
        <v>28</v>
      </c>
      <c r="S663" s="38" t="s">
        <v>246</v>
      </c>
      <c r="T663" s="35" t="b">
        <v>1</v>
      </c>
      <c r="U663" s="36"/>
    </row>
    <row r="664" ht="30.0" customHeight="1">
      <c r="A664" s="24"/>
      <c r="B664" s="25">
        <v>2769.0</v>
      </c>
      <c r="C664" s="26" t="s">
        <v>40</v>
      </c>
      <c r="D664" s="27">
        <v>46069.0</v>
      </c>
      <c r="E664" s="28" t="str">
        <f t="shared" si="1"/>
        <v>2026</v>
      </c>
      <c r="F664" s="28" t="str">
        <f t="shared" si="2"/>
        <v>02 Feb</v>
      </c>
      <c r="G664" s="50" t="s">
        <v>61</v>
      </c>
      <c r="H664" s="29" t="s">
        <v>23</v>
      </c>
      <c r="I664" s="29" t="s">
        <v>454</v>
      </c>
      <c r="J664" s="75" t="s">
        <v>25</v>
      </c>
      <c r="K664" s="76" t="s">
        <v>395</v>
      </c>
      <c r="L664" s="77" t="str">
        <f t="shared" si="3"/>
        <v>PAKET KLINIK</v>
      </c>
      <c r="M664" s="78" t="s">
        <v>27</v>
      </c>
      <c r="N664" s="79">
        <v>750000.0</v>
      </c>
      <c r="O664" s="80">
        <v>0.0</v>
      </c>
      <c r="P664" s="32">
        <f t="array" ref="P664">IFNA(XLOOKUP(K664,'⚙️ Pengaturan'!$E$2:$E800,'⚙️ Pengaturan'!$F$2:$F800),"")</f>
        <v>750000</v>
      </c>
      <c r="Q664" s="81">
        <f t="shared" si="9"/>
        <v>0</v>
      </c>
      <c r="R664" s="26" t="s">
        <v>33</v>
      </c>
      <c r="S664" s="38" t="s">
        <v>34</v>
      </c>
      <c r="T664" s="35" t="b">
        <v>1</v>
      </c>
      <c r="U664" s="36"/>
    </row>
    <row r="665" ht="30.0" customHeight="1">
      <c r="A665" s="24"/>
      <c r="B665" s="25">
        <v>2770.0</v>
      </c>
      <c r="C665" s="26" t="s">
        <v>21</v>
      </c>
      <c r="D665" s="27">
        <v>46071.0</v>
      </c>
      <c r="E665" s="28" t="str">
        <f t="shared" si="1"/>
        <v>2026</v>
      </c>
      <c r="F665" s="28" t="str">
        <f t="shared" si="2"/>
        <v>02 Feb</v>
      </c>
      <c r="G665" s="50" t="s">
        <v>22</v>
      </c>
      <c r="H665" s="29" t="s">
        <v>68</v>
      </c>
      <c r="I665" s="29" t="s">
        <v>445</v>
      </c>
      <c r="J665" s="75" t="s">
        <v>25</v>
      </c>
      <c r="K665" s="76" t="s">
        <v>369</v>
      </c>
      <c r="L665" s="77" t="str">
        <f t="shared" si="3"/>
        <v>SESI KLINIK</v>
      </c>
      <c r="M665" s="78" t="s">
        <v>27</v>
      </c>
      <c r="N665" s="79">
        <v>180000.0</v>
      </c>
      <c r="O665" s="80">
        <v>0.0</v>
      </c>
      <c r="P665" s="32">
        <f t="array" ref="P665">IFNA(XLOOKUP(K665,'⚙️ Pengaturan'!$E$2:$E800,'⚙️ Pengaturan'!$F$2:$F800),"")</f>
        <v>180000</v>
      </c>
      <c r="Q665" s="81">
        <f t="shared" si="9"/>
        <v>0</v>
      </c>
      <c r="R665" s="26" t="s">
        <v>33</v>
      </c>
      <c r="S665" s="38" t="s">
        <v>34</v>
      </c>
      <c r="T665" s="35" t="b">
        <v>1</v>
      </c>
      <c r="U665" s="36"/>
    </row>
    <row r="666" ht="30.0" customHeight="1">
      <c r="A666" s="24"/>
      <c r="B666" s="25">
        <v>2771.0</v>
      </c>
      <c r="C666" s="26" t="s">
        <v>21</v>
      </c>
      <c r="D666" s="27">
        <v>46071.0</v>
      </c>
      <c r="E666" s="28" t="str">
        <f t="shared" si="1"/>
        <v>2026</v>
      </c>
      <c r="F666" s="28" t="str">
        <f t="shared" si="2"/>
        <v>02 Feb</v>
      </c>
      <c r="G666" s="50" t="s">
        <v>22</v>
      </c>
      <c r="H666" s="29" t="s">
        <v>23</v>
      </c>
      <c r="I666" s="29" t="s">
        <v>472</v>
      </c>
      <c r="J666" s="75" t="s">
        <v>25</v>
      </c>
      <c r="K666" s="76" t="s">
        <v>26</v>
      </c>
      <c r="L666" s="77" t="str">
        <f t="shared" si="3"/>
        <v>TA KLINIK</v>
      </c>
      <c r="M666" s="78" t="s">
        <v>27</v>
      </c>
      <c r="N666" s="79">
        <v>250000.0</v>
      </c>
      <c r="O666" s="80">
        <v>0.0</v>
      </c>
      <c r="P666" s="32">
        <f t="array" ref="P666">IFNA(XLOOKUP(K666,'⚙️ Pengaturan'!$E$2:$E800,'⚙️ Pengaturan'!$F$2:$F800),"")</f>
        <v>250000</v>
      </c>
      <c r="Q666" s="81">
        <f t="shared" si="9"/>
        <v>0</v>
      </c>
      <c r="R666" s="26" t="s">
        <v>33</v>
      </c>
      <c r="S666" s="38" t="s">
        <v>34</v>
      </c>
      <c r="T666" s="35" t="b">
        <v>1</v>
      </c>
      <c r="U666" s="36"/>
    </row>
    <row r="667" ht="30.0" customHeight="1">
      <c r="A667" s="24"/>
      <c r="B667" s="25">
        <v>2772.0</v>
      </c>
      <c r="C667" s="26" t="s">
        <v>21</v>
      </c>
      <c r="D667" s="27">
        <v>46071.0</v>
      </c>
      <c r="E667" s="28" t="str">
        <f t="shared" si="1"/>
        <v>2026</v>
      </c>
      <c r="F667" s="28" t="str">
        <f t="shared" si="2"/>
        <v>02 Feb</v>
      </c>
      <c r="G667" s="50" t="s">
        <v>22</v>
      </c>
      <c r="H667" s="29" t="s">
        <v>345</v>
      </c>
      <c r="I667" s="29" t="s">
        <v>470</v>
      </c>
      <c r="J667" s="75" t="s">
        <v>25</v>
      </c>
      <c r="K667" s="76" t="s">
        <v>395</v>
      </c>
      <c r="L667" s="77" t="str">
        <f t="shared" si="3"/>
        <v>PAKET KLINIK</v>
      </c>
      <c r="M667" s="78" t="s">
        <v>27</v>
      </c>
      <c r="N667" s="79">
        <v>750000.0</v>
      </c>
      <c r="O667" s="80">
        <v>0.0</v>
      </c>
      <c r="P667" s="32">
        <f t="array" ref="P667">IFNA(XLOOKUP(K667,'⚙️ Pengaturan'!$E$2:$E800,'⚙️ Pengaturan'!$F$2:$F800),"")</f>
        <v>750000</v>
      </c>
      <c r="Q667" s="81">
        <f t="shared" si="9"/>
        <v>0</v>
      </c>
      <c r="R667" s="26" t="s">
        <v>28</v>
      </c>
      <c r="S667" s="38" t="s">
        <v>470</v>
      </c>
      <c r="T667" s="35" t="b">
        <v>1</v>
      </c>
      <c r="U667" s="36"/>
    </row>
    <row r="668" ht="30.0" customHeight="1">
      <c r="A668" s="24"/>
      <c r="B668" s="25">
        <v>2773.0</v>
      </c>
      <c r="C668" s="26" t="s">
        <v>21</v>
      </c>
      <c r="D668" s="27">
        <v>46071.0</v>
      </c>
      <c r="E668" s="28" t="str">
        <f t="shared" si="1"/>
        <v>2026</v>
      </c>
      <c r="F668" s="28" t="str">
        <f t="shared" si="2"/>
        <v>02 Feb</v>
      </c>
      <c r="G668" s="50" t="s">
        <v>22</v>
      </c>
      <c r="H668" s="29" t="s">
        <v>345</v>
      </c>
      <c r="I668" s="29" t="s">
        <v>473</v>
      </c>
      <c r="J668" s="75" t="s">
        <v>25</v>
      </c>
      <c r="K668" s="76" t="s">
        <v>26</v>
      </c>
      <c r="L668" s="77" t="str">
        <f t="shared" si="3"/>
        <v>TA KLINIK</v>
      </c>
      <c r="M668" s="78" t="s">
        <v>27</v>
      </c>
      <c r="N668" s="79">
        <v>250000.0</v>
      </c>
      <c r="O668" s="80">
        <v>0.0</v>
      </c>
      <c r="P668" s="32">
        <f t="array" ref="P668">IFNA(XLOOKUP(K668,'⚙️ Pengaturan'!$E$2:$E800,'⚙️ Pengaturan'!$F$2:$F800),"")</f>
        <v>250000</v>
      </c>
      <c r="Q668" s="81">
        <f t="shared" si="9"/>
        <v>0</v>
      </c>
      <c r="R668" s="26" t="s">
        <v>113</v>
      </c>
      <c r="S668" s="38" t="s">
        <v>474</v>
      </c>
      <c r="T668" s="35" t="b">
        <v>1</v>
      </c>
      <c r="U668" s="36"/>
    </row>
    <row r="669" ht="30.0" customHeight="1">
      <c r="A669" s="24"/>
      <c r="B669" s="25">
        <v>2774.0</v>
      </c>
      <c r="C669" s="26" t="s">
        <v>21</v>
      </c>
      <c r="D669" s="27">
        <v>46071.0</v>
      </c>
      <c r="E669" s="28" t="str">
        <f t="shared" si="1"/>
        <v>2026</v>
      </c>
      <c r="F669" s="28" t="str">
        <f t="shared" si="2"/>
        <v>02 Feb</v>
      </c>
      <c r="G669" s="50" t="s">
        <v>22</v>
      </c>
      <c r="H669" s="29" t="s">
        <v>345</v>
      </c>
      <c r="I669" s="29" t="s">
        <v>473</v>
      </c>
      <c r="J669" s="75" t="s">
        <v>25</v>
      </c>
      <c r="K669" s="76" t="s">
        <v>397</v>
      </c>
      <c r="L669" s="77" t="str">
        <f t="shared" si="3"/>
        <v>PAKET KLINIK</v>
      </c>
      <c r="M669" s="78" t="s">
        <v>27</v>
      </c>
      <c r="N669" s="79">
        <v>1300000.0</v>
      </c>
      <c r="O669" s="80">
        <v>0.0</v>
      </c>
      <c r="P669" s="32">
        <f t="array" ref="P669">IFNA(XLOOKUP(K669,'⚙️ Pengaturan'!$E$2:$E800,'⚙️ Pengaturan'!$F$2:$F800),"")</f>
        <v>1300000</v>
      </c>
      <c r="Q669" s="81">
        <f t="shared" si="9"/>
        <v>0</v>
      </c>
      <c r="R669" s="26" t="s">
        <v>113</v>
      </c>
      <c r="S669" s="38" t="s">
        <v>474</v>
      </c>
      <c r="T669" s="35" t="b">
        <v>1</v>
      </c>
      <c r="U669" s="36"/>
    </row>
    <row r="670" ht="30.0" customHeight="1">
      <c r="A670" s="24"/>
      <c r="B670" s="25">
        <v>2775.0</v>
      </c>
      <c r="C670" s="26" t="s">
        <v>21</v>
      </c>
      <c r="D670" s="27">
        <v>46071.0</v>
      </c>
      <c r="E670" s="28" t="str">
        <f t="shared" si="1"/>
        <v>2026</v>
      </c>
      <c r="F670" s="28" t="str">
        <f t="shared" si="2"/>
        <v>02 Feb</v>
      </c>
      <c r="G670" s="50" t="s">
        <v>37</v>
      </c>
      <c r="H670" s="29" t="s">
        <v>58</v>
      </c>
      <c r="I670" s="29" t="s">
        <v>416</v>
      </c>
      <c r="J670" s="75" t="s">
        <v>25</v>
      </c>
      <c r="K670" s="76" t="s">
        <v>369</v>
      </c>
      <c r="L670" s="77" t="str">
        <f t="shared" si="3"/>
        <v>SESI KLINIK</v>
      </c>
      <c r="M670" s="78" t="s">
        <v>27</v>
      </c>
      <c r="N670" s="79">
        <v>180000.0</v>
      </c>
      <c r="O670" s="80">
        <v>0.0</v>
      </c>
      <c r="P670" s="32">
        <f t="array" ref="P670">IFNA(XLOOKUP(K670,'⚙️ Pengaturan'!$E$2:$E800,'⚙️ Pengaturan'!$F$2:$F800),"")</f>
        <v>180000</v>
      </c>
      <c r="Q670" s="81">
        <f t="shared" si="9"/>
        <v>0</v>
      </c>
      <c r="R670" s="26" t="s">
        <v>28</v>
      </c>
      <c r="S670" s="38" t="s">
        <v>416</v>
      </c>
      <c r="T670" s="35" t="b">
        <v>1</v>
      </c>
      <c r="U670" s="36"/>
    </row>
    <row r="671" ht="30.0" customHeight="1">
      <c r="A671" s="24"/>
      <c r="B671" s="25">
        <v>2776.0</v>
      </c>
      <c r="C671" s="26" t="s">
        <v>21</v>
      </c>
      <c r="D671" s="27">
        <v>46071.0</v>
      </c>
      <c r="E671" s="28" t="str">
        <f t="shared" si="1"/>
        <v>2026</v>
      </c>
      <c r="F671" s="28" t="str">
        <f t="shared" si="2"/>
        <v>02 Feb</v>
      </c>
      <c r="G671" s="50" t="s">
        <v>37</v>
      </c>
      <c r="H671" s="29" t="s">
        <v>58</v>
      </c>
      <c r="I671" s="29" t="s">
        <v>416</v>
      </c>
      <c r="J671" s="75" t="s">
        <v>25</v>
      </c>
      <c r="K671" s="76" t="s">
        <v>369</v>
      </c>
      <c r="L671" s="77" t="str">
        <f t="shared" si="3"/>
        <v>SESI KLINIK</v>
      </c>
      <c r="M671" s="78" t="s">
        <v>27</v>
      </c>
      <c r="N671" s="79">
        <v>180000.0</v>
      </c>
      <c r="O671" s="80">
        <v>0.0</v>
      </c>
      <c r="P671" s="32">
        <f t="array" ref="P671">IFNA(XLOOKUP(K671,'⚙️ Pengaturan'!$E$2:$E800,'⚙️ Pengaturan'!$F$2:$F800),"")</f>
        <v>180000</v>
      </c>
      <c r="Q671" s="81">
        <f t="shared" si="9"/>
        <v>0</v>
      </c>
      <c r="R671" s="26" t="s">
        <v>28</v>
      </c>
      <c r="S671" s="38" t="s">
        <v>416</v>
      </c>
      <c r="T671" s="35" t="b">
        <v>1</v>
      </c>
      <c r="U671" s="36" t="s">
        <v>475</v>
      </c>
    </row>
    <row r="672" ht="30.0" customHeight="1">
      <c r="A672" s="24"/>
      <c r="B672" s="25">
        <v>2777.0</v>
      </c>
      <c r="C672" s="26" t="s">
        <v>21</v>
      </c>
      <c r="D672" s="27">
        <v>46071.0</v>
      </c>
      <c r="E672" s="28" t="str">
        <f t="shared" si="1"/>
        <v>2026</v>
      </c>
      <c r="F672" s="28" t="str">
        <f t="shared" si="2"/>
        <v>02 Feb</v>
      </c>
      <c r="G672" s="50" t="s">
        <v>37</v>
      </c>
      <c r="H672" s="29" t="s">
        <v>30</v>
      </c>
      <c r="I672" s="29" t="s">
        <v>344</v>
      </c>
      <c r="J672" s="75" t="s">
        <v>76</v>
      </c>
      <c r="K672" s="76" t="s">
        <v>39</v>
      </c>
      <c r="L672" s="77" t="str">
        <f t="shared" si="3"/>
        <v>PAKET KLINIK</v>
      </c>
      <c r="M672" s="78" t="s">
        <v>27</v>
      </c>
      <c r="N672" s="79">
        <v>650000.0</v>
      </c>
      <c r="O672" s="80">
        <v>0.0</v>
      </c>
      <c r="P672" s="32">
        <f t="array" ref="P672">IFNA(XLOOKUP(K672,'⚙️ Pengaturan'!$E$2:$E800,'⚙️ Pengaturan'!$F$2:$F800),"")</f>
        <v>650000</v>
      </c>
      <c r="Q672" s="81">
        <f t="shared" si="9"/>
        <v>0</v>
      </c>
      <c r="R672" s="26" t="s">
        <v>33</v>
      </c>
      <c r="S672" s="38" t="s">
        <v>34</v>
      </c>
      <c r="T672" s="35" t="b">
        <v>1</v>
      </c>
      <c r="U672" s="36"/>
    </row>
    <row r="673" ht="30.0" customHeight="1">
      <c r="A673" s="24"/>
      <c r="B673" s="25">
        <v>2778.0</v>
      </c>
      <c r="C673" s="26" t="s">
        <v>21</v>
      </c>
      <c r="D673" s="27">
        <v>46071.0</v>
      </c>
      <c r="E673" s="28" t="str">
        <f t="shared" si="1"/>
        <v>2026</v>
      </c>
      <c r="F673" s="28" t="str">
        <f t="shared" si="2"/>
        <v>02 Feb</v>
      </c>
      <c r="G673" s="50" t="s">
        <v>37</v>
      </c>
      <c r="H673" s="29" t="s">
        <v>345</v>
      </c>
      <c r="I673" s="29" t="s">
        <v>357</v>
      </c>
      <c r="J673" s="75" t="s">
        <v>25</v>
      </c>
      <c r="K673" s="76" t="s">
        <v>395</v>
      </c>
      <c r="L673" s="77" t="str">
        <f t="shared" si="3"/>
        <v>PAKET KLINIK</v>
      </c>
      <c r="M673" s="78" t="s">
        <v>27</v>
      </c>
      <c r="N673" s="79">
        <v>750000.0</v>
      </c>
      <c r="O673" s="80">
        <v>0.0</v>
      </c>
      <c r="P673" s="32">
        <f t="array" ref="P673">IFNA(XLOOKUP(K673,'⚙️ Pengaturan'!$E$2:$E800,'⚙️ Pengaturan'!$F$2:$F800),"")</f>
        <v>750000</v>
      </c>
      <c r="Q673" s="81">
        <f t="shared" si="9"/>
        <v>0</v>
      </c>
      <c r="R673" s="26" t="s">
        <v>28</v>
      </c>
      <c r="S673" s="38" t="s">
        <v>459</v>
      </c>
      <c r="T673" s="35" t="b">
        <v>1</v>
      </c>
      <c r="U673" s="36"/>
    </row>
    <row r="674" ht="30.0" customHeight="1">
      <c r="A674" s="24"/>
      <c r="B674" s="25">
        <v>2779.0</v>
      </c>
      <c r="C674" s="26" t="s">
        <v>21</v>
      </c>
      <c r="D674" s="27">
        <v>46071.0</v>
      </c>
      <c r="E674" s="28" t="str">
        <f t="shared" si="1"/>
        <v>2026</v>
      </c>
      <c r="F674" s="28" t="str">
        <f t="shared" si="2"/>
        <v>02 Feb</v>
      </c>
      <c r="G674" s="50" t="s">
        <v>37</v>
      </c>
      <c r="H674" s="29" t="s">
        <v>148</v>
      </c>
      <c r="I674" s="29" t="s">
        <v>476</v>
      </c>
      <c r="J674" s="75" t="s">
        <v>25</v>
      </c>
      <c r="K674" s="76" t="s">
        <v>26</v>
      </c>
      <c r="L674" s="77" t="str">
        <f t="shared" si="3"/>
        <v>TA KLINIK</v>
      </c>
      <c r="M674" s="78" t="s">
        <v>27</v>
      </c>
      <c r="N674" s="79">
        <v>250000.0</v>
      </c>
      <c r="O674" s="80">
        <v>0.0</v>
      </c>
      <c r="P674" s="32">
        <f t="array" ref="P674">IFNA(XLOOKUP(K674,'⚙️ Pengaturan'!$E$2:$E800,'⚙️ Pengaturan'!$F$2:$F800),"")</f>
        <v>250000</v>
      </c>
      <c r="Q674" s="81">
        <f t="shared" si="9"/>
        <v>0</v>
      </c>
      <c r="R674" s="26" t="s">
        <v>33</v>
      </c>
      <c r="S674" s="38" t="s">
        <v>34</v>
      </c>
      <c r="T674" s="35" t="b">
        <v>1</v>
      </c>
      <c r="U674" s="36"/>
    </row>
    <row r="675" ht="30.0" customHeight="1">
      <c r="A675" s="24"/>
      <c r="B675" s="25">
        <v>2780.0</v>
      </c>
      <c r="C675" s="26" t="s">
        <v>40</v>
      </c>
      <c r="D675" s="27">
        <v>46071.0</v>
      </c>
      <c r="E675" s="28" t="str">
        <f t="shared" si="1"/>
        <v>2026</v>
      </c>
      <c r="F675" s="28" t="str">
        <f t="shared" si="2"/>
        <v>02 Feb</v>
      </c>
      <c r="G675" s="50" t="s">
        <v>37</v>
      </c>
      <c r="H675" s="29" t="s">
        <v>51</v>
      </c>
      <c r="I675" s="29" t="s">
        <v>477</v>
      </c>
      <c r="J675" s="75" t="s">
        <v>25</v>
      </c>
      <c r="K675" s="76" t="s">
        <v>73</v>
      </c>
      <c r="L675" s="77" t="str">
        <f t="shared" si="3"/>
        <v>TA VISIT</v>
      </c>
      <c r="M675" s="78" t="s">
        <v>27</v>
      </c>
      <c r="N675" s="79">
        <v>350000.0</v>
      </c>
      <c r="O675" s="80">
        <v>0.0</v>
      </c>
      <c r="P675" s="32">
        <f t="array" ref="P675">IFNA(XLOOKUP(K675,'⚙️ Pengaturan'!$E$2:$E800,'⚙️ Pengaturan'!$F$2:$F800),"")</f>
        <v>350000</v>
      </c>
      <c r="Q675" s="81">
        <f t="shared" si="9"/>
        <v>0</v>
      </c>
      <c r="R675" s="26" t="s">
        <v>33</v>
      </c>
      <c r="S675" s="38" t="s">
        <v>34</v>
      </c>
      <c r="T675" s="35" t="b">
        <v>1</v>
      </c>
      <c r="U675" s="36"/>
    </row>
    <row r="676" ht="30.0" customHeight="1">
      <c r="A676" s="24"/>
      <c r="B676" s="25">
        <v>2781.0</v>
      </c>
      <c r="C676" s="26" t="s">
        <v>40</v>
      </c>
      <c r="D676" s="27">
        <v>46071.0</v>
      </c>
      <c r="E676" s="28" t="str">
        <f t="shared" si="1"/>
        <v>2026</v>
      </c>
      <c r="F676" s="28" t="str">
        <f t="shared" si="2"/>
        <v>02 Feb</v>
      </c>
      <c r="G676" s="50" t="s">
        <v>46</v>
      </c>
      <c r="H676" s="29" t="s">
        <v>51</v>
      </c>
      <c r="I676" s="29" t="s">
        <v>91</v>
      </c>
      <c r="J676" s="75" t="s">
        <v>25</v>
      </c>
      <c r="K676" s="76" t="s">
        <v>26</v>
      </c>
      <c r="L676" s="77" t="str">
        <f t="shared" si="3"/>
        <v>TA KLINIK</v>
      </c>
      <c r="M676" s="78" t="s">
        <v>27</v>
      </c>
      <c r="N676" s="79">
        <v>250000.0</v>
      </c>
      <c r="O676" s="80">
        <v>0.0</v>
      </c>
      <c r="P676" s="32">
        <f t="array" ref="P676">IFNA(XLOOKUP(K676,'⚙️ Pengaturan'!$E$2:$E800,'⚙️ Pengaturan'!$F$2:$F800),"")</f>
        <v>250000</v>
      </c>
      <c r="Q676" s="81">
        <f t="shared" si="9"/>
        <v>0</v>
      </c>
      <c r="R676" s="26" t="s">
        <v>33</v>
      </c>
      <c r="S676" s="38" t="s">
        <v>34</v>
      </c>
      <c r="T676" s="35" t="b">
        <v>1</v>
      </c>
      <c r="U676" s="36"/>
    </row>
    <row r="677" ht="30.0" customHeight="1">
      <c r="A677" s="24"/>
      <c r="B677" s="25">
        <v>2782.0</v>
      </c>
      <c r="C677" s="26" t="s">
        <v>40</v>
      </c>
      <c r="D677" s="27">
        <v>46071.0</v>
      </c>
      <c r="E677" s="28" t="str">
        <f t="shared" si="1"/>
        <v>2026</v>
      </c>
      <c r="F677" s="28" t="str">
        <f t="shared" si="2"/>
        <v>02 Feb</v>
      </c>
      <c r="G677" s="50" t="s">
        <v>41</v>
      </c>
      <c r="H677" s="29" t="s">
        <v>58</v>
      </c>
      <c r="I677" s="29" t="s">
        <v>227</v>
      </c>
      <c r="J677" s="75" t="s">
        <v>76</v>
      </c>
      <c r="K677" s="76" t="s">
        <v>44</v>
      </c>
      <c r="L677" s="77" t="str">
        <f t="shared" si="3"/>
        <v>PAKET KLINIK</v>
      </c>
      <c r="M677" s="78" t="s">
        <v>86</v>
      </c>
      <c r="N677" s="79">
        <v>200000.0</v>
      </c>
      <c r="O677" s="80">
        <v>0.0</v>
      </c>
      <c r="P677" s="32">
        <f t="array" ref="P677">IFNA(XLOOKUP(K677,'⚙️ Pengaturan'!$E$2:$E800,'⚙️ Pengaturan'!$F$2:$F800),"")</f>
        <v>1200000</v>
      </c>
      <c r="Q677" s="81">
        <f t="shared" si="9"/>
        <v>-1000000</v>
      </c>
      <c r="R677" s="26" t="s">
        <v>33</v>
      </c>
      <c r="S677" s="38" t="s">
        <v>34</v>
      </c>
      <c r="T677" s="35" t="b">
        <v>1</v>
      </c>
      <c r="U677" s="36"/>
    </row>
    <row r="678" ht="30.0" customHeight="1">
      <c r="A678" s="24"/>
      <c r="B678" s="25">
        <v>2783.0</v>
      </c>
      <c r="C678" s="26" t="s">
        <v>21</v>
      </c>
      <c r="D678" s="27">
        <v>46071.0</v>
      </c>
      <c r="E678" s="28" t="str">
        <f t="shared" si="1"/>
        <v>2026</v>
      </c>
      <c r="F678" s="28" t="str">
        <f t="shared" si="2"/>
        <v>02 Feb</v>
      </c>
      <c r="G678" s="50" t="s">
        <v>67</v>
      </c>
      <c r="H678" s="29" t="s">
        <v>48</v>
      </c>
      <c r="I678" s="29" t="s">
        <v>338</v>
      </c>
      <c r="J678" s="75" t="s">
        <v>76</v>
      </c>
      <c r="K678" s="76" t="s">
        <v>39</v>
      </c>
      <c r="L678" s="77" t="str">
        <f t="shared" si="3"/>
        <v>PAKET KLINIK</v>
      </c>
      <c r="M678" s="78" t="s">
        <v>27</v>
      </c>
      <c r="N678" s="79">
        <v>650000.0</v>
      </c>
      <c r="O678" s="44">
        <v>0.0</v>
      </c>
      <c r="P678" s="32">
        <f t="array" ref="P678">IFNA(XLOOKUP(K678,'⚙️ Pengaturan'!$E$2:$E800,'⚙️ Pengaturan'!$F$2:$F800),"")</f>
        <v>650000</v>
      </c>
      <c r="Q678" s="81" t="str">
        <f>IF(I678="","",(N678+#REF!)-P678)</f>
        <v>#REF!</v>
      </c>
      <c r="R678" s="26" t="s">
        <v>28</v>
      </c>
      <c r="S678" s="38" t="s">
        <v>478</v>
      </c>
      <c r="T678" s="35" t="b">
        <v>1</v>
      </c>
      <c r="U678" s="36"/>
    </row>
    <row r="679" ht="30.0" customHeight="1">
      <c r="A679" s="24"/>
      <c r="B679" s="25">
        <v>2784.0</v>
      </c>
      <c r="C679" s="26" t="s">
        <v>21</v>
      </c>
      <c r="D679" s="27">
        <v>46072.0</v>
      </c>
      <c r="E679" s="28" t="str">
        <f t="shared" si="1"/>
        <v>2026</v>
      </c>
      <c r="F679" s="28" t="str">
        <f t="shared" si="2"/>
        <v>02 Feb</v>
      </c>
      <c r="G679" s="50" t="s">
        <v>22</v>
      </c>
      <c r="H679" s="29" t="s">
        <v>48</v>
      </c>
      <c r="I679" s="29" t="s">
        <v>50</v>
      </c>
      <c r="J679" s="75" t="s">
        <v>25</v>
      </c>
      <c r="K679" s="76" t="s">
        <v>26</v>
      </c>
      <c r="L679" s="77" t="str">
        <f t="shared" si="3"/>
        <v>TA KLINIK</v>
      </c>
      <c r="M679" s="78" t="s">
        <v>27</v>
      </c>
      <c r="N679" s="79">
        <v>250000.0</v>
      </c>
      <c r="O679" s="80">
        <v>0.0</v>
      </c>
      <c r="P679" s="32">
        <f t="array" ref="P679">IFNA(XLOOKUP(K679,'⚙️ Pengaturan'!$E$2:$E800,'⚙️ Pengaturan'!$F$2:$F800),"")</f>
        <v>250000</v>
      </c>
      <c r="Q679" s="81">
        <f t="shared" ref="Q679:Q690" si="10">IF(I679="","",(N679+O679)-P679)</f>
        <v>0</v>
      </c>
      <c r="R679" s="26" t="s">
        <v>28</v>
      </c>
      <c r="S679" s="38" t="s">
        <v>50</v>
      </c>
      <c r="T679" s="35" t="b">
        <v>1</v>
      </c>
      <c r="U679" s="36"/>
    </row>
    <row r="680" ht="30.0" customHeight="1">
      <c r="A680" s="24"/>
      <c r="B680" s="25">
        <v>2785.0</v>
      </c>
      <c r="C680" s="26" t="s">
        <v>21</v>
      </c>
      <c r="D680" s="27">
        <v>46072.0</v>
      </c>
      <c r="E680" s="28" t="str">
        <f t="shared" si="1"/>
        <v>2026</v>
      </c>
      <c r="F680" s="28" t="str">
        <f t="shared" si="2"/>
        <v>02 Feb</v>
      </c>
      <c r="G680" s="50" t="s">
        <v>29</v>
      </c>
      <c r="H680" s="29" t="s">
        <v>35</v>
      </c>
      <c r="I680" s="29" t="s">
        <v>271</v>
      </c>
      <c r="J680" s="75" t="s">
        <v>25</v>
      </c>
      <c r="K680" s="76" t="s">
        <v>39</v>
      </c>
      <c r="L680" s="77" t="str">
        <f t="shared" si="3"/>
        <v>PAKET KLINIK</v>
      </c>
      <c r="M680" s="78" t="s">
        <v>27</v>
      </c>
      <c r="N680" s="79">
        <v>650000.0</v>
      </c>
      <c r="O680" s="80">
        <v>0.0</v>
      </c>
      <c r="P680" s="32">
        <f t="array" ref="P680">IFNA(XLOOKUP(K680,'⚙️ Pengaturan'!$E$2:$E800,'⚙️ Pengaturan'!$F$2:$F800),"")</f>
        <v>650000</v>
      </c>
      <c r="Q680" s="81">
        <f t="shared" si="10"/>
        <v>0</v>
      </c>
      <c r="R680" s="26" t="s">
        <v>28</v>
      </c>
      <c r="S680" s="38" t="s">
        <v>271</v>
      </c>
      <c r="T680" s="35" t="b">
        <v>1</v>
      </c>
      <c r="U680" s="36"/>
    </row>
    <row r="681" ht="30.0" customHeight="1">
      <c r="A681" s="24"/>
      <c r="B681" s="25">
        <v>2786.0</v>
      </c>
      <c r="C681" s="26" t="s">
        <v>21</v>
      </c>
      <c r="D681" s="27">
        <v>46072.0</v>
      </c>
      <c r="E681" s="28" t="str">
        <f t="shared" si="1"/>
        <v>2026</v>
      </c>
      <c r="F681" s="28" t="str">
        <f t="shared" si="2"/>
        <v>02 Feb</v>
      </c>
      <c r="G681" s="50" t="s">
        <v>82</v>
      </c>
      <c r="H681" s="29" t="s">
        <v>51</v>
      </c>
      <c r="I681" s="29" t="s">
        <v>479</v>
      </c>
      <c r="J681" s="75" t="s">
        <v>25</v>
      </c>
      <c r="K681" s="76" t="s">
        <v>26</v>
      </c>
      <c r="L681" s="77" t="str">
        <f t="shared" si="3"/>
        <v>TA KLINIK</v>
      </c>
      <c r="M681" s="78" t="s">
        <v>27</v>
      </c>
      <c r="N681" s="79">
        <v>250000.0</v>
      </c>
      <c r="O681" s="80">
        <v>0.0</v>
      </c>
      <c r="P681" s="32">
        <f t="array" ref="P681">IFNA(XLOOKUP(K681,'⚙️ Pengaturan'!$E$2:$E800,'⚙️ Pengaturan'!$F$2:$F800),"")</f>
        <v>250000</v>
      </c>
      <c r="Q681" s="81">
        <f t="shared" si="10"/>
        <v>0</v>
      </c>
      <c r="R681" s="26" t="s">
        <v>33</v>
      </c>
      <c r="S681" s="38" t="s">
        <v>34</v>
      </c>
      <c r="T681" s="35" t="b">
        <v>1</v>
      </c>
      <c r="U681" s="36"/>
    </row>
    <row r="682" ht="30.0" customHeight="1">
      <c r="A682" s="24"/>
      <c r="B682" s="25">
        <v>2787.0</v>
      </c>
      <c r="C682" s="26" t="s">
        <v>21</v>
      </c>
      <c r="D682" s="27">
        <v>46072.0</v>
      </c>
      <c r="E682" s="28" t="str">
        <f t="shared" si="1"/>
        <v>2026</v>
      </c>
      <c r="F682" s="28" t="str">
        <f t="shared" si="2"/>
        <v>02 Feb</v>
      </c>
      <c r="G682" s="50" t="s">
        <v>82</v>
      </c>
      <c r="H682" s="29" t="s">
        <v>42</v>
      </c>
      <c r="I682" s="29" t="s">
        <v>480</v>
      </c>
      <c r="J682" s="75" t="s">
        <v>25</v>
      </c>
      <c r="K682" s="76" t="s">
        <v>26</v>
      </c>
      <c r="L682" s="77" t="str">
        <f t="shared" si="3"/>
        <v>TA KLINIK</v>
      </c>
      <c r="M682" s="78" t="s">
        <v>27</v>
      </c>
      <c r="N682" s="79">
        <v>250000.0</v>
      </c>
      <c r="O682" s="80">
        <v>0.0</v>
      </c>
      <c r="P682" s="32">
        <f t="array" ref="P682">IFNA(XLOOKUP(K682,'⚙️ Pengaturan'!$E$2:$E800,'⚙️ Pengaturan'!$F$2:$F800),"")</f>
        <v>250000</v>
      </c>
      <c r="Q682" s="81">
        <f t="shared" si="10"/>
        <v>0</v>
      </c>
      <c r="R682" s="26" t="s">
        <v>28</v>
      </c>
      <c r="S682" s="38" t="s">
        <v>480</v>
      </c>
      <c r="T682" s="35" t="b">
        <v>1</v>
      </c>
      <c r="U682" s="36"/>
    </row>
    <row r="683" ht="30.0" customHeight="1">
      <c r="A683" s="24"/>
      <c r="B683" s="25">
        <v>2788.0</v>
      </c>
      <c r="C683" s="26" t="s">
        <v>21</v>
      </c>
      <c r="D683" s="27">
        <v>46072.0</v>
      </c>
      <c r="E683" s="28" t="str">
        <f t="shared" si="1"/>
        <v>2026</v>
      </c>
      <c r="F683" s="28" t="str">
        <f t="shared" si="2"/>
        <v>02 Feb</v>
      </c>
      <c r="G683" s="50" t="s">
        <v>37</v>
      </c>
      <c r="H683" s="29" t="s">
        <v>42</v>
      </c>
      <c r="I683" s="29" t="s">
        <v>481</v>
      </c>
      <c r="J683" s="75" t="s">
        <v>25</v>
      </c>
      <c r="K683" s="76" t="s">
        <v>26</v>
      </c>
      <c r="L683" s="77" t="str">
        <f t="shared" si="3"/>
        <v>TA KLINIK</v>
      </c>
      <c r="M683" s="78" t="s">
        <v>27</v>
      </c>
      <c r="N683" s="79">
        <v>250000.0</v>
      </c>
      <c r="O683" s="80">
        <v>0.0</v>
      </c>
      <c r="P683" s="32">
        <f t="array" ref="P683">IFNA(XLOOKUP(K683,'⚙️ Pengaturan'!$E$2:$E800,'⚙️ Pengaturan'!$F$2:$F800),"")</f>
        <v>250000</v>
      </c>
      <c r="Q683" s="81">
        <f t="shared" si="10"/>
        <v>0</v>
      </c>
      <c r="R683" s="26" t="s">
        <v>33</v>
      </c>
      <c r="S683" s="38" t="s">
        <v>34</v>
      </c>
      <c r="T683" s="35" t="b">
        <v>1</v>
      </c>
      <c r="U683" s="36"/>
    </row>
    <row r="684" ht="30.0" customHeight="1">
      <c r="A684" s="24"/>
      <c r="B684" s="25">
        <v>2789.0</v>
      </c>
      <c r="C684" s="26" t="s">
        <v>40</v>
      </c>
      <c r="D684" s="27">
        <v>46072.0</v>
      </c>
      <c r="E684" s="28" t="str">
        <f t="shared" si="1"/>
        <v>2026</v>
      </c>
      <c r="F684" s="28" t="str">
        <f t="shared" si="2"/>
        <v>02 Feb</v>
      </c>
      <c r="G684" s="50" t="s">
        <v>46</v>
      </c>
      <c r="H684" s="29" t="s">
        <v>23</v>
      </c>
      <c r="I684" s="29" t="s">
        <v>336</v>
      </c>
      <c r="J684" s="75" t="s">
        <v>76</v>
      </c>
      <c r="K684" s="76" t="s">
        <v>26</v>
      </c>
      <c r="L684" s="77" t="str">
        <f t="shared" si="3"/>
        <v>TA KLINIK</v>
      </c>
      <c r="M684" s="78" t="s">
        <v>27</v>
      </c>
      <c r="N684" s="79">
        <v>250000.0</v>
      </c>
      <c r="O684" s="80">
        <v>0.0</v>
      </c>
      <c r="P684" s="32">
        <f t="array" ref="P684">IFNA(XLOOKUP(K684,'⚙️ Pengaturan'!$E$2:$E800,'⚙️ Pengaturan'!$F$2:$F800),"")</f>
        <v>250000</v>
      </c>
      <c r="Q684" s="81">
        <f t="shared" si="10"/>
        <v>0</v>
      </c>
      <c r="R684" s="26" t="s">
        <v>33</v>
      </c>
      <c r="S684" s="38" t="s">
        <v>34</v>
      </c>
      <c r="T684" s="35" t="b">
        <v>1</v>
      </c>
      <c r="U684" s="36"/>
    </row>
    <row r="685" ht="30.0" customHeight="1">
      <c r="A685" s="24"/>
      <c r="B685" s="25">
        <v>2790.0</v>
      </c>
      <c r="C685" s="26" t="s">
        <v>40</v>
      </c>
      <c r="D685" s="27">
        <v>46072.0</v>
      </c>
      <c r="E685" s="28" t="str">
        <f t="shared" si="1"/>
        <v>2026</v>
      </c>
      <c r="F685" s="28" t="str">
        <f t="shared" si="2"/>
        <v>02 Feb</v>
      </c>
      <c r="G685" s="50" t="s">
        <v>41</v>
      </c>
      <c r="H685" s="29" t="s">
        <v>70</v>
      </c>
      <c r="I685" s="29" t="s">
        <v>279</v>
      </c>
      <c r="J685" s="75" t="s">
        <v>76</v>
      </c>
      <c r="K685" s="76" t="s">
        <v>32</v>
      </c>
      <c r="L685" s="77" t="str">
        <f t="shared" si="3"/>
        <v>SESI KLINIK</v>
      </c>
      <c r="M685" s="78" t="s">
        <v>27</v>
      </c>
      <c r="N685" s="79">
        <v>150000.0</v>
      </c>
      <c r="O685" s="80">
        <v>0.0</v>
      </c>
      <c r="P685" s="32">
        <f t="array" ref="P685">IFNA(XLOOKUP(K685,'⚙️ Pengaturan'!$E$2:$E800,'⚙️ Pengaturan'!$F$2:$F800),"")</f>
        <v>150000</v>
      </c>
      <c r="Q685" s="81">
        <f t="shared" si="10"/>
        <v>0</v>
      </c>
      <c r="R685" s="26" t="s">
        <v>33</v>
      </c>
      <c r="S685" s="38" t="s">
        <v>34</v>
      </c>
      <c r="T685" s="35" t="b">
        <v>1</v>
      </c>
      <c r="U685" s="36"/>
    </row>
    <row r="686" ht="30.0" customHeight="1">
      <c r="A686" s="24"/>
      <c r="B686" s="25">
        <v>2791.0</v>
      </c>
      <c r="C686" s="26" t="s">
        <v>40</v>
      </c>
      <c r="D686" s="27">
        <v>46072.0</v>
      </c>
      <c r="E686" s="28" t="str">
        <f t="shared" si="1"/>
        <v>2026</v>
      </c>
      <c r="F686" s="28" t="str">
        <f t="shared" si="2"/>
        <v>02 Feb</v>
      </c>
      <c r="G686" s="50" t="s">
        <v>61</v>
      </c>
      <c r="H686" s="29" t="s">
        <v>30</v>
      </c>
      <c r="I686" s="29" t="s">
        <v>453</v>
      </c>
      <c r="J686" s="75" t="s">
        <v>25</v>
      </c>
      <c r="K686" s="76" t="s">
        <v>369</v>
      </c>
      <c r="L686" s="77" t="str">
        <f t="shared" si="3"/>
        <v>SESI KLINIK</v>
      </c>
      <c r="M686" s="78" t="s">
        <v>27</v>
      </c>
      <c r="N686" s="79">
        <v>180000.0</v>
      </c>
      <c r="O686" s="80">
        <v>0.0</v>
      </c>
      <c r="P686" s="32">
        <f t="array" ref="P686">IFNA(XLOOKUP(K686,'⚙️ Pengaturan'!$E$2:$E800,'⚙️ Pengaturan'!$F$2:$F800),"")</f>
        <v>180000</v>
      </c>
      <c r="Q686" s="81">
        <f t="shared" si="10"/>
        <v>0</v>
      </c>
      <c r="R686" s="26" t="s">
        <v>33</v>
      </c>
      <c r="S686" s="38" t="s">
        <v>34</v>
      </c>
      <c r="T686" s="35" t="b">
        <v>1</v>
      </c>
      <c r="U686" s="36"/>
    </row>
    <row r="687" ht="30.0" customHeight="1">
      <c r="A687" s="24"/>
      <c r="B687" s="25">
        <v>2792.0</v>
      </c>
      <c r="C687" s="26" t="s">
        <v>118</v>
      </c>
      <c r="D687" s="27">
        <v>46073.0</v>
      </c>
      <c r="E687" s="28" t="str">
        <f t="shared" si="1"/>
        <v>2026</v>
      </c>
      <c r="F687" s="28" t="str">
        <f t="shared" si="2"/>
        <v>02 Feb</v>
      </c>
      <c r="G687" s="50" t="s">
        <v>29</v>
      </c>
      <c r="H687" s="29" t="s">
        <v>30</v>
      </c>
      <c r="I687" s="29" t="s">
        <v>482</v>
      </c>
      <c r="J687" s="75" t="s">
        <v>25</v>
      </c>
      <c r="K687" s="76" t="s">
        <v>26</v>
      </c>
      <c r="L687" s="77" t="str">
        <f t="shared" si="3"/>
        <v>TA KLINIK</v>
      </c>
      <c r="M687" s="78" t="s">
        <v>27</v>
      </c>
      <c r="N687" s="79">
        <v>250000.0</v>
      </c>
      <c r="O687" s="80">
        <v>0.0</v>
      </c>
      <c r="P687" s="32">
        <f t="array" ref="P687">IFNA(XLOOKUP(K687,'⚙️ Pengaturan'!$E$2:$E800,'⚙️ Pengaturan'!$F$2:$F800),"")</f>
        <v>250000</v>
      </c>
      <c r="Q687" s="81">
        <f t="shared" si="10"/>
        <v>0</v>
      </c>
      <c r="R687" s="26" t="s">
        <v>28</v>
      </c>
      <c r="S687" s="38" t="s">
        <v>482</v>
      </c>
      <c r="T687" s="35" t="b">
        <v>1</v>
      </c>
      <c r="U687" s="36"/>
    </row>
    <row r="688" ht="30.0" customHeight="1">
      <c r="A688" s="24"/>
      <c r="B688" s="25">
        <v>2793.0</v>
      </c>
      <c r="C688" s="26" t="s">
        <v>21</v>
      </c>
      <c r="D688" s="27">
        <v>46073.0</v>
      </c>
      <c r="E688" s="28" t="str">
        <f t="shared" si="1"/>
        <v>2026</v>
      </c>
      <c r="F688" s="28" t="str">
        <f t="shared" si="2"/>
        <v>02 Feb</v>
      </c>
      <c r="G688" s="50" t="s">
        <v>37</v>
      </c>
      <c r="H688" s="29" t="s">
        <v>68</v>
      </c>
      <c r="I688" s="29" t="s">
        <v>483</v>
      </c>
      <c r="J688" s="75" t="s">
        <v>25</v>
      </c>
      <c r="K688" s="76" t="s">
        <v>26</v>
      </c>
      <c r="L688" s="77" t="str">
        <f t="shared" si="3"/>
        <v>TA KLINIK</v>
      </c>
      <c r="M688" s="78" t="s">
        <v>27</v>
      </c>
      <c r="N688" s="79">
        <v>250000.0</v>
      </c>
      <c r="O688" s="80">
        <v>0.0</v>
      </c>
      <c r="P688" s="32">
        <f t="array" ref="P688">IFNA(XLOOKUP(K688,'⚙️ Pengaturan'!$E$2:$E800,'⚙️ Pengaturan'!$F$2:$F800),"")</f>
        <v>250000</v>
      </c>
      <c r="Q688" s="81">
        <f t="shared" si="10"/>
        <v>0</v>
      </c>
      <c r="R688" s="26" t="s">
        <v>28</v>
      </c>
      <c r="S688" s="38" t="s">
        <v>483</v>
      </c>
      <c r="T688" s="35" t="b">
        <v>1</v>
      </c>
      <c r="U688" s="36"/>
    </row>
    <row r="689" ht="30.0" customHeight="1">
      <c r="A689" s="24"/>
      <c r="B689" s="25">
        <v>2794.0</v>
      </c>
      <c r="C689" s="26" t="s">
        <v>21</v>
      </c>
      <c r="D689" s="27">
        <v>46074.0</v>
      </c>
      <c r="E689" s="28" t="str">
        <f t="shared" si="1"/>
        <v>2026</v>
      </c>
      <c r="F689" s="28" t="str">
        <f t="shared" si="2"/>
        <v>02 Feb</v>
      </c>
      <c r="G689" s="50" t="s">
        <v>37</v>
      </c>
      <c r="H689" s="29" t="s">
        <v>68</v>
      </c>
      <c r="I689" s="29" t="s">
        <v>483</v>
      </c>
      <c r="J689" s="75" t="s">
        <v>25</v>
      </c>
      <c r="K689" s="76" t="s">
        <v>395</v>
      </c>
      <c r="L689" s="77" t="str">
        <f t="shared" si="3"/>
        <v>PAKET KLINIK</v>
      </c>
      <c r="M689" s="78" t="s">
        <v>86</v>
      </c>
      <c r="N689" s="79">
        <v>300000.0</v>
      </c>
      <c r="O689" s="80">
        <v>0.0</v>
      </c>
      <c r="P689" s="32">
        <f t="array" ref="P689">IFNA(XLOOKUP(K689,'⚙️ Pengaturan'!$E$2:$E800,'⚙️ Pengaturan'!$F$2:$F800),"")</f>
        <v>750000</v>
      </c>
      <c r="Q689" s="81">
        <f t="shared" si="10"/>
        <v>-450000</v>
      </c>
      <c r="R689" s="26" t="s">
        <v>28</v>
      </c>
      <c r="S689" s="38" t="s">
        <v>483</v>
      </c>
      <c r="T689" s="35" t="b">
        <v>1</v>
      </c>
      <c r="U689" s="36"/>
    </row>
    <row r="690" ht="30.0" customHeight="1">
      <c r="A690" s="24"/>
      <c r="B690" s="25">
        <v>2795.0</v>
      </c>
      <c r="C690" s="26" t="s">
        <v>21</v>
      </c>
      <c r="D690" s="27">
        <v>46073.0</v>
      </c>
      <c r="E690" s="28" t="str">
        <f t="shared" si="1"/>
        <v>2026</v>
      </c>
      <c r="F690" s="28" t="str">
        <f t="shared" si="2"/>
        <v>02 Feb</v>
      </c>
      <c r="G690" s="50" t="s">
        <v>37</v>
      </c>
      <c r="H690" s="29" t="s">
        <v>30</v>
      </c>
      <c r="I690" s="29" t="s">
        <v>91</v>
      </c>
      <c r="J690" s="75" t="s">
        <v>25</v>
      </c>
      <c r="K690" s="76" t="s">
        <v>397</v>
      </c>
      <c r="L690" s="77" t="str">
        <f t="shared" si="3"/>
        <v>PAKET KLINIK</v>
      </c>
      <c r="M690" s="78" t="s">
        <v>27</v>
      </c>
      <c r="N690" s="79">
        <v>1300000.0</v>
      </c>
      <c r="O690" s="80">
        <v>0.0</v>
      </c>
      <c r="P690" s="32">
        <f t="array" ref="P690">IFNA(XLOOKUP(K690,'⚙️ Pengaturan'!$E$2:$E800,'⚙️ Pengaturan'!$F$2:$F800),"")</f>
        <v>1300000</v>
      </c>
      <c r="Q690" s="81">
        <f t="shared" si="10"/>
        <v>0</v>
      </c>
      <c r="R690" s="26" t="s">
        <v>28</v>
      </c>
      <c r="S690" s="38" t="s">
        <v>91</v>
      </c>
      <c r="T690" s="35" t="b">
        <v>1</v>
      </c>
      <c r="U690" s="36"/>
    </row>
    <row r="691" ht="30.0" customHeight="1">
      <c r="A691" s="24"/>
      <c r="B691" s="25">
        <v>2796.0</v>
      </c>
      <c r="C691" s="26" t="s">
        <v>21</v>
      </c>
      <c r="D691" s="27">
        <v>46073.0</v>
      </c>
      <c r="E691" s="28" t="str">
        <f t="shared" si="1"/>
        <v>2026</v>
      </c>
      <c r="F691" s="28" t="str">
        <f t="shared" si="2"/>
        <v>02 Feb</v>
      </c>
      <c r="G691" s="50" t="s">
        <v>46</v>
      </c>
      <c r="H691" s="29" t="s">
        <v>35</v>
      </c>
      <c r="I691" s="29" t="s">
        <v>484</v>
      </c>
      <c r="J691" s="75" t="s">
        <v>25</v>
      </c>
      <c r="K691" s="76" t="s">
        <v>26</v>
      </c>
      <c r="L691" s="77" t="str">
        <f t="shared" si="3"/>
        <v>TA KLINIK</v>
      </c>
      <c r="M691" s="78" t="s">
        <v>27</v>
      </c>
      <c r="N691" s="79">
        <v>250000.0</v>
      </c>
      <c r="O691" s="80">
        <v>0.0</v>
      </c>
      <c r="P691" s="32">
        <f t="array" ref="P691">IFNA(XLOOKUP(K691,'⚙️ Pengaturan'!$E$2:$E800,'⚙️ Pengaturan'!$F$2:$F800),"")</f>
        <v>250000</v>
      </c>
      <c r="Q691" s="87">
        <v>0.0</v>
      </c>
      <c r="R691" s="26" t="s">
        <v>28</v>
      </c>
      <c r="S691" s="38" t="s">
        <v>485</v>
      </c>
      <c r="T691" s="35" t="b">
        <v>1</v>
      </c>
      <c r="U691" s="36"/>
    </row>
    <row r="692" ht="30.0" customHeight="1">
      <c r="A692" s="24"/>
      <c r="B692" s="25">
        <v>2797.0</v>
      </c>
      <c r="C692" s="26" t="s">
        <v>21</v>
      </c>
      <c r="D692" s="27">
        <v>46073.0</v>
      </c>
      <c r="E692" s="28" t="str">
        <f t="shared" si="1"/>
        <v>2026</v>
      </c>
      <c r="F692" s="28" t="str">
        <f t="shared" si="2"/>
        <v>02 Feb</v>
      </c>
      <c r="G692" s="50" t="s">
        <v>41</v>
      </c>
      <c r="H692" s="29" t="s">
        <v>68</v>
      </c>
      <c r="I692" s="29" t="s">
        <v>269</v>
      </c>
      <c r="J692" s="75" t="s">
        <v>25</v>
      </c>
      <c r="K692" s="76" t="s">
        <v>32</v>
      </c>
      <c r="L692" s="77" t="str">
        <f t="shared" si="3"/>
        <v>SESI KLINIK</v>
      </c>
      <c r="M692" s="78" t="s">
        <v>27</v>
      </c>
      <c r="N692" s="79">
        <v>150000.0</v>
      </c>
      <c r="O692" s="80">
        <v>0.0</v>
      </c>
      <c r="P692" s="32">
        <f t="array" ref="P692">IFNA(XLOOKUP(K692,'⚙️ Pengaturan'!$E$2:$E800,'⚙️ Pengaturan'!$F$2:$F800),"")</f>
        <v>150000</v>
      </c>
      <c r="Q692" s="81">
        <f t="shared" ref="Q692:Q785" si="11">IF(I692="","",(N692+O692)-P692)</f>
        <v>0</v>
      </c>
      <c r="R692" s="26" t="s">
        <v>33</v>
      </c>
      <c r="S692" s="38" t="s">
        <v>34</v>
      </c>
      <c r="T692" s="35" t="b">
        <v>1</v>
      </c>
      <c r="U692" s="36"/>
    </row>
    <row r="693" ht="30.0" customHeight="1">
      <c r="A693" s="24"/>
      <c r="B693" s="25">
        <v>2798.0</v>
      </c>
      <c r="C693" s="26" t="s">
        <v>21</v>
      </c>
      <c r="D693" s="27">
        <v>46074.0</v>
      </c>
      <c r="E693" s="28" t="str">
        <f t="shared" si="1"/>
        <v>2026</v>
      </c>
      <c r="F693" s="28" t="str">
        <f t="shared" si="2"/>
        <v>02 Feb</v>
      </c>
      <c r="G693" s="50" t="s">
        <v>61</v>
      </c>
      <c r="H693" s="29" t="s">
        <v>30</v>
      </c>
      <c r="I693" s="29" t="s">
        <v>486</v>
      </c>
      <c r="J693" s="75" t="s">
        <v>76</v>
      </c>
      <c r="K693" s="76" t="s">
        <v>44</v>
      </c>
      <c r="L693" s="77" t="str">
        <f t="shared" si="3"/>
        <v>PAKET KLINIK</v>
      </c>
      <c r="M693" s="78" t="s">
        <v>27</v>
      </c>
      <c r="N693" s="79">
        <v>1200000.0</v>
      </c>
      <c r="O693" s="80">
        <v>0.0</v>
      </c>
      <c r="P693" s="32">
        <f t="array" ref="P693">IFNA(XLOOKUP(K693,'⚙️ Pengaturan'!$E$2:$E800,'⚙️ Pengaturan'!$F$2:$F800),"")</f>
        <v>1200000</v>
      </c>
      <c r="Q693" s="81">
        <f t="shared" si="11"/>
        <v>0</v>
      </c>
      <c r="R693" s="26" t="s">
        <v>28</v>
      </c>
      <c r="S693" s="38" t="s">
        <v>487</v>
      </c>
      <c r="T693" s="35" t="b">
        <v>1</v>
      </c>
      <c r="U693" s="36"/>
    </row>
    <row r="694" ht="30.0" customHeight="1">
      <c r="A694" s="24"/>
      <c r="B694" s="25">
        <v>2799.0</v>
      </c>
      <c r="C694" s="26" t="s">
        <v>21</v>
      </c>
      <c r="D694" s="27">
        <v>46073.0</v>
      </c>
      <c r="E694" s="28" t="str">
        <f t="shared" si="1"/>
        <v>2026</v>
      </c>
      <c r="F694" s="28" t="str">
        <f t="shared" si="2"/>
        <v>02 Feb</v>
      </c>
      <c r="G694" s="50" t="s">
        <v>61</v>
      </c>
      <c r="H694" s="29" t="s">
        <v>68</v>
      </c>
      <c r="I694" s="29" t="s">
        <v>488</v>
      </c>
      <c r="J694" s="75" t="s">
        <v>25</v>
      </c>
      <c r="K694" s="76" t="s">
        <v>26</v>
      </c>
      <c r="L694" s="77" t="str">
        <f t="shared" si="3"/>
        <v>TA KLINIK</v>
      </c>
      <c r="M694" s="78" t="s">
        <v>27</v>
      </c>
      <c r="N694" s="79">
        <v>250000.0</v>
      </c>
      <c r="O694" s="80">
        <v>0.0</v>
      </c>
      <c r="P694" s="32">
        <f t="array" ref="P694">IFNA(XLOOKUP(K694,'⚙️ Pengaturan'!$E$2:$E800,'⚙️ Pengaturan'!$F$2:$F800),"")</f>
        <v>250000</v>
      </c>
      <c r="Q694" s="81">
        <f t="shared" si="11"/>
        <v>0</v>
      </c>
      <c r="R694" s="26" t="s">
        <v>28</v>
      </c>
      <c r="S694" s="38" t="s">
        <v>488</v>
      </c>
      <c r="T694" s="35" t="b">
        <v>1</v>
      </c>
      <c r="U694" s="36"/>
    </row>
    <row r="695" ht="30.0" customHeight="1">
      <c r="A695" s="24"/>
      <c r="B695" s="25">
        <v>2800.0</v>
      </c>
      <c r="C695" s="26" t="s">
        <v>21</v>
      </c>
      <c r="D695" s="27">
        <v>46073.0</v>
      </c>
      <c r="E695" s="28" t="str">
        <f t="shared" si="1"/>
        <v>2026</v>
      </c>
      <c r="F695" s="28" t="str">
        <f t="shared" si="2"/>
        <v>02 Feb</v>
      </c>
      <c r="G695" s="50" t="s">
        <v>46</v>
      </c>
      <c r="H695" s="29" t="s">
        <v>70</v>
      </c>
      <c r="I695" s="29" t="s">
        <v>489</v>
      </c>
      <c r="J695" s="75" t="s">
        <v>25</v>
      </c>
      <c r="K695" s="76" t="s">
        <v>26</v>
      </c>
      <c r="L695" s="77" t="str">
        <f t="shared" si="3"/>
        <v>TA KLINIK</v>
      </c>
      <c r="M695" s="78" t="s">
        <v>27</v>
      </c>
      <c r="N695" s="79">
        <v>250000.0</v>
      </c>
      <c r="O695" s="80">
        <v>0.0</v>
      </c>
      <c r="P695" s="32">
        <f t="array" ref="P695">IFNA(XLOOKUP(K695,'⚙️ Pengaturan'!$E$2:$E800,'⚙️ Pengaturan'!$F$2:$F800),"")</f>
        <v>250000</v>
      </c>
      <c r="Q695" s="81">
        <f t="shared" si="11"/>
        <v>0</v>
      </c>
      <c r="R695" s="26" t="s">
        <v>33</v>
      </c>
      <c r="S695" s="38" t="s">
        <v>34</v>
      </c>
      <c r="T695" s="35" t="b">
        <v>1</v>
      </c>
      <c r="U695" s="36"/>
    </row>
    <row r="696" ht="30.0" customHeight="1">
      <c r="A696" s="24"/>
      <c r="B696" s="25">
        <v>2801.0</v>
      </c>
      <c r="C696" s="26" t="s">
        <v>21</v>
      </c>
      <c r="D696" s="27">
        <v>46074.0</v>
      </c>
      <c r="E696" s="28" t="str">
        <f t="shared" si="1"/>
        <v>2026</v>
      </c>
      <c r="F696" s="28" t="str">
        <f t="shared" si="2"/>
        <v>02 Feb</v>
      </c>
      <c r="G696" s="50" t="s">
        <v>67</v>
      </c>
      <c r="H696" s="29" t="s">
        <v>42</v>
      </c>
      <c r="I696" s="29" t="s">
        <v>480</v>
      </c>
      <c r="J696" s="75" t="s">
        <v>25</v>
      </c>
      <c r="K696" s="76" t="s">
        <v>369</v>
      </c>
      <c r="L696" s="77" t="str">
        <f t="shared" si="3"/>
        <v>SESI KLINIK</v>
      </c>
      <c r="M696" s="78" t="s">
        <v>27</v>
      </c>
      <c r="N696" s="79">
        <v>180000.0</v>
      </c>
      <c r="O696" s="80">
        <v>0.0</v>
      </c>
      <c r="P696" s="32">
        <f t="array" ref="P696">IFNA(XLOOKUP(K696,'⚙️ Pengaturan'!$E$2:$E800,'⚙️ Pengaturan'!$F$2:$F800),"")</f>
        <v>180000</v>
      </c>
      <c r="Q696" s="81">
        <f t="shared" si="11"/>
        <v>0</v>
      </c>
      <c r="R696" s="26" t="s">
        <v>28</v>
      </c>
      <c r="S696" s="38" t="s">
        <v>480</v>
      </c>
      <c r="T696" s="35" t="b">
        <v>1</v>
      </c>
      <c r="U696" s="36"/>
    </row>
    <row r="697" ht="30.0" customHeight="1">
      <c r="A697" s="24"/>
      <c r="B697" s="25">
        <v>2802.0</v>
      </c>
      <c r="C697" s="26" t="s">
        <v>21</v>
      </c>
      <c r="D697" s="27">
        <v>46074.0</v>
      </c>
      <c r="E697" s="28" t="str">
        <f t="shared" si="1"/>
        <v>2026</v>
      </c>
      <c r="F697" s="28" t="str">
        <f t="shared" si="2"/>
        <v>02 Feb</v>
      </c>
      <c r="G697" s="50" t="s">
        <v>22</v>
      </c>
      <c r="H697" s="29" t="s">
        <v>58</v>
      </c>
      <c r="I697" s="29" t="s">
        <v>490</v>
      </c>
      <c r="J697" s="75" t="s">
        <v>25</v>
      </c>
      <c r="K697" s="76" t="s">
        <v>26</v>
      </c>
      <c r="L697" s="77" t="str">
        <f t="shared" si="3"/>
        <v>TA KLINIK</v>
      </c>
      <c r="M697" s="78" t="s">
        <v>27</v>
      </c>
      <c r="N697" s="79">
        <v>250000.0</v>
      </c>
      <c r="O697" s="80">
        <v>0.0</v>
      </c>
      <c r="P697" s="32">
        <f t="array" ref="P697">IFNA(XLOOKUP(K697,'⚙️ Pengaturan'!$E$2:$E800,'⚙️ Pengaturan'!$F$2:$F800),"")</f>
        <v>250000</v>
      </c>
      <c r="Q697" s="81">
        <f t="shared" si="11"/>
        <v>0</v>
      </c>
      <c r="R697" s="26" t="s">
        <v>28</v>
      </c>
      <c r="S697" s="38" t="s">
        <v>491</v>
      </c>
      <c r="T697" s="35" t="b">
        <v>1</v>
      </c>
      <c r="U697" s="36"/>
    </row>
    <row r="698" ht="30.0" customHeight="1">
      <c r="A698" s="24"/>
      <c r="B698" s="25">
        <v>2803.0</v>
      </c>
      <c r="C698" s="26" t="s">
        <v>21</v>
      </c>
      <c r="D698" s="27">
        <v>46074.0</v>
      </c>
      <c r="E698" s="28" t="str">
        <f t="shared" si="1"/>
        <v>2026</v>
      </c>
      <c r="F698" s="28" t="str">
        <f t="shared" si="2"/>
        <v>02 Feb</v>
      </c>
      <c r="G698" s="50" t="s">
        <v>29</v>
      </c>
      <c r="H698" s="29" t="s">
        <v>42</v>
      </c>
      <c r="I698" s="29" t="s">
        <v>481</v>
      </c>
      <c r="J698" s="75" t="s">
        <v>25</v>
      </c>
      <c r="K698" s="76" t="s">
        <v>395</v>
      </c>
      <c r="L698" s="77" t="str">
        <f t="shared" si="3"/>
        <v>PAKET KLINIK</v>
      </c>
      <c r="M698" s="78" t="s">
        <v>86</v>
      </c>
      <c r="N698" s="79">
        <v>300000.0</v>
      </c>
      <c r="O698" s="80">
        <v>0.0</v>
      </c>
      <c r="P698" s="32">
        <f t="array" ref="P698">IFNA(XLOOKUP(K698,'⚙️ Pengaturan'!$E$2:$E800,'⚙️ Pengaturan'!$F$2:$F800),"")</f>
        <v>750000</v>
      </c>
      <c r="Q698" s="81">
        <f t="shared" si="11"/>
        <v>-450000</v>
      </c>
      <c r="R698" s="26" t="s">
        <v>33</v>
      </c>
      <c r="S698" s="38" t="s">
        <v>34</v>
      </c>
      <c r="T698" s="35" t="b">
        <v>1</v>
      </c>
      <c r="U698" s="36"/>
    </row>
    <row r="699" ht="30.0" customHeight="1">
      <c r="A699" s="24"/>
      <c r="B699" s="25">
        <v>2804.0</v>
      </c>
      <c r="C699" s="26" t="s">
        <v>21</v>
      </c>
      <c r="D699" s="27">
        <v>46074.0</v>
      </c>
      <c r="E699" s="28" t="str">
        <f t="shared" si="1"/>
        <v>2026</v>
      </c>
      <c r="F699" s="28" t="str">
        <f t="shared" si="2"/>
        <v>02 Feb</v>
      </c>
      <c r="G699" s="50" t="s">
        <v>29</v>
      </c>
      <c r="H699" s="29" t="s">
        <v>51</v>
      </c>
      <c r="I699" s="29" t="s">
        <v>479</v>
      </c>
      <c r="J699" s="75" t="s">
        <v>25</v>
      </c>
      <c r="K699" s="76" t="s">
        <v>369</v>
      </c>
      <c r="L699" s="77" t="str">
        <f t="shared" si="3"/>
        <v>SESI KLINIK</v>
      </c>
      <c r="M699" s="78" t="s">
        <v>27</v>
      </c>
      <c r="N699" s="79">
        <v>180000.0</v>
      </c>
      <c r="O699" s="80">
        <v>0.0</v>
      </c>
      <c r="P699" s="32">
        <f t="array" ref="P699">IFNA(XLOOKUP(K699,'⚙️ Pengaturan'!$E$2:$E800,'⚙️ Pengaturan'!$F$2:$F800),"")</f>
        <v>180000</v>
      </c>
      <c r="Q699" s="81">
        <f t="shared" si="11"/>
        <v>0</v>
      </c>
      <c r="R699" s="26" t="s">
        <v>33</v>
      </c>
      <c r="S699" s="38" t="s">
        <v>34</v>
      </c>
      <c r="T699" s="35" t="b">
        <v>1</v>
      </c>
      <c r="U699" s="36"/>
    </row>
    <row r="700" ht="30.0" customHeight="1">
      <c r="A700" s="24"/>
      <c r="B700" s="25">
        <v>2805.0</v>
      </c>
      <c r="C700" s="26" t="s">
        <v>21</v>
      </c>
      <c r="D700" s="27">
        <v>46074.0</v>
      </c>
      <c r="E700" s="28" t="str">
        <f t="shared" si="1"/>
        <v>2026</v>
      </c>
      <c r="F700" s="28" t="str">
        <f t="shared" si="2"/>
        <v>02 Feb</v>
      </c>
      <c r="G700" s="50" t="s">
        <v>29</v>
      </c>
      <c r="H700" s="29" t="s">
        <v>58</v>
      </c>
      <c r="I700" s="29" t="s">
        <v>416</v>
      </c>
      <c r="J700" s="75" t="s">
        <v>25</v>
      </c>
      <c r="K700" s="76" t="s">
        <v>369</v>
      </c>
      <c r="L700" s="77" t="str">
        <f t="shared" si="3"/>
        <v>SESI KLINIK</v>
      </c>
      <c r="M700" s="78" t="s">
        <v>27</v>
      </c>
      <c r="N700" s="79">
        <v>180000.0</v>
      </c>
      <c r="O700" s="80">
        <v>0.0</v>
      </c>
      <c r="P700" s="32">
        <f t="array" ref="P700">IFNA(XLOOKUP(K700,'⚙️ Pengaturan'!$E$2:$E800,'⚙️ Pengaturan'!$F$2:$F800),"")</f>
        <v>180000</v>
      </c>
      <c r="Q700" s="81">
        <f t="shared" si="11"/>
        <v>0</v>
      </c>
      <c r="R700" s="26" t="s">
        <v>28</v>
      </c>
      <c r="S700" s="38" t="s">
        <v>416</v>
      </c>
      <c r="T700" s="35" t="b">
        <v>1</v>
      </c>
      <c r="U700" s="36"/>
    </row>
    <row r="701" ht="30.0" customHeight="1">
      <c r="A701" s="24"/>
      <c r="B701" s="25">
        <v>2806.0</v>
      </c>
      <c r="C701" s="26" t="s">
        <v>21</v>
      </c>
      <c r="D701" s="27">
        <v>46074.0</v>
      </c>
      <c r="E701" s="28" t="str">
        <f t="shared" si="1"/>
        <v>2026</v>
      </c>
      <c r="F701" s="28" t="str">
        <f t="shared" si="2"/>
        <v>02 Feb</v>
      </c>
      <c r="G701" s="50" t="s">
        <v>29</v>
      </c>
      <c r="H701" s="29" t="s">
        <v>58</v>
      </c>
      <c r="I701" s="29" t="s">
        <v>416</v>
      </c>
      <c r="J701" s="75" t="s">
        <v>25</v>
      </c>
      <c r="K701" s="76" t="s">
        <v>369</v>
      </c>
      <c r="L701" s="77" t="str">
        <f t="shared" si="3"/>
        <v>SESI KLINIK</v>
      </c>
      <c r="M701" s="78" t="s">
        <v>27</v>
      </c>
      <c r="N701" s="79">
        <v>180000.0</v>
      </c>
      <c r="O701" s="80">
        <v>0.0</v>
      </c>
      <c r="P701" s="32">
        <f t="array" ref="P701">IFNA(XLOOKUP(K701,'⚙️ Pengaturan'!$E$2:$E800,'⚙️ Pengaturan'!$F$2:$F800),"")</f>
        <v>180000</v>
      </c>
      <c r="Q701" s="81">
        <f t="shared" si="11"/>
        <v>0</v>
      </c>
      <c r="R701" s="26" t="s">
        <v>28</v>
      </c>
      <c r="S701" s="38" t="s">
        <v>416</v>
      </c>
      <c r="T701" s="35" t="b">
        <v>1</v>
      </c>
      <c r="U701" s="36"/>
    </row>
    <row r="702" ht="30.0" customHeight="1">
      <c r="A702" s="24"/>
      <c r="B702" s="25">
        <v>2807.0</v>
      </c>
      <c r="C702" s="26" t="s">
        <v>21</v>
      </c>
      <c r="D702" s="27">
        <v>46074.0</v>
      </c>
      <c r="E702" s="28" t="str">
        <f t="shared" si="1"/>
        <v>2026</v>
      </c>
      <c r="F702" s="28" t="str">
        <f t="shared" si="2"/>
        <v>02 Feb</v>
      </c>
      <c r="G702" s="50" t="s">
        <v>82</v>
      </c>
      <c r="H702" s="29" t="s">
        <v>48</v>
      </c>
      <c r="I702" s="29" t="s">
        <v>50</v>
      </c>
      <c r="J702" s="75" t="s">
        <v>25</v>
      </c>
      <c r="K702" s="76" t="s">
        <v>369</v>
      </c>
      <c r="L702" s="77" t="str">
        <f t="shared" si="3"/>
        <v>SESI KLINIK</v>
      </c>
      <c r="M702" s="78" t="s">
        <v>27</v>
      </c>
      <c r="N702" s="79">
        <v>180000.0</v>
      </c>
      <c r="O702" s="80">
        <v>0.0</v>
      </c>
      <c r="P702" s="32">
        <f t="array" ref="P702">IFNA(XLOOKUP(K702,'⚙️ Pengaturan'!$E$2:$E800,'⚙️ Pengaturan'!$F$2:$F800),"")</f>
        <v>180000</v>
      </c>
      <c r="Q702" s="81">
        <f t="shared" si="11"/>
        <v>0</v>
      </c>
      <c r="R702" s="26" t="s">
        <v>33</v>
      </c>
      <c r="S702" s="38" t="s">
        <v>34</v>
      </c>
      <c r="T702" s="35" t="b">
        <v>1</v>
      </c>
      <c r="U702" s="36"/>
    </row>
    <row r="703" ht="30.0" customHeight="1">
      <c r="A703" s="24"/>
      <c r="B703" s="25">
        <v>2808.0</v>
      </c>
      <c r="C703" s="26" t="s">
        <v>21</v>
      </c>
      <c r="D703" s="27">
        <v>46074.0</v>
      </c>
      <c r="E703" s="28" t="str">
        <f t="shared" si="1"/>
        <v>2026</v>
      </c>
      <c r="F703" s="28" t="str">
        <f t="shared" si="2"/>
        <v>02 Feb</v>
      </c>
      <c r="G703" s="50" t="s">
        <v>82</v>
      </c>
      <c r="H703" s="29" t="s">
        <v>58</v>
      </c>
      <c r="I703" s="29" t="s">
        <v>205</v>
      </c>
      <c r="J703" s="75" t="s">
        <v>25</v>
      </c>
      <c r="K703" s="76" t="s">
        <v>39</v>
      </c>
      <c r="L703" s="77" t="str">
        <f t="shared" si="3"/>
        <v>PAKET KLINIK</v>
      </c>
      <c r="M703" s="78" t="s">
        <v>63</v>
      </c>
      <c r="N703" s="79">
        <v>350000.0</v>
      </c>
      <c r="O703" s="80">
        <v>300000.0</v>
      </c>
      <c r="P703" s="32">
        <f t="array" ref="P703">IFNA(XLOOKUP(K703,'⚙️ Pengaturan'!$E$2:$E800,'⚙️ Pengaturan'!$F$2:$F800),"")</f>
        <v>650000</v>
      </c>
      <c r="Q703" s="81">
        <f t="shared" si="11"/>
        <v>0</v>
      </c>
      <c r="R703" s="26" t="s">
        <v>33</v>
      </c>
      <c r="S703" s="38" t="s">
        <v>34</v>
      </c>
      <c r="T703" s="35" t="b">
        <v>1</v>
      </c>
      <c r="U703" s="36"/>
    </row>
    <row r="704" ht="30.0" customHeight="1">
      <c r="A704" s="24"/>
      <c r="B704" s="25">
        <v>2809.0</v>
      </c>
      <c r="C704" s="26" t="s">
        <v>21</v>
      </c>
      <c r="D704" s="27">
        <v>46074.0</v>
      </c>
      <c r="E704" s="28" t="str">
        <f t="shared" si="1"/>
        <v>2026</v>
      </c>
      <c r="F704" s="28" t="str">
        <f t="shared" si="2"/>
        <v>02 Feb</v>
      </c>
      <c r="G704" s="50" t="s">
        <v>82</v>
      </c>
      <c r="H704" s="29" t="s">
        <v>51</v>
      </c>
      <c r="I704" s="29" t="s">
        <v>492</v>
      </c>
      <c r="J704" s="75" t="s">
        <v>25</v>
      </c>
      <c r="K704" s="76" t="s">
        <v>26</v>
      </c>
      <c r="L704" s="77" t="str">
        <f t="shared" si="3"/>
        <v>TA KLINIK</v>
      </c>
      <c r="M704" s="78" t="s">
        <v>27</v>
      </c>
      <c r="N704" s="79">
        <v>250000.0</v>
      </c>
      <c r="O704" s="80">
        <v>0.0</v>
      </c>
      <c r="P704" s="32">
        <f t="array" ref="P704">IFNA(XLOOKUP(K704,'⚙️ Pengaturan'!$E$2:$E800,'⚙️ Pengaturan'!$F$2:$F800),"")</f>
        <v>250000</v>
      </c>
      <c r="Q704" s="81">
        <f t="shared" si="11"/>
        <v>0</v>
      </c>
      <c r="R704" s="26" t="s">
        <v>33</v>
      </c>
      <c r="S704" s="38" t="s">
        <v>34</v>
      </c>
      <c r="T704" s="35" t="b">
        <v>1</v>
      </c>
      <c r="U704" s="36"/>
    </row>
    <row r="705" ht="30.0" customHeight="1">
      <c r="A705" s="24"/>
      <c r="B705" s="25">
        <v>2810.0</v>
      </c>
      <c r="C705" s="26" t="s">
        <v>21</v>
      </c>
      <c r="D705" s="27">
        <v>46074.0</v>
      </c>
      <c r="E705" s="28" t="str">
        <f t="shared" si="1"/>
        <v>2026</v>
      </c>
      <c r="F705" s="28" t="str">
        <f t="shared" si="2"/>
        <v>02 Feb</v>
      </c>
      <c r="G705" s="50" t="s">
        <v>37</v>
      </c>
      <c r="H705" s="29" t="s">
        <v>48</v>
      </c>
      <c r="I705" s="29" t="s">
        <v>343</v>
      </c>
      <c r="J705" s="75" t="s">
        <v>25</v>
      </c>
      <c r="K705" s="76" t="s">
        <v>32</v>
      </c>
      <c r="L705" s="77" t="str">
        <f t="shared" si="3"/>
        <v>SESI KLINIK</v>
      </c>
      <c r="M705" s="78" t="s">
        <v>27</v>
      </c>
      <c r="N705" s="79">
        <v>150000.0</v>
      </c>
      <c r="O705" s="80">
        <v>0.0</v>
      </c>
      <c r="P705" s="32">
        <f t="array" ref="P705">IFNA(XLOOKUP(K705,'⚙️ Pengaturan'!$E$2:$E800,'⚙️ Pengaturan'!$F$2:$F800),"")</f>
        <v>150000</v>
      </c>
      <c r="Q705" s="81">
        <f t="shared" si="11"/>
        <v>0</v>
      </c>
      <c r="R705" s="26" t="s">
        <v>28</v>
      </c>
      <c r="S705" s="38" t="s">
        <v>493</v>
      </c>
      <c r="T705" s="35" t="b">
        <v>1</v>
      </c>
      <c r="U705" s="36"/>
    </row>
    <row r="706" ht="30.0" customHeight="1">
      <c r="A706" s="24"/>
      <c r="B706" s="25">
        <v>2811.0</v>
      </c>
      <c r="C706" s="26" t="s">
        <v>21</v>
      </c>
      <c r="D706" s="27">
        <v>46074.0</v>
      </c>
      <c r="E706" s="28" t="str">
        <f t="shared" si="1"/>
        <v>2026</v>
      </c>
      <c r="F706" s="28" t="str">
        <f t="shared" si="2"/>
        <v>02 Feb</v>
      </c>
      <c r="G706" s="50" t="s">
        <v>37</v>
      </c>
      <c r="H706" s="29" t="s">
        <v>30</v>
      </c>
      <c r="I706" s="29" t="s">
        <v>340</v>
      </c>
      <c r="J706" s="75" t="s">
        <v>76</v>
      </c>
      <c r="K706" s="76" t="s">
        <v>39</v>
      </c>
      <c r="L706" s="77" t="str">
        <f t="shared" si="3"/>
        <v>PAKET KLINIK</v>
      </c>
      <c r="M706" s="78" t="s">
        <v>27</v>
      </c>
      <c r="N706" s="79">
        <v>650000.0</v>
      </c>
      <c r="O706" s="80">
        <v>0.0</v>
      </c>
      <c r="P706" s="32">
        <f t="array" ref="P706">IFNA(XLOOKUP(K706,'⚙️ Pengaturan'!$E$2:$E800,'⚙️ Pengaturan'!$F$2:$F800),"")</f>
        <v>650000</v>
      </c>
      <c r="Q706" s="81">
        <f t="shared" si="11"/>
        <v>0</v>
      </c>
      <c r="R706" s="26" t="s">
        <v>28</v>
      </c>
      <c r="S706" s="38" t="s">
        <v>340</v>
      </c>
      <c r="T706" s="35" t="b">
        <v>1</v>
      </c>
      <c r="U706" s="36"/>
    </row>
    <row r="707" ht="30.0" customHeight="1">
      <c r="A707" s="24"/>
      <c r="B707" s="25">
        <v>2812.0</v>
      </c>
      <c r="C707" s="26" t="s">
        <v>21</v>
      </c>
      <c r="D707" s="27">
        <v>46074.0</v>
      </c>
      <c r="E707" s="28" t="str">
        <f t="shared" si="1"/>
        <v>2026</v>
      </c>
      <c r="F707" s="28" t="str">
        <f t="shared" si="2"/>
        <v>02 Feb</v>
      </c>
      <c r="G707" s="50" t="s">
        <v>37</v>
      </c>
      <c r="H707" s="29" t="s">
        <v>51</v>
      </c>
      <c r="I707" s="29" t="s">
        <v>52</v>
      </c>
      <c r="J707" s="75" t="s">
        <v>25</v>
      </c>
      <c r="K707" s="76" t="s">
        <v>32</v>
      </c>
      <c r="L707" s="77" t="str">
        <f t="shared" si="3"/>
        <v>SESI KLINIK</v>
      </c>
      <c r="M707" s="78" t="s">
        <v>27</v>
      </c>
      <c r="N707" s="79">
        <v>150000.0</v>
      </c>
      <c r="O707" s="80">
        <v>0.0</v>
      </c>
      <c r="P707" s="32">
        <f t="array" ref="P707">IFNA(XLOOKUP(K707,'⚙️ Pengaturan'!$E$2:$E800,'⚙️ Pengaturan'!$F$2:$F800),"")</f>
        <v>150000</v>
      </c>
      <c r="Q707" s="81">
        <f t="shared" si="11"/>
        <v>0</v>
      </c>
      <c r="R707" s="26" t="s">
        <v>33</v>
      </c>
      <c r="S707" s="38" t="s">
        <v>34</v>
      </c>
      <c r="T707" s="35" t="b">
        <v>1</v>
      </c>
      <c r="U707" s="36"/>
    </row>
    <row r="708" ht="30.0" customHeight="1">
      <c r="A708" s="24"/>
      <c r="B708" s="25">
        <v>2813.0</v>
      </c>
      <c r="C708" s="26" t="s">
        <v>21</v>
      </c>
      <c r="D708" s="27">
        <v>46074.0</v>
      </c>
      <c r="E708" s="28" t="str">
        <f t="shared" si="1"/>
        <v>2026</v>
      </c>
      <c r="F708" s="28" t="str">
        <f t="shared" si="2"/>
        <v>02 Feb</v>
      </c>
      <c r="G708" s="50" t="s">
        <v>37</v>
      </c>
      <c r="H708" s="29" t="s">
        <v>42</v>
      </c>
      <c r="I708" s="29" t="s">
        <v>442</v>
      </c>
      <c r="J708" s="75" t="s">
        <v>25</v>
      </c>
      <c r="K708" s="76" t="s">
        <v>397</v>
      </c>
      <c r="L708" s="77" t="str">
        <f t="shared" si="3"/>
        <v>PAKET KLINIK</v>
      </c>
      <c r="M708" s="78" t="s">
        <v>27</v>
      </c>
      <c r="N708" s="79">
        <v>1040000.0</v>
      </c>
      <c r="O708" s="80">
        <v>260000.0</v>
      </c>
      <c r="P708" s="32">
        <f t="array" ref="P708">IFNA(XLOOKUP(K708,'⚙️ Pengaturan'!$E$2:$E800,'⚙️ Pengaturan'!$F$2:$F800),"")</f>
        <v>1300000</v>
      </c>
      <c r="Q708" s="81">
        <f t="shared" si="11"/>
        <v>0</v>
      </c>
      <c r="R708" s="26" t="s">
        <v>28</v>
      </c>
      <c r="S708" s="38" t="s">
        <v>442</v>
      </c>
      <c r="T708" s="35" t="b">
        <v>1</v>
      </c>
      <c r="U708" s="36"/>
    </row>
    <row r="709" ht="30.0" customHeight="1">
      <c r="A709" s="24"/>
      <c r="B709" s="25">
        <v>2814.0</v>
      </c>
      <c r="C709" s="26" t="s">
        <v>40</v>
      </c>
      <c r="D709" s="27">
        <v>46074.0</v>
      </c>
      <c r="E709" s="28" t="str">
        <f t="shared" si="1"/>
        <v>2026</v>
      </c>
      <c r="F709" s="28" t="str">
        <f t="shared" si="2"/>
        <v>02 Feb</v>
      </c>
      <c r="G709" s="50" t="s">
        <v>46</v>
      </c>
      <c r="H709" s="29" t="s">
        <v>23</v>
      </c>
      <c r="I709" s="29" t="s">
        <v>469</v>
      </c>
      <c r="J709" s="75" t="s">
        <v>25</v>
      </c>
      <c r="K709" s="76" t="s">
        <v>397</v>
      </c>
      <c r="L709" s="77" t="str">
        <f t="shared" si="3"/>
        <v>PAKET KLINIK</v>
      </c>
      <c r="M709" s="78" t="s">
        <v>27</v>
      </c>
      <c r="N709" s="79">
        <v>1300000.0</v>
      </c>
      <c r="O709" s="80">
        <v>0.0</v>
      </c>
      <c r="P709" s="32">
        <f t="array" ref="P709">IFNA(XLOOKUP(K709,'⚙️ Pengaturan'!$E$2:$E800,'⚙️ Pengaturan'!$F$2:$F800),"")</f>
        <v>1300000</v>
      </c>
      <c r="Q709" s="81">
        <f t="shared" si="11"/>
        <v>0</v>
      </c>
      <c r="R709" s="26" t="s">
        <v>28</v>
      </c>
      <c r="S709" s="38" t="s">
        <v>469</v>
      </c>
      <c r="T709" s="35" t="b">
        <v>1</v>
      </c>
      <c r="U709" s="36"/>
    </row>
    <row r="710" ht="30.0" customHeight="1">
      <c r="A710" s="24"/>
      <c r="B710" s="25">
        <v>2815.0</v>
      </c>
      <c r="C710" s="26" t="s">
        <v>40</v>
      </c>
      <c r="D710" s="27">
        <v>46074.0</v>
      </c>
      <c r="E710" s="28" t="str">
        <f t="shared" si="1"/>
        <v>2026</v>
      </c>
      <c r="F710" s="28" t="str">
        <f t="shared" si="2"/>
        <v>02 Feb</v>
      </c>
      <c r="G710" s="50" t="s">
        <v>118</v>
      </c>
      <c r="H710" s="29" t="s">
        <v>48</v>
      </c>
      <c r="I710" s="29" t="s">
        <v>494</v>
      </c>
      <c r="J710" s="75" t="s">
        <v>25</v>
      </c>
      <c r="K710" s="76" t="s">
        <v>128</v>
      </c>
      <c r="L710" s="77" t="str">
        <f t="shared" si="3"/>
        <v>TA VISIT</v>
      </c>
      <c r="M710" s="78" t="s">
        <v>27</v>
      </c>
      <c r="N710" s="79">
        <v>300000.0</v>
      </c>
      <c r="O710" s="80">
        <v>0.0</v>
      </c>
      <c r="P710" s="32">
        <f t="array" ref="P710">IFNA(XLOOKUP(K710,'⚙️ Pengaturan'!$E$2:$E800,'⚙️ Pengaturan'!$F$2:$F800),"")</f>
        <v>300000</v>
      </c>
      <c r="Q710" s="81">
        <f t="shared" si="11"/>
        <v>0</v>
      </c>
      <c r="R710" s="26" t="s">
        <v>28</v>
      </c>
      <c r="S710" s="38" t="s">
        <v>494</v>
      </c>
      <c r="T710" s="35" t="b">
        <v>1</v>
      </c>
      <c r="U710" s="36"/>
    </row>
    <row r="711" ht="30.0" customHeight="1">
      <c r="A711" s="24"/>
      <c r="B711" s="25">
        <v>2816.0</v>
      </c>
      <c r="C711" s="26" t="s">
        <v>40</v>
      </c>
      <c r="D711" s="27">
        <v>46074.0</v>
      </c>
      <c r="E711" s="28" t="str">
        <f t="shared" si="1"/>
        <v>2026</v>
      </c>
      <c r="F711" s="28" t="str">
        <f t="shared" si="2"/>
        <v>02 Feb</v>
      </c>
      <c r="G711" s="50" t="s">
        <v>46</v>
      </c>
      <c r="H711" s="29" t="s">
        <v>23</v>
      </c>
      <c r="I711" s="29" t="s">
        <v>407</v>
      </c>
      <c r="J711" s="75" t="s">
        <v>76</v>
      </c>
      <c r="K711" s="76" t="s">
        <v>369</v>
      </c>
      <c r="L711" s="77" t="str">
        <f t="shared" si="3"/>
        <v>SESI KLINIK</v>
      </c>
      <c r="M711" s="78" t="s">
        <v>27</v>
      </c>
      <c r="N711" s="79">
        <v>180000.0</v>
      </c>
      <c r="O711" s="80">
        <v>0.0</v>
      </c>
      <c r="P711" s="32">
        <f t="array" ref="P711">IFNA(XLOOKUP(K711,'⚙️ Pengaturan'!$E$2:$E800,'⚙️ Pengaturan'!$F$2:$F800),"")</f>
        <v>180000</v>
      </c>
      <c r="Q711" s="81">
        <f t="shared" si="11"/>
        <v>0</v>
      </c>
      <c r="R711" s="26" t="s">
        <v>28</v>
      </c>
      <c r="S711" s="38" t="s">
        <v>407</v>
      </c>
      <c r="T711" s="35" t="b">
        <v>1</v>
      </c>
      <c r="U711" s="36"/>
    </row>
    <row r="712" ht="30.0" customHeight="1">
      <c r="A712" s="24"/>
      <c r="B712" s="25">
        <v>2817.0</v>
      </c>
      <c r="C712" s="26" t="s">
        <v>40</v>
      </c>
      <c r="D712" s="27">
        <v>46074.0</v>
      </c>
      <c r="E712" s="28" t="str">
        <f t="shared" si="1"/>
        <v>2026</v>
      </c>
      <c r="F712" s="28" t="str">
        <f t="shared" si="2"/>
        <v>02 Feb</v>
      </c>
      <c r="G712" s="50" t="s">
        <v>46</v>
      </c>
      <c r="H712" s="29" t="s">
        <v>345</v>
      </c>
      <c r="I712" s="29" t="s">
        <v>458</v>
      </c>
      <c r="J712" s="75" t="s">
        <v>76</v>
      </c>
      <c r="K712" s="76" t="s">
        <v>369</v>
      </c>
      <c r="L712" s="77" t="str">
        <f t="shared" si="3"/>
        <v>SESI KLINIK</v>
      </c>
      <c r="M712" s="78" t="s">
        <v>27</v>
      </c>
      <c r="N712" s="79">
        <v>144000.0</v>
      </c>
      <c r="O712" s="80">
        <v>36000.0</v>
      </c>
      <c r="P712" s="32">
        <f t="array" ref="P712">IFNA(XLOOKUP(K712,'⚙️ Pengaturan'!$E$2:$E800,'⚙️ Pengaturan'!$F$2:$F800),"")</f>
        <v>180000</v>
      </c>
      <c r="Q712" s="81">
        <f t="shared" si="11"/>
        <v>0</v>
      </c>
      <c r="R712" s="26" t="s">
        <v>33</v>
      </c>
      <c r="S712" s="38" t="s">
        <v>34</v>
      </c>
      <c r="T712" s="35" t="b">
        <v>1</v>
      </c>
      <c r="U712" s="36"/>
    </row>
    <row r="713" ht="30.0" customHeight="1">
      <c r="A713" s="24"/>
      <c r="B713" s="25">
        <v>2818.0</v>
      </c>
      <c r="C713" s="26" t="s">
        <v>40</v>
      </c>
      <c r="D713" s="27">
        <v>46074.0</v>
      </c>
      <c r="E713" s="28" t="str">
        <f t="shared" si="1"/>
        <v>2026</v>
      </c>
      <c r="F713" s="28" t="str">
        <f t="shared" si="2"/>
        <v>02 Feb</v>
      </c>
      <c r="G713" s="50" t="s">
        <v>61</v>
      </c>
      <c r="H713" s="29" t="s">
        <v>51</v>
      </c>
      <c r="I713" s="29" t="s">
        <v>488</v>
      </c>
      <c r="J713" s="75" t="s">
        <v>25</v>
      </c>
      <c r="K713" s="76" t="s">
        <v>395</v>
      </c>
      <c r="L713" s="77" t="str">
        <f t="shared" si="3"/>
        <v>PAKET KLINIK</v>
      </c>
      <c r="M713" s="78" t="s">
        <v>27</v>
      </c>
      <c r="N713" s="79">
        <v>750000.0</v>
      </c>
      <c r="O713" s="80">
        <v>0.0</v>
      </c>
      <c r="P713" s="32">
        <f t="array" ref="P713">IFNA(XLOOKUP(K713,'⚙️ Pengaturan'!$E$2:$E800,'⚙️ Pengaturan'!$F$2:$F800),"")</f>
        <v>750000</v>
      </c>
      <c r="Q713" s="81">
        <f t="shared" si="11"/>
        <v>0</v>
      </c>
      <c r="R713" s="26" t="s">
        <v>28</v>
      </c>
      <c r="S713" s="38" t="s">
        <v>488</v>
      </c>
      <c r="T713" s="35" t="b">
        <v>1</v>
      </c>
      <c r="U713" s="36"/>
    </row>
    <row r="714" ht="30.0" customHeight="1">
      <c r="A714" s="24"/>
      <c r="B714" s="25">
        <v>2819.0</v>
      </c>
      <c r="C714" s="26" t="s">
        <v>21</v>
      </c>
      <c r="D714" s="27">
        <v>46075.0</v>
      </c>
      <c r="E714" s="28" t="str">
        <f t="shared" si="1"/>
        <v>2026</v>
      </c>
      <c r="F714" s="28" t="str">
        <f t="shared" si="2"/>
        <v>02 Feb</v>
      </c>
      <c r="G714" s="50" t="s">
        <v>67</v>
      </c>
      <c r="H714" s="29" t="s">
        <v>23</v>
      </c>
      <c r="I714" s="29" t="s">
        <v>455</v>
      </c>
      <c r="J714" s="75" t="s">
        <v>76</v>
      </c>
      <c r="K714" s="76" t="s">
        <v>39</v>
      </c>
      <c r="L714" s="77" t="str">
        <f t="shared" si="3"/>
        <v>PAKET KLINIK</v>
      </c>
      <c r="M714" s="78" t="s">
        <v>86</v>
      </c>
      <c r="N714" s="79">
        <v>200000.0</v>
      </c>
      <c r="O714" s="80">
        <v>0.0</v>
      </c>
      <c r="P714" s="32">
        <f t="array" ref="P714">IFNA(XLOOKUP(K714,'⚙️ Pengaturan'!$E$2:$E800,'⚙️ Pengaturan'!$F$2:$F800),"")</f>
        <v>650000</v>
      </c>
      <c r="Q714" s="81">
        <f t="shared" si="11"/>
        <v>-450000</v>
      </c>
      <c r="R714" s="26" t="s">
        <v>113</v>
      </c>
      <c r="S714" s="38" t="s">
        <v>248</v>
      </c>
      <c r="T714" s="35" t="b">
        <v>1</v>
      </c>
      <c r="U714" s="36"/>
    </row>
    <row r="715" ht="30.0" customHeight="1">
      <c r="A715" s="24"/>
      <c r="B715" s="25">
        <v>2820.0</v>
      </c>
      <c r="C715" s="26" t="s">
        <v>21</v>
      </c>
      <c r="D715" s="27">
        <v>46075.0</v>
      </c>
      <c r="E715" s="28" t="str">
        <f t="shared" si="1"/>
        <v>2026</v>
      </c>
      <c r="F715" s="28" t="str">
        <f t="shared" si="2"/>
        <v>02 Feb</v>
      </c>
      <c r="G715" s="50" t="s">
        <v>67</v>
      </c>
      <c r="H715" s="29" t="s">
        <v>345</v>
      </c>
      <c r="I715" s="29" t="s">
        <v>495</v>
      </c>
      <c r="J715" s="75" t="s">
        <v>76</v>
      </c>
      <c r="K715" s="76" t="s">
        <v>26</v>
      </c>
      <c r="L715" s="77" t="str">
        <f t="shared" si="3"/>
        <v>TA KLINIK</v>
      </c>
      <c r="M715" s="78" t="s">
        <v>27</v>
      </c>
      <c r="N715" s="79">
        <v>250000.0</v>
      </c>
      <c r="O715" s="80">
        <v>0.0</v>
      </c>
      <c r="P715" s="32">
        <f t="array" ref="P715">IFNA(XLOOKUP(K715,'⚙️ Pengaturan'!$E$2:$E800,'⚙️ Pengaturan'!$F$2:$F800),"")</f>
        <v>250000</v>
      </c>
      <c r="Q715" s="81">
        <f t="shared" si="11"/>
        <v>0</v>
      </c>
      <c r="R715" s="26" t="s">
        <v>33</v>
      </c>
      <c r="S715" s="38" t="s">
        <v>34</v>
      </c>
      <c r="T715" s="35" t="b">
        <v>1</v>
      </c>
      <c r="U715" s="36"/>
    </row>
    <row r="716" ht="30.0" customHeight="1">
      <c r="A716" s="24"/>
      <c r="B716" s="25">
        <v>2821.0</v>
      </c>
      <c r="C716" s="26" t="s">
        <v>21</v>
      </c>
      <c r="D716" s="27">
        <v>46075.0</v>
      </c>
      <c r="E716" s="28" t="str">
        <f t="shared" si="1"/>
        <v>2026</v>
      </c>
      <c r="F716" s="28" t="str">
        <f t="shared" si="2"/>
        <v>02 Feb</v>
      </c>
      <c r="G716" s="50" t="s">
        <v>29</v>
      </c>
      <c r="H716" s="29" t="s">
        <v>68</v>
      </c>
      <c r="I716" s="29" t="s">
        <v>181</v>
      </c>
      <c r="J716" s="75" t="s">
        <v>76</v>
      </c>
      <c r="K716" s="76" t="s">
        <v>44</v>
      </c>
      <c r="L716" s="77" t="str">
        <f t="shared" si="3"/>
        <v>PAKET KLINIK</v>
      </c>
      <c r="M716" s="78" t="s">
        <v>27</v>
      </c>
      <c r="N716" s="79">
        <v>1200000.0</v>
      </c>
      <c r="O716" s="80">
        <v>0.0</v>
      </c>
      <c r="P716" s="32">
        <f t="array" ref="P716">IFNA(XLOOKUP(K716,'⚙️ Pengaturan'!$E$2:$E800,'⚙️ Pengaturan'!$F$2:$F800),"")</f>
        <v>1200000</v>
      </c>
      <c r="Q716" s="81">
        <f t="shared" si="11"/>
        <v>0</v>
      </c>
      <c r="R716" s="26" t="s">
        <v>28</v>
      </c>
      <c r="S716" s="38" t="s">
        <v>181</v>
      </c>
      <c r="T716" s="35" t="b">
        <v>1</v>
      </c>
      <c r="U716" s="36"/>
    </row>
    <row r="717" ht="30.0" customHeight="1">
      <c r="A717" s="24"/>
      <c r="B717" s="25">
        <v>2822.0</v>
      </c>
      <c r="C717" s="26" t="s">
        <v>21</v>
      </c>
      <c r="D717" s="27">
        <v>46075.0</v>
      </c>
      <c r="E717" s="28" t="str">
        <f t="shared" si="1"/>
        <v>2026</v>
      </c>
      <c r="F717" s="28" t="str">
        <f t="shared" si="2"/>
        <v>02 Feb</v>
      </c>
      <c r="G717" s="50" t="s">
        <v>89</v>
      </c>
      <c r="H717" s="29" t="s">
        <v>23</v>
      </c>
      <c r="I717" s="29" t="s">
        <v>496</v>
      </c>
      <c r="J717" s="75"/>
      <c r="K717" s="76" t="s">
        <v>26</v>
      </c>
      <c r="L717" s="77" t="str">
        <f t="shared" si="3"/>
        <v>TA KLINIK</v>
      </c>
      <c r="M717" s="78" t="s">
        <v>27</v>
      </c>
      <c r="N717" s="79">
        <v>250000.0</v>
      </c>
      <c r="O717" s="80">
        <v>0.0</v>
      </c>
      <c r="P717" s="32">
        <f t="array" ref="P717">IFNA(XLOOKUP(K717,'⚙️ Pengaturan'!$E$2:$E800,'⚙️ Pengaturan'!$F$2:$F800),"")</f>
        <v>250000</v>
      </c>
      <c r="Q717" s="81">
        <f t="shared" si="11"/>
        <v>0</v>
      </c>
      <c r="R717" s="26" t="s">
        <v>28</v>
      </c>
      <c r="S717" s="38" t="s">
        <v>496</v>
      </c>
      <c r="T717" s="35" t="b">
        <v>1</v>
      </c>
      <c r="U717" s="36"/>
    </row>
    <row r="718" ht="30.0" customHeight="1">
      <c r="A718" s="24"/>
      <c r="B718" s="25">
        <v>2823.0</v>
      </c>
      <c r="C718" s="26" t="s">
        <v>21</v>
      </c>
      <c r="D718" s="27">
        <v>46075.0</v>
      </c>
      <c r="E718" s="28" t="str">
        <f t="shared" si="1"/>
        <v>2026</v>
      </c>
      <c r="F718" s="28" t="str">
        <f t="shared" si="2"/>
        <v>02 Feb</v>
      </c>
      <c r="G718" s="50" t="s">
        <v>82</v>
      </c>
      <c r="H718" s="29" t="s">
        <v>42</v>
      </c>
      <c r="I718" s="29" t="s">
        <v>332</v>
      </c>
      <c r="J718" s="75"/>
      <c r="K718" s="76" t="s">
        <v>44</v>
      </c>
      <c r="L718" s="77" t="str">
        <f t="shared" si="3"/>
        <v>PAKET KLINIK</v>
      </c>
      <c r="M718" s="78" t="s">
        <v>132</v>
      </c>
      <c r="N718" s="79">
        <v>200000.0</v>
      </c>
      <c r="O718" s="80">
        <v>500000.0</v>
      </c>
      <c r="P718" s="32">
        <f t="array" ref="P718">IFNA(XLOOKUP(K718,'⚙️ Pengaturan'!$E$2:$E800,'⚙️ Pengaturan'!$F$2:$F800),"")</f>
        <v>1200000</v>
      </c>
      <c r="Q718" s="81">
        <f t="shared" si="11"/>
        <v>-500000</v>
      </c>
      <c r="R718" s="26" t="s">
        <v>33</v>
      </c>
      <c r="S718" s="38" t="s">
        <v>34</v>
      </c>
      <c r="T718" s="35" t="b">
        <v>1</v>
      </c>
      <c r="U718" s="36"/>
    </row>
    <row r="719" ht="30.0" customHeight="1">
      <c r="A719" s="24"/>
      <c r="B719" s="25">
        <v>2824.0</v>
      </c>
      <c r="C719" s="26" t="s">
        <v>21</v>
      </c>
      <c r="D719" s="27">
        <v>46075.0</v>
      </c>
      <c r="E719" s="28" t="str">
        <f t="shared" si="1"/>
        <v>2026</v>
      </c>
      <c r="F719" s="28" t="str">
        <f t="shared" si="2"/>
        <v>02 Feb</v>
      </c>
      <c r="G719" s="50" t="s">
        <v>82</v>
      </c>
      <c r="H719" s="29" t="s">
        <v>51</v>
      </c>
      <c r="I719" s="29" t="s">
        <v>497</v>
      </c>
      <c r="J719" s="75"/>
      <c r="K719" s="76" t="s">
        <v>73</v>
      </c>
      <c r="L719" s="77" t="str">
        <f t="shared" si="3"/>
        <v>TA VISIT</v>
      </c>
      <c r="M719" s="78" t="s">
        <v>27</v>
      </c>
      <c r="N719" s="79">
        <v>350000.0</v>
      </c>
      <c r="O719" s="80">
        <v>0.0</v>
      </c>
      <c r="P719" s="32">
        <f t="array" ref="P719">IFNA(XLOOKUP(K719,'⚙️ Pengaturan'!$E$2:$E800,'⚙️ Pengaturan'!$F$2:$F800),"")</f>
        <v>350000</v>
      </c>
      <c r="Q719" s="81">
        <f t="shared" si="11"/>
        <v>0</v>
      </c>
      <c r="R719" s="26" t="s">
        <v>33</v>
      </c>
      <c r="S719" s="38" t="s">
        <v>34</v>
      </c>
      <c r="T719" s="35" t="b">
        <v>1</v>
      </c>
      <c r="U719" s="36"/>
    </row>
    <row r="720" ht="30.0" customHeight="1">
      <c r="A720" s="24"/>
      <c r="B720" s="25">
        <v>2825.0</v>
      </c>
      <c r="C720" s="26" t="s">
        <v>21</v>
      </c>
      <c r="D720" s="27">
        <v>46075.0</v>
      </c>
      <c r="E720" s="28" t="str">
        <f t="shared" si="1"/>
        <v>2026</v>
      </c>
      <c r="F720" s="28" t="str">
        <f t="shared" si="2"/>
        <v>02 Feb</v>
      </c>
      <c r="G720" s="50" t="s">
        <v>82</v>
      </c>
      <c r="H720" s="29" t="s">
        <v>42</v>
      </c>
      <c r="I720" s="29" t="s">
        <v>498</v>
      </c>
      <c r="J720" s="75"/>
      <c r="K720" s="76" t="s">
        <v>73</v>
      </c>
      <c r="L720" s="77" t="str">
        <f t="shared" si="3"/>
        <v>TA VISIT</v>
      </c>
      <c r="M720" s="78" t="s">
        <v>27</v>
      </c>
      <c r="N720" s="79">
        <v>350000.0</v>
      </c>
      <c r="O720" s="80">
        <v>0.0</v>
      </c>
      <c r="P720" s="32">
        <f t="array" ref="P720">IFNA(XLOOKUP(K720,'⚙️ Pengaturan'!$E$2:$E800,'⚙️ Pengaturan'!$F$2:$F800),"")</f>
        <v>350000</v>
      </c>
      <c r="Q720" s="81">
        <f t="shared" si="11"/>
        <v>0</v>
      </c>
      <c r="R720" s="26" t="s">
        <v>33</v>
      </c>
      <c r="S720" s="38" t="s">
        <v>34</v>
      </c>
      <c r="T720" s="35" t="b">
        <v>1</v>
      </c>
      <c r="U720" s="36"/>
    </row>
    <row r="721" ht="30.0" customHeight="1">
      <c r="A721" s="24"/>
      <c r="B721" s="25">
        <v>2826.0</v>
      </c>
      <c r="C721" s="26" t="s">
        <v>21</v>
      </c>
      <c r="D721" s="27">
        <v>46075.0</v>
      </c>
      <c r="E721" s="28" t="str">
        <f t="shared" si="1"/>
        <v>2026</v>
      </c>
      <c r="F721" s="28" t="str">
        <f t="shared" si="2"/>
        <v>02 Feb</v>
      </c>
      <c r="G721" s="50" t="s">
        <v>82</v>
      </c>
      <c r="H721" s="29" t="s">
        <v>345</v>
      </c>
      <c r="I721" s="29" t="s">
        <v>499</v>
      </c>
      <c r="J721" s="75"/>
      <c r="K721" s="76" t="s">
        <v>26</v>
      </c>
      <c r="L721" s="77" t="str">
        <f t="shared" si="3"/>
        <v>TA KLINIK</v>
      </c>
      <c r="M721" s="78" t="s">
        <v>27</v>
      </c>
      <c r="N721" s="79">
        <v>250000.0</v>
      </c>
      <c r="O721" s="80">
        <v>0.0</v>
      </c>
      <c r="P721" s="32">
        <f t="array" ref="P721">IFNA(XLOOKUP(K721,'⚙️ Pengaturan'!$E$2:$E800,'⚙️ Pengaturan'!$F$2:$F800),"")</f>
        <v>250000</v>
      </c>
      <c r="Q721" s="81">
        <f t="shared" si="11"/>
        <v>0</v>
      </c>
      <c r="R721" s="26" t="s">
        <v>28</v>
      </c>
      <c r="S721" s="38" t="s">
        <v>500</v>
      </c>
      <c r="T721" s="35" t="b">
        <v>1</v>
      </c>
      <c r="U721" s="36"/>
    </row>
    <row r="722" ht="30.0" customHeight="1">
      <c r="A722" s="24"/>
      <c r="B722" s="25">
        <v>2829.0</v>
      </c>
      <c r="C722" s="26" t="s">
        <v>40</v>
      </c>
      <c r="D722" s="27">
        <v>46075.0</v>
      </c>
      <c r="E722" s="28" t="str">
        <f t="shared" si="1"/>
        <v>2026</v>
      </c>
      <c r="F722" s="28" t="str">
        <f t="shared" si="2"/>
        <v>02 Feb</v>
      </c>
      <c r="G722" s="50" t="s">
        <v>41</v>
      </c>
      <c r="H722" s="29" t="s">
        <v>48</v>
      </c>
      <c r="I722" s="29" t="s">
        <v>501</v>
      </c>
      <c r="J722" s="75"/>
      <c r="K722" s="76" t="s">
        <v>26</v>
      </c>
      <c r="L722" s="77" t="str">
        <f t="shared" si="3"/>
        <v>TA KLINIK</v>
      </c>
      <c r="M722" s="78" t="s">
        <v>27</v>
      </c>
      <c r="N722" s="79">
        <v>250000.0</v>
      </c>
      <c r="O722" s="80">
        <v>0.0</v>
      </c>
      <c r="P722" s="32">
        <f t="array" ref="P722">IFNA(XLOOKUP(K722,'⚙️ Pengaturan'!$E$2:$E800,'⚙️ Pengaturan'!$F$2:$F800),"")</f>
        <v>250000</v>
      </c>
      <c r="Q722" s="81">
        <f t="shared" si="11"/>
        <v>0</v>
      </c>
      <c r="R722" s="26" t="s">
        <v>33</v>
      </c>
      <c r="S722" s="38" t="s">
        <v>34</v>
      </c>
      <c r="T722" s="35" t="b">
        <v>1</v>
      </c>
      <c r="U722" s="36"/>
    </row>
    <row r="723" ht="30.0" customHeight="1">
      <c r="A723" s="24"/>
      <c r="B723" s="25">
        <v>2830.0</v>
      </c>
      <c r="C723" s="26" t="s">
        <v>40</v>
      </c>
      <c r="D723" s="27">
        <v>46075.0</v>
      </c>
      <c r="E723" s="28" t="str">
        <f t="shared" si="1"/>
        <v>2026</v>
      </c>
      <c r="F723" s="28" t="str">
        <f t="shared" si="2"/>
        <v>02 Feb</v>
      </c>
      <c r="G723" s="50" t="s">
        <v>41</v>
      </c>
      <c r="H723" s="29" t="s">
        <v>42</v>
      </c>
      <c r="I723" s="29" t="s">
        <v>502</v>
      </c>
      <c r="J723" s="75"/>
      <c r="K723" s="76" t="s">
        <v>26</v>
      </c>
      <c r="L723" s="77" t="str">
        <f t="shared" si="3"/>
        <v>TA KLINIK</v>
      </c>
      <c r="M723" s="78" t="s">
        <v>27</v>
      </c>
      <c r="N723" s="79">
        <v>250000.0</v>
      </c>
      <c r="O723" s="80">
        <v>0.0</v>
      </c>
      <c r="P723" s="32">
        <f t="array" ref="P723">IFNA(XLOOKUP(K723,'⚙️ Pengaturan'!$E$2:$E800,'⚙️ Pengaturan'!$F$2:$F800),"")</f>
        <v>250000</v>
      </c>
      <c r="Q723" s="81">
        <f t="shared" si="11"/>
        <v>0</v>
      </c>
      <c r="R723" s="26" t="s">
        <v>33</v>
      </c>
      <c r="S723" s="38" t="s">
        <v>34</v>
      </c>
      <c r="T723" s="35" t="b">
        <v>1</v>
      </c>
      <c r="U723" s="36"/>
    </row>
    <row r="724" ht="30.0" customHeight="1">
      <c r="A724" s="24"/>
      <c r="B724" s="25">
        <v>2831.0</v>
      </c>
      <c r="C724" s="26" t="s">
        <v>40</v>
      </c>
      <c r="D724" s="27">
        <v>46075.0</v>
      </c>
      <c r="E724" s="28" t="str">
        <f t="shared" si="1"/>
        <v>2026</v>
      </c>
      <c r="F724" s="28" t="str">
        <f t="shared" si="2"/>
        <v>02 Feb</v>
      </c>
      <c r="G724" s="50" t="s">
        <v>41</v>
      </c>
      <c r="H724" s="29" t="s">
        <v>345</v>
      </c>
      <c r="I724" s="29" t="s">
        <v>499</v>
      </c>
      <c r="J724" s="75"/>
      <c r="K724" s="76" t="s">
        <v>397</v>
      </c>
      <c r="L724" s="77" t="str">
        <f t="shared" si="3"/>
        <v>PAKET KLINIK</v>
      </c>
      <c r="M724" s="78" t="s">
        <v>27</v>
      </c>
      <c r="N724" s="79">
        <v>1300000.0</v>
      </c>
      <c r="O724" s="80">
        <v>0.0</v>
      </c>
      <c r="P724" s="32">
        <f t="array" ref="P724">IFNA(XLOOKUP(K724,'⚙️ Pengaturan'!$E$2:$E800,'⚙️ Pengaturan'!$F$2:$F800),"")</f>
        <v>1300000</v>
      </c>
      <c r="Q724" s="81">
        <f t="shared" si="11"/>
        <v>0</v>
      </c>
      <c r="R724" s="26" t="s">
        <v>28</v>
      </c>
      <c r="S724" s="38" t="s">
        <v>499</v>
      </c>
      <c r="T724" s="35" t="b">
        <v>1</v>
      </c>
      <c r="U724" s="36"/>
    </row>
    <row r="725" ht="30.0" customHeight="1">
      <c r="A725" s="24"/>
      <c r="B725" s="25">
        <v>2832.0</v>
      </c>
      <c r="C725" s="26" t="s">
        <v>40</v>
      </c>
      <c r="D725" s="27">
        <v>46075.0</v>
      </c>
      <c r="E725" s="28" t="str">
        <f t="shared" si="1"/>
        <v>2026</v>
      </c>
      <c r="F725" s="28" t="str">
        <f t="shared" si="2"/>
        <v>02 Feb</v>
      </c>
      <c r="G725" s="50" t="s">
        <v>41</v>
      </c>
      <c r="H725" s="29" t="s">
        <v>51</v>
      </c>
      <c r="I725" s="29" t="s">
        <v>503</v>
      </c>
      <c r="J725" s="75"/>
      <c r="K725" s="76" t="s">
        <v>26</v>
      </c>
      <c r="L725" s="77" t="str">
        <f t="shared" si="3"/>
        <v>TA KLINIK</v>
      </c>
      <c r="M725" s="78" t="s">
        <v>27</v>
      </c>
      <c r="N725" s="79">
        <v>250000.0</v>
      </c>
      <c r="O725" s="80">
        <v>0.0</v>
      </c>
      <c r="P725" s="32">
        <f t="array" ref="P725">IFNA(XLOOKUP(K725,'⚙️ Pengaturan'!$E$2:$E800,'⚙️ Pengaturan'!$F$2:$F800),"")</f>
        <v>250000</v>
      </c>
      <c r="Q725" s="81">
        <f t="shared" si="11"/>
        <v>0</v>
      </c>
      <c r="R725" s="26" t="s">
        <v>33</v>
      </c>
      <c r="S725" s="38" t="s">
        <v>34</v>
      </c>
      <c r="T725" s="35" t="b">
        <v>1</v>
      </c>
      <c r="U725" s="36"/>
    </row>
    <row r="726" ht="30.0" customHeight="1">
      <c r="A726" s="24"/>
      <c r="B726" s="25">
        <v>2833.0</v>
      </c>
      <c r="C726" s="26" t="s">
        <v>40</v>
      </c>
      <c r="D726" s="27">
        <v>46075.0</v>
      </c>
      <c r="E726" s="28" t="str">
        <f t="shared" si="1"/>
        <v>2026</v>
      </c>
      <c r="F726" s="28" t="str">
        <f t="shared" si="2"/>
        <v>02 Feb</v>
      </c>
      <c r="G726" s="50" t="s">
        <v>53</v>
      </c>
      <c r="H726" s="29" t="s">
        <v>42</v>
      </c>
      <c r="I726" s="29" t="s">
        <v>504</v>
      </c>
      <c r="J726" s="75"/>
      <c r="K726" s="76" t="s">
        <v>26</v>
      </c>
      <c r="L726" s="77" t="str">
        <f t="shared" si="3"/>
        <v>TA KLINIK</v>
      </c>
      <c r="M726" s="78" t="s">
        <v>27</v>
      </c>
      <c r="N726" s="79">
        <v>250000.0</v>
      </c>
      <c r="O726" s="80">
        <v>0.0</v>
      </c>
      <c r="P726" s="32">
        <f t="array" ref="P726">IFNA(XLOOKUP(K726,'⚙️ Pengaturan'!$E$2:$E800,'⚙️ Pengaturan'!$F$2:$F800),"")</f>
        <v>250000</v>
      </c>
      <c r="Q726" s="81">
        <f t="shared" si="11"/>
        <v>0</v>
      </c>
      <c r="R726" s="26" t="s">
        <v>28</v>
      </c>
      <c r="S726" s="38" t="s">
        <v>504</v>
      </c>
      <c r="T726" s="35" t="b">
        <v>1</v>
      </c>
      <c r="U726" s="36"/>
    </row>
    <row r="727" ht="30.0" customHeight="1">
      <c r="A727" s="24"/>
      <c r="B727" s="25">
        <v>2834.0</v>
      </c>
      <c r="C727" s="26" t="s">
        <v>40</v>
      </c>
      <c r="D727" s="27">
        <v>46075.0</v>
      </c>
      <c r="E727" s="28" t="str">
        <f t="shared" si="1"/>
        <v>2026</v>
      </c>
      <c r="F727" s="28" t="str">
        <f t="shared" si="2"/>
        <v>02 Feb</v>
      </c>
      <c r="G727" s="50" t="s">
        <v>53</v>
      </c>
      <c r="H727" s="29" t="s">
        <v>48</v>
      </c>
      <c r="I727" s="29" t="s">
        <v>505</v>
      </c>
      <c r="J727" s="75"/>
      <c r="K727" s="76" t="s">
        <v>26</v>
      </c>
      <c r="L727" s="77" t="str">
        <f t="shared" si="3"/>
        <v>TA KLINIK</v>
      </c>
      <c r="M727" s="78" t="s">
        <v>27</v>
      </c>
      <c r="N727" s="79">
        <v>250000.0</v>
      </c>
      <c r="O727" s="80">
        <v>0.0</v>
      </c>
      <c r="P727" s="32">
        <f t="array" ref="P727">IFNA(XLOOKUP(K727,'⚙️ Pengaturan'!$E$2:$E800,'⚙️ Pengaturan'!$F$2:$F800),"")</f>
        <v>250000</v>
      </c>
      <c r="Q727" s="81">
        <f t="shared" si="11"/>
        <v>0</v>
      </c>
      <c r="R727" s="26" t="s">
        <v>28</v>
      </c>
      <c r="S727" s="38" t="s">
        <v>505</v>
      </c>
      <c r="T727" s="35" t="b">
        <v>1</v>
      </c>
      <c r="U727" s="36"/>
    </row>
    <row r="728" ht="30.0" customHeight="1">
      <c r="A728" s="24"/>
      <c r="B728" s="25">
        <v>2835.0</v>
      </c>
      <c r="C728" s="26" t="s">
        <v>40</v>
      </c>
      <c r="D728" s="27">
        <v>46075.0</v>
      </c>
      <c r="E728" s="28" t="str">
        <f t="shared" si="1"/>
        <v>2026</v>
      </c>
      <c r="F728" s="28" t="str">
        <f t="shared" si="2"/>
        <v>02 Feb</v>
      </c>
      <c r="G728" s="50" t="s">
        <v>61</v>
      </c>
      <c r="H728" s="29" t="s">
        <v>48</v>
      </c>
      <c r="I728" s="29" t="s">
        <v>506</v>
      </c>
      <c r="J728" s="75"/>
      <c r="K728" s="76" t="s">
        <v>26</v>
      </c>
      <c r="L728" s="77" t="str">
        <f t="shared" si="3"/>
        <v>TA KLINIK</v>
      </c>
      <c r="M728" s="78" t="s">
        <v>27</v>
      </c>
      <c r="N728" s="79">
        <v>250000.0</v>
      </c>
      <c r="O728" s="80">
        <v>0.0</v>
      </c>
      <c r="P728" s="32">
        <f t="array" ref="P728">IFNA(XLOOKUP(K728,'⚙️ Pengaturan'!$E$2:$E800,'⚙️ Pengaturan'!$F$2:$F800),"")</f>
        <v>250000</v>
      </c>
      <c r="Q728" s="81">
        <f t="shared" si="11"/>
        <v>0</v>
      </c>
      <c r="R728" s="26" t="s">
        <v>28</v>
      </c>
      <c r="S728" s="38" t="s">
        <v>506</v>
      </c>
      <c r="T728" s="35" t="b">
        <v>1</v>
      </c>
      <c r="U728" s="36"/>
    </row>
    <row r="729" ht="30.0" customHeight="1">
      <c r="A729" s="24"/>
      <c r="B729" s="25">
        <v>2836.0</v>
      </c>
      <c r="C729" s="26" t="s">
        <v>507</v>
      </c>
      <c r="D729" s="27">
        <v>46076.0</v>
      </c>
      <c r="E729" s="28" t="str">
        <f t="shared" si="1"/>
        <v>2026</v>
      </c>
      <c r="F729" s="28" t="str">
        <f t="shared" si="2"/>
        <v>02 Feb</v>
      </c>
      <c r="G729" s="50" t="s">
        <v>67</v>
      </c>
      <c r="H729" s="29" t="s">
        <v>42</v>
      </c>
      <c r="I729" s="29" t="s">
        <v>508</v>
      </c>
      <c r="J729" s="75"/>
      <c r="K729" s="76" t="s">
        <v>26</v>
      </c>
      <c r="L729" s="77" t="str">
        <f t="shared" si="3"/>
        <v>TA KLINIK</v>
      </c>
      <c r="M729" s="78" t="s">
        <v>27</v>
      </c>
      <c r="N729" s="79">
        <v>250000.0</v>
      </c>
      <c r="O729" s="80">
        <v>0.0</v>
      </c>
      <c r="P729" s="32">
        <f t="array" ref="P729">IFNA(XLOOKUP(K729,'⚙️ Pengaturan'!$E$2:$E800,'⚙️ Pengaturan'!$F$2:$F800),"")</f>
        <v>250000</v>
      </c>
      <c r="Q729" s="81">
        <f t="shared" si="11"/>
        <v>0</v>
      </c>
      <c r="R729" s="26" t="s">
        <v>33</v>
      </c>
      <c r="S729" s="38" t="s">
        <v>34</v>
      </c>
      <c r="T729" s="35" t="b">
        <v>1</v>
      </c>
      <c r="U729" s="36"/>
    </row>
    <row r="730" ht="30.0" customHeight="1">
      <c r="A730" s="24"/>
      <c r="B730" s="25">
        <v>2837.0</v>
      </c>
      <c r="C730" s="26" t="s">
        <v>507</v>
      </c>
      <c r="D730" s="27">
        <v>46076.0</v>
      </c>
      <c r="E730" s="28" t="str">
        <f t="shared" si="1"/>
        <v>2026</v>
      </c>
      <c r="F730" s="28" t="str">
        <f t="shared" si="2"/>
        <v>02 Feb</v>
      </c>
      <c r="G730" s="50" t="s">
        <v>67</v>
      </c>
      <c r="H730" s="29" t="s">
        <v>48</v>
      </c>
      <c r="I730" s="29" t="s">
        <v>509</v>
      </c>
      <c r="J730" s="75"/>
      <c r="K730" s="76" t="s">
        <v>26</v>
      </c>
      <c r="L730" s="77" t="str">
        <f t="shared" si="3"/>
        <v>TA KLINIK</v>
      </c>
      <c r="M730" s="78" t="s">
        <v>27</v>
      </c>
      <c r="N730" s="79">
        <v>250000.0</v>
      </c>
      <c r="O730" s="80">
        <v>0.0</v>
      </c>
      <c r="P730" s="32">
        <f t="array" ref="P730">IFNA(XLOOKUP(K730,'⚙️ Pengaturan'!$E$2:$E800,'⚙️ Pengaturan'!$F$2:$F800),"")</f>
        <v>250000</v>
      </c>
      <c r="Q730" s="81">
        <f t="shared" si="11"/>
        <v>0</v>
      </c>
      <c r="R730" s="26" t="s">
        <v>33</v>
      </c>
      <c r="S730" s="38" t="s">
        <v>34</v>
      </c>
      <c r="T730" s="35" t="b">
        <v>1</v>
      </c>
      <c r="U730" s="36"/>
    </row>
    <row r="731" ht="30.0" customHeight="1">
      <c r="A731" s="24"/>
      <c r="B731" s="25">
        <v>2838.0</v>
      </c>
      <c r="C731" s="26" t="s">
        <v>507</v>
      </c>
      <c r="D731" s="27">
        <v>46076.0</v>
      </c>
      <c r="E731" s="28" t="str">
        <f t="shared" si="1"/>
        <v>2026</v>
      </c>
      <c r="F731" s="28" t="str">
        <f t="shared" si="2"/>
        <v>02 Feb</v>
      </c>
      <c r="G731" s="50" t="s">
        <v>82</v>
      </c>
      <c r="H731" s="29" t="s">
        <v>58</v>
      </c>
      <c r="I731" s="29" t="s">
        <v>331</v>
      </c>
      <c r="J731" s="75"/>
      <c r="K731" s="76" t="s">
        <v>369</v>
      </c>
      <c r="L731" s="77" t="str">
        <f t="shared" si="3"/>
        <v>SESI KLINIK</v>
      </c>
      <c r="M731" s="78" t="s">
        <v>27</v>
      </c>
      <c r="N731" s="79">
        <v>180000.0</v>
      </c>
      <c r="O731" s="80">
        <v>0.0</v>
      </c>
      <c r="P731" s="32">
        <f t="array" ref="P731">IFNA(XLOOKUP(K731,'⚙️ Pengaturan'!$E$2:$E800,'⚙️ Pengaturan'!$F$2:$F800),"")</f>
        <v>180000</v>
      </c>
      <c r="Q731" s="81">
        <f t="shared" si="11"/>
        <v>0</v>
      </c>
      <c r="R731" s="26" t="s">
        <v>33</v>
      </c>
      <c r="S731" s="38" t="s">
        <v>34</v>
      </c>
      <c r="T731" s="35" t="b">
        <v>1</v>
      </c>
      <c r="U731" s="36"/>
    </row>
    <row r="732" ht="30.0" customHeight="1">
      <c r="A732" s="24"/>
      <c r="B732" s="25">
        <v>2839.0</v>
      </c>
      <c r="C732" s="26" t="s">
        <v>507</v>
      </c>
      <c r="D732" s="27">
        <v>46076.0</v>
      </c>
      <c r="E732" s="28" t="str">
        <f t="shared" si="1"/>
        <v>2026</v>
      </c>
      <c r="F732" s="28" t="str">
        <f t="shared" si="2"/>
        <v>02 Feb</v>
      </c>
      <c r="G732" s="50" t="s">
        <v>82</v>
      </c>
      <c r="H732" s="29" t="s">
        <v>51</v>
      </c>
      <c r="I732" s="29" t="s">
        <v>510</v>
      </c>
      <c r="J732" s="75"/>
      <c r="K732" s="76" t="s">
        <v>26</v>
      </c>
      <c r="L732" s="77" t="str">
        <f t="shared" si="3"/>
        <v>TA KLINIK</v>
      </c>
      <c r="M732" s="78" t="s">
        <v>27</v>
      </c>
      <c r="N732" s="79">
        <v>250000.0</v>
      </c>
      <c r="O732" s="80">
        <v>0.0</v>
      </c>
      <c r="P732" s="32">
        <f t="array" ref="P732">IFNA(XLOOKUP(K732,'⚙️ Pengaturan'!$E$2:$E800,'⚙️ Pengaturan'!$F$2:$F800),"")</f>
        <v>250000</v>
      </c>
      <c r="Q732" s="81">
        <f t="shared" si="11"/>
        <v>0</v>
      </c>
      <c r="R732" s="26" t="s">
        <v>113</v>
      </c>
      <c r="S732" s="38" t="s">
        <v>510</v>
      </c>
      <c r="T732" s="35" t="b">
        <v>1</v>
      </c>
      <c r="U732" s="36"/>
    </row>
    <row r="733" ht="30.0" customHeight="1">
      <c r="A733" s="24"/>
      <c r="B733" s="25">
        <v>2840.0</v>
      </c>
      <c r="C733" s="26" t="s">
        <v>507</v>
      </c>
      <c r="D733" s="27">
        <v>46076.0</v>
      </c>
      <c r="E733" s="28" t="str">
        <f t="shared" si="1"/>
        <v>2026</v>
      </c>
      <c r="F733" s="28" t="str">
        <f t="shared" si="2"/>
        <v>02 Feb</v>
      </c>
      <c r="G733" s="50" t="s">
        <v>82</v>
      </c>
      <c r="H733" s="29" t="s">
        <v>42</v>
      </c>
      <c r="I733" s="29" t="s">
        <v>511</v>
      </c>
      <c r="J733" s="75"/>
      <c r="K733" s="76" t="s">
        <v>26</v>
      </c>
      <c r="L733" s="77" t="str">
        <f t="shared" si="3"/>
        <v>TA KLINIK</v>
      </c>
      <c r="M733" s="78" t="s">
        <v>27</v>
      </c>
      <c r="N733" s="79">
        <v>250000.0</v>
      </c>
      <c r="O733" s="80">
        <v>0.0</v>
      </c>
      <c r="P733" s="32">
        <f t="array" ref="P733">IFNA(XLOOKUP(K733,'⚙️ Pengaturan'!$E$2:$E800,'⚙️ Pengaturan'!$F$2:$F800),"")</f>
        <v>250000</v>
      </c>
      <c r="Q733" s="81">
        <f t="shared" si="11"/>
        <v>0</v>
      </c>
      <c r="R733" s="26" t="s">
        <v>33</v>
      </c>
      <c r="S733" s="38" t="s">
        <v>34</v>
      </c>
      <c r="T733" s="35" t="b">
        <v>1</v>
      </c>
      <c r="U733" s="36"/>
    </row>
    <row r="734" ht="30.0" customHeight="1">
      <c r="A734" s="24"/>
      <c r="B734" s="25">
        <v>2841.0</v>
      </c>
      <c r="C734" s="26" t="s">
        <v>40</v>
      </c>
      <c r="D734" s="27">
        <v>46076.0</v>
      </c>
      <c r="E734" s="28" t="str">
        <f t="shared" si="1"/>
        <v>2026</v>
      </c>
      <c r="F734" s="28" t="str">
        <f t="shared" si="2"/>
        <v>02 Feb</v>
      </c>
      <c r="G734" s="50" t="s">
        <v>46</v>
      </c>
      <c r="H734" s="29" t="s">
        <v>70</v>
      </c>
      <c r="I734" s="29" t="s">
        <v>279</v>
      </c>
      <c r="J734" s="75"/>
      <c r="K734" s="76" t="s">
        <v>32</v>
      </c>
      <c r="L734" s="77" t="str">
        <f t="shared" si="3"/>
        <v>SESI KLINIK</v>
      </c>
      <c r="M734" s="78" t="s">
        <v>27</v>
      </c>
      <c r="N734" s="79">
        <v>150000.0</v>
      </c>
      <c r="O734" s="80">
        <v>0.0</v>
      </c>
      <c r="P734" s="32">
        <f t="array" ref="P734">IFNA(XLOOKUP(K734,'⚙️ Pengaturan'!$E$2:$E800,'⚙️ Pengaturan'!$F$2:$F800),"")</f>
        <v>150000</v>
      </c>
      <c r="Q734" s="81">
        <f t="shared" si="11"/>
        <v>0</v>
      </c>
      <c r="R734" s="26" t="s">
        <v>33</v>
      </c>
      <c r="S734" s="38" t="s">
        <v>34</v>
      </c>
      <c r="T734" s="35" t="b">
        <v>1</v>
      </c>
      <c r="U734" s="36"/>
    </row>
    <row r="735" ht="30.0" customHeight="1">
      <c r="A735" s="24"/>
      <c r="B735" s="25">
        <v>2842.0</v>
      </c>
      <c r="C735" s="26" t="s">
        <v>40</v>
      </c>
      <c r="D735" s="27">
        <v>46076.0</v>
      </c>
      <c r="E735" s="28" t="str">
        <f t="shared" si="1"/>
        <v>2026</v>
      </c>
      <c r="F735" s="28" t="str">
        <f t="shared" si="2"/>
        <v>02 Feb</v>
      </c>
      <c r="G735" s="50" t="s">
        <v>41</v>
      </c>
      <c r="H735" s="29" t="s">
        <v>345</v>
      </c>
      <c r="I735" s="29" t="s">
        <v>512</v>
      </c>
      <c r="J735" s="75"/>
      <c r="K735" s="76" t="s">
        <v>26</v>
      </c>
      <c r="L735" s="77" t="str">
        <f t="shared" si="3"/>
        <v>TA KLINIK</v>
      </c>
      <c r="M735" s="78" t="s">
        <v>27</v>
      </c>
      <c r="N735" s="79">
        <v>250000.0</v>
      </c>
      <c r="O735" s="80">
        <v>0.0</v>
      </c>
      <c r="P735" s="32">
        <f t="array" ref="P735">IFNA(XLOOKUP(K735,'⚙️ Pengaturan'!$E$2:$E800,'⚙️ Pengaturan'!$F$2:$F800),"")</f>
        <v>250000</v>
      </c>
      <c r="Q735" s="81">
        <f t="shared" si="11"/>
        <v>0</v>
      </c>
      <c r="R735" s="26" t="s">
        <v>33</v>
      </c>
      <c r="S735" s="38" t="s">
        <v>34</v>
      </c>
      <c r="T735" s="35" t="b">
        <v>1</v>
      </c>
      <c r="U735" s="36"/>
    </row>
    <row r="736" ht="30.0" customHeight="1">
      <c r="A736" s="24"/>
      <c r="B736" s="25">
        <v>2843.0</v>
      </c>
      <c r="C736" s="26" t="s">
        <v>40</v>
      </c>
      <c r="D736" s="27">
        <v>46076.0</v>
      </c>
      <c r="E736" s="28" t="str">
        <f t="shared" si="1"/>
        <v>2026</v>
      </c>
      <c r="F736" s="28" t="str">
        <f t="shared" si="2"/>
        <v>02 Feb</v>
      </c>
      <c r="G736" s="50" t="s">
        <v>53</v>
      </c>
      <c r="H736" s="29" t="s">
        <v>345</v>
      </c>
      <c r="I736" s="29" t="s">
        <v>513</v>
      </c>
      <c r="J736" s="75"/>
      <c r="K736" s="76" t="s">
        <v>26</v>
      </c>
      <c r="L736" s="77" t="str">
        <f t="shared" si="3"/>
        <v>TA KLINIK</v>
      </c>
      <c r="M736" s="78" t="s">
        <v>27</v>
      </c>
      <c r="N736" s="79">
        <v>250000.0</v>
      </c>
      <c r="O736" s="80">
        <v>0.0</v>
      </c>
      <c r="P736" s="32">
        <f t="array" ref="P736">IFNA(XLOOKUP(K736,'⚙️ Pengaturan'!$E$2:$E800,'⚙️ Pengaturan'!$F$2:$F800),"")</f>
        <v>250000</v>
      </c>
      <c r="Q736" s="81">
        <f t="shared" si="11"/>
        <v>0</v>
      </c>
      <c r="R736" s="26" t="s">
        <v>28</v>
      </c>
      <c r="S736" s="38" t="s">
        <v>513</v>
      </c>
      <c r="T736" s="35" t="b">
        <v>1</v>
      </c>
      <c r="U736" s="36"/>
    </row>
    <row r="737" ht="30.0" customHeight="1">
      <c r="A737" s="24"/>
      <c r="B737" s="25">
        <v>2844.0</v>
      </c>
      <c r="C737" s="26" t="s">
        <v>40</v>
      </c>
      <c r="D737" s="27">
        <v>46076.0</v>
      </c>
      <c r="E737" s="28" t="str">
        <f t="shared" si="1"/>
        <v>2026</v>
      </c>
      <c r="F737" s="28" t="str">
        <f t="shared" si="2"/>
        <v>02 Feb</v>
      </c>
      <c r="G737" s="50" t="s">
        <v>61</v>
      </c>
      <c r="H737" s="29" t="s">
        <v>30</v>
      </c>
      <c r="I737" s="29" t="s">
        <v>482</v>
      </c>
      <c r="J737" s="75"/>
      <c r="K737" s="76" t="s">
        <v>369</v>
      </c>
      <c r="L737" s="77" t="str">
        <f t="shared" si="3"/>
        <v>SESI KLINIK</v>
      </c>
      <c r="M737" s="78" t="s">
        <v>27</v>
      </c>
      <c r="N737" s="79">
        <v>180000.0</v>
      </c>
      <c r="O737" s="80">
        <v>0.0</v>
      </c>
      <c r="P737" s="32">
        <f t="array" ref="P737">IFNA(XLOOKUP(K737,'⚙️ Pengaturan'!$E$2:$E800,'⚙️ Pengaturan'!$F$2:$F800),"")</f>
        <v>180000</v>
      </c>
      <c r="Q737" s="81">
        <f t="shared" si="11"/>
        <v>0</v>
      </c>
      <c r="R737" s="26" t="s">
        <v>28</v>
      </c>
      <c r="S737" s="38" t="s">
        <v>482</v>
      </c>
      <c r="T737" s="35" t="b">
        <v>1</v>
      </c>
      <c r="U737" s="36"/>
    </row>
    <row r="738" ht="30.0" customHeight="1">
      <c r="A738" s="24"/>
      <c r="B738" s="25">
        <v>2845.0</v>
      </c>
      <c r="C738" s="26" t="s">
        <v>40</v>
      </c>
      <c r="D738" s="27">
        <v>46076.0</v>
      </c>
      <c r="E738" s="28" t="str">
        <f t="shared" si="1"/>
        <v>2026</v>
      </c>
      <c r="F738" s="28" t="str">
        <f t="shared" si="2"/>
        <v>02 Feb</v>
      </c>
      <c r="G738" s="50" t="s">
        <v>61</v>
      </c>
      <c r="H738" s="29" t="s">
        <v>70</v>
      </c>
      <c r="I738" s="29" t="s">
        <v>448</v>
      </c>
      <c r="J738" s="75"/>
      <c r="K738" s="76" t="s">
        <v>369</v>
      </c>
      <c r="L738" s="77" t="str">
        <f t="shared" si="3"/>
        <v>SESI KLINIK</v>
      </c>
      <c r="M738" s="78" t="s">
        <v>27</v>
      </c>
      <c r="N738" s="79">
        <v>180000.0</v>
      </c>
      <c r="O738" s="80">
        <v>0.0</v>
      </c>
      <c r="P738" s="32">
        <f t="array" ref="P738">IFNA(XLOOKUP(K738,'⚙️ Pengaturan'!$E$2:$E800,'⚙️ Pengaturan'!$F$2:$F800),"")</f>
        <v>180000</v>
      </c>
      <c r="Q738" s="81">
        <f t="shared" si="11"/>
        <v>0</v>
      </c>
      <c r="R738" s="26" t="s">
        <v>33</v>
      </c>
      <c r="S738" s="38" t="s">
        <v>34</v>
      </c>
      <c r="T738" s="35" t="b">
        <v>1</v>
      </c>
      <c r="U738" s="36"/>
    </row>
    <row r="739" ht="30.0" customHeight="1">
      <c r="A739" s="24"/>
      <c r="B739" s="25">
        <v>2846.0</v>
      </c>
      <c r="C739" s="26" t="s">
        <v>507</v>
      </c>
      <c r="D739" s="27">
        <v>46077.0</v>
      </c>
      <c r="E739" s="28" t="str">
        <f t="shared" si="1"/>
        <v>2026</v>
      </c>
      <c r="F739" s="28" t="str">
        <f t="shared" si="2"/>
        <v>02 Feb</v>
      </c>
      <c r="G739" s="50" t="s">
        <v>67</v>
      </c>
      <c r="H739" s="29" t="s">
        <v>345</v>
      </c>
      <c r="I739" s="29" t="s">
        <v>495</v>
      </c>
      <c r="J739" s="75"/>
      <c r="K739" s="76" t="s">
        <v>369</v>
      </c>
      <c r="L739" s="77" t="str">
        <f t="shared" si="3"/>
        <v>SESI KLINIK</v>
      </c>
      <c r="M739" s="78" t="s">
        <v>27</v>
      </c>
      <c r="N739" s="79">
        <v>180000.0</v>
      </c>
      <c r="O739" s="80">
        <v>0.0</v>
      </c>
      <c r="P739" s="32">
        <f t="array" ref="P739">IFNA(XLOOKUP(K739,'⚙️ Pengaturan'!$E$2:$E800,'⚙️ Pengaturan'!$F$2:$F800),"")</f>
        <v>180000</v>
      </c>
      <c r="Q739" s="81">
        <f t="shared" si="11"/>
        <v>0</v>
      </c>
      <c r="R739" s="26" t="s">
        <v>33</v>
      </c>
      <c r="S739" s="38" t="s">
        <v>34</v>
      </c>
      <c r="T739" s="35" t="b">
        <v>1</v>
      </c>
      <c r="U739" s="36"/>
    </row>
    <row r="740" ht="30.0" customHeight="1">
      <c r="A740" s="24"/>
      <c r="B740" s="25">
        <v>2847.0</v>
      </c>
      <c r="C740" s="26" t="s">
        <v>507</v>
      </c>
      <c r="D740" s="27">
        <v>46077.0</v>
      </c>
      <c r="E740" s="28" t="str">
        <f t="shared" si="1"/>
        <v>2026</v>
      </c>
      <c r="F740" s="28" t="str">
        <f t="shared" si="2"/>
        <v>02 Feb</v>
      </c>
      <c r="G740" s="50" t="s">
        <v>67</v>
      </c>
      <c r="H740" s="29" t="s">
        <v>30</v>
      </c>
      <c r="I740" s="29" t="s">
        <v>422</v>
      </c>
      <c r="J740" s="75"/>
      <c r="K740" s="76" t="s">
        <v>395</v>
      </c>
      <c r="L740" s="77" t="str">
        <f t="shared" si="3"/>
        <v>PAKET KLINIK</v>
      </c>
      <c r="M740" s="78" t="s">
        <v>86</v>
      </c>
      <c r="N740" s="79">
        <v>500000.0</v>
      </c>
      <c r="O740" s="80">
        <v>0.0</v>
      </c>
      <c r="P740" s="32">
        <f t="array" ref="P740">IFNA(XLOOKUP(K740,'⚙️ Pengaturan'!$E$2:$E800,'⚙️ Pengaturan'!$F$2:$F800),"")</f>
        <v>750000</v>
      </c>
      <c r="Q740" s="81">
        <f t="shared" si="11"/>
        <v>-250000</v>
      </c>
      <c r="R740" s="26" t="s">
        <v>33</v>
      </c>
      <c r="S740" s="38" t="s">
        <v>34</v>
      </c>
      <c r="T740" s="35" t="b">
        <v>1</v>
      </c>
      <c r="U740" s="36"/>
    </row>
    <row r="741" ht="30.0" customHeight="1">
      <c r="A741" s="24"/>
      <c r="B741" s="25">
        <v>2848.0</v>
      </c>
      <c r="C741" s="26" t="s">
        <v>507</v>
      </c>
      <c r="D741" s="27">
        <v>46077.0</v>
      </c>
      <c r="E741" s="28" t="str">
        <f t="shared" si="1"/>
        <v>2026</v>
      </c>
      <c r="F741" s="28" t="str">
        <f t="shared" si="2"/>
        <v>02 Feb</v>
      </c>
      <c r="G741" s="50" t="s">
        <v>22</v>
      </c>
      <c r="H741" s="29" t="s">
        <v>30</v>
      </c>
      <c r="I741" s="29" t="s">
        <v>514</v>
      </c>
      <c r="J741" s="75"/>
      <c r="K741" s="76" t="s">
        <v>26</v>
      </c>
      <c r="L741" s="77" t="str">
        <f t="shared" si="3"/>
        <v>TA KLINIK</v>
      </c>
      <c r="M741" s="78" t="s">
        <v>27</v>
      </c>
      <c r="N741" s="79">
        <v>250000.0</v>
      </c>
      <c r="O741" s="80">
        <v>0.0</v>
      </c>
      <c r="P741" s="32">
        <f t="array" ref="P741">IFNA(XLOOKUP(K741,'⚙️ Pengaturan'!$E$2:$E800,'⚙️ Pengaturan'!$F$2:$F800),"")</f>
        <v>250000</v>
      </c>
      <c r="Q741" s="81">
        <f t="shared" si="11"/>
        <v>0</v>
      </c>
      <c r="R741" s="26" t="s">
        <v>33</v>
      </c>
      <c r="S741" s="38" t="s">
        <v>34</v>
      </c>
      <c r="T741" s="35" t="b">
        <v>1</v>
      </c>
      <c r="U741" s="36"/>
    </row>
    <row r="742" ht="30.0" customHeight="1">
      <c r="A742" s="24"/>
      <c r="B742" s="25">
        <v>2849.0</v>
      </c>
      <c r="C742" s="26" t="s">
        <v>507</v>
      </c>
      <c r="D742" s="27">
        <v>46077.0</v>
      </c>
      <c r="E742" s="28" t="str">
        <f t="shared" si="1"/>
        <v>2026</v>
      </c>
      <c r="F742" s="28" t="str">
        <f t="shared" si="2"/>
        <v>02 Feb</v>
      </c>
      <c r="G742" s="50" t="s">
        <v>29</v>
      </c>
      <c r="H742" s="29" t="s">
        <v>30</v>
      </c>
      <c r="I742" s="29" t="s">
        <v>515</v>
      </c>
      <c r="J742" s="75"/>
      <c r="K742" s="76" t="s">
        <v>26</v>
      </c>
      <c r="L742" s="77" t="str">
        <f t="shared" si="3"/>
        <v>TA KLINIK</v>
      </c>
      <c r="M742" s="78" t="s">
        <v>27</v>
      </c>
      <c r="N742" s="79">
        <v>250000.0</v>
      </c>
      <c r="O742" s="80">
        <v>0.0</v>
      </c>
      <c r="P742" s="32">
        <f t="array" ref="P742">IFNA(XLOOKUP(K742,'⚙️ Pengaturan'!$E$2:$E800,'⚙️ Pengaturan'!$F$2:$F800),"")</f>
        <v>250000</v>
      </c>
      <c r="Q742" s="81">
        <f t="shared" si="11"/>
        <v>0</v>
      </c>
      <c r="R742" s="26" t="s">
        <v>28</v>
      </c>
      <c r="S742" s="38" t="s">
        <v>516</v>
      </c>
      <c r="T742" s="35" t="b">
        <v>1</v>
      </c>
      <c r="U742" s="36"/>
    </row>
    <row r="743" ht="30.0" customHeight="1">
      <c r="A743" s="24"/>
      <c r="B743" s="25">
        <v>2850.0</v>
      </c>
      <c r="C743" s="26" t="s">
        <v>507</v>
      </c>
      <c r="D743" s="27">
        <v>46077.0</v>
      </c>
      <c r="E743" s="28" t="str">
        <f t="shared" si="1"/>
        <v>2026</v>
      </c>
      <c r="F743" s="28" t="str">
        <f t="shared" si="2"/>
        <v>02 Feb</v>
      </c>
      <c r="G743" s="50" t="s">
        <v>82</v>
      </c>
      <c r="H743" s="29" t="s">
        <v>30</v>
      </c>
      <c r="I743" s="29" t="s">
        <v>517</v>
      </c>
      <c r="J743" s="75"/>
      <c r="K743" s="76" t="s">
        <v>26</v>
      </c>
      <c r="L743" s="77" t="str">
        <f t="shared" si="3"/>
        <v>TA KLINIK</v>
      </c>
      <c r="M743" s="78" t="s">
        <v>27</v>
      </c>
      <c r="N743" s="79">
        <v>250000.0</v>
      </c>
      <c r="O743" s="80">
        <v>0.0</v>
      </c>
      <c r="P743" s="32">
        <f t="array" ref="P743">IFNA(XLOOKUP(K743,'⚙️ Pengaturan'!$E$2:$E800,'⚙️ Pengaturan'!$F$2:$F800),"")</f>
        <v>250000</v>
      </c>
      <c r="Q743" s="81">
        <f t="shared" si="11"/>
        <v>0</v>
      </c>
      <c r="R743" s="26" t="s">
        <v>33</v>
      </c>
      <c r="S743" s="38" t="s">
        <v>34</v>
      </c>
      <c r="T743" s="35" t="b">
        <v>1</v>
      </c>
      <c r="U743" s="36"/>
    </row>
    <row r="744" ht="30.0" customHeight="1">
      <c r="A744" s="24"/>
      <c r="B744" s="25">
        <v>2851.0</v>
      </c>
      <c r="C744" s="26" t="s">
        <v>507</v>
      </c>
      <c r="D744" s="27">
        <v>46077.0</v>
      </c>
      <c r="E744" s="28" t="str">
        <f t="shared" si="1"/>
        <v>2026</v>
      </c>
      <c r="F744" s="28" t="str">
        <f t="shared" si="2"/>
        <v>02 Feb</v>
      </c>
      <c r="G744" s="50" t="s">
        <v>82</v>
      </c>
      <c r="H744" s="29" t="s">
        <v>345</v>
      </c>
      <c r="I744" s="29" t="s">
        <v>518</v>
      </c>
      <c r="J744" s="75"/>
      <c r="K744" s="76" t="s">
        <v>26</v>
      </c>
      <c r="L744" s="77" t="str">
        <f t="shared" si="3"/>
        <v>TA KLINIK</v>
      </c>
      <c r="M744" s="78" t="s">
        <v>27</v>
      </c>
      <c r="N744" s="79">
        <v>250000.0</v>
      </c>
      <c r="O744" s="80">
        <v>0.0</v>
      </c>
      <c r="P744" s="32">
        <f t="array" ref="P744">IFNA(XLOOKUP(K744,'⚙️ Pengaturan'!$E$2:$E800,'⚙️ Pengaturan'!$F$2:$F800),"")</f>
        <v>250000</v>
      </c>
      <c r="Q744" s="81">
        <f t="shared" si="11"/>
        <v>0</v>
      </c>
      <c r="R744" s="26" t="s">
        <v>28</v>
      </c>
      <c r="S744" s="38" t="s">
        <v>519</v>
      </c>
      <c r="T744" s="35" t="b">
        <v>1</v>
      </c>
      <c r="U744" s="36"/>
    </row>
    <row r="745" ht="30.0" customHeight="1">
      <c r="A745" s="24"/>
      <c r="B745" s="25">
        <v>2852.0</v>
      </c>
      <c r="C745" s="26" t="s">
        <v>507</v>
      </c>
      <c r="D745" s="27">
        <v>46077.0</v>
      </c>
      <c r="E745" s="28" t="str">
        <f t="shared" si="1"/>
        <v>2026</v>
      </c>
      <c r="F745" s="28" t="str">
        <f t="shared" si="2"/>
        <v>02 Feb</v>
      </c>
      <c r="G745" s="50" t="s">
        <v>82</v>
      </c>
      <c r="H745" s="29" t="s">
        <v>345</v>
      </c>
      <c r="I745" s="29" t="s">
        <v>518</v>
      </c>
      <c r="J745" s="75"/>
      <c r="K745" s="76" t="s">
        <v>395</v>
      </c>
      <c r="L745" s="77" t="str">
        <f t="shared" si="3"/>
        <v>PAKET KLINIK</v>
      </c>
      <c r="M745" s="78" t="s">
        <v>27</v>
      </c>
      <c r="N745" s="79">
        <v>750000.0</v>
      </c>
      <c r="O745" s="80">
        <v>0.0</v>
      </c>
      <c r="P745" s="32">
        <f t="array" ref="P745">IFNA(XLOOKUP(K745,'⚙️ Pengaturan'!$E$2:$E800,'⚙️ Pengaturan'!$F$2:$F800),"")</f>
        <v>750000</v>
      </c>
      <c r="Q745" s="81">
        <f t="shared" si="11"/>
        <v>0</v>
      </c>
      <c r="R745" s="26" t="s">
        <v>28</v>
      </c>
      <c r="S745" s="38" t="s">
        <v>519</v>
      </c>
      <c r="T745" s="35" t="b">
        <v>1</v>
      </c>
      <c r="U745" s="36"/>
    </row>
    <row r="746" ht="30.0" customHeight="1">
      <c r="A746" s="24"/>
      <c r="B746" s="25">
        <v>2853.0</v>
      </c>
      <c r="C746" s="26" t="s">
        <v>40</v>
      </c>
      <c r="D746" s="27">
        <v>46077.0</v>
      </c>
      <c r="E746" s="28" t="str">
        <f t="shared" si="1"/>
        <v>2026</v>
      </c>
      <c r="F746" s="28" t="str">
        <f t="shared" si="2"/>
        <v>02 Feb</v>
      </c>
      <c r="G746" s="50" t="s">
        <v>46</v>
      </c>
      <c r="H746" s="29" t="s">
        <v>48</v>
      </c>
      <c r="I746" s="29" t="s">
        <v>50</v>
      </c>
      <c r="J746" s="75"/>
      <c r="K746" s="76" t="s">
        <v>395</v>
      </c>
      <c r="L746" s="77" t="str">
        <f t="shared" si="3"/>
        <v>PAKET KLINIK</v>
      </c>
      <c r="M746" s="78" t="s">
        <v>86</v>
      </c>
      <c r="N746" s="79">
        <v>200000.0</v>
      </c>
      <c r="O746" s="80">
        <v>0.0</v>
      </c>
      <c r="P746" s="32">
        <f t="array" ref="P746">IFNA(XLOOKUP(K746,'⚙️ Pengaturan'!$E$2:$E800,'⚙️ Pengaturan'!$F$2:$F800),"")</f>
        <v>750000</v>
      </c>
      <c r="Q746" s="81">
        <f t="shared" si="11"/>
        <v>-550000</v>
      </c>
      <c r="R746" s="26" t="s">
        <v>33</v>
      </c>
      <c r="S746" s="38" t="s">
        <v>34</v>
      </c>
      <c r="T746" s="35" t="b">
        <v>1</v>
      </c>
      <c r="U746" s="36"/>
    </row>
    <row r="747" ht="30.0" customHeight="1">
      <c r="A747" s="24"/>
      <c r="B747" s="25">
        <v>2854.0</v>
      </c>
      <c r="C747" s="26" t="s">
        <v>40</v>
      </c>
      <c r="D747" s="27">
        <v>46077.0</v>
      </c>
      <c r="E747" s="28" t="str">
        <f t="shared" si="1"/>
        <v>2026</v>
      </c>
      <c r="F747" s="28" t="str">
        <f t="shared" si="2"/>
        <v>02 Feb</v>
      </c>
      <c r="G747" s="50" t="s">
        <v>46</v>
      </c>
      <c r="H747" s="29" t="s">
        <v>58</v>
      </c>
      <c r="I747" s="29" t="s">
        <v>520</v>
      </c>
      <c r="J747" s="75"/>
      <c r="K747" s="76" t="s">
        <v>26</v>
      </c>
      <c r="L747" s="77" t="str">
        <f t="shared" si="3"/>
        <v>TA KLINIK</v>
      </c>
      <c r="M747" s="78" t="s">
        <v>27</v>
      </c>
      <c r="N747" s="79">
        <v>250000.0</v>
      </c>
      <c r="O747" s="80">
        <v>0.0</v>
      </c>
      <c r="P747" s="32">
        <f t="array" ref="P747">IFNA(XLOOKUP(K747,'⚙️ Pengaturan'!$E$2:$E800,'⚙️ Pengaturan'!$F$2:$F800),"")</f>
        <v>250000</v>
      </c>
      <c r="Q747" s="81">
        <f t="shared" si="11"/>
        <v>0</v>
      </c>
      <c r="R747" s="26" t="s">
        <v>33</v>
      </c>
      <c r="S747" s="38" t="s">
        <v>34</v>
      </c>
      <c r="T747" s="35" t="b">
        <v>1</v>
      </c>
      <c r="U747" s="36"/>
    </row>
    <row r="748" ht="30.0" customHeight="1">
      <c r="A748" s="24"/>
      <c r="B748" s="25">
        <v>2855.0</v>
      </c>
      <c r="C748" s="26" t="s">
        <v>40</v>
      </c>
      <c r="D748" s="27">
        <v>46077.0</v>
      </c>
      <c r="E748" s="28" t="str">
        <f t="shared" si="1"/>
        <v>2026</v>
      </c>
      <c r="F748" s="28" t="str">
        <f t="shared" si="2"/>
        <v>02 Feb</v>
      </c>
      <c r="G748" s="50" t="s">
        <v>41</v>
      </c>
      <c r="H748" s="29" t="s">
        <v>48</v>
      </c>
      <c r="I748" s="29" t="s">
        <v>501</v>
      </c>
      <c r="J748" s="75"/>
      <c r="K748" s="76" t="s">
        <v>395</v>
      </c>
      <c r="L748" s="77" t="str">
        <f t="shared" si="3"/>
        <v>PAKET KLINIK</v>
      </c>
      <c r="M748" s="78" t="s">
        <v>86</v>
      </c>
      <c r="N748" s="79">
        <v>200000.0</v>
      </c>
      <c r="O748" s="80">
        <v>0.0</v>
      </c>
      <c r="P748" s="32">
        <f t="array" ref="P748">IFNA(XLOOKUP(K748,'⚙️ Pengaturan'!$E$2:$E800,'⚙️ Pengaturan'!$F$2:$F800),"")</f>
        <v>750000</v>
      </c>
      <c r="Q748" s="81">
        <f t="shared" si="11"/>
        <v>-550000</v>
      </c>
      <c r="R748" s="26" t="s">
        <v>33</v>
      </c>
      <c r="S748" s="38" t="s">
        <v>34</v>
      </c>
      <c r="T748" s="35" t="b">
        <v>1</v>
      </c>
      <c r="U748" s="36"/>
    </row>
    <row r="749" ht="30.0" customHeight="1">
      <c r="A749" s="24"/>
      <c r="B749" s="25">
        <v>2856.0</v>
      </c>
      <c r="C749" s="26" t="s">
        <v>40</v>
      </c>
      <c r="D749" s="27">
        <v>46077.0</v>
      </c>
      <c r="E749" s="28" t="str">
        <f t="shared" si="1"/>
        <v>2026</v>
      </c>
      <c r="F749" s="28" t="str">
        <f t="shared" si="2"/>
        <v>02 Feb</v>
      </c>
      <c r="G749" s="50" t="s">
        <v>53</v>
      </c>
      <c r="H749" s="29" t="s">
        <v>58</v>
      </c>
      <c r="I749" s="29" t="s">
        <v>521</v>
      </c>
      <c r="J749" s="75"/>
      <c r="K749" s="76" t="s">
        <v>26</v>
      </c>
      <c r="L749" s="77" t="str">
        <f t="shared" si="3"/>
        <v>TA KLINIK</v>
      </c>
      <c r="M749" s="78" t="s">
        <v>27</v>
      </c>
      <c r="N749" s="79">
        <v>250000.0</v>
      </c>
      <c r="O749" s="80">
        <v>0.0</v>
      </c>
      <c r="P749" s="32">
        <f t="array" ref="P749">IFNA(XLOOKUP(K749,'⚙️ Pengaturan'!$E$2:$E800,'⚙️ Pengaturan'!$F$2:$F800),"")</f>
        <v>250000</v>
      </c>
      <c r="Q749" s="81">
        <f t="shared" si="11"/>
        <v>0</v>
      </c>
      <c r="R749" s="26" t="s">
        <v>28</v>
      </c>
      <c r="S749" s="38" t="s">
        <v>521</v>
      </c>
      <c r="T749" s="35" t="b">
        <v>1</v>
      </c>
      <c r="U749" s="36"/>
    </row>
    <row r="750" ht="30.0" customHeight="1">
      <c r="A750" s="24"/>
      <c r="B750" s="25">
        <v>2857.0</v>
      </c>
      <c r="C750" s="26" t="s">
        <v>40</v>
      </c>
      <c r="D750" s="27">
        <v>46077.0</v>
      </c>
      <c r="E750" s="28" t="str">
        <f t="shared" si="1"/>
        <v>2026</v>
      </c>
      <c r="F750" s="28" t="str">
        <f t="shared" si="2"/>
        <v>02 Feb</v>
      </c>
      <c r="G750" s="50" t="s">
        <v>53</v>
      </c>
      <c r="H750" s="29" t="s">
        <v>42</v>
      </c>
      <c r="I750" s="29" t="s">
        <v>504</v>
      </c>
      <c r="J750" s="75"/>
      <c r="K750" s="76" t="s">
        <v>369</v>
      </c>
      <c r="L750" s="77" t="str">
        <f t="shared" si="3"/>
        <v>SESI KLINIK</v>
      </c>
      <c r="M750" s="78" t="s">
        <v>27</v>
      </c>
      <c r="N750" s="79">
        <v>180000.0</v>
      </c>
      <c r="O750" s="80">
        <v>0.0</v>
      </c>
      <c r="P750" s="32">
        <f t="array" ref="P750">IFNA(XLOOKUP(K750,'⚙️ Pengaturan'!$E$2:$E800,'⚙️ Pengaturan'!$F$2:$F800),"")</f>
        <v>180000</v>
      </c>
      <c r="Q750" s="81">
        <f t="shared" si="11"/>
        <v>0</v>
      </c>
      <c r="R750" s="26" t="s">
        <v>28</v>
      </c>
      <c r="S750" s="38" t="s">
        <v>504</v>
      </c>
      <c r="T750" s="35" t="b">
        <v>1</v>
      </c>
      <c r="U750" s="36"/>
    </row>
    <row r="751" ht="30.0" customHeight="1">
      <c r="A751" s="24"/>
      <c r="B751" s="25">
        <v>2858.0</v>
      </c>
      <c r="C751" s="26" t="s">
        <v>40</v>
      </c>
      <c r="D751" s="27">
        <v>46077.0</v>
      </c>
      <c r="E751" s="28" t="str">
        <f t="shared" si="1"/>
        <v>2026</v>
      </c>
      <c r="F751" s="28" t="str">
        <f t="shared" si="2"/>
        <v>02 Feb</v>
      </c>
      <c r="G751" s="50" t="s">
        <v>118</v>
      </c>
      <c r="H751" s="29" t="s">
        <v>70</v>
      </c>
      <c r="I751" s="29" t="s">
        <v>522</v>
      </c>
      <c r="J751" s="75"/>
      <c r="K751" s="76" t="s">
        <v>128</v>
      </c>
      <c r="L751" s="77" t="str">
        <f t="shared" si="3"/>
        <v>TA VISIT</v>
      </c>
      <c r="M751" s="78" t="s">
        <v>27</v>
      </c>
      <c r="N751" s="79">
        <v>300000.0</v>
      </c>
      <c r="O751" s="80">
        <v>0.0</v>
      </c>
      <c r="P751" s="32">
        <f t="array" ref="P751">IFNA(XLOOKUP(K751,'⚙️ Pengaturan'!$E$2:$E800,'⚙️ Pengaturan'!$F$2:$F800),"")</f>
        <v>300000</v>
      </c>
      <c r="Q751" s="81">
        <f t="shared" si="11"/>
        <v>0</v>
      </c>
      <c r="R751" s="26" t="s">
        <v>28</v>
      </c>
      <c r="S751" s="38" t="s">
        <v>523</v>
      </c>
      <c r="T751" s="35" t="b">
        <v>1</v>
      </c>
      <c r="U751" s="36"/>
    </row>
    <row r="752" ht="30.0" customHeight="1">
      <c r="A752" s="24"/>
      <c r="B752" s="25">
        <v>2859.0</v>
      </c>
      <c r="C752" s="26" t="s">
        <v>40</v>
      </c>
      <c r="D752" s="27">
        <v>46077.0</v>
      </c>
      <c r="E752" s="28" t="str">
        <f t="shared" si="1"/>
        <v>2026</v>
      </c>
      <c r="F752" s="28" t="str">
        <f t="shared" si="2"/>
        <v>02 Feb</v>
      </c>
      <c r="G752" s="50" t="s">
        <v>61</v>
      </c>
      <c r="H752" s="29" t="s">
        <v>51</v>
      </c>
      <c r="I752" s="29" t="s">
        <v>524</v>
      </c>
      <c r="J752" s="75"/>
      <c r="K752" s="76" t="s">
        <v>26</v>
      </c>
      <c r="L752" s="77" t="str">
        <f t="shared" si="3"/>
        <v>TA KLINIK</v>
      </c>
      <c r="M752" s="78" t="s">
        <v>27</v>
      </c>
      <c r="N752" s="79">
        <v>250000.0</v>
      </c>
      <c r="O752" s="80">
        <v>0.0</v>
      </c>
      <c r="P752" s="32">
        <f t="array" ref="P752">IFNA(XLOOKUP(K752,'⚙️ Pengaturan'!$E$2:$E800,'⚙️ Pengaturan'!$F$2:$F800),"")</f>
        <v>250000</v>
      </c>
      <c r="Q752" s="81">
        <f t="shared" si="11"/>
        <v>0</v>
      </c>
      <c r="R752" s="26" t="s">
        <v>33</v>
      </c>
      <c r="S752" s="38" t="s">
        <v>34</v>
      </c>
      <c r="T752" s="35" t="b">
        <v>1</v>
      </c>
      <c r="U752" s="36"/>
    </row>
    <row r="753" ht="30.0" customHeight="1">
      <c r="A753" s="24"/>
      <c r="B753" s="25">
        <v>2860.0</v>
      </c>
      <c r="C753" s="26" t="s">
        <v>40</v>
      </c>
      <c r="D753" s="27">
        <v>46077.0</v>
      </c>
      <c r="E753" s="28" t="str">
        <f t="shared" si="1"/>
        <v>2026</v>
      </c>
      <c r="F753" s="28" t="str">
        <f t="shared" si="2"/>
        <v>02 Feb</v>
      </c>
      <c r="G753" s="50" t="s">
        <v>61</v>
      </c>
      <c r="H753" s="29" t="s">
        <v>58</v>
      </c>
      <c r="I753" s="29" t="s">
        <v>525</v>
      </c>
      <c r="J753" s="75"/>
      <c r="K753" s="76" t="s">
        <v>26</v>
      </c>
      <c r="L753" s="77" t="str">
        <f t="shared" si="3"/>
        <v>TA KLINIK</v>
      </c>
      <c r="M753" s="78" t="s">
        <v>27</v>
      </c>
      <c r="N753" s="79">
        <v>250000.0</v>
      </c>
      <c r="O753" s="80">
        <v>0.0</v>
      </c>
      <c r="P753" s="32">
        <f t="array" ref="P753">IFNA(XLOOKUP(K753,'⚙️ Pengaturan'!$E$2:$E800,'⚙️ Pengaturan'!$F$2:$F800),"")</f>
        <v>250000</v>
      </c>
      <c r="Q753" s="81">
        <f t="shared" si="11"/>
        <v>0</v>
      </c>
      <c r="R753" s="26" t="s">
        <v>28</v>
      </c>
      <c r="S753" s="38" t="s">
        <v>416</v>
      </c>
      <c r="T753" s="35" t="b">
        <v>1</v>
      </c>
      <c r="U753" s="36"/>
    </row>
    <row r="754" ht="30.0" customHeight="1">
      <c r="A754" s="24"/>
      <c r="B754" s="25">
        <v>2861.0</v>
      </c>
      <c r="C754" s="26" t="s">
        <v>40</v>
      </c>
      <c r="D754" s="27">
        <v>46078.0</v>
      </c>
      <c r="E754" s="28" t="str">
        <f t="shared" si="1"/>
        <v>2026</v>
      </c>
      <c r="F754" s="28" t="str">
        <f t="shared" si="2"/>
        <v>02 Feb</v>
      </c>
      <c r="G754" s="50" t="s">
        <v>118</v>
      </c>
      <c r="H754" s="29" t="s">
        <v>70</v>
      </c>
      <c r="I754" s="29" t="s">
        <v>526</v>
      </c>
      <c r="J754" s="75"/>
      <c r="K754" s="76" t="s">
        <v>73</v>
      </c>
      <c r="L754" s="77" t="str">
        <f t="shared" si="3"/>
        <v>TA VISIT</v>
      </c>
      <c r="M754" s="78" t="s">
        <v>27</v>
      </c>
      <c r="N754" s="79">
        <v>350000.0</v>
      </c>
      <c r="O754" s="80">
        <v>0.0</v>
      </c>
      <c r="P754" s="32">
        <f t="array" ref="P754">IFNA(XLOOKUP(K754,'⚙️ Pengaturan'!$E$2:$E800,'⚙️ Pengaturan'!$F$2:$F800),"")</f>
        <v>350000</v>
      </c>
      <c r="Q754" s="81">
        <f t="shared" si="11"/>
        <v>0</v>
      </c>
      <c r="R754" s="26" t="s">
        <v>33</v>
      </c>
      <c r="S754" s="38" t="s">
        <v>34</v>
      </c>
      <c r="T754" s="35" t="b">
        <v>1</v>
      </c>
      <c r="U754" s="36"/>
    </row>
    <row r="755" ht="30.0" customHeight="1">
      <c r="A755" s="24"/>
      <c r="B755" s="25">
        <v>2862.0</v>
      </c>
      <c r="C755" s="26" t="s">
        <v>40</v>
      </c>
      <c r="D755" s="27">
        <v>46077.0</v>
      </c>
      <c r="E755" s="28" t="str">
        <f t="shared" si="1"/>
        <v>2026</v>
      </c>
      <c r="F755" s="28" t="str">
        <f t="shared" si="2"/>
        <v>02 Feb</v>
      </c>
      <c r="G755" s="50" t="s">
        <v>61</v>
      </c>
      <c r="H755" s="29" t="s">
        <v>58</v>
      </c>
      <c r="I755" s="29" t="s">
        <v>525</v>
      </c>
      <c r="J755" s="75"/>
      <c r="K755" s="76" t="s">
        <v>397</v>
      </c>
      <c r="L755" s="77" t="str">
        <f t="shared" si="3"/>
        <v>PAKET KLINIK</v>
      </c>
      <c r="M755" s="78" t="s">
        <v>27</v>
      </c>
      <c r="N755" s="79">
        <v>1300000.0</v>
      </c>
      <c r="O755" s="80">
        <v>0.0</v>
      </c>
      <c r="P755" s="32">
        <f t="array" ref="P755">IFNA(XLOOKUP(K755,'⚙️ Pengaturan'!$E$2:$E800,'⚙️ Pengaturan'!$F$2:$F800),"")</f>
        <v>1300000</v>
      </c>
      <c r="Q755" s="81">
        <f t="shared" si="11"/>
        <v>0</v>
      </c>
      <c r="R755" s="26" t="s">
        <v>28</v>
      </c>
      <c r="S755" s="38" t="s">
        <v>416</v>
      </c>
      <c r="T755" s="35" t="b">
        <v>1</v>
      </c>
      <c r="U755" s="36"/>
    </row>
    <row r="756" ht="30.0" customHeight="1">
      <c r="A756" s="24"/>
      <c r="B756" s="25">
        <v>2863.0</v>
      </c>
      <c r="C756" s="26" t="s">
        <v>40</v>
      </c>
      <c r="D756" s="27">
        <v>46076.0</v>
      </c>
      <c r="E756" s="28" t="str">
        <f t="shared" si="1"/>
        <v>2026</v>
      </c>
      <c r="F756" s="28" t="str">
        <f t="shared" si="2"/>
        <v>02 Feb</v>
      </c>
      <c r="G756" s="50" t="s">
        <v>118</v>
      </c>
      <c r="H756" s="29" t="s">
        <v>42</v>
      </c>
      <c r="I756" s="29" t="s">
        <v>527</v>
      </c>
      <c r="J756" s="75"/>
      <c r="K756" s="76" t="s">
        <v>128</v>
      </c>
      <c r="L756" s="77" t="str">
        <f t="shared" si="3"/>
        <v>TA VISIT</v>
      </c>
      <c r="M756" s="78" t="s">
        <v>27</v>
      </c>
      <c r="N756" s="79">
        <v>300000.0</v>
      </c>
      <c r="O756" s="80">
        <v>0.0</v>
      </c>
      <c r="P756" s="32">
        <f t="array" ref="P756">IFNA(XLOOKUP(K756,'⚙️ Pengaturan'!$E$2:$E800,'⚙️ Pengaturan'!$F$2:$F800),"")</f>
        <v>300000</v>
      </c>
      <c r="Q756" s="81">
        <f t="shared" si="11"/>
        <v>0</v>
      </c>
      <c r="R756" s="26" t="s">
        <v>28</v>
      </c>
      <c r="S756" s="38" t="s">
        <v>527</v>
      </c>
      <c r="T756" s="35" t="b">
        <v>1</v>
      </c>
      <c r="U756" s="36"/>
    </row>
    <row r="757" ht="30.0" customHeight="1">
      <c r="A757" s="24"/>
      <c r="B757" s="25">
        <v>2864.0</v>
      </c>
      <c r="C757" s="26" t="s">
        <v>40</v>
      </c>
      <c r="D757" s="27">
        <v>46078.0</v>
      </c>
      <c r="E757" s="28" t="str">
        <f t="shared" si="1"/>
        <v>2026</v>
      </c>
      <c r="F757" s="28" t="str">
        <f t="shared" si="2"/>
        <v>02 Feb</v>
      </c>
      <c r="G757" s="50" t="s">
        <v>67</v>
      </c>
      <c r="H757" s="29" t="s">
        <v>30</v>
      </c>
      <c r="I757" s="29" t="s">
        <v>528</v>
      </c>
      <c r="J757" s="75"/>
      <c r="K757" s="76" t="s">
        <v>26</v>
      </c>
      <c r="L757" s="77" t="str">
        <f t="shared" si="3"/>
        <v>TA KLINIK</v>
      </c>
      <c r="M757" s="78" t="s">
        <v>27</v>
      </c>
      <c r="N757" s="79">
        <v>250000.0</v>
      </c>
      <c r="O757" s="80">
        <v>0.0</v>
      </c>
      <c r="P757" s="32">
        <f t="array" ref="P757">IFNA(XLOOKUP(K757,'⚙️ Pengaturan'!$E$2:$E800,'⚙️ Pengaturan'!$F$2:$F800),"")</f>
        <v>250000</v>
      </c>
      <c r="Q757" s="81">
        <f t="shared" si="11"/>
        <v>0</v>
      </c>
      <c r="R757" s="26" t="s">
        <v>28</v>
      </c>
      <c r="S757" s="38" t="s">
        <v>528</v>
      </c>
      <c r="T757" s="35" t="b">
        <v>1</v>
      </c>
      <c r="U757" s="36"/>
    </row>
    <row r="758" ht="30.0" customHeight="1">
      <c r="A758" s="24"/>
      <c r="B758" s="25">
        <v>2865.0</v>
      </c>
      <c r="C758" s="26" t="s">
        <v>40</v>
      </c>
      <c r="D758" s="27">
        <v>46063.0</v>
      </c>
      <c r="E758" s="28" t="str">
        <f t="shared" si="1"/>
        <v>2026</v>
      </c>
      <c r="F758" s="28" t="str">
        <f t="shared" si="2"/>
        <v>02 Feb</v>
      </c>
      <c r="G758" s="50" t="s">
        <v>118</v>
      </c>
      <c r="H758" s="29" t="s">
        <v>68</v>
      </c>
      <c r="I758" s="29" t="s">
        <v>529</v>
      </c>
      <c r="J758" s="75"/>
      <c r="K758" s="76" t="s">
        <v>197</v>
      </c>
      <c r="L758" s="77" t="str">
        <f t="shared" si="3"/>
        <v>PAKET VISIT</v>
      </c>
      <c r="M758" s="78" t="s">
        <v>27</v>
      </c>
      <c r="N758" s="79">
        <v>1800000.0</v>
      </c>
      <c r="O758" s="80">
        <v>0.0</v>
      </c>
      <c r="P758" s="32">
        <f t="array" ref="P758">IFNA(XLOOKUP(K758,'⚙️ Pengaturan'!$E$2:$E800,'⚙️ Pengaturan'!$F$2:$F800),"")</f>
        <v>1800000</v>
      </c>
      <c r="Q758" s="81">
        <f t="shared" si="11"/>
        <v>0</v>
      </c>
      <c r="R758" s="26" t="s">
        <v>28</v>
      </c>
      <c r="S758" s="38" t="s">
        <v>529</v>
      </c>
      <c r="T758" s="35" t="b">
        <v>1</v>
      </c>
      <c r="U758" s="36"/>
    </row>
    <row r="759" ht="30.0" customHeight="1">
      <c r="A759" s="24"/>
      <c r="B759" s="25">
        <v>2866.0</v>
      </c>
      <c r="C759" s="26" t="s">
        <v>40</v>
      </c>
      <c r="D759" s="27">
        <v>46078.0</v>
      </c>
      <c r="E759" s="28" t="str">
        <f t="shared" si="1"/>
        <v>2026</v>
      </c>
      <c r="F759" s="28" t="str">
        <f t="shared" si="2"/>
        <v>02 Feb</v>
      </c>
      <c r="G759" s="50" t="s">
        <v>22</v>
      </c>
      <c r="H759" s="29" t="s">
        <v>30</v>
      </c>
      <c r="I759" s="29" t="s">
        <v>530</v>
      </c>
      <c r="J759" s="75"/>
      <c r="K759" s="76" t="s">
        <v>26</v>
      </c>
      <c r="L759" s="77" t="str">
        <f t="shared" si="3"/>
        <v>TA KLINIK</v>
      </c>
      <c r="M759" s="78" t="s">
        <v>27</v>
      </c>
      <c r="N759" s="79">
        <v>250000.0</v>
      </c>
      <c r="O759" s="80">
        <v>0.0</v>
      </c>
      <c r="P759" s="32">
        <f t="array" ref="P759">IFNA(XLOOKUP(K759,'⚙️ Pengaturan'!$E$2:$E800,'⚙️ Pengaturan'!$F$2:$F800),"")</f>
        <v>250000</v>
      </c>
      <c r="Q759" s="81">
        <f t="shared" si="11"/>
        <v>0</v>
      </c>
      <c r="R759" s="26" t="s">
        <v>33</v>
      </c>
      <c r="S759" s="38" t="s">
        <v>34</v>
      </c>
      <c r="T759" s="35" t="b">
        <v>1</v>
      </c>
      <c r="U759" s="36"/>
    </row>
    <row r="760" ht="30.0" customHeight="1">
      <c r="A760" s="24"/>
      <c r="B760" s="25">
        <v>2867.0</v>
      </c>
      <c r="C760" s="26" t="s">
        <v>40</v>
      </c>
      <c r="D760" s="27">
        <v>46064.0</v>
      </c>
      <c r="E760" s="28" t="str">
        <f t="shared" si="1"/>
        <v>2026</v>
      </c>
      <c r="F760" s="28" t="str">
        <f t="shared" si="2"/>
        <v>02 Feb</v>
      </c>
      <c r="G760" s="50" t="s">
        <v>118</v>
      </c>
      <c r="H760" s="29" t="s">
        <v>345</v>
      </c>
      <c r="I760" s="29" t="s">
        <v>443</v>
      </c>
      <c r="J760" s="75"/>
      <c r="K760" s="76" t="s">
        <v>73</v>
      </c>
      <c r="L760" s="77" t="str">
        <f t="shared" si="3"/>
        <v>TA VISIT</v>
      </c>
      <c r="M760" s="78" t="s">
        <v>27</v>
      </c>
      <c r="N760" s="79">
        <v>350000.0</v>
      </c>
      <c r="O760" s="80">
        <v>0.0</v>
      </c>
      <c r="P760" s="32">
        <f t="array" ref="P760">IFNA(XLOOKUP(K760,'⚙️ Pengaturan'!$E$2:$E800,'⚙️ Pengaturan'!$F$2:$F800),"")</f>
        <v>350000</v>
      </c>
      <c r="Q760" s="81">
        <f t="shared" si="11"/>
        <v>0</v>
      </c>
      <c r="R760" s="26" t="s">
        <v>28</v>
      </c>
      <c r="S760" s="38" t="s">
        <v>444</v>
      </c>
      <c r="T760" s="35" t="b">
        <v>1</v>
      </c>
      <c r="U760" s="36"/>
    </row>
    <row r="761" ht="30.0" customHeight="1">
      <c r="A761" s="24"/>
      <c r="B761" s="25">
        <v>2868.0</v>
      </c>
      <c r="C761" s="26" t="s">
        <v>40</v>
      </c>
      <c r="D761" s="27">
        <v>46078.0</v>
      </c>
      <c r="E761" s="28" t="str">
        <f t="shared" si="1"/>
        <v>2026</v>
      </c>
      <c r="F761" s="28" t="str">
        <f t="shared" si="2"/>
        <v>02 Feb</v>
      </c>
      <c r="G761" s="50" t="s">
        <v>118</v>
      </c>
      <c r="H761" s="29" t="s">
        <v>345</v>
      </c>
      <c r="I761" s="29" t="s">
        <v>531</v>
      </c>
      <c r="J761" s="75"/>
      <c r="K761" s="76" t="s">
        <v>128</v>
      </c>
      <c r="L761" s="77" t="str">
        <f t="shared" si="3"/>
        <v>TA VISIT</v>
      </c>
      <c r="M761" s="78" t="s">
        <v>27</v>
      </c>
      <c r="N761" s="79">
        <v>300000.0</v>
      </c>
      <c r="O761" s="80">
        <v>0.0</v>
      </c>
      <c r="P761" s="32">
        <f t="array" ref="P761">IFNA(XLOOKUP(K761,'⚙️ Pengaturan'!$E$2:$E800,'⚙️ Pengaturan'!$F$2:$F800),"")</f>
        <v>300000</v>
      </c>
      <c r="Q761" s="81">
        <f t="shared" si="11"/>
        <v>0</v>
      </c>
      <c r="R761" s="26" t="s">
        <v>113</v>
      </c>
      <c r="S761" s="38" t="s">
        <v>532</v>
      </c>
      <c r="T761" s="35" t="b">
        <v>1</v>
      </c>
      <c r="U761" s="36"/>
    </row>
    <row r="762" ht="30.0" customHeight="1">
      <c r="A762" s="24"/>
      <c r="B762" s="25">
        <v>2869.0</v>
      </c>
      <c r="C762" s="26" t="s">
        <v>40</v>
      </c>
      <c r="D762" s="27">
        <v>46078.0</v>
      </c>
      <c r="E762" s="28" t="str">
        <f t="shared" si="1"/>
        <v>2026</v>
      </c>
      <c r="F762" s="28" t="str">
        <f t="shared" si="2"/>
        <v>02 Feb</v>
      </c>
      <c r="G762" s="50" t="s">
        <v>118</v>
      </c>
      <c r="H762" s="29" t="s">
        <v>345</v>
      </c>
      <c r="I762" s="29" t="s">
        <v>531</v>
      </c>
      <c r="J762" s="75"/>
      <c r="K762" s="76" t="s">
        <v>197</v>
      </c>
      <c r="L762" s="77" t="str">
        <f t="shared" si="3"/>
        <v>PAKET VISIT</v>
      </c>
      <c r="M762" s="78" t="s">
        <v>27</v>
      </c>
      <c r="N762" s="79">
        <v>1800000.0</v>
      </c>
      <c r="O762" s="80">
        <v>0.0</v>
      </c>
      <c r="P762" s="32">
        <f t="array" ref="P762">IFNA(XLOOKUP(K762,'⚙️ Pengaturan'!$E$2:$E800,'⚙️ Pengaturan'!$F$2:$F800),"")</f>
        <v>1800000</v>
      </c>
      <c r="Q762" s="81">
        <f t="shared" si="11"/>
        <v>0</v>
      </c>
      <c r="R762" s="26" t="s">
        <v>113</v>
      </c>
      <c r="S762" s="38" t="s">
        <v>532</v>
      </c>
      <c r="T762" s="35" t="b">
        <v>1</v>
      </c>
      <c r="U762" s="36"/>
    </row>
    <row r="763" ht="30.0" customHeight="1">
      <c r="A763" s="24"/>
      <c r="B763" s="25">
        <v>2870.0</v>
      </c>
      <c r="C763" s="26" t="s">
        <v>40</v>
      </c>
      <c r="D763" s="27">
        <v>46078.0</v>
      </c>
      <c r="E763" s="28" t="str">
        <f t="shared" si="1"/>
        <v>2026</v>
      </c>
      <c r="F763" s="28" t="str">
        <f t="shared" si="2"/>
        <v>02 Feb</v>
      </c>
      <c r="G763" s="50" t="s">
        <v>29</v>
      </c>
      <c r="H763" s="29" t="s">
        <v>30</v>
      </c>
      <c r="I763" s="29" t="s">
        <v>330</v>
      </c>
      <c r="J763" s="75"/>
      <c r="K763" s="76" t="s">
        <v>369</v>
      </c>
      <c r="L763" s="77" t="str">
        <f t="shared" si="3"/>
        <v>SESI KLINIK</v>
      </c>
      <c r="M763" s="78" t="s">
        <v>27</v>
      </c>
      <c r="N763" s="79">
        <v>180000.0</v>
      </c>
      <c r="O763" s="80">
        <v>0.0</v>
      </c>
      <c r="P763" s="32">
        <f t="array" ref="P763">IFNA(XLOOKUP(K763,'⚙️ Pengaturan'!$E$2:$E800,'⚙️ Pengaturan'!$F$2:$F800),"")</f>
        <v>180000</v>
      </c>
      <c r="Q763" s="81">
        <f t="shared" si="11"/>
        <v>0</v>
      </c>
      <c r="R763" s="26" t="s">
        <v>28</v>
      </c>
      <c r="S763" s="38" t="s">
        <v>330</v>
      </c>
      <c r="T763" s="35" t="b">
        <v>1</v>
      </c>
      <c r="U763" s="36"/>
    </row>
    <row r="764" ht="30.0" customHeight="1">
      <c r="A764" s="24"/>
      <c r="B764" s="25">
        <v>2871.0</v>
      </c>
      <c r="C764" s="26" t="s">
        <v>40</v>
      </c>
      <c r="D764" s="27">
        <v>46078.0</v>
      </c>
      <c r="E764" s="28" t="str">
        <f t="shared" si="1"/>
        <v>2026</v>
      </c>
      <c r="F764" s="28" t="str">
        <f t="shared" si="2"/>
        <v>02 Feb</v>
      </c>
      <c r="G764" s="50" t="s">
        <v>29</v>
      </c>
      <c r="H764" s="29" t="s">
        <v>70</v>
      </c>
      <c r="I764" s="29" t="s">
        <v>533</v>
      </c>
      <c r="J764" s="75"/>
      <c r="K764" s="76" t="s">
        <v>26</v>
      </c>
      <c r="L764" s="77" t="str">
        <f t="shared" si="3"/>
        <v>TA KLINIK</v>
      </c>
      <c r="M764" s="78" t="s">
        <v>27</v>
      </c>
      <c r="N764" s="79">
        <v>250000.0</v>
      </c>
      <c r="O764" s="80">
        <v>0.0</v>
      </c>
      <c r="P764" s="32">
        <f t="array" ref="P764">IFNA(XLOOKUP(K764,'⚙️ Pengaturan'!$E$2:$E800,'⚙️ Pengaturan'!$F$2:$F800),"")</f>
        <v>250000</v>
      </c>
      <c r="Q764" s="81">
        <f t="shared" si="11"/>
        <v>0</v>
      </c>
      <c r="R764" s="26" t="s">
        <v>28</v>
      </c>
      <c r="S764" s="38" t="s">
        <v>330</v>
      </c>
      <c r="T764" s="35" t="b">
        <v>1</v>
      </c>
      <c r="U764" s="36"/>
    </row>
    <row r="765" ht="30.0" customHeight="1">
      <c r="A765" s="24"/>
      <c r="B765" s="25">
        <v>2872.0</v>
      </c>
      <c r="C765" s="26" t="s">
        <v>40</v>
      </c>
      <c r="D765" s="27">
        <v>46053.0</v>
      </c>
      <c r="E765" s="28" t="str">
        <f t="shared" si="1"/>
        <v>2026</v>
      </c>
      <c r="F765" s="28" t="str">
        <f t="shared" si="2"/>
        <v>01 Jan</v>
      </c>
      <c r="G765" s="50" t="s">
        <v>118</v>
      </c>
      <c r="H765" s="29" t="s">
        <v>58</v>
      </c>
      <c r="I765" s="29" t="s">
        <v>277</v>
      </c>
      <c r="J765" s="75"/>
      <c r="K765" s="76" t="s">
        <v>178</v>
      </c>
      <c r="L765" s="77" t="str">
        <f t="shared" si="3"/>
        <v>PAKET VISIT</v>
      </c>
      <c r="M765" s="78" t="s">
        <v>27</v>
      </c>
      <c r="N765" s="79">
        <v>2300000.0</v>
      </c>
      <c r="O765" s="80">
        <v>0.0</v>
      </c>
      <c r="P765" s="32">
        <f t="array" ref="P765">IFNA(XLOOKUP(K765,'⚙️ Pengaturan'!$E$2:$E800,'⚙️ Pengaturan'!$F$2:$F800),"")</f>
        <v>2300000</v>
      </c>
      <c r="Q765" s="81">
        <f t="shared" si="11"/>
        <v>0</v>
      </c>
      <c r="R765" s="26" t="s">
        <v>28</v>
      </c>
      <c r="S765" s="38" t="s">
        <v>278</v>
      </c>
      <c r="T765" s="35" t="b">
        <v>1</v>
      </c>
      <c r="U765" s="36"/>
    </row>
    <row r="766" ht="30.0" customHeight="1">
      <c r="A766" s="24"/>
      <c r="B766" s="25">
        <v>2873.0</v>
      </c>
      <c r="C766" s="26" t="s">
        <v>40</v>
      </c>
      <c r="D766" s="27">
        <v>46078.0</v>
      </c>
      <c r="E766" s="28" t="str">
        <f t="shared" si="1"/>
        <v>2026</v>
      </c>
      <c r="F766" s="28" t="str">
        <f t="shared" si="2"/>
        <v>02 Feb</v>
      </c>
      <c r="G766" s="50" t="s">
        <v>118</v>
      </c>
      <c r="H766" s="29" t="s">
        <v>58</v>
      </c>
      <c r="I766" s="29" t="s">
        <v>277</v>
      </c>
      <c r="J766" s="75"/>
      <c r="K766" s="76" t="s">
        <v>178</v>
      </c>
      <c r="L766" s="77" t="str">
        <f t="shared" si="3"/>
        <v>PAKET VISIT</v>
      </c>
      <c r="M766" s="78" t="s">
        <v>27</v>
      </c>
      <c r="N766" s="79">
        <v>2300000.0</v>
      </c>
      <c r="O766" s="80">
        <v>0.0</v>
      </c>
      <c r="P766" s="32">
        <f t="array" ref="P766">IFNA(XLOOKUP(K766,'⚙️ Pengaturan'!$E$2:$E800,'⚙️ Pengaturan'!$F$2:$F800),"")</f>
        <v>2300000</v>
      </c>
      <c r="Q766" s="81">
        <f t="shared" si="11"/>
        <v>0</v>
      </c>
      <c r="R766" s="26" t="s">
        <v>28</v>
      </c>
      <c r="S766" s="38" t="s">
        <v>278</v>
      </c>
      <c r="T766" s="35" t="b">
        <v>1</v>
      </c>
      <c r="U766" s="36"/>
    </row>
    <row r="767" ht="30.0" customHeight="1">
      <c r="A767" s="24"/>
      <c r="B767" s="25">
        <v>2874.0</v>
      </c>
      <c r="C767" s="26" t="s">
        <v>40</v>
      </c>
      <c r="D767" s="27">
        <v>46078.0</v>
      </c>
      <c r="E767" s="28" t="str">
        <f t="shared" si="1"/>
        <v>2026</v>
      </c>
      <c r="F767" s="28" t="str">
        <f t="shared" si="2"/>
        <v>02 Feb</v>
      </c>
      <c r="G767" s="50" t="s">
        <v>118</v>
      </c>
      <c r="H767" s="29" t="s">
        <v>70</v>
      </c>
      <c r="I767" s="29" t="s">
        <v>522</v>
      </c>
      <c r="J767" s="75"/>
      <c r="K767" s="76" t="s">
        <v>197</v>
      </c>
      <c r="L767" s="77" t="str">
        <f t="shared" si="3"/>
        <v>PAKET VISIT</v>
      </c>
      <c r="M767" s="78" t="s">
        <v>27</v>
      </c>
      <c r="N767" s="79">
        <v>1800000.0</v>
      </c>
      <c r="O767" s="80">
        <v>0.0</v>
      </c>
      <c r="P767" s="32">
        <f t="array" ref="P767">IFNA(XLOOKUP(K767,'⚙️ Pengaturan'!$E$2:$E800,'⚙️ Pengaturan'!$F$2:$F800),"")</f>
        <v>1800000</v>
      </c>
      <c r="Q767" s="81">
        <f t="shared" si="11"/>
        <v>0</v>
      </c>
      <c r="R767" s="26" t="s">
        <v>28</v>
      </c>
      <c r="S767" s="38" t="s">
        <v>522</v>
      </c>
      <c r="T767" s="35" t="b">
        <v>1</v>
      </c>
      <c r="U767" s="36"/>
    </row>
    <row r="768" ht="30.0" customHeight="1">
      <c r="A768" s="24"/>
      <c r="B768" s="25">
        <v>2875.0</v>
      </c>
      <c r="C768" s="26" t="s">
        <v>507</v>
      </c>
      <c r="D768" s="27">
        <v>46078.0</v>
      </c>
      <c r="E768" s="28" t="str">
        <f t="shared" si="1"/>
        <v>2026</v>
      </c>
      <c r="F768" s="28" t="str">
        <f t="shared" si="2"/>
        <v>02 Feb</v>
      </c>
      <c r="G768" s="50" t="s">
        <v>118</v>
      </c>
      <c r="H768" s="29" t="s">
        <v>48</v>
      </c>
      <c r="I768" s="29" t="s">
        <v>343</v>
      </c>
      <c r="J768" s="75"/>
      <c r="K768" s="76" t="s">
        <v>369</v>
      </c>
      <c r="L768" s="77" t="str">
        <f t="shared" si="3"/>
        <v>SESI KLINIK</v>
      </c>
      <c r="M768" s="78" t="s">
        <v>27</v>
      </c>
      <c r="N768" s="79">
        <v>180000.0</v>
      </c>
      <c r="O768" s="80">
        <v>0.0</v>
      </c>
      <c r="P768" s="32">
        <f t="array" ref="P768">IFNA(XLOOKUP(K768,'⚙️ Pengaturan'!$E$2:$E800,'⚙️ Pengaturan'!$F$2:$F800),"")</f>
        <v>180000</v>
      </c>
      <c r="Q768" s="81">
        <f t="shared" si="11"/>
        <v>0</v>
      </c>
      <c r="R768" s="26" t="s">
        <v>33</v>
      </c>
      <c r="S768" s="38" t="s">
        <v>34</v>
      </c>
      <c r="T768" s="35" t="b">
        <v>1</v>
      </c>
      <c r="U768" s="36"/>
    </row>
    <row r="769" ht="30.0" customHeight="1">
      <c r="A769" s="24"/>
      <c r="B769" s="25">
        <v>2876.0</v>
      </c>
      <c r="C769" s="26" t="s">
        <v>507</v>
      </c>
      <c r="D769" s="27">
        <v>46078.0</v>
      </c>
      <c r="E769" s="28" t="str">
        <f t="shared" si="1"/>
        <v>2026</v>
      </c>
      <c r="F769" s="28" t="str">
        <f t="shared" si="2"/>
        <v>02 Feb</v>
      </c>
      <c r="G769" s="50" t="s">
        <v>118</v>
      </c>
      <c r="H769" s="29" t="s">
        <v>48</v>
      </c>
      <c r="I769" s="29" t="s">
        <v>452</v>
      </c>
      <c r="J769" s="75"/>
      <c r="K769" s="76" t="s">
        <v>395</v>
      </c>
      <c r="L769" s="77" t="str">
        <f t="shared" si="3"/>
        <v>PAKET KLINIK</v>
      </c>
      <c r="M769" s="78" t="s">
        <v>27</v>
      </c>
      <c r="N769" s="79">
        <v>750000.0</v>
      </c>
      <c r="O769" s="80">
        <v>0.0</v>
      </c>
      <c r="P769" s="32">
        <f t="array" ref="P769">IFNA(XLOOKUP(K769,'⚙️ Pengaturan'!$E$2:$E800,'⚙️ Pengaturan'!$F$2:$F800),"")</f>
        <v>750000</v>
      </c>
      <c r="Q769" s="81">
        <f t="shared" si="11"/>
        <v>0</v>
      </c>
      <c r="R769" s="26" t="s">
        <v>113</v>
      </c>
      <c r="S769" s="38" t="s">
        <v>452</v>
      </c>
      <c r="T769" s="35" t="b">
        <v>1</v>
      </c>
      <c r="U769" s="36"/>
    </row>
    <row r="770" ht="30.0" customHeight="1">
      <c r="A770" s="24"/>
      <c r="B770" s="25">
        <v>2877.0</v>
      </c>
      <c r="C770" s="26" t="s">
        <v>21</v>
      </c>
      <c r="D770" s="27">
        <v>46078.0</v>
      </c>
      <c r="E770" s="28" t="str">
        <f t="shared" si="1"/>
        <v>2026</v>
      </c>
      <c r="F770" s="28" t="str">
        <f t="shared" si="2"/>
        <v>02 Feb</v>
      </c>
      <c r="G770" s="50" t="s">
        <v>118</v>
      </c>
      <c r="H770" s="29" t="s">
        <v>70</v>
      </c>
      <c r="I770" s="29" t="s">
        <v>213</v>
      </c>
      <c r="J770" s="75"/>
      <c r="K770" s="76" t="s">
        <v>197</v>
      </c>
      <c r="L770" s="77" t="str">
        <f t="shared" si="3"/>
        <v>PAKET VISIT</v>
      </c>
      <c r="M770" s="78" t="s">
        <v>27</v>
      </c>
      <c r="N770" s="79">
        <v>1800000.0</v>
      </c>
      <c r="O770" s="80">
        <v>0.0</v>
      </c>
      <c r="P770" s="32">
        <f t="array" ref="P770">IFNA(XLOOKUP(K770,'⚙️ Pengaturan'!$E$2:$E800,'⚙️ Pengaturan'!$F$2:$F800),"")</f>
        <v>1800000</v>
      </c>
      <c r="Q770" s="81">
        <f t="shared" si="11"/>
        <v>0</v>
      </c>
      <c r="R770" s="26" t="s">
        <v>28</v>
      </c>
      <c r="S770" s="38" t="s">
        <v>534</v>
      </c>
      <c r="T770" s="35" t="b">
        <v>1</v>
      </c>
      <c r="U770" s="36"/>
    </row>
    <row r="771" ht="30.0" customHeight="1">
      <c r="A771" s="24"/>
      <c r="B771" s="25">
        <v>2878.0</v>
      </c>
      <c r="C771" s="26" t="s">
        <v>507</v>
      </c>
      <c r="D771" s="27">
        <v>46078.0</v>
      </c>
      <c r="E771" s="28" t="str">
        <f t="shared" si="1"/>
        <v>2026</v>
      </c>
      <c r="F771" s="28" t="str">
        <f t="shared" si="2"/>
        <v>02 Feb</v>
      </c>
      <c r="G771" s="50" t="s">
        <v>118</v>
      </c>
      <c r="H771" s="29" t="s">
        <v>30</v>
      </c>
      <c r="I771" s="29" t="s">
        <v>456</v>
      </c>
      <c r="J771" s="75"/>
      <c r="K771" s="76" t="s">
        <v>39</v>
      </c>
      <c r="L771" s="77" t="str">
        <f t="shared" si="3"/>
        <v>PAKET KLINIK</v>
      </c>
      <c r="M771" s="78" t="s">
        <v>27</v>
      </c>
      <c r="N771" s="79">
        <v>650000.0</v>
      </c>
      <c r="O771" s="80">
        <v>0.0</v>
      </c>
      <c r="P771" s="32">
        <f t="array" ref="P771">IFNA(XLOOKUP(K771,'⚙️ Pengaturan'!$E$2:$E800,'⚙️ Pengaturan'!$F$2:$F800),"")</f>
        <v>650000</v>
      </c>
      <c r="Q771" s="81">
        <f t="shared" si="11"/>
        <v>0</v>
      </c>
      <c r="R771" s="26" t="s">
        <v>113</v>
      </c>
      <c r="S771" s="38" t="s">
        <v>166</v>
      </c>
      <c r="T771" s="35" t="b">
        <v>1</v>
      </c>
      <c r="U771" s="36"/>
    </row>
    <row r="772" ht="30.0" customHeight="1">
      <c r="A772" s="24"/>
      <c r="B772" s="25">
        <v>2879.0</v>
      </c>
      <c r="C772" s="26" t="s">
        <v>507</v>
      </c>
      <c r="D772" s="27">
        <v>46078.0</v>
      </c>
      <c r="E772" s="28" t="str">
        <f t="shared" si="1"/>
        <v>2026</v>
      </c>
      <c r="F772" s="28" t="str">
        <f t="shared" si="2"/>
        <v>02 Feb</v>
      </c>
      <c r="G772" s="50" t="s">
        <v>118</v>
      </c>
      <c r="H772" s="29" t="s">
        <v>42</v>
      </c>
      <c r="I772" s="29" t="s">
        <v>535</v>
      </c>
      <c r="J772" s="75"/>
      <c r="K772" s="76" t="s">
        <v>26</v>
      </c>
      <c r="L772" s="77" t="str">
        <f t="shared" si="3"/>
        <v>TA KLINIK</v>
      </c>
      <c r="M772" s="78" t="s">
        <v>27</v>
      </c>
      <c r="N772" s="79">
        <v>250000.0</v>
      </c>
      <c r="O772" s="80">
        <v>0.0</v>
      </c>
      <c r="P772" s="32">
        <f t="array" ref="P772">IFNA(XLOOKUP(K772,'⚙️ Pengaturan'!$E$2:$E800,'⚙️ Pengaturan'!$F$2:$F800),"")</f>
        <v>250000</v>
      </c>
      <c r="Q772" s="81">
        <f t="shared" si="11"/>
        <v>0</v>
      </c>
      <c r="R772" s="26" t="s">
        <v>33</v>
      </c>
      <c r="S772" s="38" t="s">
        <v>34</v>
      </c>
      <c r="T772" s="35" t="b">
        <v>1</v>
      </c>
      <c r="U772" s="36"/>
    </row>
    <row r="773" ht="30.0" customHeight="1">
      <c r="A773" s="24"/>
      <c r="B773" s="25">
        <v>2880.0</v>
      </c>
      <c r="C773" s="26" t="s">
        <v>507</v>
      </c>
      <c r="D773" s="27">
        <v>46079.0</v>
      </c>
      <c r="E773" s="28" t="str">
        <f t="shared" si="1"/>
        <v>2026</v>
      </c>
      <c r="F773" s="28" t="str">
        <f t="shared" si="2"/>
        <v>02 Feb</v>
      </c>
      <c r="G773" s="50" t="s">
        <v>67</v>
      </c>
      <c r="H773" s="29" t="s">
        <v>51</v>
      </c>
      <c r="I773" s="29" t="s">
        <v>453</v>
      </c>
      <c r="J773" s="75"/>
      <c r="K773" s="76" t="s">
        <v>369</v>
      </c>
      <c r="L773" s="77" t="str">
        <f t="shared" si="3"/>
        <v>SESI KLINIK</v>
      </c>
      <c r="M773" s="78" t="s">
        <v>27</v>
      </c>
      <c r="N773" s="79">
        <v>180000.0</v>
      </c>
      <c r="O773" s="80">
        <v>0.0</v>
      </c>
      <c r="P773" s="32">
        <f t="array" ref="P773">IFNA(XLOOKUP(K773,'⚙️ Pengaturan'!$E$2:$E800,'⚙️ Pengaturan'!$F$2:$F800),"")</f>
        <v>180000</v>
      </c>
      <c r="Q773" s="81">
        <f t="shared" si="11"/>
        <v>0</v>
      </c>
      <c r="R773" s="26" t="s">
        <v>28</v>
      </c>
      <c r="S773" s="38" t="s">
        <v>453</v>
      </c>
      <c r="T773" s="35" t="b">
        <v>1</v>
      </c>
      <c r="U773" s="36"/>
    </row>
    <row r="774" ht="30.0" customHeight="1">
      <c r="A774" s="24"/>
      <c r="B774" s="25">
        <v>2881.0</v>
      </c>
      <c r="C774" s="26" t="s">
        <v>507</v>
      </c>
      <c r="D774" s="27">
        <v>46079.0</v>
      </c>
      <c r="E774" s="28" t="str">
        <f t="shared" si="1"/>
        <v>2026</v>
      </c>
      <c r="F774" s="28" t="str">
        <f t="shared" si="2"/>
        <v>02 Feb</v>
      </c>
      <c r="G774" s="50" t="s">
        <v>118</v>
      </c>
      <c r="H774" s="29" t="s">
        <v>51</v>
      </c>
      <c r="I774" s="29" t="s">
        <v>536</v>
      </c>
      <c r="J774" s="75"/>
      <c r="K774" s="76" t="s">
        <v>26</v>
      </c>
      <c r="L774" s="77" t="str">
        <f t="shared" si="3"/>
        <v>TA KLINIK</v>
      </c>
      <c r="M774" s="78" t="s">
        <v>27</v>
      </c>
      <c r="N774" s="79">
        <v>250000.0</v>
      </c>
      <c r="O774" s="80">
        <v>0.0</v>
      </c>
      <c r="P774" s="32">
        <f t="array" ref="P774">IFNA(XLOOKUP(K774,'⚙️ Pengaturan'!$E$2:$E800,'⚙️ Pengaturan'!$F$2:$F800),"")</f>
        <v>250000</v>
      </c>
      <c r="Q774" s="81">
        <f t="shared" si="11"/>
        <v>0</v>
      </c>
      <c r="R774" s="26" t="s">
        <v>33</v>
      </c>
      <c r="S774" s="38" t="s">
        <v>34</v>
      </c>
      <c r="T774" s="35" t="b">
        <v>1</v>
      </c>
      <c r="U774" s="36"/>
    </row>
    <row r="775" ht="30.0" customHeight="1">
      <c r="A775" s="24"/>
      <c r="B775" s="25">
        <v>2882.0</v>
      </c>
      <c r="C775" s="26" t="s">
        <v>507</v>
      </c>
      <c r="D775" s="27">
        <v>46079.0</v>
      </c>
      <c r="E775" s="28" t="str">
        <f t="shared" si="1"/>
        <v>2026</v>
      </c>
      <c r="F775" s="28" t="str">
        <f t="shared" si="2"/>
        <v>02 Feb</v>
      </c>
      <c r="G775" s="50" t="s">
        <v>118</v>
      </c>
      <c r="H775" s="29" t="s">
        <v>42</v>
      </c>
      <c r="I775" s="29" t="s">
        <v>537</v>
      </c>
      <c r="J775" s="75"/>
      <c r="K775" s="76" t="s">
        <v>26</v>
      </c>
      <c r="L775" s="77" t="str">
        <f t="shared" si="3"/>
        <v>TA KLINIK</v>
      </c>
      <c r="M775" s="78" t="s">
        <v>27</v>
      </c>
      <c r="N775" s="79">
        <v>250000.0</v>
      </c>
      <c r="O775" s="80">
        <v>0.0</v>
      </c>
      <c r="P775" s="32">
        <f t="array" ref="P775">IFNA(XLOOKUP(K775,'⚙️ Pengaturan'!$E$2:$E800,'⚙️ Pengaturan'!$F$2:$F800),"")</f>
        <v>250000</v>
      </c>
      <c r="Q775" s="81">
        <f t="shared" si="11"/>
        <v>0</v>
      </c>
      <c r="R775" s="26" t="s">
        <v>33</v>
      </c>
      <c r="S775" s="38" t="s">
        <v>34</v>
      </c>
      <c r="T775" s="35" t="b">
        <v>1</v>
      </c>
      <c r="U775" s="36"/>
    </row>
    <row r="776" ht="30.0" customHeight="1">
      <c r="A776" s="24"/>
      <c r="B776" s="25">
        <v>2883.0</v>
      </c>
      <c r="C776" s="26" t="s">
        <v>40</v>
      </c>
      <c r="D776" s="27">
        <v>46079.0</v>
      </c>
      <c r="E776" s="28" t="str">
        <f t="shared" si="1"/>
        <v>2026</v>
      </c>
      <c r="F776" s="28" t="str">
        <f t="shared" si="2"/>
        <v>02 Feb</v>
      </c>
      <c r="G776" s="50" t="s">
        <v>118</v>
      </c>
      <c r="H776" s="29" t="s">
        <v>42</v>
      </c>
      <c r="I776" s="29" t="s">
        <v>538</v>
      </c>
      <c r="J776" s="75"/>
      <c r="K776" s="76" t="s">
        <v>128</v>
      </c>
      <c r="L776" s="77" t="str">
        <f t="shared" si="3"/>
        <v>TA VISIT</v>
      </c>
      <c r="M776" s="78" t="s">
        <v>27</v>
      </c>
      <c r="N776" s="79">
        <v>300000.0</v>
      </c>
      <c r="O776" s="80">
        <v>0.0</v>
      </c>
      <c r="P776" s="32">
        <f t="array" ref="P776">IFNA(XLOOKUP(K776,'⚙️ Pengaturan'!$E$2:$E800,'⚙️ Pengaturan'!$F$2:$F800),"")</f>
        <v>300000</v>
      </c>
      <c r="Q776" s="81">
        <f t="shared" si="11"/>
        <v>0</v>
      </c>
      <c r="R776" s="26" t="s">
        <v>28</v>
      </c>
      <c r="S776" s="38" t="s">
        <v>418</v>
      </c>
      <c r="T776" s="35" t="b">
        <v>1</v>
      </c>
      <c r="U776" s="36"/>
    </row>
    <row r="777" ht="30.0" customHeight="1">
      <c r="A777" s="24"/>
      <c r="B777" s="25">
        <v>2884.0</v>
      </c>
      <c r="C777" s="26" t="s">
        <v>40</v>
      </c>
      <c r="D777" s="27">
        <v>46079.0</v>
      </c>
      <c r="E777" s="28" t="str">
        <f t="shared" si="1"/>
        <v>2026</v>
      </c>
      <c r="F777" s="28" t="str">
        <f t="shared" si="2"/>
        <v>02 Feb</v>
      </c>
      <c r="G777" s="50" t="s">
        <v>46</v>
      </c>
      <c r="H777" s="29" t="s">
        <v>70</v>
      </c>
      <c r="I777" s="29" t="s">
        <v>539</v>
      </c>
      <c r="J777" s="75"/>
      <c r="K777" s="76" t="s">
        <v>26</v>
      </c>
      <c r="L777" s="77" t="str">
        <f t="shared" si="3"/>
        <v>TA KLINIK</v>
      </c>
      <c r="M777" s="78" t="s">
        <v>27</v>
      </c>
      <c r="N777" s="79">
        <v>250000.0</v>
      </c>
      <c r="O777" s="80">
        <v>0.0</v>
      </c>
      <c r="P777" s="32">
        <f t="array" ref="P777">IFNA(XLOOKUP(K777,'⚙️ Pengaturan'!$E$2:$E800,'⚙️ Pengaturan'!$F$2:$F800),"")</f>
        <v>250000</v>
      </c>
      <c r="Q777" s="81">
        <f t="shared" si="11"/>
        <v>0</v>
      </c>
      <c r="R777" s="26" t="s">
        <v>33</v>
      </c>
      <c r="S777" s="38" t="s">
        <v>34</v>
      </c>
      <c r="T777" s="35" t="b">
        <v>1</v>
      </c>
      <c r="U777" s="36"/>
    </row>
    <row r="778" ht="30.0" customHeight="1">
      <c r="A778" s="24"/>
      <c r="B778" s="25">
        <v>2885.0</v>
      </c>
      <c r="C778" s="26" t="s">
        <v>40</v>
      </c>
      <c r="D778" s="27">
        <v>46079.0</v>
      </c>
      <c r="E778" s="28" t="str">
        <f t="shared" si="1"/>
        <v>2026</v>
      </c>
      <c r="F778" s="28" t="str">
        <f t="shared" si="2"/>
        <v>02 Feb</v>
      </c>
      <c r="G778" s="50" t="s">
        <v>41</v>
      </c>
      <c r="H778" s="29" t="s">
        <v>30</v>
      </c>
      <c r="I778" s="29" t="s">
        <v>155</v>
      </c>
      <c r="J778" s="75"/>
      <c r="K778" s="76" t="s">
        <v>44</v>
      </c>
      <c r="L778" s="77" t="str">
        <f t="shared" si="3"/>
        <v>PAKET KLINIK</v>
      </c>
      <c r="M778" s="78" t="s">
        <v>63</v>
      </c>
      <c r="N778" s="79">
        <v>700000.0</v>
      </c>
      <c r="O778" s="80">
        <v>500000.0</v>
      </c>
      <c r="P778" s="32">
        <f t="array" ref="P778">IFNA(XLOOKUP(K778,'⚙️ Pengaturan'!$E$2:$E800,'⚙️ Pengaturan'!$F$2:$F800),"")</f>
        <v>1200000</v>
      </c>
      <c r="Q778" s="81">
        <f t="shared" si="11"/>
        <v>0</v>
      </c>
      <c r="R778" s="26" t="s">
        <v>113</v>
      </c>
      <c r="S778" s="38" t="s">
        <v>155</v>
      </c>
      <c r="T778" s="35" t="b">
        <v>1</v>
      </c>
      <c r="U778" s="36"/>
    </row>
    <row r="779" ht="30.0" customHeight="1">
      <c r="A779" s="24"/>
      <c r="B779" s="25">
        <v>2886.0</v>
      </c>
      <c r="C779" s="26" t="s">
        <v>40</v>
      </c>
      <c r="D779" s="27">
        <v>46079.0</v>
      </c>
      <c r="E779" s="28" t="str">
        <f t="shared" si="1"/>
        <v>2026</v>
      </c>
      <c r="F779" s="28" t="str">
        <f t="shared" si="2"/>
        <v>02 Feb</v>
      </c>
      <c r="G779" s="50" t="s">
        <v>53</v>
      </c>
      <c r="H779" s="29" t="s">
        <v>345</v>
      </c>
      <c r="I779" s="29" t="s">
        <v>540</v>
      </c>
      <c r="J779" s="75"/>
      <c r="K779" s="76" t="s">
        <v>26</v>
      </c>
      <c r="L779" s="77" t="str">
        <f t="shared" si="3"/>
        <v>TA KLINIK</v>
      </c>
      <c r="M779" s="78" t="s">
        <v>27</v>
      </c>
      <c r="N779" s="79">
        <v>200000.0</v>
      </c>
      <c r="O779" s="80">
        <v>50000.0</v>
      </c>
      <c r="P779" s="32">
        <f t="array" ref="P779">IFNA(XLOOKUP(K779,'⚙️ Pengaturan'!$E$2:$E800,'⚙️ Pengaturan'!$F$2:$F800),"")</f>
        <v>250000</v>
      </c>
      <c r="Q779" s="81">
        <f t="shared" si="11"/>
        <v>0</v>
      </c>
      <c r="R779" s="26" t="s">
        <v>28</v>
      </c>
      <c r="S779" s="38" t="s">
        <v>540</v>
      </c>
      <c r="T779" s="35" t="b">
        <v>1</v>
      </c>
      <c r="U779" s="36"/>
    </row>
    <row r="780" ht="30.0" customHeight="1">
      <c r="A780" s="24"/>
      <c r="B780" s="25">
        <v>2887.0</v>
      </c>
      <c r="C780" s="26" t="s">
        <v>40</v>
      </c>
      <c r="D780" s="27">
        <v>46079.0</v>
      </c>
      <c r="E780" s="28" t="str">
        <f t="shared" si="1"/>
        <v>2026</v>
      </c>
      <c r="F780" s="28" t="str">
        <f t="shared" si="2"/>
        <v>02 Feb</v>
      </c>
      <c r="G780" s="50" t="s">
        <v>61</v>
      </c>
      <c r="H780" s="29" t="s">
        <v>23</v>
      </c>
      <c r="I780" s="29" t="s">
        <v>502</v>
      </c>
      <c r="J780" s="75"/>
      <c r="K780" s="76" t="s">
        <v>395</v>
      </c>
      <c r="L780" s="77" t="str">
        <f t="shared" si="3"/>
        <v>PAKET KLINIK</v>
      </c>
      <c r="M780" s="78" t="s">
        <v>86</v>
      </c>
      <c r="N780" s="79">
        <v>300000.0</v>
      </c>
      <c r="O780" s="80">
        <v>0.0</v>
      </c>
      <c r="P780" s="32">
        <f t="array" ref="P780">IFNA(XLOOKUP(K780,'⚙️ Pengaturan'!$E$2:$E800,'⚙️ Pengaturan'!$F$2:$F800),"")</f>
        <v>750000</v>
      </c>
      <c r="Q780" s="81">
        <f t="shared" si="11"/>
        <v>-450000</v>
      </c>
      <c r="R780" s="26" t="s">
        <v>33</v>
      </c>
      <c r="S780" s="38" t="s">
        <v>34</v>
      </c>
      <c r="T780" s="35" t="b">
        <v>1</v>
      </c>
      <c r="U780" s="36"/>
    </row>
    <row r="781" ht="30.0" customHeight="1">
      <c r="A781" s="24"/>
      <c r="B781" s="25">
        <v>2888.0</v>
      </c>
      <c r="C781" s="26" t="s">
        <v>40</v>
      </c>
      <c r="D781" s="27">
        <v>46079.0</v>
      </c>
      <c r="E781" s="28" t="str">
        <f t="shared" si="1"/>
        <v>2026</v>
      </c>
      <c r="F781" s="28" t="str">
        <f t="shared" si="2"/>
        <v>02 Feb</v>
      </c>
      <c r="G781" s="50" t="s">
        <v>61</v>
      </c>
      <c r="H781" s="29" t="s">
        <v>68</v>
      </c>
      <c r="I781" s="29" t="s">
        <v>282</v>
      </c>
      <c r="J781" s="75"/>
      <c r="K781" s="76" t="s">
        <v>39</v>
      </c>
      <c r="L781" s="77" t="str">
        <f t="shared" si="3"/>
        <v>PAKET KLINIK</v>
      </c>
      <c r="M781" s="78" t="s">
        <v>63</v>
      </c>
      <c r="N781" s="79">
        <v>450000.0</v>
      </c>
      <c r="O781" s="80">
        <v>0.0</v>
      </c>
      <c r="P781" s="32">
        <f t="array" ref="P781">IFNA(XLOOKUP(K781,'⚙️ Pengaturan'!$E$2:$E800,'⚙️ Pengaturan'!$F$2:$F800),"")</f>
        <v>650000</v>
      </c>
      <c r="Q781" s="81">
        <f t="shared" si="11"/>
        <v>-200000</v>
      </c>
      <c r="R781" s="26" t="s">
        <v>28</v>
      </c>
      <c r="S781" s="38" t="s">
        <v>283</v>
      </c>
      <c r="T781" s="35" t="b">
        <v>1</v>
      </c>
      <c r="U781" s="36"/>
    </row>
    <row r="782" ht="30.0" customHeight="1">
      <c r="A782" s="24"/>
      <c r="B782" s="25">
        <v>2889.0</v>
      </c>
      <c r="C782" s="26" t="s">
        <v>507</v>
      </c>
      <c r="D782" s="27">
        <v>46080.0</v>
      </c>
      <c r="E782" s="28" t="str">
        <f t="shared" si="1"/>
        <v>2026</v>
      </c>
      <c r="F782" s="28" t="str">
        <f t="shared" si="2"/>
        <v>02 Feb</v>
      </c>
      <c r="G782" s="50" t="s">
        <v>118</v>
      </c>
      <c r="H782" s="29" t="s">
        <v>35</v>
      </c>
      <c r="I782" s="29" t="s">
        <v>528</v>
      </c>
      <c r="J782" s="75"/>
      <c r="K782" s="76" t="s">
        <v>434</v>
      </c>
      <c r="L782" s="77" t="str">
        <f t="shared" si="3"/>
        <v>PAKET KLINIK</v>
      </c>
      <c r="M782" s="78" t="s">
        <v>86</v>
      </c>
      <c r="N782" s="79">
        <v>1300000.0</v>
      </c>
      <c r="O782" s="80">
        <v>0.0</v>
      </c>
      <c r="P782" s="32">
        <f t="array" ref="P782">IFNA(XLOOKUP(K782,'⚙️ Pengaturan'!$E$2:$E800,'⚙️ Pengaturan'!$F$2:$F800),"")</f>
        <v>2400000</v>
      </c>
      <c r="Q782" s="81">
        <f t="shared" si="11"/>
        <v>-1100000</v>
      </c>
      <c r="R782" s="26" t="s">
        <v>28</v>
      </c>
      <c r="S782" s="38" t="s">
        <v>528</v>
      </c>
      <c r="T782" s="35" t="b">
        <v>1</v>
      </c>
      <c r="U782" s="36"/>
    </row>
    <row r="783" ht="30.0" customHeight="1">
      <c r="A783" s="24"/>
      <c r="B783" s="25">
        <v>2890.0</v>
      </c>
      <c r="C783" s="26" t="s">
        <v>507</v>
      </c>
      <c r="D783" s="27">
        <v>46080.0</v>
      </c>
      <c r="E783" s="28" t="str">
        <f t="shared" si="1"/>
        <v>2026</v>
      </c>
      <c r="F783" s="28" t="str">
        <f t="shared" si="2"/>
        <v>02 Feb</v>
      </c>
      <c r="G783" s="50" t="s">
        <v>118</v>
      </c>
      <c r="H783" s="29" t="s">
        <v>58</v>
      </c>
      <c r="I783" s="29" t="s">
        <v>335</v>
      </c>
      <c r="J783" s="75"/>
      <c r="K783" s="76" t="s">
        <v>32</v>
      </c>
      <c r="L783" s="77" t="str">
        <f t="shared" si="3"/>
        <v>SESI KLINIK</v>
      </c>
      <c r="M783" s="78" t="s">
        <v>27</v>
      </c>
      <c r="N783" s="79">
        <v>150000.0</v>
      </c>
      <c r="O783" s="80">
        <v>0.0</v>
      </c>
      <c r="P783" s="32">
        <f t="array" ref="P783">IFNA(XLOOKUP(K783,'⚙️ Pengaturan'!$E$2:$E800,'⚙️ Pengaturan'!$F$2:$F800),"")</f>
        <v>150000</v>
      </c>
      <c r="Q783" s="81">
        <f t="shared" si="11"/>
        <v>0</v>
      </c>
      <c r="R783" s="26" t="s">
        <v>113</v>
      </c>
      <c r="S783" s="38" t="s">
        <v>335</v>
      </c>
      <c r="T783" s="35" t="b">
        <v>1</v>
      </c>
      <c r="U783" s="36"/>
    </row>
    <row r="784" ht="30.0" customHeight="1">
      <c r="A784" s="24"/>
      <c r="B784" s="25">
        <v>2891.0</v>
      </c>
      <c r="C784" s="26" t="s">
        <v>40</v>
      </c>
      <c r="D784" s="27">
        <v>46080.0</v>
      </c>
      <c r="E784" s="28" t="str">
        <f t="shared" si="1"/>
        <v>2026</v>
      </c>
      <c r="F784" s="28" t="str">
        <f t="shared" si="2"/>
        <v>02 Feb</v>
      </c>
      <c r="G784" s="50" t="s">
        <v>46</v>
      </c>
      <c r="H784" s="29" t="s">
        <v>68</v>
      </c>
      <c r="I784" s="29" t="s">
        <v>541</v>
      </c>
      <c r="J784" s="75"/>
      <c r="K784" s="76" t="s">
        <v>26</v>
      </c>
      <c r="L784" s="77" t="str">
        <f t="shared" si="3"/>
        <v>TA KLINIK</v>
      </c>
      <c r="M784" s="78" t="s">
        <v>27</v>
      </c>
      <c r="N784" s="79">
        <v>250000.0</v>
      </c>
      <c r="O784" s="80">
        <v>0.0</v>
      </c>
      <c r="P784" s="32">
        <f t="array" ref="P784">IFNA(XLOOKUP(K784,'⚙️ Pengaturan'!$E$2:$E800,'⚙️ Pengaturan'!$F$2:$F800),"")</f>
        <v>250000</v>
      </c>
      <c r="Q784" s="81">
        <f t="shared" si="11"/>
        <v>0</v>
      </c>
      <c r="R784" s="26" t="s">
        <v>33</v>
      </c>
      <c r="S784" s="38" t="s">
        <v>34</v>
      </c>
      <c r="T784" s="35" t="b">
        <v>1</v>
      </c>
      <c r="U784" s="36"/>
    </row>
    <row r="785" ht="30.0" customHeight="1">
      <c r="A785" s="24"/>
      <c r="B785" s="25">
        <v>2892.0</v>
      </c>
      <c r="C785" s="26" t="s">
        <v>40</v>
      </c>
      <c r="D785" s="27">
        <v>46080.0</v>
      </c>
      <c r="E785" s="28" t="str">
        <f t="shared" si="1"/>
        <v>2026</v>
      </c>
      <c r="F785" s="28" t="str">
        <f t="shared" si="2"/>
        <v>02 Feb</v>
      </c>
      <c r="G785" s="50" t="s">
        <v>41</v>
      </c>
      <c r="H785" s="29" t="s">
        <v>68</v>
      </c>
      <c r="I785" s="29" t="s">
        <v>235</v>
      </c>
      <c r="J785" s="75"/>
      <c r="K785" s="76" t="s">
        <v>39</v>
      </c>
      <c r="L785" s="77" t="str">
        <f t="shared" si="3"/>
        <v>PAKET KLINIK</v>
      </c>
      <c r="M785" s="78" t="s">
        <v>27</v>
      </c>
      <c r="N785" s="79">
        <v>650000.0</v>
      </c>
      <c r="O785" s="80">
        <v>0.0</v>
      </c>
      <c r="P785" s="32">
        <f t="array" ref="P785">IFNA(XLOOKUP(K785,'⚙️ Pengaturan'!$E$2:$E800,'⚙️ Pengaturan'!$F$2:$F800),"")</f>
        <v>650000</v>
      </c>
      <c r="Q785" s="81">
        <f t="shared" si="11"/>
        <v>0</v>
      </c>
      <c r="R785" s="26" t="s">
        <v>28</v>
      </c>
      <c r="S785" s="38" t="s">
        <v>235</v>
      </c>
      <c r="T785" s="35" t="b">
        <v>1</v>
      </c>
      <c r="U785" s="36"/>
    </row>
    <row r="786" ht="30.0" customHeight="1">
      <c r="A786" s="24"/>
      <c r="B786" s="25">
        <v>2893.0</v>
      </c>
      <c r="C786" s="26" t="s">
        <v>21</v>
      </c>
      <c r="D786" s="27">
        <v>46081.0</v>
      </c>
      <c r="E786" s="28" t="str">
        <f t="shared" si="1"/>
        <v>2026</v>
      </c>
      <c r="F786" s="28" t="str">
        <f t="shared" si="2"/>
        <v>02 Feb</v>
      </c>
      <c r="G786" s="50" t="s">
        <v>22</v>
      </c>
      <c r="H786" s="29" t="s">
        <v>23</v>
      </c>
      <c r="I786" s="29" t="s">
        <v>542</v>
      </c>
      <c r="J786" s="75"/>
      <c r="K786" s="76" t="s">
        <v>26</v>
      </c>
      <c r="L786" s="77" t="str">
        <f t="shared" si="3"/>
        <v>TA KLINIK</v>
      </c>
      <c r="M786" s="78" t="s">
        <v>27</v>
      </c>
      <c r="N786" s="79">
        <v>250000.0</v>
      </c>
      <c r="O786" s="80">
        <v>0.0</v>
      </c>
      <c r="P786" s="32">
        <v>250000.0</v>
      </c>
      <c r="Q786" s="81">
        <v>0.0</v>
      </c>
      <c r="R786" s="26" t="s">
        <v>33</v>
      </c>
      <c r="S786" s="38" t="s">
        <v>34</v>
      </c>
      <c r="T786" s="35" t="b">
        <v>1</v>
      </c>
      <c r="U786" s="36"/>
    </row>
    <row r="787" ht="30.0" customHeight="1">
      <c r="A787" s="24"/>
      <c r="B787" s="25">
        <v>2894.0</v>
      </c>
      <c r="C787" s="26" t="s">
        <v>21</v>
      </c>
      <c r="D787" s="27">
        <v>46081.0</v>
      </c>
      <c r="E787" s="28" t="str">
        <f t="shared" si="1"/>
        <v>2026</v>
      </c>
      <c r="F787" s="28" t="str">
        <f t="shared" si="2"/>
        <v>02 Feb</v>
      </c>
      <c r="G787" s="50" t="s">
        <v>22</v>
      </c>
      <c r="H787" s="29" t="s">
        <v>70</v>
      </c>
      <c r="I787" s="29" t="s">
        <v>71</v>
      </c>
      <c r="J787" s="75"/>
      <c r="K787" s="76" t="s">
        <v>39</v>
      </c>
      <c r="L787" s="77" t="str">
        <f t="shared" si="3"/>
        <v>PAKET KLINIK</v>
      </c>
      <c r="M787" s="78" t="s">
        <v>27</v>
      </c>
      <c r="N787" s="79">
        <v>650000.0</v>
      </c>
      <c r="O787" s="80">
        <v>0.0</v>
      </c>
      <c r="P787" s="32">
        <v>650000.0</v>
      </c>
      <c r="Q787" s="81">
        <v>0.0</v>
      </c>
      <c r="R787" s="26" t="s">
        <v>28</v>
      </c>
      <c r="S787" s="38" t="s">
        <v>268</v>
      </c>
      <c r="T787" s="35" t="b">
        <v>1</v>
      </c>
      <c r="U787" s="36"/>
    </row>
    <row r="788" ht="30.0" customHeight="1">
      <c r="A788" s="24"/>
      <c r="B788" s="25">
        <v>2895.0</v>
      </c>
      <c r="C788" s="26" t="s">
        <v>21</v>
      </c>
      <c r="D788" s="27">
        <v>46081.0</v>
      </c>
      <c r="E788" s="28" t="str">
        <f t="shared" si="1"/>
        <v>2026</v>
      </c>
      <c r="F788" s="28" t="str">
        <f t="shared" si="2"/>
        <v>02 Feb</v>
      </c>
      <c r="G788" s="50" t="s">
        <v>89</v>
      </c>
      <c r="H788" s="29" t="s">
        <v>70</v>
      </c>
      <c r="I788" s="29" t="s">
        <v>533</v>
      </c>
      <c r="J788" s="75"/>
      <c r="K788" s="76" t="s">
        <v>369</v>
      </c>
      <c r="L788" s="77" t="str">
        <f t="shared" si="3"/>
        <v>SESI KLINIK</v>
      </c>
      <c r="M788" s="78" t="s">
        <v>27</v>
      </c>
      <c r="N788" s="79">
        <v>180000.0</v>
      </c>
      <c r="O788" s="80">
        <v>0.0</v>
      </c>
      <c r="P788" s="32">
        <f t="array" ref="P788">IFNA(XLOOKUP(K788,'⚙️ Pengaturan'!$E$2:$E800,'⚙️ Pengaturan'!$F$2:$F800),"")</f>
        <v>180000</v>
      </c>
      <c r="Q788" s="81">
        <f t="shared" ref="Q788:Q789" si="12">IF(I788="","",(N788+O788)-P788)</f>
        <v>0</v>
      </c>
      <c r="R788" s="26" t="s">
        <v>33</v>
      </c>
      <c r="S788" s="38" t="s">
        <v>34</v>
      </c>
      <c r="T788" s="35" t="b">
        <v>1</v>
      </c>
      <c r="U788" s="36"/>
    </row>
    <row r="789" ht="30.0" customHeight="1">
      <c r="A789" s="24"/>
      <c r="B789" s="25">
        <v>2896.0</v>
      </c>
      <c r="C789" s="26" t="s">
        <v>21</v>
      </c>
      <c r="D789" s="27">
        <v>46081.0</v>
      </c>
      <c r="E789" s="28" t="str">
        <f t="shared" si="1"/>
        <v>2026</v>
      </c>
      <c r="F789" s="28" t="str">
        <f t="shared" si="2"/>
        <v>02 Feb</v>
      </c>
      <c r="G789" s="50" t="s">
        <v>89</v>
      </c>
      <c r="H789" s="29" t="s">
        <v>345</v>
      </c>
      <c r="I789" s="29" t="s">
        <v>540</v>
      </c>
      <c r="J789" s="75"/>
      <c r="K789" s="76" t="s">
        <v>369</v>
      </c>
      <c r="L789" s="77" t="str">
        <f t="shared" si="3"/>
        <v>SESI KLINIK</v>
      </c>
      <c r="M789" s="78" t="s">
        <v>27</v>
      </c>
      <c r="N789" s="79">
        <v>144000.0</v>
      </c>
      <c r="O789" s="80">
        <v>36000.0</v>
      </c>
      <c r="P789" s="32">
        <v>180000.0</v>
      </c>
      <c r="Q789" s="81">
        <f t="shared" si="12"/>
        <v>0</v>
      </c>
      <c r="R789" s="26" t="s">
        <v>28</v>
      </c>
      <c r="S789" s="38" t="s">
        <v>540</v>
      </c>
      <c r="T789" s="35" t="b">
        <v>1</v>
      </c>
      <c r="U789" s="36"/>
    </row>
    <row r="790" ht="30.0" customHeight="1">
      <c r="A790" s="24"/>
      <c r="B790" s="25">
        <v>2897.0</v>
      </c>
      <c r="C790" s="26" t="s">
        <v>21</v>
      </c>
      <c r="D790" s="27">
        <v>46081.0</v>
      </c>
      <c r="E790" s="28" t="str">
        <f t="shared" si="1"/>
        <v>2026</v>
      </c>
      <c r="F790" s="28" t="str">
        <f t="shared" si="2"/>
        <v>02 Feb</v>
      </c>
      <c r="G790" s="50" t="s">
        <v>89</v>
      </c>
      <c r="H790" s="29" t="s">
        <v>35</v>
      </c>
      <c r="I790" s="29" t="s">
        <v>543</v>
      </c>
      <c r="J790" s="75"/>
      <c r="K790" s="76" t="s">
        <v>26</v>
      </c>
      <c r="L790" s="77" t="str">
        <f t="shared" si="3"/>
        <v>TA KLINIK</v>
      </c>
      <c r="M790" s="78" t="s">
        <v>27</v>
      </c>
      <c r="N790" s="79">
        <v>250000.0</v>
      </c>
      <c r="O790" s="80">
        <v>0.0</v>
      </c>
      <c r="P790" s="32">
        <v>250000.0</v>
      </c>
      <c r="Q790" s="81">
        <v>0.0</v>
      </c>
      <c r="R790" s="26" t="s">
        <v>33</v>
      </c>
      <c r="S790" s="38" t="s">
        <v>34</v>
      </c>
      <c r="T790" s="35" t="b">
        <v>1</v>
      </c>
      <c r="U790" s="36"/>
    </row>
    <row r="791" ht="30.0" customHeight="1">
      <c r="A791" s="24"/>
      <c r="B791" s="25">
        <v>2898.0</v>
      </c>
      <c r="C791" s="26" t="s">
        <v>21</v>
      </c>
      <c r="D791" s="27">
        <v>46081.0</v>
      </c>
      <c r="E791" s="28" t="str">
        <f t="shared" si="1"/>
        <v>2026</v>
      </c>
      <c r="F791" s="28" t="str">
        <f t="shared" si="2"/>
        <v>02 Feb</v>
      </c>
      <c r="G791" s="50" t="s">
        <v>82</v>
      </c>
      <c r="H791" s="29" t="s">
        <v>70</v>
      </c>
      <c r="I791" s="29" t="s">
        <v>544</v>
      </c>
      <c r="J791" s="75"/>
      <c r="K791" s="76" t="s">
        <v>26</v>
      </c>
      <c r="L791" s="77" t="str">
        <f t="shared" si="3"/>
        <v>TA KLINIK</v>
      </c>
      <c r="M791" s="78" t="s">
        <v>27</v>
      </c>
      <c r="N791" s="79">
        <v>250000.0</v>
      </c>
      <c r="O791" s="80">
        <v>0.0</v>
      </c>
      <c r="P791" s="32">
        <f t="array" ref="P791">IFNA(XLOOKUP(K791,'⚙️ Pengaturan'!$E$2:$E800,'⚙️ Pengaturan'!$F$2:$F800),"")</f>
        <v>250000</v>
      </c>
      <c r="Q791" s="81">
        <f t="shared" ref="Q791:Q800" si="13">IF(I791="","",(N791+O791)-P791)</f>
        <v>0</v>
      </c>
      <c r="R791" s="26" t="s">
        <v>33</v>
      </c>
      <c r="S791" s="38" t="s">
        <v>34</v>
      </c>
      <c r="T791" s="35" t="b">
        <v>1</v>
      </c>
      <c r="U791" s="36"/>
    </row>
    <row r="792" ht="30.0" customHeight="1">
      <c r="A792" s="24"/>
      <c r="B792" s="25">
        <v>2899.0</v>
      </c>
      <c r="C792" s="26" t="s">
        <v>21</v>
      </c>
      <c r="D792" s="27">
        <v>46081.0</v>
      </c>
      <c r="E792" s="28" t="str">
        <f t="shared" si="1"/>
        <v>2026</v>
      </c>
      <c r="F792" s="28" t="str">
        <f t="shared" si="2"/>
        <v>02 Feb</v>
      </c>
      <c r="G792" s="50" t="s">
        <v>82</v>
      </c>
      <c r="H792" s="29" t="s">
        <v>345</v>
      </c>
      <c r="I792" s="29" t="s">
        <v>382</v>
      </c>
      <c r="J792" s="75"/>
      <c r="K792" s="76" t="s">
        <v>369</v>
      </c>
      <c r="L792" s="77" t="str">
        <f t="shared" si="3"/>
        <v>SESI KLINIK</v>
      </c>
      <c r="M792" s="78" t="s">
        <v>27</v>
      </c>
      <c r="N792" s="79">
        <v>180000.0</v>
      </c>
      <c r="O792" s="80">
        <v>0.0</v>
      </c>
      <c r="P792" s="32">
        <f t="array" ref="P792">IFNA(XLOOKUP(K792,'⚙️ Pengaturan'!$E$2:$E800,'⚙️ Pengaturan'!$F$2:$F800),"")</f>
        <v>180000</v>
      </c>
      <c r="Q792" s="81">
        <f t="shared" si="13"/>
        <v>0</v>
      </c>
      <c r="R792" s="26" t="s">
        <v>28</v>
      </c>
      <c r="S792" s="38" t="s">
        <v>545</v>
      </c>
      <c r="T792" s="35" t="b">
        <v>1</v>
      </c>
      <c r="U792" s="36"/>
    </row>
    <row r="793" ht="30.0" customHeight="1">
      <c r="A793" s="24"/>
      <c r="B793" s="25">
        <v>2900.0</v>
      </c>
      <c r="C793" s="26" t="s">
        <v>507</v>
      </c>
      <c r="D793" s="27">
        <v>46081.0</v>
      </c>
      <c r="E793" s="28" t="str">
        <f t="shared" si="1"/>
        <v>2026</v>
      </c>
      <c r="F793" s="28" t="str">
        <f t="shared" si="2"/>
        <v>02 Feb</v>
      </c>
      <c r="G793" s="50" t="s">
        <v>37</v>
      </c>
      <c r="H793" s="29" t="s">
        <v>48</v>
      </c>
      <c r="I793" s="29" t="s">
        <v>501</v>
      </c>
      <c r="J793" s="75"/>
      <c r="K793" s="76" t="s">
        <v>395</v>
      </c>
      <c r="L793" s="77" t="str">
        <f t="shared" si="3"/>
        <v>PAKET KLINIK</v>
      </c>
      <c r="M793" s="78" t="s">
        <v>63</v>
      </c>
      <c r="N793" s="79">
        <v>500000.0</v>
      </c>
      <c r="O793" s="80">
        <v>200000.0</v>
      </c>
      <c r="P793" s="32">
        <f t="array" ref="P793">IFNA(XLOOKUP(K793,'⚙️ Pengaturan'!$E$2:$E800,'⚙️ Pengaturan'!$F$2:$F800),"")</f>
        <v>750000</v>
      </c>
      <c r="Q793" s="81">
        <f t="shared" si="13"/>
        <v>-50000</v>
      </c>
      <c r="R793" s="26" t="s">
        <v>33</v>
      </c>
      <c r="S793" s="38" t="s">
        <v>34</v>
      </c>
      <c r="T793" s="35" t="b">
        <v>1</v>
      </c>
      <c r="U793" s="36"/>
    </row>
    <row r="794" ht="30.0" customHeight="1">
      <c r="A794" s="24"/>
      <c r="B794" s="25">
        <v>2901.0</v>
      </c>
      <c r="C794" s="26" t="s">
        <v>507</v>
      </c>
      <c r="D794" s="27">
        <v>46081.0</v>
      </c>
      <c r="E794" s="28" t="str">
        <f t="shared" si="1"/>
        <v>2026</v>
      </c>
      <c r="F794" s="28" t="str">
        <f t="shared" si="2"/>
        <v>02 Feb</v>
      </c>
      <c r="G794" s="50" t="s">
        <v>37</v>
      </c>
      <c r="H794" s="29" t="s">
        <v>58</v>
      </c>
      <c r="I794" s="29" t="s">
        <v>546</v>
      </c>
      <c r="J794" s="75"/>
      <c r="K794" s="76" t="s">
        <v>128</v>
      </c>
      <c r="L794" s="77" t="str">
        <f t="shared" si="3"/>
        <v>TA VISIT</v>
      </c>
      <c r="M794" s="78" t="s">
        <v>27</v>
      </c>
      <c r="N794" s="79">
        <v>300000.0</v>
      </c>
      <c r="O794" s="80">
        <v>0.0</v>
      </c>
      <c r="P794" s="32">
        <f t="array" ref="P794">IFNA(XLOOKUP(K794,'⚙️ Pengaturan'!$E$2:$E800,'⚙️ Pengaturan'!$F$2:$F800),"")</f>
        <v>300000</v>
      </c>
      <c r="Q794" s="81">
        <f t="shared" si="13"/>
        <v>0</v>
      </c>
      <c r="R794" s="26" t="s">
        <v>33</v>
      </c>
      <c r="S794" s="38" t="s">
        <v>34</v>
      </c>
      <c r="T794" s="35" t="b">
        <v>1</v>
      </c>
      <c r="U794" s="36"/>
    </row>
    <row r="795" ht="30.0" customHeight="1">
      <c r="A795" s="24"/>
      <c r="B795" s="25">
        <v>2902.0</v>
      </c>
      <c r="C795" s="26" t="s">
        <v>507</v>
      </c>
      <c r="D795" s="27">
        <v>46081.0</v>
      </c>
      <c r="E795" s="28" t="str">
        <f t="shared" si="1"/>
        <v>2026</v>
      </c>
      <c r="F795" s="28" t="str">
        <f t="shared" si="2"/>
        <v>02 Feb</v>
      </c>
      <c r="G795" s="50" t="s">
        <v>37</v>
      </c>
      <c r="H795" s="29" t="s">
        <v>58</v>
      </c>
      <c r="I795" s="29" t="s">
        <v>227</v>
      </c>
      <c r="J795" s="75"/>
      <c r="K795" s="76" t="s">
        <v>44</v>
      </c>
      <c r="L795" s="77" t="str">
        <f t="shared" si="3"/>
        <v>PAKET KLINIK</v>
      </c>
      <c r="M795" s="78" t="s">
        <v>63</v>
      </c>
      <c r="N795" s="79">
        <v>1000000.0</v>
      </c>
      <c r="O795" s="80">
        <v>200000.0</v>
      </c>
      <c r="P795" s="32">
        <f t="array" ref="P795">IFNA(XLOOKUP(K795,'⚙️ Pengaturan'!$E$2:$E800,'⚙️ Pengaturan'!$F$2:$F800),"")</f>
        <v>1200000</v>
      </c>
      <c r="Q795" s="81">
        <f t="shared" si="13"/>
        <v>0</v>
      </c>
      <c r="R795" s="26" t="s">
        <v>33</v>
      </c>
      <c r="S795" s="38" t="s">
        <v>34</v>
      </c>
      <c r="T795" s="35" t="b">
        <v>1</v>
      </c>
      <c r="U795" s="36"/>
    </row>
    <row r="796" ht="30.0" customHeight="1">
      <c r="A796" s="24"/>
      <c r="B796" s="25">
        <v>2903.0</v>
      </c>
      <c r="C796" s="26" t="s">
        <v>507</v>
      </c>
      <c r="D796" s="27">
        <v>46081.0</v>
      </c>
      <c r="E796" s="28" t="str">
        <f t="shared" si="1"/>
        <v>2026</v>
      </c>
      <c r="F796" s="28" t="str">
        <f t="shared" si="2"/>
        <v>02 Feb</v>
      </c>
      <c r="G796" s="50" t="s">
        <v>41</v>
      </c>
      <c r="H796" s="29" t="s">
        <v>48</v>
      </c>
      <c r="I796" s="29" t="s">
        <v>547</v>
      </c>
      <c r="J796" s="75"/>
      <c r="K796" s="76" t="s">
        <v>26</v>
      </c>
      <c r="L796" s="77" t="str">
        <f t="shared" si="3"/>
        <v>TA KLINIK</v>
      </c>
      <c r="M796" s="78" t="s">
        <v>27</v>
      </c>
      <c r="N796" s="79">
        <v>250000.0</v>
      </c>
      <c r="O796" s="80">
        <v>0.0</v>
      </c>
      <c r="P796" s="32">
        <f t="array" ref="P796">IFNA(XLOOKUP(K796,'⚙️ Pengaturan'!$E$2:$E800,'⚙️ Pengaturan'!$F$2:$F800),"")</f>
        <v>250000</v>
      </c>
      <c r="Q796" s="81">
        <f t="shared" si="13"/>
        <v>0</v>
      </c>
      <c r="R796" s="26" t="s">
        <v>33</v>
      </c>
      <c r="S796" s="38" t="s">
        <v>34</v>
      </c>
      <c r="T796" s="35" t="b">
        <v>1</v>
      </c>
      <c r="U796" s="36"/>
    </row>
    <row r="797" ht="30.0" customHeight="1">
      <c r="A797" s="24"/>
      <c r="B797" s="25">
        <v>2904.0</v>
      </c>
      <c r="C797" s="26" t="s">
        <v>507</v>
      </c>
      <c r="D797" s="27">
        <v>46081.0</v>
      </c>
      <c r="E797" s="28" t="str">
        <f t="shared" si="1"/>
        <v>2026</v>
      </c>
      <c r="F797" s="28" t="str">
        <f t="shared" si="2"/>
        <v>02 Feb</v>
      </c>
      <c r="G797" s="50" t="s">
        <v>118</v>
      </c>
      <c r="H797" s="29" t="s">
        <v>48</v>
      </c>
      <c r="I797" s="29" t="s">
        <v>505</v>
      </c>
      <c r="J797" s="75"/>
      <c r="K797" s="76" t="s">
        <v>369</v>
      </c>
      <c r="L797" s="77" t="str">
        <f t="shared" si="3"/>
        <v>SESI KLINIK</v>
      </c>
      <c r="M797" s="78" t="s">
        <v>27</v>
      </c>
      <c r="N797" s="79">
        <v>180000.0</v>
      </c>
      <c r="O797" s="80">
        <v>0.0</v>
      </c>
      <c r="P797" s="32">
        <f t="array" ref="P797">IFNA(XLOOKUP(K797,'⚙️ Pengaturan'!$E$2:$E800,'⚙️ Pengaturan'!$F$2:$F800),"")</f>
        <v>180000</v>
      </c>
      <c r="Q797" s="81">
        <f t="shared" si="13"/>
        <v>0</v>
      </c>
      <c r="R797" s="26" t="s">
        <v>28</v>
      </c>
      <c r="S797" s="38" t="s">
        <v>505</v>
      </c>
      <c r="T797" s="35" t="b">
        <v>1</v>
      </c>
      <c r="U797" s="36"/>
    </row>
    <row r="798" ht="30.0" customHeight="1">
      <c r="A798" s="24"/>
      <c r="B798" s="25">
        <v>2905.0</v>
      </c>
      <c r="C798" s="26" t="s">
        <v>507</v>
      </c>
      <c r="D798" s="27">
        <v>46081.0</v>
      </c>
      <c r="E798" s="28" t="str">
        <f t="shared" si="1"/>
        <v>2026</v>
      </c>
      <c r="F798" s="28" t="str">
        <f t="shared" si="2"/>
        <v>02 Feb</v>
      </c>
      <c r="G798" s="50" t="s">
        <v>118</v>
      </c>
      <c r="H798" s="29" t="s">
        <v>48</v>
      </c>
      <c r="I798" s="29" t="s">
        <v>548</v>
      </c>
      <c r="J798" s="75"/>
      <c r="K798" s="76" t="s">
        <v>26</v>
      </c>
      <c r="L798" s="77" t="str">
        <f t="shared" si="3"/>
        <v>TA KLINIK</v>
      </c>
      <c r="M798" s="78" t="s">
        <v>27</v>
      </c>
      <c r="N798" s="79">
        <v>250000.0</v>
      </c>
      <c r="O798" s="80">
        <v>0.0</v>
      </c>
      <c r="P798" s="32">
        <f t="array" ref="P798">IFNA(XLOOKUP(K798,'⚙️ Pengaturan'!$E$2:$E800,'⚙️ Pengaturan'!$F$2:$F800),"")</f>
        <v>250000</v>
      </c>
      <c r="Q798" s="81">
        <f t="shared" si="13"/>
        <v>0</v>
      </c>
      <c r="R798" s="26" t="s">
        <v>28</v>
      </c>
      <c r="S798" s="38" t="s">
        <v>505</v>
      </c>
      <c r="T798" s="35" t="b">
        <v>1</v>
      </c>
      <c r="U798" s="36"/>
    </row>
    <row r="799" ht="30.0" customHeight="1">
      <c r="A799" s="24"/>
      <c r="B799" s="25">
        <v>2906.0</v>
      </c>
      <c r="C799" s="26" t="s">
        <v>507</v>
      </c>
      <c r="D799" s="27">
        <v>46081.0</v>
      </c>
      <c r="E799" s="28" t="str">
        <f t="shared" si="1"/>
        <v>2026</v>
      </c>
      <c r="F799" s="28" t="str">
        <f t="shared" si="2"/>
        <v>02 Feb</v>
      </c>
      <c r="G799" s="50" t="s">
        <v>61</v>
      </c>
      <c r="H799" s="29" t="s">
        <v>58</v>
      </c>
      <c r="I799" s="29" t="s">
        <v>521</v>
      </c>
      <c r="J799" s="75"/>
      <c r="K799" s="76" t="s">
        <v>369</v>
      </c>
      <c r="L799" s="77" t="str">
        <f t="shared" si="3"/>
        <v>SESI KLINIK</v>
      </c>
      <c r="M799" s="78" t="s">
        <v>27</v>
      </c>
      <c r="N799" s="79">
        <v>180000.0</v>
      </c>
      <c r="O799" s="80">
        <v>0.0</v>
      </c>
      <c r="P799" s="32">
        <f t="array" ref="P799">IFNA(XLOOKUP(K799,'⚙️ Pengaturan'!$E$2:$E800,'⚙️ Pengaturan'!$F$2:$F800),"")</f>
        <v>180000</v>
      </c>
      <c r="Q799" s="81">
        <f t="shared" si="13"/>
        <v>0</v>
      </c>
      <c r="R799" s="26" t="s">
        <v>113</v>
      </c>
      <c r="S799" s="38" t="s">
        <v>521</v>
      </c>
      <c r="T799" s="35" t="b">
        <v>1</v>
      </c>
      <c r="U799" s="36"/>
    </row>
    <row r="800" ht="30.0" customHeight="1">
      <c r="A800" s="24"/>
      <c r="B800" s="25">
        <v>2907.0</v>
      </c>
      <c r="C800" s="26" t="s">
        <v>507</v>
      </c>
      <c r="D800" s="27">
        <v>46081.0</v>
      </c>
      <c r="E800" s="28" t="str">
        <f t="shared" si="1"/>
        <v>2026</v>
      </c>
      <c r="F800" s="28" t="str">
        <f t="shared" si="2"/>
        <v>02 Feb</v>
      </c>
      <c r="G800" s="50" t="s">
        <v>118</v>
      </c>
      <c r="H800" s="29" t="s">
        <v>48</v>
      </c>
      <c r="I800" s="29" t="s">
        <v>549</v>
      </c>
      <c r="J800" s="75"/>
      <c r="K800" s="76" t="s">
        <v>26</v>
      </c>
      <c r="L800" s="77" t="str">
        <f t="shared" si="3"/>
        <v>TA KLINIK</v>
      </c>
      <c r="M800" s="78" t="s">
        <v>27</v>
      </c>
      <c r="N800" s="79">
        <v>250000.0</v>
      </c>
      <c r="O800" s="80">
        <v>0.0</v>
      </c>
      <c r="P800" s="32">
        <f t="array" ref="P800">IFNA(XLOOKUP(K800,'⚙️ Pengaturan'!$E$2:$E800,'⚙️ Pengaturan'!$F$2:$F800),"")</f>
        <v>250000</v>
      </c>
      <c r="Q800" s="81">
        <f t="shared" si="13"/>
        <v>0</v>
      </c>
      <c r="R800" s="26" t="s">
        <v>28</v>
      </c>
      <c r="S800" s="38" t="s">
        <v>549</v>
      </c>
      <c r="T800" s="35" t="b">
        <v>1</v>
      </c>
      <c r="U800" s="36"/>
    </row>
  </sheetData>
  <customSheetViews>
    <customSheetView guid="{C356E9FC-63E8-4286-AF1A-367641D6CC4F}" filter="1" showAutoFilter="1">
      <autoFilter ref="$B$4:$U$800">
        <filterColumn colId="2">
          <customFilters and="1">
            <customFilter operator="greaterThanOrEqual" val="17/12/2025"/>
            <customFilter operator="lessThanOrEqual" val="24/12/2025"/>
          </customFilters>
        </filterColumn>
      </autoFilter>
    </customSheetView>
  </customSheetViews>
  <conditionalFormatting sqref="Q5:Q800">
    <cfRule type="containsText" dxfId="6" priority="1" operator="containsText" text="-">
      <formula>NOT(ISERROR(SEARCH(("-"),(Q5))))</formula>
    </cfRule>
  </conditionalFormatting>
  <conditionalFormatting sqref="Q5:Q800">
    <cfRule type="cellIs" dxfId="7" priority="2" operator="equal">
      <formula>0</formula>
    </cfRule>
  </conditionalFormatting>
  <conditionalFormatting sqref="B5:B800">
    <cfRule type="expression" dxfId="8" priority="3">
      <formula>COUNTIF($B$5:$B800,B5)&gt;1</formula>
    </cfRule>
  </conditionalFormatting>
  <conditionalFormatting sqref="B5:U800">
    <cfRule type="expression" dxfId="6" priority="4">
      <formula>IF(OR($B5:$B800="",$C5:$C800="",$D5:$D800="",$K5:$K800="",$M5:$M800="",$N5:$N800="",$O5:$O800="",$P5:$P800="",$Q5:$Q800="",$R5:$R800="",$S5:$S800="",$T5:$T800=FALSE),TRUE,FALSE)</formula>
    </cfRule>
  </conditionalFormatting>
  <dataValidations>
    <dataValidation type="list" allowBlank="1" sqref="K5:K800">
      <formula1>#REF!</formula1>
    </dataValidation>
    <dataValidation type="list" allowBlank="1" sqref="R5:R800">
      <formula1>#REF!</formula1>
    </dataValidation>
    <dataValidation type="list" allowBlank="1" sqref="M5:M800">
      <formula1>#REF!</formula1>
    </dataValidation>
    <dataValidation type="list" allowBlank="1" sqref="J5:J800">
      <formula1>"BARU,LANJUT"</formula1>
    </dataValidation>
    <dataValidation type="custom" allowBlank="1" showDropDown="1" sqref="D5:D800">
      <formula1>OR(NOT(ISERROR(DATEVALUE(D5))), AND(ISNUMBER(D5), LEFT(CELL("format", D5))="D"))</formula1>
    </dataValidation>
    <dataValidation type="list" allowBlank="1" showDropDown="1" sqref="U341:U342">
      <formula1>'👥 Daftar Nama Pasien'!$B:$B</formula1>
    </dataValidation>
    <dataValidation type="custom" allowBlank="1" showDropDown="1" sqref="N5:N800">
      <formula1>AND(ISNUMBER(N5),(NOT(OR(NOT(ISERROR(DATEVALUE(N5))), AND(ISNUMBER(N5), LEFT(CELL("format", N5))="D")))))</formula1>
    </dataValidation>
    <dataValidation type="list" allowBlank="1" sqref="C5:C800">
      <formula1>#REF!</formula1>
    </dataValidation>
    <dataValidation allowBlank="1" showDropDown="1" sqref="S5:S800"/>
    <dataValidation type="list" allowBlank="1" sqref="G5:H800">
      <formula1>#REF!</formula1>
    </dataValidation>
    <dataValidation type="list" allowBlank="1" showDropDown="1" sqref="I5:I800">
      <formula1>#REF!</formula1>
    </dataValidation>
  </dataValidations>
  <hyperlinks>
    <hyperlink r:id="rId1" ref="I88"/>
  </hyperlinks>
  <printOptions gridLines="1" horizontalCentered="1"/>
  <pageMargins bottom="0.75" footer="0.0" header="0.0" left="0.7" right="0.7" top="0.75"/>
  <pageSetup fitToHeight="0" paperSize="14" orientation="landscape" pageOrder="overThenDown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Col="1"/>
  <cols>
    <col customWidth="1" min="1" max="1" width="2.63"/>
    <col customWidth="1" min="2" max="2" width="5.13"/>
    <col customWidth="1" min="3" max="3" width="12.63"/>
    <col collapsed="1" customWidth="1" min="4" max="4" width="12.63"/>
    <col customWidth="1" hidden="1" min="5" max="6" width="10.13" outlineLevel="1"/>
    <col customWidth="1" min="7" max="7" width="12.63"/>
    <col customWidth="1" min="8" max="8" width="15.13"/>
    <col customWidth="1" min="9" max="9" width="50.13"/>
    <col customWidth="1" min="10" max="10" width="25.13"/>
    <col customWidth="1" min="11" max="11" width="2.63"/>
    <col customWidth="1" min="12" max="12" width="25.13"/>
    <col customWidth="1" min="13" max="13" width="2.63"/>
  </cols>
  <sheetData>
    <row r="1">
      <c r="A1" s="88"/>
      <c r="B1" s="89" t="s">
        <v>550</v>
      </c>
      <c r="C1" s="89"/>
      <c r="D1" s="88"/>
      <c r="E1" s="88"/>
      <c r="F1" s="88"/>
      <c r="G1" s="88"/>
      <c r="H1" s="88"/>
      <c r="I1" s="88"/>
      <c r="J1" s="88"/>
      <c r="K1" s="88"/>
      <c r="L1" s="88"/>
      <c r="M1" s="88"/>
    </row>
    <row r="2">
      <c r="A2" s="8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ht="22.5" customHeight="1">
      <c r="A4" s="17"/>
      <c r="B4" s="90" t="s">
        <v>551</v>
      </c>
      <c r="C4" s="90" t="s">
        <v>2</v>
      </c>
      <c r="D4" s="91" t="s">
        <v>3</v>
      </c>
      <c r="E4" s="90" t="s">
        <v>4</v>
      </c>
      <c r="F4" s="90" t="s">
        <v>5</v>
      </c>
      <c r="G4" s="91" t="s">
        <v>552</v>
      </c>
      <c r="H4" s="90" t="s">
        <v>553</v>
      </c>
      <c r="I4" s="90" t="s">
        <v>554</v>
      </c>
      <c r="J4" s="90" t="s">
        <v>555</v>
      </c>
      <c r="K4" s="92" t="s">
        <v>19</v>
      </c>
      <c r="L4" s="93" t="s">
        <v>20</v>
      </c>
      <c r="M4" s="93" t="s">
        <v>556</v>
      </c>
    </row>
    <row r="5" ht="22.5" customHeight="1">
      <c r="B5" s="94">
        <v>335.0</v>
      </c>
      <c r="C5" s="95" t="s">
        <v>40</v>
      </c>
      <c r="D5" s="96">
        <v>46025.0</v>
      </c>
      <c r="E5" s="97" t="str">
        <f t="shared" ref="E5:E30" si="1">if(D5="","",text(D5,"yyyy"))</f>
        <v>2026</v>
      </c>
      <c r="F5" s="97" t="str">
        <f t="shared" ref="F5:F30" si="2">if(D5="","",text(D5,"mm")&amp;" "&amp;text(D5,"mmm"))</f>
        <v>01 Jan</v>
      </c>
      <c r="G5" s="98">
        <v>148000.0</v>
      </c>
      <c r="H5" s="95" t="s">
        <v>33</v>
      </c>
      <c r="I5" s="99" t="s">
        <v>557</v>
      </c>
      <c r="J5" s="99" t="s">
        <v>558</v>
      </c>
      <c r="K5" s="100" t="b">
        <v>1</v>
      </c>
      <c r="L5" s="100"/>
      <c r="M5" s="101"/>
    </row>
    <row r="6" ht="22.5" customHeight="1">
      <c r="B6" s="94">
        <v>336.0</v>
      </c>
      <c r="C6" s="95" t="s">
        <v>40</v>
      </c>
      <c r="D6" s="96">
        <v>46026.0</v>
      </c>
      <c r="E6" s="97" t="str">
        <f t="shared" si="1"/>
        <v>2026</v>
      </c>
      <c r="F6" s="97" t="str">
        <f t="shared" si="2"/>
        <v>01 Jan</v>
      </c>
      <c r="G6" s="98">
        <v>400000.0</v>
      </c>
      <c r="H6" s="95" t="s">
        <v>33</v>
      </c>
      <c r="I6" s="99" t="s">
        <v>559</v>
      </c>
      <c r="J6" s="99" t="s">
        <v>560</v>
      </c>
      <c r="K6" s="100" t="b">
        <v>1</v>
      </c>
      <c r="L6" s="100"/>
      <c r="M6" s="101"/>
    </row>
    <row r="7" ht="22.5" customHeight="1">
      <c r="B7" s="94">
        <v>337.0</v>
      </c>
      <c r="C7" s="95" t="s">
        <v>40</v>
      </c>
      <c r="D7" s="96">
        <v>46026.0</v>
      </c>
      <c r="E7" s="97" t="str">
        <f t="shared" si="1"/>
        <v>2026</v>
      </c>
      <c r="F7" s="97" t="str">
        <f t="shared" si="2"/>
        <v>01 Jan</v>
      </c>
      <c r="G7" s="98">
        <v>15000.0</v>
      </c>
      <c r="H7" s="95" t="s">
        <v>33</v>
      </c>
      <c r="I7" s="99" t="s">
        <v>561</v>
      </c>
      <c r="J7" s="99" t="s">
        <v>558</v>
      </c>
      <c r="K7" s="100" t="b">
        <v>1</v>
      </c>
      <c r="L7" s="100"/>
      <c r="M7" s="101"/>
    </row>
    <row r="8" ht="22.5" customHeight="1">
      <c r="B8" s="94">
        <v>338.0</v>
      </c>
      <c r="C8" s="95" t="s">
        <v>40</v>
      </c>
      <c r="D8" s="96">
        <v>46027.0</v>
      </c>
      <c r="E8" s="97" t="str">
        <f t="shared" si="1"/>
        <v>2026</v>
      </c>
      <c r="F8" s="97" t="str">
        <f t="shared" si="2"/>
        <v>01 Jan</v>
      </c>
      <c r="G8" s="98">
        <v>100000.0</v>
      </c>
      <c r="H8" s="95" t="s">
        <v>33</v>
      </c>
      <c r="I8" s="99" t="s">
        <v>21</v>
      </c>
      <c r="J8" s="99" t="s">
        <v>560</v>
      </c>
      <c r="K8" s="100" t="b">
        <v>1</v>
      </c>
      <c r="L8" s="100"/>
      <c r="M8" s="101"/>
    </row>
    <row r="9" ht="22.5" customHeight="1">
      <c r="B9" s="94">
        <v>339.0</v>
      </c>
      <c r="C9" s="95" t="s">
        <v>40</v>
      </c>
      <c r="D9" s="96">
        <v>46027.0</v>
      </c>
      <c r="E9" s="97" t="str">
        <f t="shared" si="1"/>
        <v>2026</v>
      </c>
      <c r="F9" s="97" t="str">
        <f t="shared" si="2"/>
        <v>01 Jan</v>
      </c>
      <c r="G9" s="98">
        <v>150000.0</v>
      </c>
      <c r="H9" s="95" t="s">
        <v>33</v>
      </c>
      <c r="I9" s="99" t="s">
        <v>40</v>
      </c>
      <c r="J9" s="99" t="s">
        <v>560</v>
      </c>
      <c r="K9" s="100" t="b">
        <v>1</v>
      </c>
      <c r="L9" s="100"/>
      <c r="M9" s="101"/>
    </row>
    <row r="10" ht="22.5" customHeight="1">
      <c r="B10" s="94">
        <v>340.0</v>
      </c>
      <c r="C10" s="95" t="s">
        <v>40</v>
      </c>
      <c r="D10" s="96">
        <v>46027.0</v>
      </c>
      <c r="E10" s="97" t="str">
        <f t="shared" si="1"/>
        <v>2026</v>
      </c>
      <c r="F10" s="97" t="str">
        <f t="shared" si="2"/>
        <v>01 Jan</v>
      </c>
      <c r="G10" s="98">
        <v>150000.0</v>
      </c>
      <c r="H10" s="95" t="s">
        <v>33</v>
      </c>
      <c r="I10" s="99" t="s">
        <v>562</v>
      </c>
      <c r="J10" s="99" t="s">
        <v>558</v>
      </c>
      <c r="K10" s="100" t="b">
        <v>1</v>
      </c>
      <c r="L10" s="100"/>
      <c r="M10" s="101"/>
    </row>
    <row r="11" ht="22.5" customHeight="1">
      <c r="B11" s="94">
        <v>341.0</v>
      </c>
      <c r="C11" s="95" t="s">
        <v>40</v>
      </c>
      <c r="D11" s="96">
        <v>46027.0</v>
      </c>
      <c r="E11" s="97" t="str">
        <f t="shared" si="1"/>
        <v>2026</v>
      </c>
      <c r="F11" s="97" t="str">
        <f t="shared" si="2"/>
        <v>01 Jan</v>
      </c>
      <c r="G11" s="98">
        <v>50000.0</v>
      </c>
      <c r="H11" s="95" t="s">
        <v>33</v>
      </c>
      <c r="I11" s="99" t="s">
        <v>70</v>
      </c>
      <c r="J11" s="99" t="s">
        <v>560</v>
      </c>
      <c r="K11" s="100" t="b">
        <v>1</v>
      </c>
      <c r="L11" s="100"/>
      <c r="M11" s="101"/>
    </row>
    <row r="12" ht="22.5" customHeight="1">
      <c r="B12" s="94">
        <v>342.0</v>
      </c>
      <c r="C12" s="95" t="s">
        <v>40</v>
      </c>
      <c r="D12" s="96">
        <v>46028.0</v>
      </c>
      <c r="E12" s="97" t="str">
        <f t="shared" si="1"/>
        <v>2026</v>
      </c>
      <c r="F12" s="97" t="str">
        <f t="shared" si="2"/>
        <v>01 Jan</v>
      </c>
      <c r="G12" s="98">
        <v>150000.0</v>
      </c>
      <c r="H12" s="95" t="s">
        <v>33</v>
      </c>
      <c r="I12" s="99" t="s">
        <v>563</v>
      </c>
      <c r="J12" s="99" t="s">
        <v>558</v>
      </c>
      <c r="K12" s="100" t="b">
        <v>1</v>
      </c>
      <c r="L12" s="100"/>
      <c r="M12" s="101"/>
    </row>
    <row r="13" ht="22.5" customHeight="1">
      <c r="B13" s="94">
        <v>343.0</v>
      </c>
      <c r="C13" s="95" t="s">
        <v>40</v>
      </c>
      <c r="D13" s="96">
        <v>46029.0</v>
      </c>
      <c r="E13" s="97" t="str">
        <f t="shared" si="1"/>
        <v>2026</v>
      </c>
      <c r="F13" s="97" t="str">
        <f t="shared" si="2"/>
        <v>01 Jan</v>
      </c>
      <c r="G13" s="98">
        <v>200000.0</v>
      </c>
      <c r="H13" s="95" t="s">
        <v>33</v>
      </c>
      <c r="I13" s="99" t="s">
        <v>40</v>
      </c>
      <c r="J13" s="99" t="s">
        <v>560</v>
      </c>
      <c r="K13" s="100" t="b">
        <v>1</v>
      </c>
      <c r="L13" s="100"/>
      <c r="M13" s="101"/>
    </row>
    <row r="14" ht="22.5" customHeight="1">
      <c r="B14" s="94">
        <v>344.0</v>
      </c>
      <c r="C14" s="95" t="s">
        <v>40</v>
      </c>
      <c r="D14" s="96">
        <v>46030.0</v>
      </c>
      <c r="E14" s="97" t="str">
        <f t="shared" si="1"/>
        <v>2026</v>
      </c>
      <c r="F14" s="97" t="str">
        <f t="shared" si="2"/>
        <v>01 Jan</v>
      </c>
      <c r="G14" s="98">
        <v>150000.0</v>
      </c>
      <c r="H14" s="95" t="s">
        <v>33</v>
      </c>
      <c r="I14" s="99" t="s">
        <v>148</v>
      </c>
      <c r="J14" s="99" t="s">
        <v>560</v>
      </c>
      <c r="K14" s="100" t="b">
        <v>1</v>
      </c>
      <c r="L14" s="100"/>
      <c r="M14" s="101"/>
    </row>
    <row r="15" ht="22.5" customHeight="1">
      <c r="B15" s="94">
        <v>345.0</v>
      </c>
      <c r="C15" s="95" t="s">
        <v>40</v>
      </c>
      <c r="D15" s="96">
        <v>46030.0</v>
      </c>
      <c r="E15" s="97" t="str">
        <f t="shared" si="1"/>
        <v>2026</v>
      </c>
      <c r="F15" s="97" t="str">
        <f t="shared" si="2"/>
        <v>01 Jan</v>
      </c>
      <c r="G15" s="98">
        <v>100000.0</v>
      </c>
      <c r="H15" s="95" t="s">
        <v>33</v>
      </c>
      <c r="I15" s="99" t="s">
        <v>21</v>
      </c>
      <c r="J15" s="99" t="s">
        <v>560</v>
      </c>
      <c r="K15" s="100" t="b">
        <v>1</v>
      </c>
      <c r="L15" s="100"/>
      <c r="M15" s="101"/>
    </row>
    <row r="16" ht="22.5" customHeight="1">
      <c r="B16" s="94">
        <v>346.0</v>
      </c>
      <c r="C16" s="95" t="s">
        <v>40</v>
      </c>
      <c r="D16" s="96">
        <v>46030.0</v>
      </c>
      <c r="E16" s="97" t="str">
        <f t="shared" si="1"/>
        <v>2026</v>
      </c>
      <c r="F16" s="97" t="str">
        <f t="shared" si="2"/>
        <v>01 Jan</v>
      </c>
      <c r="G16" s="98">
        <v>50000.0</v>
      </c>
      <c r="H16" s="95" t="s">
        <v>33</v>
      </c>
      <c r="I16" s="99" t="s">
        <v>40</v>
      </c>
      <c r="J16" s="99" t="s">
        <v>560</v>
      </c>
      <c r="K16" s="100" t="b">
        <v>1</v>
      </c>
      <c r="L16" s="100"/>
      <c r="M16" s="101"/>
    </row>
    <row r="17" ht="22.5" customHeight="1">
      <c r="B17" s="94">
        <v>347.0</v>
      </c>
      <c r="C17" s="95" t="s">
        <v>21</v>
      </c>
      <c r="D17" s="96">
        <v>46032.0</v>
      </c>
      <c r="E17" s="97" t="str">
        <f t="shared" si="1"/>
        <v>2026</v>
      </c>
      <c r="F17" s="97" t="str">
        <f t="shared" si="2"/>
        <v>01 Jan</v>
      </c>
      <c r="G17" s="98">
        <v>15000.0</v>
      </c>
      <c r="H17" s="95" t="s">
        <v>33</v>
      </c>
      <c r="I17" s="99" t="s">
        <v>564</v>
      </c>
      <c r="J17" s="99" t="s">
        <v>558</v>
      </c>
      <c r="K17" s="100" t="b">
        <v>1</v>
      </c>
      <c r="L17" s="100"/>
      <c r="M17" s="101"/>
    </row>
    <row r="18" ht="22.5" customHeight="1">
      <c r="B18" s="94">
        <v>348.0</v>
      </c>
      <c r="C18" s="95" t="s">
        <v>40</v>
      </c>
      <c r="D18" s="96">
        <v>46032.0</v>
      </c>
      <c r="E18" s="97" t="str">
        <f t="shared" si="1"/>
        <v>2026</v>
      </c>
      <c r="F18" s="97" t="str">
        <f t="shared" si="2"/>
        <v>01 Jan</v>
      </c>
      <c r="G18" s="98">
        <v>100000.0</v>
      </c>
      <c r="H18" s="95" t="s">
        <v>33</v>
      </c>
      <c r="I18" s="99" t="s">
        <v>70</v>
      </c>
      <c r="J18" s="99" t="s">
        <v>560</v>
      </c>
      <c r="K18" s="100" t="b">
        <v>1</v>
      </c>
      <c r="L18" s="100"/>
      <c r="M18" s="101"/>
    </row>
    <row r="19" ht="22.5" customHeight="1">
      <c r="B19" s="94">
        <v>349.0</v>
      </c>
      <c r="C19" s="95" t="s">
        <v>40</v>
      </c>
      <c r="D19" s="96">
        <v>46032.0</v>
      </c>
      <c r="E19" s="97" t="str">
        <f t="shared" si="1"/>
        <v>2026</v>
      </c>
      <c r="F19" s="97" t="str">
        <f t="shared" si="2"/>
        <v>01 Jan</v>
      </c>
      <c r="G19" s="98">
        <v>50000.0</v>
      </c>
      <c r="H19" s="95" t="s">
        <v>33</v>
      </c>
      <c r="I19" s="99" t="s">
        <v>565</v>
      </c>
      <c r="J19" s="99" t="s">
        <v>558</v>
      </c>
      <c r="K19" s="100" t="b">
        <v>1</v>
      </c>
      <c r="L19" s="100"/>
      <c r="M19" s="101"/>
    </row>
    <row r="20" ht="22.5" customHeight="1">
      <c r="B20" s="94">
        <v>350.0</v>
      </c>
      <c r="C20" s="95" t="s">
        <v>40</v>
      </c>
      <c r="D20" s="96">
        <v>46032.0</v>
      </c>
      <c r="E20" s="97" t="str">
        <f t="shared" si="1"/>
        <v>2026</v>
      </c>
      <c r="F20" s="97" t="str">
        <f t="shared" si="2"/>
        <v>01 Jan</v>
      </c>
      <c r="G20" s="98">
        <v>200000.0</v>
      </c>
      <c r="H20" s="95" t="s">
        <v>33</v>
      </c>
      <c r="I20" s="99" t="s">
        <v>40</v>
      </c>
      <c r="J20" s="99" t="s">
        <v>560</v>
      </c>
      <c r="K20" s="100" t="b">
        <v>1</v>
      </c>
      <c r="L20" s="100"/>
      <c r="M20" s="101"/>
    </row>
    <row r="21" ht="22.5" customHeight="1">
      <c r="B21" s="94">
        <v>351.0</v>
      </c>
      <c r="C21" s="95" t="s">
        <v>40</v>
      </c>
      <c r="D21" s="96">
        <v>46032.0</v>
      </c>
      <c r="E21" s="97" t="str">
        <f t="shared" si="1"/>
        <v>2026</v>
      </c>
      <c r="F21" s="97" t="str">
        <f t="shared" si="2"/>
        <v>01 Jan</v>
      </c>
      <c r="G21" s="98">
        <v>35000.0</v>
      </c>
      <c r="H21" s="95" t="s">
        <v>33</v>
      </c>
      <c r="I21" s="99" t="s">
        <v>566</v>
      </c>
      <c r="J21" s="99" t="s">
        <v>560</v>
      </c>
      <c r="K21" s="100" t="b">
        <v>1</v>
      </c>
      <c r="L21" s="100"/>
      <c r="M21" s="101"/>
    </row>
    <row r="22" ht="22.5" customHeight="1">
      <c r="B22" s="94">
        <v>352.0</v>
      </c>
      <c r="C22" s="95" t="s">
        <v>21</v>
      </c>
      <c r="D22" s="96">
        <v>46033.0</v>
      </c>
      <c r="E22" s="97" t="str">
        <f t="shared" si="1"/>
        <v>2026</v>
      </c>
      <c r="F22" s="97" t="str">
        <f t="shared" si="2"/>
        <v>01 Jan</v>
      </c>
      <c r="G22" s="98">
        <v>200000.0</v>
      </c>
      <c r="H22" s="95" t="s">
        <v>33</v>
      </c>
      <c r="I22" s="99" t="s">
        <v>567</v>
      </c>
      <c r="J22" s="99" t="s">
        <v>560</v>
      </c>
      <c r="K22" s="100" t="b">
        <v>1</v>
      </c>
      <c r="L22" s="100"/>
      <c r="M22" s="101"/>
    </row>
    <row r="23" ht="22.5" customHeight="1">
      <c r="B23" s="94">
        <v>353.0</v>
      </c>
      <c r="C23" s="95" t="s">
        <v>21</v>
      </c>
      <c r="D23" s="96">
        <v>46033.0</v>
      </c>
      <c r="E23" s="97" t="str">
        <f t="shared" si="1"/>
        <v>2026</v>
      </c>
      <c r="F23" s="97" t="str">
        <f t="shared" si="2"/>
        <v>01 Jan</v>
      </c>
      <c r="G23" s="98">
        <v>300000.0</v>
      </c>
      <c r="H23" s="95" t="s">
        <v>33</v>
      </c>
      <c r="I23" s="99" t="s">
        <v>567</v>
      </c>
      <c r="J23" s="99" t="s">
        <v>560</v>
      </c>
      <c r="K23" s="100" t="b">
        <v>1</v>
      </c>
      <c r="L23" s="100"/>
      <c r="M23" s="101"/>
    </row>
    <row r="24" ht="22.5" customHeight="1">
      <c r="B24" s="94">
        <v>354.0</v>
      </c>
      <c r="C24" s="95" t="s">
        <v>21</v>
      </c>
      <c r="D24" s="96">
        <v>46034.0</v>
      </c>
      <c r="E24" s="97" t="str">
        <f t="shared" si="1"/>
        <v>2026</v>
      </c>
      <c r="F24" s="97" t="str">
        <f t="shared" si="2"/>
        <v>01 Jan</v>
      </c>
      <c r="G24" s="98">
        <v>50000.0</v>
      </c>
      <c r="H24" s="95" t="s">
        <v>33</v>
      </c>
      <c r="I24" s="99" t="s">
        <v>568</v>
      </c>
      <c r="J24" s="99" t="s">
        <v>560</v>
      </c>
      <c r="K24" s="100" t="b">
        <v>1</v>
      </c>
      <c r="L24" s="100"/>
      <c r="M24" s="101"/>
    </row>
    <row r="25" ht="22.5" customHeight="1">
      <c r="B25" s="94">
        <v>355.0</v>
      </c>
      <c r="C25" s="95" t="s">
        <v>21</v>
      </c>
      <c r="D25" s="96">
        <v>46034.0</v>
      </c>
      <c r="E25" s="97" t="str">
        <f t="shared" si="1"/>
        <v>2026</v>
      </c>
      <c r="F25" s="97" t="str">
        <f t="shared" si="2"/>
        <v>01 Jan</v>
      </c>
      <c r="G25" s="98">
        <v>50000.0</v>
      </c>
      <c r="H25" s="95" t="s">
        <v>33</v>
      </c>
      <c r="I25" s="99" t="s">
        <v>569</v>
      </c>
      <c r="J25" s="99" t="s">
        <v>560</v>
      </c>
      <c r="K25" s="100" t="b">
        <v>1</v>
      </c>
      <c r="L25" s="100"/>
      <c r="M25" s="101"/>
    </row>
    <row r="26" ht="22.5" customHeight="1">
      <c r="B26" s="94">
        <v>356.0</v>
      </c>
      <c r="C26" s="95" t="s">
        <v>40</v>
      </c>
      <c r="D26" s="96">
        <v>46034.0</v>
      </c>
      <c r="E26" s="97" t="str">
        <f t="shared" si="1"/>
        <v>2026</v>
      </c>
      <c r="F26" s="97" t="str">
        <f t="shared" si="2"/>
        <v>01 Jan</v>
      </c>
      <c r="G26" s="98">
        <v>100000.0</v>
      </c>
      <c r="H26" s="95" t="s">
        <v>33</v>
      </c>
      <c r="I26" s="99" t="s">
        <v>21</v>
      </c>
      <c r="J26" s="99" t="s">
        <v>560</v>
      </c>
      <c r="K26" s="100" t="b">
        <v>1</v>
      </c>
      <c r="L26" s="100"/>
      <c r="M26" s="101"/>
    </row>
    <row r="27" ht="22.5" customHeight="1">
      <c r="B27" s="94">
        <v>357.0</v>
      </c>
      <c r="C27" s="95" t="s">
        <v>40</v>
      </c>
      <c r="D27" s="96">
        <v>46034.0</v>
      </c>
      <c r="E27" s="97" t="str">
        <f t="shared" si="1"/>
        <v>2026</v>
      </c>
      <c r="F27" s="97" t="str">
        <f t="shared" si="2"/>
        <v>01 Jan</v>
      </c>
      <c r="G27" s="98">
        <v>200000.0</v>
      </c>
      <c r="H27" s="95" t="s">
        <v>33</v>
      </c>
      <c r="I27" s="99" t="s">
        <v>559</v>
      </c>
      <c r="J27" s="99" t="s">
        <v>560</v>
      </c>
      <c r="K27" s="100" t="b">
        <v>1</v>
      </c>
      <c r="L27" s="100"/>
      <c r="M27" s="101"/>
    </row>
    <row r="28" ht="22.5" customHeight="1">
      <c r="B28" s="94">
        <v>358.0</v>
      </c>
      <c r="C28" s="95" t="s">
        <v>40</v>
      </c>
      <c r="D28" s="96">
        <v>46035.0</v>
      </c>
      <c r="E28" s="97" t="str">
        <f t="shared" si="1"/>
        <v>2026</v>
      </c>
      <c r="F28" s="97" t="str">
        <f t="shared" si="2"/>
        <v>01 Jan</v>
      </c>
      <c r="G28" s="98">
        <v>200000.0</v>
      </c>
      <c r="H28" s="95" t="s">
        <v>33</v>
      </c>
      <c r="I28" s="99" t="s">
        <v>148</v>
      </c>
      <c r="J28" s="99" t="s">
        <v>560</v>
      </c>
      <c r="K28" s="100" t="b">
        <v>1</v>
      </c>
      <c r="L28" s="100"/>
      <c r="M28" s="101"/>
    </row>
    <row r="29" ht="22.5" customHeight="1">
      <c r="B29" s="94">
        <v>359.0</v>
      </c>
      <c r="C29" s="95" t="s">
        <v>21</v>
      </c>
      <c r="D29" s="96">
        <v>46035.0</v>
      </c>
      <c r="E29" s="97" t="str">
        <f t="shared" si="1"/>
        <v>2026</v>
      </c>
      <c r="F29" s="97" t="str">
        <f t="shared" si="2"/>
        <v>01 Jan</v>
      </c>
      <c r="G29" s="98">
        <v>100000.0</v>
      </c>
      <c r="H29" s="95" t="s">
        <v>33</v>
      </c>
      <c r="I29" s="99" t="s">
        <v>570</v>
      </c>
      <c r="J29" s="99" t="s">
        <v>558</v>
      </c>
      <c r="K29" s="100" t="b">
        <v>1</v>
      </c>
      <c r="L29" s="100"/>
      <c r="M29" s="101"/>
    </row>
    <row r="30" ht="22.5" customHeight="1">
      <c r="B30" s="94">
        <v>360.0</v>
      </c>
      <c r="C30" s="95" t="s">
        <v>21</v>
      </c>
      <c r="D30" s="96">
        <v>46035.0</v>
      </c>
      <c r="E30" s="97" t="str">
        <f t="shared" si="1"/>
        <v>2026</v>
      </c>
      <c r="F30" s="97" t="str">
        <f t="shared" si="2"/>
        <v>01 Jan</v>
      </c>
      <c r="G30" s="98">
        <v>100000.0</v>
      </c>
      <c r="H30" s="95" t="s">
        <v>33</v>
      </c>
      <c r="I30" s="99" t="s">
        <v>571</v>
      </c>
      <c r="J30" s="99" t="s">
        <v>560</v>
      </c>
      <c r="K30" s="100" t="b">
        <v>1</v>
      </c>
      <c r="L30" s="100"/>
      <c r="M30" s="101"/>
    </row>
    <row r="31" ht="22.5" customHeight="1">
      <c r="B31" s="94">
        <v>361.0</v>
      </c>
      <c r="C31" s="95" t="s">
        <v>21</v>
      </c>
      <c r="D31" s="96">
        <v>46035.0</v>
      </c>
      <c r="E31" s="97" t="s">
        <v>572</v>
      </c>
      <c r="F31" s="97" t="s">
        <v>573</v>
      </c>
      <c r="G31" s="98">
        <v>200000.0</v>
      </c>
      <c r="H31" s="95" t="s">
        <v>33</v>
      </c>
      <c r="I31" s="99" t="s">
        <v>574</v>
      </c>
      <c r="J31" s="99" t="s">
        <v>560</v>
      </c>
      <c r="K31" s="100" t="b">
        <v>1</v>
      </c>
      <c r="L31" s="100"/>
      <c r="M31" s="101"/>
    </row>
    <row r="32" ht="22.5" customHeight="1">
      <c r="B32" s="94">
        <v>362.0</v>
      </c>
      <c r="C32" s="95" t="s">
        <v>21</v>
      </c>
      <c r="D32" s="96">
        <v>46036.0</v>
      </c>
      <c r="E32" s="97" t="str">
        <f t="shared" ref="E32:E51" si="3">if(D32="","",text(D32,"yyyy"))</f>
        <v>2026</v>
      </c>
      <c r="F32" s="97" t="str">
        <f t="shared" ref="F32:F51" si="4">if(D32="","",text(D32,"mm")&amp;" "&amp;text(D32,"mmm"))</f>
        <v>01 Jan</v>
      </c>
      <c r="G32" s="98">
        <v>50000.0</v>
      </c>
      <c r="H32" s="95" t="s">
        <v>33</v>
      </c>
      <c r="I32" s="99" t="s">
        <v>575</v>
      </c>
      <c r="J32" s="99" t="s">
        <v>558</v>
      </c>
      <c r="K32" s="100" t="b">
        <v>1</v>
      </c>
      <c r="L32" s="100"/>
      <c r="M32" s="101"/>
    </row>
    <row r="33" ht="22.5" customHeight="1">
      <c r="B33" s="94">
        <v>363.0</v>
      </c>
      <c r="C33" s="95" t="s">
        <v>40</v>
      </c>
      <c r="D33" s="96">
        <v>46036.0</v>
      </c>
      <c r="E33" s="97" t="str">
        <f t="shared" si="3"/>
        <v>2026</v>
      </c>
      <c r="F33" s="97" t="str">
        <f t="shared" si="4"/>
        <v>01 Jan</v>
      </c>
      <c r="G33" s="98">
        <v>50000.0</v>
      </c>
      <c r="H33" s="95" t="s">
        <v>33</v>
      </c>
      <c r="I33" s="99" t="s">
        <v>40</v>
      </c>
      <c r="J33" s="99" t="s">
        <v>560</v>
      </c>
      <c r="K33" s="100" t="b">
        <v>1</v>
      </c>
      <c r="L33" s="100"/>
      <c r="M33" s="101"/>
    </row>
    <row r="34" ht="22.5" customHeight="1">
      <c r="B34" s="94">
        <v>364.0</v>
      </c>
      <c r="C34" s="95" t="s">
        <v>40</v>
      </c>
      <c r="D34" s="96">
        <v>46036.0</v>
      </c>
      <c r="E34" s="97" t="str">
        <f t="shared" si="3"/>
        <v>2026</v>
      </c>
      <c r="F34" s="97" t="str">
        <f t="shared" si="4"/>
        <v>01 Jan</v>
      </c>
      <c r="G34" s="98">
        <v>200000.0</v>
      </c>
      <c r="H34" s="95" t="s">
        <v>33</v>
      </c>
      <c r="I34" s="99" t="s">
        <v>559</v>
      </c>
      <c r="J34" s="99" t="s">
        <v>560</v>
      </c>
      <c r="K34" s="100" t="b">
        <v>1</v>
      </c>
      <c r="L34" s="100"/>
      <c r="M34" s="101"/>
    </row>
    <row r="35" ht="22.5" customHeight="1">
      <c r="B35" s="94">
        <v>365.0</v>
      </c>
      <c r="C35" s="95" t="s">
        <v>40</v>
      </c>
      <c r="D35" s="96">
        <v>46037.0</v>
      </c>
      <c r="E35" s="97" t="str">
        <f t="shared" si="3"/>
        <v>2026</v>
      </c>
      <c r="F35" s="97" t="str">
        <f t="shared" si="4"/>
        <v>01 Jan</v>
      </c>
      <c r="G35" s="98">
        <v>50000.0</v>
      </c>
      <c r="H35" s="95" t="s">
        <v>33</v>
      </c>
      <c r="I35" s="99" t="s">
        <v>576</v>
      </c>
      <c r="J35" s="99" t="s">
        <v>577</v>
      </c>
      <c r="K35" s="100" t="b">
        <v>1</v>
      </c>
      <c r="L35" s="100"/>
      <c r="M35" s="101"/>
    </row>
    <row r="36" ht="22.5" customHeight="1">
      <c r="B36" s="94">
        <v>366.0</v>
      </c>
      <c r="C36" s="95" t="s">
        <v>40</v>
      </c>
      <c r="D36" s="96">
        <v>46037.0</v>
      </c>
      <c r="E36" s="97" t="str">
        <f t="shared" si="3"/>
        <v>2026</v>
      </c>
      <c r="F36" s="97" t="str">
        <f t="shared" si="4"/>
        <v>01 Jan</v>
      </c>
      <c r="G36" s="98">
        <v>100000.0</v>
      </c>
      <c r="H36" s="95" t="s">
        <v>33</v>
      </c>
      <c r="I36" s="99" t="s">
        <v>578</v>
      </c>
      <c r="J36" s="99" t="s">
        <v>577</v>
      </c>
      <c r="K36" s="100" t="b">
        <v>1</v>
      </c>
      <c r="L36" s="100"/>
      <c r="M36" s="101"/>
    </row>
    <row r="37" ht="22.5" customHeight="1">
      <c r="B37" s="94">
        <v>367.0</v>
      </c>
      <c r="C37" s="95" t="s">
        <v>40</v>
      </c>
      <c r="D37" s="96">
        <v>46037.0</v>
      </c>
      <c r="E37" s="97" t="str">
        <f t="shared" si="3"/>
        <v>2026</v>
      </c>
      <c r="F37" s="97" t="str">
        <f t="shared" si="4"/>
        <v>01 Jan</v>
      </c>
      <c r="G37" s="98">
        <v>100000.0</v>
      </c>
      <c r="H37" s="95" t="s">
        <v>33</v>
      </c>
      <c r="I37" s="99" t="s">
        <v>40</v>
      </c>
      <c r="J37" s="99" t="s">
        <v>560</v>
      </c>
      <c r="K37" s="100" t="b">
        <v>1</v>
      </c>
      <c r="L37" s="100"/>
      <c r="M37" s="101"/>
    </row>
    <row r="38" ht="22.5" customHeight="1">
      <c r="B38" s="94">
        <v>368.0</v>
      </c>
      <c r="C38" s="95" t="s">
        <v>40</v>
      </c>
      <c r="D38" s="96">
        <v>46039.0</v>
      </c>
      <c r="E38" s="97" t="str">
        <f t="shared" si="3"/>
        <v>2026</v>
      </c>
      <c r="F38" s="97" t="str">
        <f t="shared" si="4"/>
        <v>01 Jan</v>
      </c>
      <c r="G38" s="98">
        <v>15000.0</v>
      </c>
      <c r="H38" s="95" t="s">
        <v>33</v>
      </c>
      <c r="I38" s="99" t="s">
        <v>561</v>
      </c>
      <c r="J38" s="99" t="s">
        <v>558</v>
      </c>
      <c r="K38" s="100" t="b">
        <v>1</v>
      </c>
      <c r="L38" s="100"/>
      <c r="M38" s="101"/>
    </row>
    <row r="39" ht="22.5" customHeight="1">
      <c r="B39" s="94">
        <v>369.0</v>
      </c>
      <c r="C39" s="95" t="s">
        <v>40</v>
      </c>
      <c r="D39" s="96">
        <v>46039.0</v>
      </c>
      <c r="E39" s="97" t="str">
        <f t="shared" si="3"/>
        <v>2026</v>
      </c>
      <c r="F39" s="97" t="str">
        <f t="shared" si="4"/>
        <v>01 Jan</v>
      </c>
      <c r="G39" s="98">
        <v>100000.0</v>
      </c>
      <c r="H39" s="95" t="s">
        <v>33</v>
      </c>
      <c r="I39" s="99" t="s">
        <v>21</v>
      </c>
      <c r="J39" s="99" t="s">
        <v>560</v>
      </c>
      <c r="K39" s="100" t="b">
        <v>1</v>
      </c>
      <c r="L39" s="100"/>
      <c r="M39" s="101"/>
    </row>
    <row r="40" ht="22.5" customHeight="1">
      <c r="B40" s="94">
        <v>370.0</v>
      </c>
      <c r="C40" s="95" t="s">
        <v>40</v>
      </c>
      <c r="D40" s="96">
        <v>46039.0</v>
      </c>
      <c r="E40" s="97" t="str">
        <f t="shared" si="3"/>
        <v>2026</v>
      </c>
      <c r="F40" s="97" t="str">
        <f t="shared" si="4"/>
        <v>01 Jan</v>
      </c>
      <c r="G40" s="98">
        <v>300000.0</v>
      </c>
      <c r="H40" s="95" t="s">
        <v>33</v>
      </c>
      <c r="I40" s="99" t="s">
        <v>148</v>
      </c>
      <c r="J40" s="99" t="s">
        <v>560</v>
      </c>
      <c r="K40" s="100" t="b">
        <v>1</v>
      </c>
      <c r="L40" s="100"/>
      <c r="M40" s="101"/>
    </row>
    <row r="41" ht="22.5" customHeight="1">
      <c r="B41" s="94">
        <v>371.0</v>
      </c>
      <c r="C41" s="95" t="s">
        <v>40</v>
      </c>
      <c r="D41" s="96">
        <v>46039.0</v>
      </c>
      <c r="E41" s="97" t="str">
        <f t="shared" si="3"/>
        <v>2026</v>
      </c>
      <c r="F41" s="97" t="str">
        <f t="shared" si="4"/>
        <v>01 Jan</v>
      </c>
      <c r="G41" s="98">
        <v>50000.0</v>
      </c>
      <c r="H41" s="95" t="s">
        <v>33</v>
      </c>
      <c r="I41" s="99" t="s">
        <v>579</v>
      </c>
      <c r="J41" s="99" t="s">
        <v>580</v>
      </c>
      <c r="K41" s="100" t="b">
        <v>1</v>
      </c>
      <c r="L41" s="100"/>
      <c r="M41" s="101"/>
    </row>
    <row r="42" ht="22.5" customHeight="1">
      <c r="B42" s="94">
        <v>372.0</v>
      </c>
      <c r="C42" s="95" t="s">
        <v>21</v>
      </c>
      <c r="D42" s="96">
        <v>46040.0</v>
      </c>
      <c r="E42" s="97" t="str">
        <f t="shared" si="3"/>
        <v>2026</v>
      </c>
      <c r="F42" s="97" t="str">
        <f t="shared" si="4"/>
        <v>01 Jan</v>
      </c>
      <c r="G42" s="98">
        <v>80000.0</v>
      </c>
      <c r="H42" s="95" t="s">
        <v>33</v>
      </c>
      <c r="I42" s="99" t="s">
        <v>581</v>
      </c>
      <c r="J42" s="99" t="s">
        <v>558</v>
      </c>
      <c r="K42" s="100" t="b">
        <v>1</v>
      </c>
      <c r="L42" s="100"/>
      <c r="M42" s="101"/>
    </row>
    <row r="43" ht="22.5" customHeight="1">
      <c r="B43" s="94">
        <v>373.0</v>
      </c>
      <c r="C43" s="95" t="s">
        <v>21</v>
      </c>
      <c r="D43" s="96">
        <v>46040.0</v>
      </c>
      <c r="E43" s="97" t="str">
        <f t="shared" si="3"/>
        <v>2026</v>
      </c>
      <c r="F43" s="97" t="str">
        <f t="shared" si="4"/>
        <v>01 Jan</v>
      </c>
      <c r="G43" s="98">
        <v>50000.0</v>
      </c>
      <c r="H43" s="95" t="s">
        <v>33</v>
      </c>
      <c r="I43" s="99" t="s">
        <v>582</v>
      </c>
      <c r="J43" s="99" t="s">
        <v>558</v>
      </c>
      <c r="K43" s="100" t="b">
        <v>1</v>
      </c>
      <c r="L43" s="100"/>
      <c r="M43" s="101"/>
    </row>
    <row r="44" ht="22.5" customHeight="1">
      <c r="B44" s="94">
        <v>374.0</v>
      </c>
      <c r="C44" s="95" t="s">
        <v>21</v>
      </c>
      <c r="D44" s="96">
        <v>46040.0</v>
      </c>
      <c r="E44" s="97" t="str">
        <f t="shared" si="3"/>
        <v>2026</v>
      </c>
      <c r="F44" s="97" t="str">
        <f t="shared" si="4"/>
        <v>01 Jan</v>
      </c>
      <c r="G44" s="98">
        <v>150000.0</v>
      </c>
      <c r="H44" s="95" t="s">
        <v>33</v>
      </c>
      <c r="I44" s="99" t="s">
        <v>583</v>
      </c>
      <c r="J44" s="99" t="s">
        <v>558</v>
      </c>
      <c r="K44" s="100" t="b">
        <v>1</v>
      </c>
      <c r="L44" s="100"/>
      <c r="M44" s="101"/>
    </row>
    <row r="45" ht="22.5" customHeight="1">
      <c r="B45" s="94">
        <v>375.0</v>
      </c>
      <c r="C45" s="95" t="s">
        <v>21</v>
      </c>
      <c r="D45" s="96">
        <v>46040.0</v>
      </c>
      <c r="E45" s="97" t="str">
        <f t="shared" si="3"/>
        <v>2026</v>
      </c>
      <c r="F45" s="97" t="str">
        <f t="shared" si="4"/>
        <v>01 Jan</v>
      </c>
      <c r="G45" s="98">
        <v>100000.0</v>
      </c>
      <c r="H45" s="95" t="s">
        <v>33</v>
      </c>
      <c r="I45" s="99" t="s">
        <v>584</v>
      </c>
      <c r="J45" s="99" t="s">
        <v>560</v>
      </c>
      <c r="K45" s="100" t="b">
        <v>1</v>
      </c>
      <c r="L45" s="100"/>
      <c r="M45" s="101"/>
    </row>
    <row r="46" ht="22.5" customHeight="1">
      <c r="B46" s="94">
        <v>376.0</v>
      </c>
      <c r="C46" s="95" t="s">
        <v>40</v>
      </c>
      <c r="D46" s="96">
        <v>46040.0</v>
      </c>
      <c r="E46" s="97" t="str">
        <f t="shared" si="3"/>
        <v>2026</v>
      </c>
      <c r="F46" s="97" t="str">
        <f t="shared" si="4"/>
        <v>01 Jan</v>
      </c>
      <c r="G46" s="98">
        <v>200000.0</v>
      </c>
      <c r="H46" s="95" t="s">
        <v>33</v>
      </c>
      <c r="I46" s="99" t="s">
        <v>148</v>
      </c>
      <c r="J46" s="99" t="s">
        <v>560</v>
      </c>
      <c r="K46" s="100" t="b">
        <v>1</v>
      </c>
      <c r="L46" s="100"/>
      <c r="M46" s="101"/>
    </row>
    <row r="47" ht="22.5" customHeight="1">
      <c r="B47" s="94">
        <v>377.0</v>
      </c>
      <c r="C47" s="95" t="s">
        <v>21</v>
      </c>
      <c r="D47" s="96">
        <v>46040.0</v>
      </c>
      <c r="E47" s="97" t="str">
        <f t="shared" si="3"/>
        <v>2026</v>
      </c>
      <c r="F47" s="97" t="str">
        <f t="shared" si="4"/>
        <v>01 Jan</v>
      </c>
      <c r="G47" s="98">
        <v>900000.0</v>
      </c>
      <c r="H47" s="95" t="s">
        <v>33</v>
      </c>
      <c r="I47" s="99" t="s">
        <v>585</v>
      </c>
      <c r="J47" s="99" t="s">
        <v>558</v>
      </c>
      <c r="K47" s="100" t="b">
        <v>1</v>
      </c>
      <c r="L47" s="100"/>
      <c r="M47" s="101"/>
    </row>
    <row r="48" ht="22.5" customHeight="1">
      <c r="B48" s="94">
        <v>378.0</v>
      </c>
      <c r="C48" s="95" t="s">
        <v>40</v>
      </c>
      <c r="D48" s="96">
        <v>46041.0</v>
      </c>
      <c r="E48" s="97" t="str">
        <f t="shared" si="3"/>
        <v>2026</v>
      </c>
      <c r="F48" s="97" t="str">
        <f t="shared" si="4"/>
        <v>01 Jan</v>
      </c>
      <c r="G48" s="98">
        <v>100000.0</v>
      </c>
      <c r="H48" s="95" t="s">
        <v>33</v>
      </c>
      <c r="I48" s="99" t="s">
        <v>68</v>
      </c>
      <c r="J48" s="99" t="s">
        <v>560</v>
      </c>
      <c r="K48" s="100" t="b">
        <v>1</v>
      </c>
      <c r="L48" s="100"/>
      <c r="M48" s="101"/>
    </row>
    <row r="49" ht="22.5" customHeight="1">
      <c r="B49" s="94">
        <v>379.0</v>
      </c>
      <c r="C49" s="95" t="s">
        <v>40</v>
      </c>
      <c r="D49" s="96">
        <v>46041.0</v>
      </c>
      <c r="E49" s="97" t="str">
        <f t="shared" si="3"/>
        <v>2026</v>
      </c>
      <c r="F49" s="97" t="str">
        <f t="shared" si="4"/>
        <v>01 Jan</v>
      </c>
      <c r="G49" s="98">
        <v>200000.0</v>
      </c>
      <c r="H49" s="95" t="s">
        <v>33</v>
      </c>
      <c r="I49" s="99" t="s">
        <v>148</v>
      </c>
      <c r="J49" s="99" t="s">
        <v>560</v>
      </c>
      <c r="K49" s="100" t="b">
        <v>1</v>
      </c>
      <c r="L49" s="100"/>
      <c r="M49" s="101"/>
    </row>
    <row r="50" ht="22.5" customHeight="1">
      <c r="B50" s="94">
        <v>380.0</v>
      </c>
      <c r="C50" s="95" t="s">
        <v>40</v>
      </c>
      <c r="D50" s="96">
        <v>46042.0</v>
      </c>
      <c r="E50" s="97" t="str">
        <f t="shared" si="3"/>
        <v>2026</v>
      </c>
      <c r="F50" s="97" t="str">
        <f t="shared" si="4"/>
        <v>01 Jan</v>
      </c>
      <c r="G50" s="98">
        <v>14000.0</v>
      </c>
      <c r="H50" s="95" t="s">
        <v>33</v>
      </c>
      <c r="I50" s="99" t="s">
        <v>586</v>
      </c>
      <c r="J50" s="99" t="s">
        <v>558</v>
      </c>
      <c r="K50" s="100" t="b">
        <v>1</v>
      </c>
      <c r="L50" s="100"/>
      <c r="M50" s="101"/>
    </row>
    <row r="51" ht="22.5" customHeight="1">
      <c r="B51" s="94">
        <v>381.0</v>
      </c>
      <c r="C51" s="95" t="s">
        <v>21</v>
      </c>
      <c r="D51" s="96">
        <v>46042.0</v>
      </c>
      <c r="E51" s="97" t="str">
        <f t="shared" si="3"/>
        <v>2026</v>
      </c>
      <c r="F51" s="97" t="str">
        <f t="shared" si="4"/>
        <v>01 Jan</v>
      </c>
      <c r="G51" s="98">
        <v>100000.0</v>
      </c>
      <c r="H51" s="95" t="s">
        <v>33</v>
      </c>
      <c r="I51" s="99" t="s">
        <v>587</v>
      </c>
      <c r="J51" s="99" t="s">
        <v>560</v>
      </c>
      <c r="K51" s="100" t="b">
        <v>1</v>
      </c>
      <c r="L51" s="100"/>
      <c r="M51" s="101"/>
    </row>
    <row r="52" ht="22.5" customHeight="1">
      <c r="B52" s="94">
        <v>382.0</v>
      </c>
      <c r="C52" s="95" t="s">
        <v>21</v>
      </c>
      <c r="D52" s="96">
        <v>46042.0</v>
      </c>
      <c r="E52" s="97" t="s">
        <v>572</v>
      </c>
      <c r="F52" s="97" t="s">
        <v>573</v>
      </c>
      <c r="G52" s="98">
        <v>50000.0</v>
      </c>
      <c r="H52" s="95" t="s">
        <v>33</v>
      </c>
      <c r="I52" s="99" t="s">
        <v>588</v>
      </c>
      <c r="J52" s="99" t="s">
        <v>560</v>
      </c>
      <c r="K52" s="100" t="b">
        <v>1</v>
      </c>
      <c r="L52" s="100"/>
      <c r="M52" s="101"/>
    </row>
    <row r="53" ht="22.5" customHeight="1">
      <c r="B53" s="94">
        <v>383.0</v>
      </c>
      <c r="C53" s="95" t="s">
        <v>21</v>
      </c>
      <c r="D53" s="96">
        <v>46042.0</v>
      </c>
      <c r="E53" s="97" t="s">
        <v>572</v>
      </c>
      <c r="F53" s="97" t="s">
        <v>573</v>
      </c>
      <c r="G53" s="98">
        <v>100000.0</v>
      </c>
      <c r="H53" s="95" t="s">
        <v>33</v>
      </c>
      <c r="I53" s="99" t="s">
        <v>589</v>
      </c>
      <c r="J53" s="99" t="s">
        <v>560</v>
      </c>
      <c r="K53" s="100" t="b">
        <v>1</v>
      </c>
      <c r="L53" s="100"/>
      <c r="M53" s="101"/>
    </row>
    <row r="54" ht="22.5" customHeight="1">
      <c r="B54" s="94">
        <v>384.0</v>
      </c>
      <c r="C54" s="95" t="s">
        <v>21</v>
      </c>
      <c r="D54" s="96">
        <v>46042.0</v>
      </c>
      <c r="E54" s="97" t="str">
        <f>if(D54="","",text(D54,"yyyy"))</f>
        <v>2026</v>
      </c>
      <c r="F54" s="97" t="str">
        <f>if(D54="","",text(D54,"mm")&amp;" "&amp;text(D54,"mmm"))</f>
        <v>01 Jan</v>
      </c>
      <c r="G54" s="98">
        <v>400000.0</v>
      </c>
      <c r="H54" s="95" t="s">
        <v>33</v>
      </c>
      <c r="I54" s="99" t="s">
        <v>590</v>
      </c>
      <c r="J54" s="99" t="s">
        <v>560</v>
      </c>
      <c r="K54" s="100" t="b">
        <v>1</v>
      </c>
      <c r="L54" s="100"/>
      <c r="M54" s="101"/>
    </row>
    <row r="55" ht="22.5" customHeight="1">
      <c r="B55" s="94">
        <v>385.0</v>
      </c>
      <c r="C55" s="95" t="s">
        <v>21</v>
      </c>
      <c r="D55" s="96">
        <v>46042.0</v>
      </c>
      <c r="E55" s="97" t="s">
        <v>572</v>
      </c>
      <c r="F55" s="97" t="s">
        <v>573</v>
      </c>
      <c r="G55" s="98">
        <v>86000.0</v>
      </c>
      <c r="H55" s="95" t="s">
        <v>33</v>
      </c>
      <c r="I55" s="99" t="s">
        <v>591</v>
      </c>
      <c r="J55" s="99" t="s">
        <v>560</v>
      </c>
      <c r="K55" s="100" t="b">
        <v>1</v>
      </c>
      <c r="L55" s="100"/>
      <c r="M55" s="101"/>
    </row>
    <row r="56" ht="22.5" customHeight="1">
      <c r="B56" s="94">
        <v>386.0</v>
      </c>
      <c r="C56" s="95" t="s">
        <v>40</v>
      </c>
      <c r="D56" s="96">
        <v>46043.0</v>
      </c>
      <c r="E56" s="97"/>
      <c r="F56" s="97"/>
      <c r="G56" s="98">
        <v>100000.0</v>
      </c>
      <c r="H56" s="95" t="s">
        <v>33</v>
      </c>
      <c r="I56" s="99" t="s">
        <v>70</v>
      </c>
      <c r="J56" s="99" t="s">
        <v>560</v>
      </c>
      <c r="K56" s="100" t="b">
        <v>1</v>
      </c>
      <c r="L56" s="100"/>
      <c r="M56" s="101"/>
    </row>
    <row r="57" ht="22.5" customHeight="1">
      <c r="B57" s="94">
        <v>387.0</v>
      </c>
      <c r="C57" s="95" t="s">
        <v>40</v>
      </c>
      <c r="D57" s="96">
        <v>46043.0</v>
      </c>
      <c r="E57" s="97" t="str">
        <f t="shared" ref="E57:E145" si="5">if(D57="","",text(D57,"yyyy"))</f>
        <v>2026</v>
      </c>
      <c r="F57" s="97" t="str">
        <f t="shared" ref="F57:F145" si="6">if(D57="","",text(D57,"mm")&amp;" "&amp;text(D57,"mmm"))</f>
        <v>01 Jan</v>
      </c>
      <c r="G57" s="98">
        <v>200000.0</v>
      </c>
      <c r="H57" s="95" t="s">
        <v>33</v>
      </c>
      <c r="I57" s="99" t="s">
        <v>559</v>
      </c>
      <c r="J57" s="99" t="s">
        <v>560</v>
      </c>
      <c r="K57" s="100" t="b">
        <v>1</v>
      </c>
      <c r="L57" s="100"/>
      <c r="M57" s="101"/>
    </row>
    <row r="58" ht="22.5" customHeight="1">
      <c r="B58" s="94">
        <v>388.0</v>
      </c>
      <c r="C58" s="95" t="s">
        <v>40</v>
      </c>
      <c r="D58" s="96">
        <v>46043.0</v>
      </c>
      <c r="E58" s="97" t="str">
        <f t="shared" si="5"/>
        <v>2026</v>
      </c>
      <c r="F58" s="97" t="str">
        <f t="shared" si="6"/>
        <v>01 Jan</v>
      </c>
      <c r="G58" s="98">
        <v>400000.0</v>
      </c>
      <c r="H58" s="95" t="s">
        <v>33</v>
      </c>
      <c r="I58" s="99" t="s">
        <v>592</v>
      </c>
      <c r="J58" s="99" t="s">
        <v>558</v>
      </c>
      <c r="K58" s="100" t="b">
        <v>1</v>
      </c>
      <c r="L58" s="100"/>
      <c r="M58" s="101"/>
    </row>
    <row r="59" ht="22.5" customHeight="1">
      <c r="B59" s="94">
        <v>389.0</v>
      </c>
      <c r="C59" s="95" t="s">
        <v>40</v>
      </c>
      <c r="D59" s="96">
        <v>46044.0</v>
      </c>
      <c r="E59" s="97" t="str">
        <f t="shared" si="5"/>
        <v>2026</v>
      </c>
      <c r="F59" s="97" t="str">
        <f t="shared" si="6"/>
        <v>01 Jan</v>
      </c>
      <c r="G59" s="98">
        <v>50000.0</v>
      </c>
      <c r="H59" s="95" t="s">
        <v>33</v>
      </c>
      <c r="I59" s="99" t="s">
        <v>593</v>
      </c>
      <c r="J59" s="99" t="s">
        <v>558</v>
      </c>
      <c r="K59" s="100" t="b">
        <v>1</v>
      </c>
      <c r="L59" s="100"/>
      <c r="M59" s="101"/>
    </row>
    <row r="60" ht="22.5" customHeight="1">
      <c r="B60" s="94">
        <v>390.0</v>
      </c>
      <c r="C60" s="95" t="s">
        <v>40</v>
      </c>
      <c r="D60" s="96">
        <v>46044.0</v>
      </c>
      <c r="E60" s="97" t="str">
        <f t="shared" si="5"/>
        <v>2026</v>
      </c>
      <c r="F60" s="97" t="str">
        <f t="shared" si="6"/>
        <v>01 Jan</v>
      </c>
      <c r="G60" s="98">
        <v>100000.0</v>
      </c>
      <c r="H60" s="95" t="s">
        <v>33</v>
      </c>
      <c r="I60" s="99" t="s">
        <v>40</v>
      </c>
      <c r="J60" s="99" t="s">
        <v>560</v>
      </c>
      <c r="K60" s="100" t="b">
        <v>1</v>
      </c>
      <c r="L60" s="100"/>
      <c r="M60" s="101"/>
    </row>
    <row r="61" ht="22.5" customHeight="1">
      <c r="B61" s="94">
        <v>391.0</v>
      </c>
      <c r="C61" s="95" t="s">
        <v>40</v>
      </c>
      <c r="D61" s="96">
        <v>46044.0</v>
      </c>
      <c r="E61" s="97" t="str">
        <f t="shared" si="5"/>
        <v>2026</v>
      </c>
      <c r="F61" s="97" t="str">
        <f t="shared" si="6"/>
        <v>01 Jan</v>
      </c>
      <c r="G61" s="98">
        <v>50000.0</v>
      </c>
      <c r="H61" s="95" t="s">
        <v>33</v>
      </c>
      <c r="I61" s="99" t="s">
        <v>70</v>
      </c>
      <c r="J61" s="99" t="s">
        <v>560</v>
      </c>
      <c r="K61" s="100" t="b">
        <v>1</v>
      </c>
      <c r="L61" s="100"/>
      <c r="M61" s="101"/>
    </row>
    <row r="62" ht="22.5" customHeight="1">
      <c r="B62" s="94">
        <v>392.0</v>
      </c>
      <c r="C62" s="95" t="s">
        <v>40</v>
      </c>
      <c r="D62" s="96">
        <v>46044.0</v>
      </c>
      <c r="E62" s="97" t="str">
        <f t="shared" si="5"/>
        <v>2026</v>
      </c>
      <c r="F62" s="97" t="str">
        <f t="shared" si="6"/>
        <v>01 Jan</v>
      </c>
      <c r="G62" s="98">
        <v>38000.0</v>
      </c>
      <c r="H62" s="95" t="s">
        <v>33</v>
      </c>
      <c r="I62" s="99" t="s">
        <v>594</v>
      </c>
      <c r="J62" s="99" t="s">
        <v>560</v>
      </c>
      <c r="K62" s="100" t="b">
        <v>1</v>
      </c>
      <c r="L62" s="100"/>
      <c r="M62" s="101"/>
    </row>
    <row r="63" ht="22.5" customHeight="1">
      <c r="B63" s="94">
        <v>393.0</v>
      </c>
      <c r="C63" s="95" t="s">
        <v>40</v>
      </c>
      <c r="D63" s="96">
        <v>46046.0</v>
      </c>
      <c r="E63" s="97" t="str">
        <f t="shared" si="5"/>
        <v>2026</v>
      </c>
      <c r="F63" s="97" t="str">
        <f t="shared" si="6"/>
        <v>01 Jan</v>
      </c>
      <c r="G63" s="98">
        <v>15000.0</v>
      </c>
      <c r="H63" s="95" t="s">
        <v>33</v>
      </c>
      <c r="I63" s="99" t="s">
        <v>561</v>
      </c>
      <c r="J63" s="99" t="s">
        <v>558</v>
      </c>
      <c r="K63" s="100" t="b">
        <v>1</v>
      </c>
      <c r="L63" s="100"/>
      <c r="M63" s="101"/>
    </row>
    <row r="64" ht="22.5" customHeight="1">
      <c r="B64" s="94">
        <v>394.0</v>
      </c>
      <c r="C64" s="95" t="s">
        <v>40</v>
      </c>
      <c r="D64" s="96">
        <v>46047.0</v>
      </c>
      <c r="E64" s="97" t="str">
        <f t="shared" si="5"/>
        <v>2026</v>
      </c>
      <c r="F64" s="97" t="str">
        <f t="shared" si="6"/>
        <v>01 Jan</v>
      </c>
      <c r="G64" s="98">
        <v>11000.0</v>
      </c>
      <c r="H64" s="95" t="s">
        <v>33</v>
      </c>
      <c r="I64" s="99" t="s">
        <v>30</v>
      </c>
      <c r="J64" s="99" t="s">
        <v>560</v>
      </c>
      <c r="K64" s="100" t="b">
        <v>1</v>
      </c>
      <c r="L64" s="100"/>
      <c r="M64" s="101"/>
    </row>
    <row r="65" ht="22.5" customHeight="1">
      <c r="B65" s="94">
        <v>395.0</v>
      </c>
      <c r="C65" s="95" t="s">
        <v>21</v>
      </c>
      <c r="D65" s="96">
        <v>46048.0</v>
      </c>
      <c r="E65" s="97" t="str">
        <f t="shared" si="5"/>
        <v>2026</v>
      </c>
      <c r="F65" s="97" t="str">
        <f t="shared" si="6"/>
        <v>01 Jan</v>
      </c>
      <c r="G65" s="98">
        <v>300000.0</v>
      </c>
      <c r="H65" s="95" t="s">
        <v>33</v>
      </c>
      <c r="I65" s="99" t="s">
        <v>595</v>
      </c>
      <c r="J65" s="99" t="s">
        <v>558</v>
      </c>
      <c r="K65" s="100" t="b">
        <v>1</v>
      </c>
      <c r="L65" s="100"/>
      <c r="M65" s="101"/>
    </row>
    <row r="66" ht="22.5" customHeight="1">
      <c r="B66" s="94">
        <v>396.0</v>
      </c>
      <c r="C66" s="95" t="s">
        <v>21</v>
      </c>
      <c r="D66" s="96">
        <v>46048.0</v>
      </c>
      <c r="E66" s="97" t="str">
        <f t="shared" si="5"/>
        <v>2026</v>
      </c>
      <c r="F66" s="97" t="str">
        <f t="shared" si="6"/>
        <v>01 Jan</v>
      </c>
      <c r="G66" s="98">
        <v>50000.0</v>
      </c>
      <c r="H66" s="95" t="s">
        <v>33</v>
      </c>
      <c r="I66" s="99" t="s">
        <v>596</v>
      </c>
      <c r="J66" s="99" t="s">
        <v>560</v>
      </c>
      <c r="K66" s="100" t="b">
        <v>1</v>
      </c>
      <c r="L66" s="100"/>
      <c r="M66" s="101"/>
    </row>
    <row r="67" ht="22.5" customHeight="1">
      <c r="B67" s="94">
        <v>397.0</v>
      </c>
      <c r="C67" s="95" t="s">
        <v>40</v>
      </c>
      <c r="D67" s="96">
        <v>46048.0</v>
      </c>
      <c r="E67" s="97" t="str">
        <f t="shared" si="5"/>
        <v>2026</v>
      </c>
      <c r="F67" s="97" t="str">
        <f t="shared" si="6"/>
        <v>01 Jan</v>
      </c>
      <c r="G67" s="98">
        <v>50000.0</v>
      </c>
      <c r="H67" s="95" t="s">
        <v>33</v>
      </c>
      <c r="I67" s="99" t="s">
        <v>68</v>
      </c>
      <c r="J67" s="99" t="s">
        <v>560</v>
      </c>
      <c r="K67" s="100" t="b">
        <v>1</v>
      </c>
      <c r="L67" s="100"/>
      <c r="M67" s="101"/>
    </row>
    <row r="68" ht="22.5" customHeight="1">
      <c r="B68" s="94">
        <v>398.0</v>
      </c>
      <c r="C68" s="95" t="s">
        <v>40</v>
      </c>
      <c r="D68" s="96">
        <v>46049.0</v>
      </c>
      <c r="E68" s="97" t="str">
        <f t="shared" si="5"/>
        <v>2026</v>
      </c>
      <c r="F68" s="97" t="str">
        <f t="shared" si="6"/>
        <v>01 Jan</v>
      </c>
      <c r="G68" s="98">
        <v>50000.0</v>
      </c>
      <c r="H68" s="95" t="s">
        <v>33</v>
      </c>
      <c r="I68" s="99" t="s">
        <v>597</v>
      </c>
      <c r="J68" s="99" t="s">
        <v>560</v>
      </c>
      <c r="K68" s="100" t="b">
        <v>1</v>
      </c>
      <c r="L68" s="100"/>
      <c r="M68" s="101"/>
    </row>
    <row r="69" ht="22.5" customHeight="1">
      <c r="B69" s="94">
        <v>399.0</v>
      </c>
      <c r="C69" s="95" t="s">
        <v>40</v>
      </c>
      <c r="D69" s="96">
        <v>46049.0</v>
      </c>
      <c r="E69" s="97" t="str">
        <f t="shared" si="5"/>
        <v>2026</v>
      </c>
      <c r="F69" s="97" t="str">
        <f t="shared" si="6"/>
        <v>01 Jan</v>
      </c>
      <c r="G69" s="98">
        <v>200000.0</v>
      </c>
      <c r="H69" s="95" t="s">
        <v>33</v>
      </c>
      <c r="I69" s="99" t="s">
        <v>559</v>
      </c>
      <c r="J69" s="99" t="s">
        <v>560</v>
      </c>
      <c r="K69" s="100" t="b">
        <v>1</v>
      </c>
      <c r="L69" s="100"/>
      <c r="M69" s="101"/>
    </row>
    <row r="70" ht="22.5" customHeight="1">
      <c r="B70" s="94">
        <v>400.0</v>
      </c>
      <c r="C70" s="95" t="s">
        <v>40</v>
      </c>
      <c r="D70" s="96">
        <v>46049.0</v>
      </c>
      <c r="E70" s="97" t="str">
        <f t="shared" si="5"/>
        <v>2026</v>
      </c>
      <c r="F70" s="97" t="str">
        <f t="shared" si="6"/>
        <v>01 Jan</v>
      </c>
      <c r="G70" s="98">
        <v>50000.0</v>
      </c>
      <c r="H70" s="95" t="s">
        <v>33</v>
      </c>
      <c r="I70" s="99" t="s">
        <v>598</v>
      </c>
      <c r="J70" s="99" t="s">
        <v>560</v>
      </c>
      <c r="K70" s="100" t="b">
        <v>1</v>
      </c>
      <c r="L70" s="100"/>
      <c r="M70" s="101"/>
    </row>
    <row r="71" ht="22.5" customHeight="1">
      <c r="B71" s="94">
        <v>401.0</v>
      </c>
      <c r="C71" s="95" t="s">
        <v>40</v>
      </c>
      <c r="D71" s="96">
        <v>46049.0</v>
      </c>
      <c r="E71" s="97" t="str">
        <f t="shared" si="5"/>
        <v>2026</v>
      </c>
      <c r="F71" s="97" t="str">
        <f t="shared" si="6"/>
        <v>01 Jan</v>
      </c>
      <c r="G71" s="98">
        <v>50000.0</v>
      </c>
      <c r="H71" s="95" t="s">
        <v>33</v>
      </c>
      <c r="I71" s="99" t="s">
        <v>599</v>
      </c>
      <c r="J71" s="99" t="s">
        <v>34</v>
      </c>
      <c r="K71" s="100" t="b">
        <v>1</v>
      </c>
      <c r="L71" s="100"/>
      <c r="M71" s="101"/>
    </row>
    <row r="72" ht="22.5" customHeight="1">
      <c r="B72" s="94">
        <v>402.0</v>
      </c>
      <c r="C72" s="95" t="s">
        <v>40</v>
      </c>
      <c r="D72" s="96">
        <v>46049.0</v>
      </c>
      <c r="E72" s="97" t="str">
        <f t="shared" si="5"/>
        <v>2026</v>
      </c>
      <c r="F72" s="97" t="str">
        <f t="shared" si="6"/>
        <v>01 Jan</v>
      </c>
      <c r="G72" s="98">
        <v>100000.0</v>
      </c>
      <c r="H72" s="95" t="s">
        <v>33</v>
      </c>
      <c r="I72" s="99" t="s">
        <v>559</v>
      </c>
      <c r="J72" s="99" t="s">
        <v>560</v>
      </c>
      <c r="K72" s="100" t="b">
        <v>1</v>
      </c>
      <c r="L72" s="100"/>
      <c r="M72" s="101"/>
    </row>
    <row r="73" ht="22.5" customHeight="1">
      <c r="B73" s="94">
        <v>403.0</v>
      </c>
      <c r="C73" s="95" t="s">
        <v>21</v>
      </c>
      <c r="D73" s="96">
        <v>46050.0</v>
      </c>
      <c r="E73" s="97" t="str">
        <f t="shared" si="5"/>
        <v>2026</v>
      </c>
      <c r="F73" s="97" t="str">
        <f t="shared" si="6"/>
        <v>01 Jan</v>
      </c>
      <c r="G73" s="98">
        <v>275000.0</v>
      </c>
      <c r="H73" s="95" t="s">
        <v>33</v>
      </c>
      <c r="I73" s="99" t="s">
        <v>600</v>
      </c>
      <c r="J73" s="99" t="s">
        <v>558</v>
      </c>
      <c r="K73" s="100" t="b">
        <v>1</v>
      </c>
      <c r="L73" s="100"/>
      <c r="M73" s="101"/>
    </row>
    <row r="74" ht="22.5" customHeight="1">
      <c r="B74" s="94">
        <v>404.0</v>
      </c>
      <c r="C74" s="95" t="s">
        <v>21</v>
      </c>
      <c r="D74" s="96">
        <v>46050.0</v>
      </c>
      <c r="E74" s="97" t="str">
        <f t="shared" si="5"/>
        <v>2026</v>
      </c>
      <c r="F74" s="97" t="str">
        <f t="shared" si="6"/>
        <v>01 Jan</v>
      </c>
      <c r="G74" s="98">
        <v>100000.0</v>
      </c>
      <c r="H74" s="95" t="s">
        <v>33</v>
      </c>
      <c r="I74" s="99" t="s">
        <v>601</v>
      </c>
      <c r="J74" s="99" t="s">
        <v>601</v>
      </c>
      <c r="K74" s="100" t="b">
        <v>1</v>
      </c>
      <c r="L74" s="100"/>
      <c r="M74" s="101"/>
    </row>
    <row r="75" ht="22.5" customHeight="1">
      <c r="B75" s="94">
        <v>405.0</v>
      </c>
      <c r="C75" s="95" t="s">
        <v>21</v>
      </c>
      <c r="D75" s="96">
        <v>46051.0</v>
      </c>
      <c r="E75" s="97" t="str">
        <f t="shared" si="5"/>
        <v>2026</v>
      </c>
      <c r="F75" s="97" t="str">
        <f t="shared" si="6"/>
        <v>01 Jan</v>
      </c>
      <c r="G75" s="98">
        <v>50000.0</v>
      </c>
      <c r="H75" s="95" t="s">
        <v>33</v>
      </c>
      <c r="I75" s="99" t="s">
        <v>567</v>
      </c>
      <c r="J75" s="99" t="s">
        <v>560</v>
      </c>
      <c r="K75" s="100" t="b">
        <v>1</v>
      </c>
      <c r="L75" s="100"/>
      <c r="M75" s="101"/>
    </row>
    <row r="76" ht="22.5" customHeight="1">
      <c r="B76" s="94">
        <v>406.0</v>
      </c>
      <c r="C76" s="95" t="s">
        <v>21</v>
      </c>
      <c r="D76" s="96">
        <v>46051.0</v>
      </c>
      <c r="E76" s="97" t="str">
        <f t="shared" si="5"/>
        <v>2026</v>
      </c>
      <c r="F76" s="97" t="str">
        <f t="shared" si="6"/>
        <v>01 Jan</v>
      </c>
      <c r="G76" s="98">
        <v>15000.0</v>
      </c>
      <c r="H76" s="95" t="s">
        <v>33</v>
      </c>
      <c r="I76" s="99" t="s">
        <v>561</v>
      </c>
      <c r="J76" s="99" t="s">
        <v>558</v>
      </c>
      <c r="K76" s="100" t="b">
        <v>1</v>
      </c>
      <c r="L76" s="100"/>
      <c r="M76" s="101"/>
    </row>
    <row r="77" ht="22.5" customHeight="1">
      <c r="B77" s="94">
        <v>407.0</v>
      </c>
      <c r="C77" s="95" t="s">
        <v>40</v>
      </c>
      <c r="D77" s="96">
        <v>46051.0</v>
      </c>
      <c r="E77" s="97" t="str">
        <f t="shared" si="5"/>
        <v>2026</v>
      </c>
      <c r="F77" s="97" t="str">
        <f t="shared" si="6"/>
        <v>01 Jan</v>
      </c>
      <c r="G77" s="98">
        <v>25000.0</v>
      </c>
      <c r="H77" s="95" t="s">
        <v>33</v>
      </c>
      <c r="I77" s="99" t="s">
        <v>602</v>
      </c>
      <c r="J77" s="99" t="s">
        <v>558</v>
      </c>
      <c r="K77" s="100" t="b">
        <v>1</v>
      </c>
      <c r="L77" s="100"/>
      <c r="M77" s="101"/>
    </row>
    <row r="78" ht="22.5" customHeight="1">
      <c r="B78" s="94">
        <v>408.0</v>
      </c>
      <c r="C78" s="95" t="s">
        <v>21</v>
      </c>
      <c r="D78" s="96">
        <v>46053.0</v>
      </c>
      <c r="E78" s="97" t="str">
        <f t="shared" si="5"/>
        <v>2026</v>
      </c>
      <c r="F78" s="97" t="str">
        <f t="shared" si="6"/>
        <v>01 Jan</v>
      </c>
      <c r="G78" s="98">
        <v>200000.0</v>
      </c>
      <c r="H78" s="95" t="s">
        <v>33</v>
      </c>
      <c r="I78" s="99" t="s">
        <v>603</v>
      </c>
      <c r="J78" s="99" t="s">
        <v>560</v>
      </c>
      <c r="K78" s="100" t="b">
        <v>1</v>
      </c>
      <c r="L78" s="100"/>
      <c r="M78" s="101"/>
    </row>
    <row r="79" ht="22.5" customHeight="1">
      <c r="B79" s="94">
        <v>409.0</v>
      </c>
      <c r="C79" s="95" t="s">
        <v>21</v>
      </c>
      <c r="D79" s="96">
        <v>46053.0</v>
      </c>
      <c r="E79" s="97" t="str">
        <f t="shared" si="5"/>
        <v>2026</v>
      </c>
      <c r="F79" s="97" t="str">
        <f t="shared" si="6"/>
        <v>01 Jan</v>
      </c>
      <c r="G79" s="98">
        <v>35000.0</v>
      </c>
      <c r="H79" s="95" t="s">
        <v>33</v>
      </c>
      <c r="I79" s="99" t="s">
        <v>597</v>
      </c>
      <c r="J79" s="99" t="s">
        <v>560</v>
      </c>
      <c r="K79" s="100" t="b">
        <v>1</v>
      </c>
      <c r="L79" s="100"/>
      <c r="M79" s="101"/>
    </row>
    <row r="80" ht="22.5" customHeight="1">
      <c r="B80" s="94">
        <v>410.0</v>
      </c>
      <c r="C80" s="95" t="s">
        <v>21</v>
      </c>
      <c r="D80" s="96">
        <v>46053.0</v>
      </c>
      <c r="E80" s="97" t="str">
        <f t="shared" si="5"/>
        <v>2026</v>
      </c>
      <c r="F80" s="97" t="str">
        <f t="shared" si="6"/>
        <v>01 Jan</v>
      </c>
      <c r="G80" s="98">
        <v>100000.0</v>
      </c>
      <c r="H80" s="95" t="s">
        <v>33</v>
      </c>
      <c r="I80" s="99" t="s">
        <v>604</v>
      </c>
      <c r="J80" s="99" t="s">
        <v>560</v>
      </c>
      <c r="K80" s="100" t="b">
        <v>1</v>
      </c>
      <c r="L80" s="100"/>
      <c r="M80" s="101"/>
    </row>
    <row r="81" ht="22.5" customHeight="1">
      <c r="B81" s="94">
        <v>411.0</v>
      </c>
      <c r="C81" s="95" t="s">
        <v>21</v>
      </c>
      <c r="D81" s="96">
        <v>46053.0</v>
      </c>
      <c r="E81" s="97" t="str">
        <f t="shared" si="5"/>
        <v>2026</v>
      </c>
      <c r="F81" s="97" t="str">
        <f t="shared" si="6"/>
        <v>01 Jan</v>
      </c>
      <c r="G81" s="98">
        <v>100000.0</v>
      </c>
      <c r="H81" s="95" t="s">
        <v>33</v>
      </c>
      <c r="I81" s="99" t="s">
        <v>605</v>
      </c>
      <c r="J81" s="99" t="s">
        <v>560</v>
      </c>
      <c r="K81" s="100" t="b">
        <v>1</v>
      </c>
      <c r="L81" s="100"/>
      <c r="M81" s="101"/>
    </row>
    <row r="82" ht="22.5" customHeight="1">
      <c r="B82" s="94">
        <v>412.0</v>
      </c>
      <c r="C82" s="95" t="s">
        <v>21</v>
      </c>
      <c r="D82" s="96">
        <v>46053.0</v>
      </c>
      <c r="E82" s="97" t="str">
        <f t="shared" si="5"/>
        <v>2026</v>
      </c>
      <c r="F82" s="97" t="str">
        <f t="shared" si="6"/>
        <v>01 Jan</v>
      </c>
      <c r="G82" s="98">
        <v>50000.0</v>
      </c>
      <c r="H82" s="95" t="s">
        <v>33</v>
      </c>
      <c r="I82" s="99" t="s">
        <v>606</v>
      </c>
      <c r="J82" s="99" t="s">
        <v>607</v>
      </c>
      <c r="K82" s="100" t="b">
        <v>1</v>
      </c>
      <c r="L82" s="100"/>
      <c r="M82" s="101"/>
    </row>
    <row r="83" ht="22.5" customHeight="1">
      <c r="B83" s="94">
        <v>413.0</v>
      </c>
      <c r="C83" s="95" t="s">
        <v>40</v>
      </c>
      <c r="D83" s="96">
        <v>46053.0</v>
      </c>
      <c r="E83" s="97" t="str">
        <f t="shared" si="5"/>
        <v>2026</v>
      </c>
      <c r="F83" s="97" t="str">
        <f t="shared" si="6"/>
        <v>01 Jan</v>
      </c>
      <c r="G83" s="98">
        <v>15000.0</v>
      </c>
      <c r="H83" s="95" t="s">
        <v>33</v>
      </c>
      <c r="I83" s="99" t="s">
        <v>561</v>
      </c>
      <c r="J83" s="99" t="s">
        <v>558</v>
      </c>
      <c r="K83" s="100" t="b">
        <v>1</v>
      </c>
      <c r="L83" s="100"/>
      <c r="M83" s="101"/>
    </row>
    <row r="84" ht="22.5" customHeight="1">
      <c r="B84" s="94">
        <v>414.0</v>
      </c>
      <c r="C84" s="95" t="s">
        <v>40</v>
      </c>
      <c r="D84" s="96">
        <v>46055.0</v>
      </c>
      <c r="E84" s="97" t="str">
        <f t="shared" si="5"/>
        <v>2026</v>
      </c>
      <c r="F84" s="97" t="str">
        <f t="shared" si="6"/>
        <v>02 Feb</v>
      </c>
      <c r="G84" s="98">
        <v>67000.0</v>
      </c>
      <c r="H84" s="95" t="s">
        <v>33</v>
      </c>
      <c r="I84" s="99" t="s">
        <v>608</v>
      </c>
      <c r="J84" s="99" t="s">
        <v>558</v>
      </c>
      <c r="K84" s="100" t="b">
        <v>1</v>
      </c>
      <c r="L84" s="100"/>
      <c r="M84" s="101"/>
    </row>
    <row r="85" ht="22.5" customHeight="1">
      <c r="B85" s="94">
        <v>415.0</v>
      </c>
      <c r="C85" s="95" t="s">
        <v>21</v>
      </c>
      <c r="D85" s="96">
        <v>46056.0</v>
      </c>
      <c r="E85" s="97" t="str">
        <f t="shared" si="5"/>
        <v>2026</v>
      </c>
      <c r="F85" s="97" t="str">
        <f t="shared" si="6"/>
        <v>02 Feb</v>
      </c>
      <c r="G85" s="98">
        <v>150000.0</v>
      </c>
      <c r="H85" s="95" t="s">
        <v>33</v>
      </c>
      <c r="I85" s="99" t="s">
        <v>609</v>
      </c>
      <c r="J85" s="99" t="s">
        <v>560</v>
      </c>
      <c r="K85" s="100" t="b">
        <v>1</v>
      </c>
      <c r="L85" s="100"/>
      <c r="M85" s="101"/>
    </row>
    <row r="86" ht="22.5" customHeight="1">
      <c r="B86" s="94">
        <v>416.0</v>
      </c>
      <c r="C86" s="95" t="s">
        <v>21</v>
      </c>
      <c r="D86" s="96">
        <v>46056.0</v>
      </c>
      <c r="E86" s="97" t="str">
        <f t="shared" si="5"/>
        <v>2026</v>
      </c>
      <c r="F86" s="97" t="str">
        <f t="shared" si="6"/>
        <v>02 Feb</v>
      </c>
      <c r="G86" s="98">
        <v>50000.0</v>
      </c>
      <c r="H86" s="95" t="s">
        <v>33</v>
      </c>
      <c r="I86" s="99" t="s">
        <v>597</v>
      </c>
      <c r="J86" s="99" t="s">
        <v>560</v>
      </c>
      <c r="K86" s="100" t="b">
        <v>1</v>
      </c>
      <c r="L86" s="100"/>
      <c r="M86" s="101"/>
    </row>
    <row r="87" ht="22.5" customHeight="1">
      <c r="B87" s="94">
        <v>417.0</v>
      </c>
      <c r="C87" s="95" t="s">
        <v>40</v>
      </c>
      <c r="D87" s="96">
        <v>46057.0</v>
      </c>
      <c r="E87" s="97" t="str">
        <f t="shared" si="5"/>
        <v>2026</v>
      </c>
      <c r="F87" s="97" t="str">
        <f t="shared" si="6"/>
        <v>02 Feb</v>
      </c>
      <c r="G87" s="98">
        <v>15000.0</v>
      </c>
      <c r="H87" s="95" t="s">
        <v>33</v>
      </c>
      <c r="I87" s="99" t="s">
        <v>561</v>
      </c>
      <c r="J87" s="99" t="s">
        <v>558</v>
      </c>
      <c r="K87" s="100" t="b">
        <v>1</v>
      </c>
      <c r="L87" s="100"/>
      <c r="M87" s="101"/>
    </row>
    <row r="88" ht="22.5" customHeight="1">
      <c r="B88" s="94">
        <v>418.0</v>
      </c>
      <c r="C88" s="95" t="s">
        <v>40</v>
      </c>
      <c r="D88" s="96">
        <v>46057.0</v>
      </c>
      <c r="E88" s="97" t="str">
        <f t="shared" si="5"/>
        <v>2026</v>
      </c>
      <c r="F88" s="97" t="str">
        <f t="shared" si="6"/>
        <v>02 Feb</v>
      </c>
      <c r="G88" s="98">
        <v>100000.0</v>
      </c>
      <c r="H88" s="95" t="s">
        <v>33</v>
      </c>
      <c r="I88" s="99" t="s">
        <v>68</v>
      </c>
      <c r="J88" s="99" t="s">
        <v>560</v>
      </c>
      <c r="K88" s="100" t="b">
        <v>1</v>
      </c>
      <c r="L88" s="100"/>
      <c r="M88" s="101"/>
    </row>
    <row r="89" ht="22.5" customHeight="1">
      <c r="B89" s="94">
        <v>419.0</v>
      </c>
      <c r="C89" s="95" t="s">
        <v>40</v>
      </c>
      <c r="D89" s="96">
        <v>46057.0</v>
      </c>
      <c r="E89" s="97" t="str">
        <f t="shared" si="5"/>
        <v>2026</v>
      </c>
      <c r="F89" s="97" t="str">
        <f t="shared" si="6"/>
        <v>02 Feb</v>
      </c>
      <c r="G89" s="98">
        <v>300000.0</v>
      </c>
      <c r="H89" s="95" t="s">
        <v>33</v>
      </c>
      <c r="I89" s="99" t="s">
        <v>559</v>
      </c>
      <c r="J89" s="99" t="s">
        <v>560</v>
      </c>
      <c r="K89" s="100" t="b">
        <v>1</v>
      </c>
      <c r="L89" s="100"/>
      <c r="M89" s="101"/>
    </row>
    <row r="90" ht="22.5" customHeight="1">
      <c r="B90" s="94">
        <v>420.0</v>
      </c>
      <c r="C90" s="95" t="s">
        <v>40</v>
      </c>
      <c r="D90" s="96">
        <v>46057.0</v>
      </c>
      <c r="E90" s="97" t="str">
        <f t="shared" si="5"/>
        <v>2026</v>
      </c>
      <c r="F90" s="97" t="str">
        <f t="shared" si="6"/>
        <v>02 Feb</v>
      </c>
      <c r="G90" s="98">
        <v>30000.0</v>
      </c>
      <c r="H90" s="95" t="s">
        <v>33</v>
      </c>
      <c r="I90" s="99" t="s">
        <v>610</v>
      </c>
      <c r="J90" s="99" t="s">
        <v>34</v>
      </c>
      <c r="K90" s="100" t="b">
        <v>1</v>
      </c>
      <c r="L90" s="100"/>
      <c r="M90" s="101"/>
    </row>
    <row r="91" ht="22.5" customHeight="1">
      <c r="B91" s="94">
        <v>421.0</v>
      </c>
      <c r="C91" s="95" t="s">
        <v>40</v>
      </c>
      <c r="D91" s="96">
        <v>46057.0</v>
      </c>
      <c r="E91" s="97" t="str">
        <f t="shared" si="5"/>
        <v>2026</v>
      </c>
      <c r="F91" s="97" t="str">
        <f t="shared" si="6"/>
        <v>02 Feb</v>
      </c>
      <c r="G91" s="98">
        <v>50000.0</v>
      </c>
      <c r="H91" s="95" t="s">
        <v>33</v>
      </c>
      <c r="I91" s="99" t="s">
        <v>598</v>
      </c>
      <c r="J91" s="99" t="s">
        <v>580</v>
      </c>
      <c r="K91" s="100" t="b">
        <v>1</v>
      </c>
      <c r="L91" s="100"/>
      <c r="M91" s="101"/>
    </row>
    <row r="92" ht="22.5" customHeight="1">
      <c r="B92" s="94">
        <v>422.0</v>
      </c>
      <c r="C92" s="95" t="s">
        <v>40</v>
      </c>
      <c r="D92" s="96">
        <v>46058.0</v>
      </c>
      <c r="E92" s="97" t="str">
        <f t="shared" si="5"/>
        <v>2026</v>
      </c>
      <c r="F92" s="97" t="str">
        <f t="shared" si="6"/>
        <v>02 Feb</v>
      </c>
      <c r="G92" s="98">
        <v>200000.0</v>
      </c>
      <c r="H92" s="95" t="s">
        <v>33</v>
      </c>
      <c r="I92" s="99" t="s">
        <v>70</v>
      </c>
      <c r="J92" s="99" t="s">
        <v>560</v>
      </c>
      <c r="K92" s="100" t="b">
        <v>1</v>
      </c>
      <c r="L92" s="100"/>
      <c r="M92" s="101"/>
    </row>
    <row r="93" ht="22.5" customHeight="1">
      <c r="B93" s="94">
        <v>423.0</v>
      </c>
      <c r="C93" s="95" t="s">
        <v>40</v>
      </c>
      <c r="D93" s="96">
        <v>46058.0</v>
      </c>
      <c r="E93" s="97" t="str">
        <f t="shared" si="5"/>
        <v>2026</v>
      </c>
      <c r="F93" s="97" t="str">
        <f t="shared" si="6"/>
        <v>02 Feb</v>
      </c>
      <c r="G93" s="98">
        <v>250000.0</v>
      </c>
      <c r="H93" s="95" t="s">
        <v>33</v>
      </c>
      <c r="I93" s="99" t="s">
        <v>559</v>
      </c>
      <c r="J93" s="99" t="s">
        <v>560</v>
      </c>
      <c r="K93" s="100" t="b">
        <v>1</v>
      </c>
      <c r="L93" s="100"/>
      <c r="M93" s="101"/>
    </row>
    <row r="94" ht="22.5" customHeight="1">
      <c r="B94" s="94">
        <v>424.0</v>
      </c>
      <c r="C94" s="95" t="s">
        <v>40</v>
      </c>
      <c r="D94" s="96">
        <v>46058.0</v>
      </c>
      <c r="E94" s="97" t="str">
        <f t="shared" si="5"/>
        <v>2026</v>
      </c>
      <c r="F94" s="97" t="str">
        <f t="shared" si="6"/>
        <v>02 Feb</v>
      </c>
      <c r="G94" s="98">
        <v>200000.0</v>
      </c>
      <c r="H94" s="95" t="s">
        <v>33</v>
      </c>
      <c r="I94" s="99" t="s">
        <v>611</v>
      </c>
      <c r="J94" s="99" t="s">
        <v>580</v>
      </c>
      <c r="K94" s="100" t="b">
        <v>1</v>
      </c>
      <c r="L94" s="100"/>
      <c r="M94" s="101"/>
    </row>
    <row r="95" ht="22.5" customHeight="1">
      <c r="B95" s="94">
        <v>425.0</v>
      </c>
      <c r="C95" s="95" t="s">
        <v>21</v>
      </c>
      <c r="D95" s="96">
        <v>46060.0</v>
      </c>
      <c r="E95" s="97" t="str">
        <f t="shared" si="5"/>
        <v>2026</v>
      </c>
      <c r="F95" s="97" t="str">
        <f t="shared" si="6"/>
        <v>02 Feb</v>
      </c>
      <c r="G95" s="98">
        <v>250000.0</v>
      </c>
      <c r="H95" s="95" t="s">
        <v>33</v>
      </c>
      <c r="I95" s="99" t="s">
        <v>559</v>
      </c>
      <c r="J95" s="99" t="s">
        <v>560</v>
      </c>
      <c r="K95" s="100" t="b">
        <v>1</v>
      </c>
      <c r="L95" s="100"/>
      <c r="M95" s="101"/>
    </row>
    <row r="96" ht="22.5" customHeight="1">
      <c r="B96" s="94">
        <v>426.0</v>
      </c>
      <c r="C96" s="95" t="s">
        <v>40</v>
      </c>
      <c r="D96" s="96">
        <v>46061.0</v>
      </c>
      <c r="E96" s="97" t="str">
        <f t="shared" si="5"/>
        <v>2026</v>
      </c>
      <c r="F96" s="97" t="str">
        <f t="shared" si="6"/>
        <v>02 Feb</v>
      </c>
      <c r="G96" s="98">
        <v>50000.0</v>
      </c>
      <c r="H96" s="95" t="s">
        <v>33</v>
      </c>
      <c r="I96" s="99" t="s">
        <v>21</v>
      </c>
      <c r="J96" s="99" t="s">
        <v>560</v>
      </c>
      <c r="K96" s="100" t="b">
        <v>1</v>
      </c>
      <c r="L96" s="100"/>
      <c r="M96" s="101"/>
    </row>
    <row r="97" ht="22.5" customHeight="1">
      <c r="B97" s="94">
        <v>427.0</v>
      </c>
      <c r="C97" s="95" t="s">
        <v>40</v>
      </c>
      <c r="D97" s="96">
        <v>46061.0</v>
      </c>
      <c r="E97" s="97" t="str">
        <f t="shared" si="5"/>
        <v>2026</v>
      </c>
      <c r="F97" s="97" t="str">
        <f t="shared" si="6"/>
        <v>02 Feb</v>
      </c>
      <c r="G97" s="98">
        <v>50000.0</v>
      </c>
      <c r="H97" s="95" t="s">
        <v>33</v>
      </c>
      <c r="I97" s="99" t="s">
        <v>70</v>
      </c>
      <c r="J97" s="99" t="s">
        <v>560</v>
      </c>
      <c r="K97" s="100" t="b">
        <v>1</v>
      </c>
      <c r="L97" s="100"/>
      <c r="M97" s="101"/>
    </row>
    <row r="98" ht="22.5" customHeight="1">
      <c r="B98" s="94">
        <v>428.0</v>
      </c>
      <c r="C98" s="95" t="s">
        <v>40</v>
      </c>
      <c r="D98" s="96">
        <v>46061.0</v>
      </c>
      <c r="E98" s="97" t="str">
        <f t="shared" si="5"/>
        <v>2026</v>
      </c>
      <c r="F98" s="97" t="str">
        <f t="shared" si="6"/>
        <v>02 Feb</v>
      </c>
      <c r="G98" s="98">
        <v>300000.0</v>
      </c>
      <c r="H98" s="95" t="s">
        <v>33</v>
      </c>
      <c r="I98" s="99" t="s">
        <v>612</v>
      </c>
      <c r="J98" s="99" t="s">
        <v>558</v>
      </c>
      <c r="K98" s="100" t="b">
        <v>1</v>
      </c>
      <c r="L98" s="100"/>
      <c r="M98" s="101"/>
    </row>
    <row r="99" ht="22.5" customHeight="1">
      <c r="B99" s="94">
        <v>429.0</v>
      </c>
      <c r="C99" s="95" t="s">
        <v>40</v>
      </c>
      <c r="D99" s="96">
        <v>46061.0</v>
      </c>
      <c r="E99" s="97" t="str">
        <f t="shared" si="5"/>
        <v>2026</v>
      </c>
      <c r="F99" s="97" t="str">
        <f t="shared" si="6"/>
        <v>02 Feb</v>
      </c>
      <c r="G99" s="98">
        <v>200000.0</v>
      </c>
      <c r="H99" s="95" t="s">
        <v>33</v>
      </c>
      <c r="I99" s="99" t="s">
        <v>613</v>
      </c>
      <c r="J99" s="99" t="s">
        <v>560</v>
      </c>
      <c r="K99" s="100" t="b">
        <v>1</v>
      </c>
      <c r="L99" s="100"/>
      <c r="M99" s="101"/>
    </row>
    <row r="100" ht="22.5" customHeight="1">
      <c r="B100" s="94">
        <v>430.0</v>
      </c>
      <c r="C100" s="95" t="s">
        <v>40</v>
      </c>
      <c r="D100" s="96">
        <v>46062.0</v>
      </c>
      <c r="E100" s="97" t="str">
        <f t="shared" si="5"/>
        <v>2026</v>
      </c>
      <c r="F100" s="97" t="str">
        <f t="shared" si="6"/>
        <v>02 Feb</v>
      </c>
      <c r="G100" s="98">
        <v>15000.0</v>
      </c>
      <c r="H100" s="95" t="s">
        <v>33</v>
      </c>
      <c r="I100" s="99" t="s">
        <v>561</v>
      </c>
      <c r="J100" s="99" t="s">
        <v>558</v>
      </c>
      <c r="K100" s="100" t="b">
        <v>1</v>
      </c>
      <c r="L100" s="100"/>
      <c r="M100" s="101"/>
    </row>
    <row r="101" ht="22.5" customHeight="1">
      <c r="B101" s="94">
        <v>431.0</v>
      </c>
      <c r="C101" s="95" t="s">
        <v>40</v>
      </c>
      <c r="D101" s="96">
        <v>46062.0</v>
      </c>
      <c r="E101" s="97" t="str">
        <f t="shared" si="5"/>
        <v>2026</v>
      </c>
      <c r="F101" s="97" t="str">
        <f t="shared" si="6"/>
        <v>02 Feb</v>
      </c>
      <c r="G101" s="98">
        <v>50000.0</v>
      </c>
      <c r="H101" s="95" t="s">
        <v>33</v>
      </c>
      <c r="I101" s="99" t="s">
        <v>614</v>
      </c>
      <c r="J101" s="99" t="s">
        <v>560</v>
      </c>
      <c r="K101" s="100" t="b">
        <v>1</v>
      </c>
      <c r="L101" s="100"/>
      <c r="M101" s="101"/>
    </row>
    <row r="102" ht="22.5" customHeight="1">
      <c r="B102" s="94">
        <v>432.0</v>
      </c>
      <c r="C102" s="95" t="s">
        <v>40</v>
      </c>
      <c r="D102" s="96">
        <v>46063.0</v>
      </c>
      <c r="E102" s="97" t="str">
        <f t="shared" si="5"/>
        <v>2026</v>
      </c>
      <c r="F102" s="97" t="str">
        <f t="shared" si="6"/>
        <v>02 Feb</v>
      </c>
      <c r="G102" s="98">
        <v>50000.0</v>
      </c>
      <c r="H102" s="95" t="s">
        <v>33</v>
      </c>
      <c r="I102" s="99" t="s">
        <v>598</v>
      </c>
      <c r="J102" s="99" t="s">
        <v>580</v>
      </c>
      <c r="K102" s="100" t="b">
        <v>1</v>
      </c>
      <c r="L102" s="100"/>
      <c r="M102" s="101"/>
    </row>
    <row r="103" ht="22.5" customHeight="1">
      <c r="B103" s="94">
        <v>433.0</v>
      </c>
      <c r="C103" s="95" t="s">
        <v>40</v>
      </c>
      <c r="D103" s="96">
        <v>46064.0</v>
      </c>
      <c r="E103" s="97" t="str">
        <f t="shared" si="5"/>
        <v>2026</v>
      </c>
      <c r="F103" s="97" t="str">
        <f t="shared" si="6"/>
        <v>02 Feb</v>
      </c>
      <c r="G103" s="98">
        <v>100000.0</v>
      </c>
      <c r="H103" s="95" t="s">
        <v>33</v>
      </c>
      <c r="I103" s="99" t="s">
        <v>70</v>
      </c>
      <c r="J103" s="99" t="s">
        <v>560</v>
      </c>
      <c r="K103" s="100" t="b">
        <v>1</v>
      </c>
      <c r="L103" s="100"/>
      <c r="M103" s="101"/>
    </row>
    <row r="104" ht="22.5" customHeight="1">
      <c r="B104" s="94">
        <v>434.0</v>
      </c>
      <c r="C104" s="95" t="s">
        <v>40</v>
      </c>
      <c r="D104" s="96">
        <v>46064.0</v>
      </c>
      <c r="E104" s="97" t="str">
        <f t="shared" si="5"/>
        <v>2026</v>
      </c>
      <c r="F104" s="97" t="str">
        <f t="shared" si="6"/>
        <v>02 Feb</v>
      </c>
      <c r="G104" s="98">
        <v>200000.0</v>
      </c>
      <c r="H104" s="95" t="s">
        <v>33</v>
      </c>
      <c r="I104" s="99" t="s">
        <v>559</v>
      </c>
      <c r="J104" s="99" t="s">
        <v>560</v>
      </c>
      <c r="K104" s="100" t="b">
        <v>1</v>
      </c>
      <c r="L104" s="100"/>
      <c r="M104" s="101"/>
    </row>
    <row r="105" ht="22.5" customHeight="1">
      <c r="B105" s="94">
        <v>435.0</v>
      </c>
      <c r="C105" s="95" t="s">
        <v>40</v>
      </c>
      <c r="D105" s="96">
        <v>46064.0</v>
      </c>
      <c r="E105" s="97" t="str">
        <f t="shared" si="5"/>
        <v>2026</v>
      </c>
      <c r="F105" s="97" t="str">
        <f t="shared" si="6"/>
        <v>02 Feb</v>
      </c>
      <c r="G105" s="98">
        <v>50000.0</v>
      </c>
      <c r="H105" s="95" t="s">
        <v>33</v>
      </c>
      <c r="I105" s="99" t="s">
        <v>598</v>
      </c>
      <c r="J105" s="99" t="s">
        <v>580</v>
      </c>
      <c r="K105" s="100" t="b">
        <v>1</v>
      </c>
      <c r="L105" s="100"/>
      <c r="M105" s="101"/>
    </row>
    <row r="106" ht="22.5" customHeight="1">
      <c r="B106" s="94">
        <v>436.0</v>
      </c>
      <c r="C106" s="95" t="s">
        <v>40</v>
      </c>
      <c r="D106" s="96">
        <v>46064.0</v>
      </c>
      <c r="E106" s="97" t="str">
        <f t="shared" si="5"/>
        <v>2026</v>
      </c>
      <c r="F106" s="97" t="str">
        <f t="shared" si="6"/>
        <v>02 Feb</v>
      </c>
      <c r="G106" s="98">
        <v>50000.0</v>
      </c>
      <c r="H106" s="95" t="s">
        <v>33</v>
      </c>
      <c r="I106" s="99" t="s">
        <v>21</v>
      </c>
      <c r="J106" s="99" t="s">
        <v>560</v>
      </c>
      <c r="K106" s="100" t="b">
        <v>1</v>
      </c>
      <c r="L106" s="100"/>
      <c r="M106" s="101"/>
    </row>
    <row r="107" ht="22.5" customHeight="1">
      <c r="B107" s="94">
        <v>437.0</v>
      </c>
      <c r="C107" s="95" t="s">
        <v>40</v>
      </c>
      <c r="D107" s="96">
        <v>46064.0</v>
      </c>
      <c r="E107" s="97" t="str">
        <f t="shared" si="5"/>
        <v>2026</v>
      </c>
      <c r="F107" s="97" t="str">
        <f t="shared" si="6"/>
        <v>02 Feb</v>
      </c>
      <c r="G107" s="98">
        <v>300000.0</v>
      </c>
      <c r="H107" s="95" t="s">
        <v>33</v>
      </c>
      <c r="I107" s="99" t="s">
        <v>148</v>
      </c>
      <c r="J107" s="99" t="s">
        <v>560</v>
      </c>
      <c r="K107" s="100" t="b">
        <v>1</v>
      </c>
      <c r="L107" s="100"/>
      <c r="M107" s="101"/>
    </row>
    <row r="108" ht="22.5" customHeight="1">
      <c r="B108" s="94">
        <v>438.0</v>
      </c>
      <c r="C108" s="95" t="s">
        <v>40</v>
      </c>
      <c r="D108" s="96">
        <v>46064.0</v>
      </c>
      <c r="E108" s="97" t="str">
        <f t="shared" si="5"/>
        <v>2026</v>
      </c>
      <c r="F108" s="97" t="str">
        <f t="shared" si="6"/>
        <v>02 Feb</v>
      </c>
      <c r="G108" s="98">
        <v>150000.0</v>
      </c>
      <c r="H108" s="95" t="s">
        <v>33</v>
      </c>
      <c r="I108" s="99" t="s">
        <v>615</v>
      </c>
      <c r="J108" s="99" t="s">
        <v>558</v>
      </c>
      <c r="K108" s="100" t="b">
        <v>1</v>
      </c>
      <c r="L108" s="100"/>
      <c r="M108" s="101"/>
    </row>
    <row r="109" ht="22.5" customHeight="1">
      <c r="B109" s="94">
        <v>439.0</v>
      </c>
      <c r="C109" s="95" t="s">
        <v>40</v>
      </c>
      <c r="D109" s="96">
        <v>46064.0</v>
      </c>
      <c r="E109" s="97" t="str">
        <f t="shared" si="5"/>
        <v>2026</v>
      </c>
      <c r="F109" s="97" t="str">
        <f t="shared" si="6"/>
        <v>02 Feb</v>
      </c>
      <c r="G109" s="98">
        <v>40000.0</v>
      </c>
      <c r="H109" s="95" t="s">
        <v>33</v>
      </c>
      <c r="I109" s="99" t="s">
        <v>616</v>
      </c>
      <c r="J109" s="99" t="s">
        <v>34</v>
      </c>
      <c r="K109" s="100" t="b">
        <v>1</v>
      </c>
      <c r="L109" s="100"/>
      <c r="M109" s="101"/>
    </row>
    <row r="110" ht="22.5" customHeight="1">
      <c r="B110" s="94">
        <v>440.0</v>
      </c>
      <c r="C110" s="95" t="s">
        <v>40</v>
      </c>
      <c r="D110" s="96">
        <v>46064.0</v>
      </c>
      <c r="E110" s="97" t="str">
        <f t="shared" si="5"/>
        <v>2026</v>
      </c>
      <c r="F110" s="97" t="str">
        <f t="shared" si="6"/>
        <v>02 Feb</v>
      </c>
      <c r="G110" s="98">
        <v>9000.0</v>
      </c>
      <c r="H110" s="95" t="s">
        <v>33</v>
      </c>
      <c r="I110" s="99" t="s">
        <v>617</v>
      </c>
      <c r="J110" s="99" t="s">
        <v>558</v>
      </c>
      <c r="K110" s="100" t="b">
        <v>1</v>
      </c>
      <c r="L110" s="100"/>
      <c r="M110" s="101"/>
    </row>
    <row r="111" ht="22.5" customHeight="1">
      <c r="B111" s="94">
        <v>441.0</v>
      </c>
      <c r="C111" s="95" t="s">
        <v>40</v>
      </c>
      <c r="D111" s="96">
        <v>46064.0</v>
      </c>
      <c r="E111" s="97" t="str">
        <f t="shared" si="5"/>
        <v>2026</v>
      </c>
      <c r="F111" s="97" t="str">
        <f t="shared" si="6"/>
        <v>02 Feb</v>
      </c>
      <c r="G111" s="98">
        <v>200000.0</v>
      </c>
      <c r="H111" s="95" t="s">
        <v>33</v>
      </c>
      <c r="I111" s="99" t="s">
        <v>40</v>
      </c>
      <c r="J111" s="99" t="s">
        <v>560</v>
      </c>
      <c r="K111" s="100" t="b">
        <v>1</v>
      </c>
      <c r="L111" s="100"/>
      <c r="M111" s="101"/>
    </row>
    <row r="112" ht="22.5" customHeight="1">
      <c r="B112" s="94">
        <v>442.0</v>
      </c>
      <c r="C112" s="95" t="s">
        <v>40</v>
      </c>
      <c r="D112" s="96">
        <v>46065.0</v>
      </c>
      <c r="E112" s="97" t="str">
        <f t="shared" si="5"/>
        <v>2026</v>
      </c>
      <c r="F112" s="97" t="str">
        <f t="shared" si="6"/>
        <v>02 Feb</v>
      </c>
      <c r="G112" s="98">
        <v>600000.0</v>
      </c>
      <c r="H112" s="95" t="s">
        <v>33</v>
      </c>
      <c r="I112" s="99" t="s">
        <v>613</v>
      </c>
      <c r="J112" s="99" t="s">
        <v>560</v>
      </c>
      <c r="K112" s="100" t="b">
        <v>1</v>
      </c>
      <c r="L112" s="100"/>
      <c r="M112" s="101"/>
    </row>
    <row r="113" ht="22.5" customHeight="1">
      <c r="B113" s="94">
        <v>443.0</v>
      </c>
      <c r="C113" s="95" t="s">
        <v>40</v>
      </c>
      <c r="D113" s="96">
        <v>46065.0</v>
      </c>
      <c r="E113" s="97" t="str">
        <f t="shared" si="5"/>
        <v>2026</v>
      </c>
      <c r="F113" s="97" t="str">
        <f t="shared" si="6"/>
        <v>02 Feb</v>
      </c>
      <c r="G113" s="98">
        <v>100000.0</v>
      </c>
      <c r="H113" s="95" t="s">
        <v>33</v>
      </c>
      <c r="I113" s="99" t="s">
        <v>613</v>
      </c>
      <c r="J113" s="99" t="s">
        <v>560</v>
      </c>
      <c r="K113" s="100" t="b">
        <v>1</v>
      </c>
      <c r="L113" s="100"/>
      <c r="M113" s="101"/>
    </row>
    <row r="114" ht="22.5" customHeight="1">
      <c r="B114" s="94">
        <v>444.0</v>
      </c>
      <c r="C114" s="95" t="s">
        <v>40</v>
      </c>
      <c r="D114" s="96">
        <v>46065.0</v>
      </c>
      <c r="E114" s="97" t="str">
        <f t="shared" si="5"/>
        <v>2026</v>
      </c>
      <c r="F114" s="97" t="str">
        <f t="shared" si="6"/>
        <v>02 Feb</v>
      </c>
      <c r="G114" s="98">
        <v>55000.0</v>
      </c>
      <c r="H114" s="95" t="s">
        <v>33</v>
      </c>
      <c r="I114" s="99" t="s">
        <v>613</v>
      </c>
      <c r="J114" s="99" t="s">
        <v>560</v>
      </c>
      <c r="K114" s="100" t="b">
        <v>1</v>
      </c>
      <c r="L114" s="100"/>
      <c r="M114" s="101"/>
    </row>
    <row r="115" ht="22.5" customHeight="1">
      <c r="B115" s="94">
        <v>445.0</v>
      </c>
      <c r="C115" s="95" t="s">
        <v>40</v>
      </c>
      <c r="D115" s="96">
        <v>46065.0</v>
      </c>
      <c r="E115" s="97" t="str">
        <f t="shared" si="5"/>
        <v>2026</v>
      </c>
      <c r="F115" s="97" t="str">
        <f t="shared" si="6"/>
        <v>02 Feb</v>
      </c>
      <c r="G115" s="98">
        <v>95000.0</v>
      </c>
      <c r="H115" s="95" t="s">
        <v>33</v>
      </c>
      <c r="I115" s="99" t="s">
        <v>618</v>
      </c>
      <c r="J115" s="99" t="s">
        <v>558</v>
      </c>
      <c r="K115" s="100" t="b">
        <v>1</v>
      </c>
      <c r="L115" s="100"/>
      <c r="M115" s="101"/>
    </row>
    <row r="116" ht="22.5" customHeight="1">
      <c r="B116" s="94">
        <v>446.0</v>
      </c>
      <c r="C116" s="95" t="s">
        <v>40</v>
      </c>
      <c r="D116" s="96">
        <v>46065.0</v>
      </c>
      <c r="E116" s="97" t="str">
        <f t="shared" si="5"/>
        <v>2026</v>
      </c>
      <c r="F116" s="97" t="str">
        <f t="shared" si="6"/>
        <v>02 Feb</v>
      </c>
      <c r="G116" s="98">
        <v>18000.0</v>
      </c>
      <c r="H116" s="95" t="s">
        <v>33</v>
      </c>
      <c r="I116" s="99" t="s">
        <v>619</v>
      </c>
      <c r="J116" s="99" t="s">
        <v>558</v>
      </c>
      <c r="K116" s="100" t="b">
        <v>1</v>
      </c>
      <c r="L116" s="100"/>
      <c r="M116" s="101"/>
    </row>
    <row r="117" ht="22.5" customHeight="1">
      <c r="B117" s="94">
        <v>447.0</v>
      </c>
      <c r="C117" s="95" t="s">
        <v>40</v>
      </c>
      <c r="D117" s="96">
        <v>46065.0</v>
      </c>
      <c r="E117" s="97" t="str">
        <f t="shared" si="5"/>
        <v>2026</v>
      </c>
      <c r="F117" s="97" t="str">
        <f t="shared" si="6"/>
        <v>02 Feb</v>
      </c>
      <c r="G117" s="98">
        <v>200000.0</v>
      </c>
      <c r="H117" s="95" t="s">
        <v>33</v>
      </c>
      <c r="I117" s="99" t="s">
        <v>68</v>
      </c>
      <c r="J117" s="99" t="s">
        <v>560</v>
      </c>
      <c r="K117" s="100" t="b">
        <v>1</v>
      </c>
      <c r="L117" s="100"/>
      <c r="M117" s="101"/>
    </row>
    <row r="118" ht="22.5" customHeight="1">
      <c r="B118" s="94">
        <v>448.0</v>
      </c>
      <c r="C118" s="95" t="s">
        <v>21</v>
      </c>
      <c r="D118" s="96">
        <v>46067.0</v>
      </c>
      <c r="E118" s="97" t="str">
        <f t="shared" si="5"/>
        <v>2026</v>
      </c>
      <c r="F118" s="97" t="str">
        <f t="shared" si="6"/>
        <v>02 Feb</v>
      </c>
      <c r="G118" s="98">
        <v>190000.0</v>
      </c>
      <c r="H118" s="95" t="s">
        <v>33</v>
      </c>
      <c r="I118" s="99" t="s">
        <v>620</v>
      </c>
      <c r="J118" s="99" t="s">
        <v>560</v>
      </c>
      <c r="K118" s="100" t="b">
        <v>1</v>
      </c>
      <c r="L118" s="100"/>
      <c r="M118" s="101"/>
    </row>
    <row r="119" ht="22.5" customHeight="1">
      <c r="B119" s="94">
        <v>449.0</v>
      </c>
      <c r="C119" s="95" t="s">
        <v>40</v>
      </c>
      <c r="D119" s="96">
        <v>46067.0</v>
      </c>
      <c r="E119" s="97" t="str">
        <f t="shared" si="5"/>
        <v>2026</v>
      </c>
      <c r="F119" s="97" t="str">
        <f t="shared" si="6"/>
        <v>02 Feb</v>
      </c>
      <c r="G119" s="98">
        <v>200000.0</v>
      </c>
      <c r="H119" s="95" t="s">
        <v>33</v>
      </c>
      <c r="I119" s="99" t="s">
        <v>620</v>
      </c>
      <c r="J119" s="99" t="s">
        <v>560</v>
      </c>
      <c r="K119" s="100" t="b">
        <v>1</v>
      </c>
      <c r="L119" s="100"/>
      <c r="M119" s="101"/>
    </row>
    <row r="120" ht="22.5" customHeight="1">
      <c r="B120" s="94">
        <v>450.0</v>
      </c>
      <c r="C120" s="95" t="s">
        <v>40</v>
      </c>
      <c r="D120" s="96">
        <v>46068.0</v>
      </c>
      <c r="E120" s="97" t="str">
        <f t="shared" si="5"/>
        <v>2026</v>
      </c>
      <c r="F120" s="97" t="str">
        <f t="shared" si="6"/>
        <v>02 Feb</v>
      </c>
      <c r="G120" s="98">
        <v>13000.0</v>
      </c>
      <c r="H120" s="95" t="s">
        <v>33</v>
      </c>
      <c r="I120" s="99" t="s">
        <v>51</v>
      </c>
      <c r="J120" s="99" t="s">
        <v>560</v>
      </c>
      <c r="K120" s="100" t="b">
        <v>1</v>
      </c>
      <c r="L120" s="100"/>
      <c r="M120" s="101"/>
    </row>
    <row r="121" ht="22.5" customHeight="1">
      <c r="B121" s="94">
        <v>451.0</v>
      </c>
      <c r="C121" s="95" t="s">
        <v>40</v>
      </c>
      <c r="D121" s="96">
        <v>46069.0</v>
      </c>
      <c r="E121" s="97" t="str">
        <f t="shared" si="5"/>
        <v>2026</v>
      </c>
      <c r="F121" s="97" t="str">
        <f t="shared" si="6"/>
        <v>02 Feb</v>
      </c>
      <c r="G121" s="98">
        <v>15000.0</v>
      </c>
      <c r="H121" s="95" t="s">
        <v>33</v>
      </c>
      <c r="I121" s="99" t="s">
        <v>561</v>
      </c>
      <c r="J121" s="99" t="s">
        <v>558</v>
      </c>
      <c r="K121" s="100" t="b">
        <v>1</v>
      </c>
      <c r="L121" s="100"/>
      <c r="M121" s="101"/>
    </row>
    <row r="122" ht="22.5" customHeight="1">
      <c r="B122" s="94">
        <v>452.0</v>
      </c>
      <c r="C122" s="95" t="s">
        <v>40</v>
      </c>
      <c r="D122" s="96">
        <v>46069.0</v>
      </c>
      <c r="E122" s="97" t="str">
        <f t="shared" si="5"/>
        <v>2026</v>
      </c>
      <c r="F122" s="97" t="str">
        <f t="shared" si="6"/>
        <v>02 Feb</v>
      </c>
      <c r="G122" s="98">
        <v>200000.0</v>
      </c>
      <c r="H122" s="95" t="s">
        <v>33</v>
      </c>
      <c r="I122" s="99" t="s">
        <v>620</v>
      </c>
      <c r="J122" s="99" t="s">
        <v>560</v>
      </c>
      <c r="K122" s="100" t="b">
        <v>1</v>
      </c>
      <c r="L122" s="100"/>
      <c r="M122" s="101"/>
    </row>
    <row r="123" ht="22.5" customHeight="1">
      <c r="B123" s="94">
        <v>453.0</v>
      </c>
      <c r="C123" s="95" t="s">
        <v>40</v>
      </c>
      <c r="D123" s="96">
        <v>46069.0</v>
      </c>
      <c r="E123" s="97" t="str">
        <f t="shared" si="5"/>
        <v>2026</v>
      </c>
      <c r="F123" s="97" t="str">
        <f t="shared" si="6"/>
        <v>02 Feb</v>
      </c>
      <c r="G123" s="98">
        <v>200000.0</v>
      </c>
      <c r="H123" s="95" t="s">
        <v>33</v>
      </c>
      <c r="I123" s="99" t="s">
        <v>613</v>
      </c>
      <c r="J123" s="99" t="s">
        <v>560</v>
      </c>
      <c r="K123" s="100" t="b">
        <v>1</v>
      </c>
      <c r="L123" s="100"/>
      <c r="M123" s="101"/>
    </row>
    <row r="124" ht="22.5" customHeight="1">
      <c r="B124" s="94">
        <v>454.0</v>
      </c>
      <c r="C124" s="95" t="s">
        <v>40</v>
      </c>
      <c r="D124" s="96">
        <v>46069.0</v>
      </c>
      <c r="E124" s="97" t="str">
        <f t="shared" si="5"/>
        <v>2026</v>
      </c>
      <c r="F124" s="97" t="str">
        <f t="shared" si="6"/>
        <v>02 Feb</v>
      </c>
      <c r="G124" s="98">
        <v>90000.0</v>
      </c>
      <c r="H124" s="95" t="s">
        <v>33</v>
      </c>
      <c r="I124" s="99" t="s">
        <v>601</v>
      </c>
      <c r="J124" s="99" t="s">
        <v>560</v>
      </c>
      <c r="K124" s="100" t="b">
        <v>1</v>
      </c>
      <c r="L124" s="100"/>
      <c r="M124" s="101"/>
    </row>
    <row r="125" ht="22.5" customHeight="1">
      <c r="B125" s="94">
        <v>455.0</v>
      </c>
      <c r="C125" s="95" t="s">
        <v>40</v>
      </c>
      <c r="D125" s="96">
        <v>46071.0</v>
      </c>
      <c r="E125" s="97" t="str">
        <f t="shared" si="5"/>
        <v>2026</v>
      </c>
      <c r="F125" s="97" t="str">
        <f t="shared" si="6"/>
        <v>02 Feb</v>
      </c>
      <c r="G125" s="98">
        <v>30000.0</v>
      </c>
      <c r="H125" s="95" t="s">
        <v>33</v>
      </c>
      <c r="I125" s="99" t="s">
        <v>561</v>
      </c>
      <c r="J125" s="99" t="s">
        <v>558</v>
      </c>
      <c r="K125" s="100" t="b">
        <v>1</v>
      </c>
      <c r="L125" s="100"/>
      <c r="M125" s="101"/>
    </row>
    <row r="126" ht="22.5" customHeight="1">
      <c r="B126" s="94">
        <v>456.0</v>
      </c>
      <c r="C126" s="95" t="s">
        <v>40</v>
      </c>
      <c r="D126" s="96">
        <v>46074.0</v>
      </c>
      <c r="E126" s="97" t="str">
        <f t="shared" si="5"/>
        <v>2026</v>
      </c>
      <c r="F126" s="97" t="str">
        <f t="shared" si="6"/>
        <v>02 Feb</v>
      </c>
      <c r="G126" s="98">
        <v>15000.0</v>
      </c>
      <c r="H126" s="95" t="s">
        <v>33</v>
      </c>
      <c r="I126" s="99" t="s">
        <v>561</v>
      </c>
      <c r="J126" s="99" t="s">
        <v>558</v>
      </c>
      <c r="K126" s="100" t="b">
        <v>1</v>
      </c>
      <c r="L126" s="100"/>
      <c r="M126" s="101"/>
    </row>
    <row r="127" ht="22.5" customHeight="1">
      <c r="B127" s="94">
        <v>457.0</v>
      </c>
      <c r="C127" s="95" t="s">
        <v>40</v>
      </c>
      <c r="D127" s="96">
        <v>46074.0</v>
      </c>
      <c r="E127" s="97" t="str">
        <f t="shared" si="5"/>
        <v>2026</v>
      </c>
      <c r="F127" s="97" t="str">
        <f t="shared" si="6"/>
        <v>02 Feb</v>
      </c>
      <c r="G127" s="98">
        <v>92000.0</v>
      </c>
      <c r="H127" s="95" t="s">
        <v>33</v>
      </c>
      <c r="I127" s="99" t="s">
        <v>621</v>
      </c>
      <c r="J127" s="99" t="s">
        <v>560</v>
      </c>
      <c r="K127" s="100" t="b">
        <v>1</v>
      </c>
      <c r="L127" s="100"/>
      <c r="M127" s="101"/>
    </row>
    <row r="128" ht="22.5" customHeight="1">
      <c r="B128" s="94">
        <v>458.0</v>
      </c>
      <c r="C128" s="95" t="s">
        <v>40</v>
      </c>
      <c r="D128" s="96">
        <v>46074.0</v>
      </c>
      <c r="E128" s="97" t="str">
        <f t="shared" si="5"/>
        <v>2026</v>
      </c>
      <c r="F128" s="97" t="str">
        <f t="shared" si="6"/>
        <v>02 Feb</v>
      </c>
      <c r="G128" s="98">
        <v>31000.0</v>
      </c>
      <c r="H128" s="95" t="s">
        <v>33</v>
      </c>
      <c r="I128" s="99" t="s">
        <v>621</v>
      </c>
      <c r="J128" s="99" t="s">
        <v>560</v>
      </c>
      <c r="K128" s="100" t="b">
        <v>1</v>
      </c>
      <c r="L128" s="100"/>
      <c r="M128" s="101"/>
    </row>
    <row r="129" ht="22.5" customHeight="1">
      <c r="B129" s="94">
        <v>459.0</v>
      </c>
      <c r="C129" s="95" t="s">
        <v>40</v>
      </c>
      <c r="D129" s="96">
        <v>46074.0</v>
      </c>
      <c r="E129" s="97" t="str">
        <f t="shared" si="5"/>
        <v>2026</v>
      </c>
      <c r="F129" s="97" t="str">
        <f t="shared" si="6"/>
        <v>02 Feb</v>
      </c>
      <c r="G129" s="98">
        <v>50000.0</v>
      </c>
      <c r="H129" s="95" t="s">
        <v>33</v>
      </c>
      <c r="I129" s="99" t="s">
        <v>621</v>
      </c>
      <c r="J129" s="99" t="s">
        <v>560</v>
      </c>
      <c r="K129" s="100" t="b">
        <v>1</v>
      </c>
      <c r="L129" s="100"/>
      <c r="M129" s="101"/>
    </row>
    <row r="130" ht="22.5" customHeight="1">
      <c r="B130" s="94">
        <v>460.0</v>
      </c>
      <c r="C130" s="95" t="s">
        <v>40</v>
      </c>
      <c r="D130" s="96">
        <v>46074.0</v>
      </c>
      <c r="E130" s="97" t="str">
        <f t="shared" si="5"/>
        <v>2026</v>
      </c>
      <c r="F130" s="97" t="str">
        <f t="shared" si="6"/>
        <v>02 Feb</v>
      </c>
      <c r="G130" s="98">
        <v>300000.0</v>
      </c>
      <c r="H130" s="95" t="s">
        <v>33</v>
      </c>
      <c r="I130" s="99" t="s">
        <v>620</v>
      </c>
      <c r="J130" s="99" t="s">
        <v>560</v>
      </c>
      <c r="K130" s="100" t="b">
        <v>1</v>
      </c>
      <c r="L130" s="100"/>
      <c r="M130" s="101"/>
    </row>
    <row r="131" ht="22.5" customHeight="1">
      <c r="B131" s="94">
        <v>461.0</v>
      </c>
      <c r="C131" s="95" t="s">
        <v>21</v>
      </c>
      <c r="D131" s="96">
        <v>46075.0</v>
      </c>
      <c r="E131" s="97" t="str">
        <f t="shared" si="5"/>
        <v>2026</v>
      </c>
      <c r="F131" s="97" t="str">
        <f t="shared" si="6"/>
        <v>02 Feb</v>
      </c>
      <c r="G131" s="98">
        <v>50000.0</v>
      </c>
      <c r="H131" s="95" t="s">
        <v>33</v>
      </c>
      <c r="I131" s="99" t="s">
        <v>598</v>
      </c>
      <c r="J131" s="99" t="s">
        <v>558</v>
      </c>
      <c r="K131" s="100" t="b">
        <v>1</v>
      </c>
      <c r="L131" s="100"/>
      <c r="M131" s="101"/>
    </row>
    <row r="132" ht="22.5" customHeight="1">
      <c r="B132" s="94">
        <v>462.0</v>
      </c>
      <c r="C132" s="95" t="s">
        <v>40</v>
      </c>
      <c r="D132" s="96">
        <v>46075.0</v>
      </c>
      <c r="E132" s="97" t="str">
        <f t="shared" si="5"/>
        <v>2026</v>
      </c>
      <c r="F132" s="97" t="str">
        <f t="shared" si="6"/>
        <v>02 Feb</v>
      </c>
      <c r="G132" s="98">
        <v>150000.0</v>
      </c>
      <c r="H132" s="95" t="s">
        <v>33</v>
      </c>
      <c r="I132" s="99" t="s">
        <v>622</v>
      </c>
      <c r="J132" s="99" t="s">
        <v>558</v>
      </c>
      <c r="K132" s="100" t="b">
        <v>1</v>
      </c>
      <c r="L132" s="100"/>
      <c r="M132" s="101"/>
    </row>
    <row r="133" ht="22.5" customHeight="1">
      <c r="B133" s="94">
        <v>463.0</v>
      </c>
      <c r="C133" s="95" t="s">
        <v>40</v>
      </c>
      <c r="D133" s="96">
        <v>46075.0</v>
      </c>
      <c r="E133" s="97" t="str">
        <f t="shared" si="5"/>
        <v>2026</v>
      </c>
      <c r="F133" s="97" t="str">
        <f t="shared" si="6"/>
        <v>02 Feb</v>
      </c>
      <c r="G133" s="98">
        <v>300000.0</v>
      </c>
      <c r="H133" s="95" t="s">
        <v>33</v>
      </c>
      <c r="I133" s="99" t="s">
        <v>620</v>
      </c>
      <c r="J133" s="99" t="s">
        <v>560</v>
      </c>
      <c r="K133" s="100" t="b">
        <v>1</v>
      </c>
      <c r="L133" s="100"/>
      <c r="M133" s="101"/>
    </row>
    <row r="134" ht="22.5" customHeight="1">
      <c r="B134" s="94">
        <v>464.0</v>
      </c>
      <c r="C134" s="95" t="s">
        <v>507</v>
      </c>
      <c r="D134" s="96">
        <v>46076.0</v>
      </c>
      <c r="E134" s="97" t="str">
        <f t="shared" si="5"/>
        <v>2026</v>
      </c>
      <c r="F134" s="97" t="str">
        <f t="shared" si="6"/>
        <v>02 Feb</v>
      </c>
      <c r="G134" s="98">
        <v>15000.0</v>
      </c>
      <c r="H134" s="95" t="s">
        <v>33</v>
      </c>
      <c r="I134" s="99" t="s">
        <v>561</v>
      </c>
      <c r="J134" s="99" t="s">
        <v>558</v>
      </c>
      <c r="K134" s="100" t="b">
        <v>1</v>
      </c>
      <c r="L134" s="100"/>
      <c r="M134" s="101"/>
    </row>
    <row r="135" ht="22.5" customHeight="1">
      <c r="B135" s="94">
        <v>465.0</v>
      </c>
      <c r="C135" s="95" t="s">
        <v>507</v>
      </c>
      <c r="D135" s="96">
        <v>46076.0</v>
      </c>
      <c r="E135" s="97" t="str">
        <f t="shared" si="5"/>
        <v>2026</v>
      </c>
      <c r="F135" s="97" t="str">
        <f t="shared" si="6"/>
        <v>02 Feb</v>
      </c>
      <c r="G135" s="98">
        <v>50000.0</v>
      </c>
      <c r="H135" s="95" t="s">
        <v>33</v>
      </c>
      <c r="I135" s="99" t="s">
        <v>623</v>
      </c>
      <c r="J135" s="99" t="s">
        <v>558</v>
      </c>
      <c r="K135" s="100" t="b">
        <v>1</v>
      </c>
      <c r="L135" s="100"/>
      <c r="M135" s="101"/>
    </row>
    <row r="136" ht="22.5" customHeight="1">
      <c r="B136" s="94">
        <v>466.0</v>
      </c>
      <c r="C136" s="95" t="s">
        <v>507</v>
      </c>
      <c r="D136" s="96">
        <v>46077.0</v>
      </c>
      <c r="E136" s="97" t="str">
        <f t="shared" si="5"/>
        <v>2026</v>
      </c>
      <c r="F136" s="97" t="str">
        <f t="shared" si="6"/>
        <v>02 Feb</v>
      </c>
      <c r="G136" s="98">
        <v>100000.0</v>
      </c>
      <c r="H136" s="95" t="s">
        <v>33</v>
      </c>
      <c r="I136" s="99" t="s">
        <v>624</v>
      </c>
      <c r="J136" s="99" t="s">
        <v>560</v>
      </c>
      <c r="K136" s="100" t="b">
        <v>1</v>
      </c>
      <c r="L136" s="100"/>
      <c r="M136" s="101"/>
    </row>
    <row r="137" ht="22.5" customHeight="1">
      <c r="B137" s="94">
        <v>467.0</v>
      </c>
      <c r="C137" s="95" t="s">
        <v>507</v>
      </c>
      <c r="D137" s="96">
        <v>46077.0</v>
      </c>
      <c r="E137" s="97" t="str">
        <f t="shared" si="5"/>
        <v>2026</v>
      </c>
      <c r="F137" s="97" t="str">
        <f t="shared" si="6"/>
        <v>02 Feb</v>
      </c>
      <c r="G137" s="98">
        <v>100000.0</v>
      </c>
      <c r="H137" s="95" t="s">
        <v>33</v>
      </c>
      <c r="I137" s="99" t="s">
        <v>625</v>
      </c>
      <c r="J137" s="99" t="s">
        <v>560</v>
      </c>
      <c r="K137" s="100" t="b">
        <v>1</v>
      </c>
      <c r="L137" s="100"/>
      <c r="M137" s="101"/>
    </row>
    <row r="138" ht="22.5" customHeight="1">
      <c r="B138" s="94">
        <v>468.0</v>
      </c>
      <c r="C138" s="95" t="s">
        <v>40</v>
      </c>
      <c r="D138" s="96">
        <v>46078.0</v>
      </c>
      <c r="E138" s="97" t="str">
        <f t="shared" si="5"/>
        <v>2026</v>
      </c>
      <c r="F138" s="97" t="str">
        <f t="shared" si="6"/>
        <v>02 Feb</v>
      </c>
      <c r="G138" s="98">
        <v>15000.0</v>
      </c>
      <c r="H138" s="95" t="s">
        <v>33</v>
      </c>
      <c r="I138" s="99" t="s">
        <v>561</v>
      </c>
      <c r="J138" s="99" t="s">
        <v>558</v>
      </c>
      <c r="K138" s="100" t="b">
        <v>1</v>
      </c>
      <c r="L138" s="100"/>
      <c r="M138" s="101"/>
    </row>
    <row r="139" ht="22.5" customHeight="1">
      <c r="B139" s="94">
        <v>469.0</v>
      </c>
      <c r="C139" s="95" t="s">
        <v>40</v>
      </c>
      <c r="D139" s="96">
        <v>46078.0</v>
      </c>
      <c r="E139" s="97" t="str">
        <f t="shared" si="5"/>
        <v>2026</v>
      </c>
      <c r="F139" s="97" t="str">
        <f t="shared" si="6"/>
        <v>02 Feb</v>
      </c>
      <c r="G139" s="98">
        <v>50000.0</v>
      </c>
      <c r="H139" s="95" t="s">
        <v>33</v>
      </c>
      <c r="I139" s="99" t="s">
        <v>626</v>
      </c>
      <c r="J139" s="99" t="s">
        <v>558</v>
      </c>
      <c r="K139" s="100" t="b">
        <v>1</v>
      </c>
      <c r="L139" s="100"/>
      <c r="M139" s="101"/>
    </row>
    <row r="140" ht="22.5" customHeight="1">
      <c r="B140" s="94">
        <v>470.0</v>
      </c>
      <c r="C140" s="95" t="s">
        <v>507</v>
      </c>
      <c r="D140" s="96">
        <v>46079.0</v>
      </c>
      <c r="E140" s="97" t="str">
        <f t="shared" si="5"/>
        <v>2026</v>
      </c>
      <c r="F140" s="97" t="str">
        <f t="shared" si="6"/>
        <v>02 Feb</v>
      </c>
      <c r="G140" s="98">
        <v>15000.0</v>
      </c>
      <c r="H140" s="95" t="s">
        <v>33</v>
      </c>
      <c r="I140" s="99" t="s">
        <v>561</v>
      </c>
      <c r="J140" s="99" t="s">
        <v>558</v>
      </c>
      <c r="K140" s="100" t="b">
        <v>1</v>
      </c>
      <c r="L140" s="100"/>
      <c r="M140" s="101"/>
    </row>
    <row r="141" ht="22.5" customHeight="1">
      <c r="B141" s="94">
        <v>471.0</v>
      </c>
      <c r="C141" s="95" t="s">
        <v>40</v>
      </c>
      <c r="D141" s="96">
        <v>46079.0</v>
      </c>
      <c r="E141" s="97" t="str">
        <f t="shared" si="5"/>
        <v>2026</v>
      </c>
      <c r="F141" s="97" t="str">
        <f t="shared" si="6"/>
        <v>02 Feb</v>
      </c>
      <c r="G141" s="98">
        <v>200000.0</v>
      </c>
      <c r="H141" s="95" t="s">
        <v>33</v>
      </c>
      <c r="I141" s="99" t="s">
        <v>627</v>
      </c>
      <c r="J141" s="99" t="s">
        <v>560</v>
      </c>
      <c r="K141" s="100" t="b">
        <v>1</v>
      </c>
      <c r="L141" s="100"/>
      <c r="M141" s="101"/>
    </row>
    <row r="142" ht="22.5" customHeight="1">
      <c r="B142" s="94">
        <v>472.0</v>
      </c>
      <c r="C142" s="95" t="s">
        <v>40</v>
      </c>
      <c r="D142" s="96">
        <v>46079.0</v>
      </c>
      <c r="E142" s="97" t="str">
        <f t="shared" si="5"/>
        <v>2026</v>
      </c>
      <c r="F142" s="97" t="str">
        <f t="shared" si="6"/>
        <v>02 Feb</v>
      </c>
      <c r="G142" s="98">
        <v>300000.0</v>
      </c>
      <c r="H142" s="95" t="s">
        <v>33</v>
      </c>
      <c r="I142" s="99" t="s">
        <v>620</v>
      </c>
      <c r="J142" s="99" t="s">
        <v>560</v>
      </c>
      <c r="K142" s="100" t="b">
        <v>1</v>
      </c>
      <c r="L142" s="100"/>
      <c r="M142" s="101"/>
    </row>
    <row r="143" ht="22.5" customHeight="1">
      <c r="B143" s="94">
        <v>473.0</v>
      </c>
      <c r="C143" s="95" t="s">
        <v>40</v>
      </c>
      <c r="D143" s="96">
        <v>46080.0</v>
      </c>
      <c r="E143" s="97" t="str">
        <f t="shared" si="5"/>
        <v>2026</v>
      </c>
      <c r="F143" s="97" t="str">
        <f t="shared" si="6"/>
        <v>02 Feb</v>
      </c>
      <c r="G143" s="98">
        <v>100000.0</v>
      </c>
      <c r="H143" s="95" t="s">
        <v>33</v>
      </c>
      <c r="I143" s="99" t="s">
        <v>40</v>
      </c>
      <c r="J143" s="99" t="s">
        <v>560</v>
      </c>
      <c r="K143" s="100" t="b">
        <v>1</v>
      </c>
      <c r="L143" s="100"/>
      <c r="M143" s="101"/>
    </row>
    <row r="144" ht="22.5" customHeight="1">
      <c r="B144" s="94">
        <v>474.0</v>
      </c>
      <c r="C144" s="95" t="s">
        <v>21</v>
      </c>
      <c r="D144" s="96">
        <v>46081.0</v>
      </c>
      <c r="E144" s="97" t="str">
        <f t="shared" si="5"/>
        <v>2026</v>
      </c>
      <c r="F144" s="97" t="str">
        <f t="shared" si="6"/>
        <v>02 Feb</v>
      </c>
      <c r="G144" s="98">
        <v>300000.0</v>
      </c>
      <c r="H144" s="95" t="s">
        <v>33</v>
      </c>
      <c r="I144" s="99" t="s">
        <v>574</v>
      </c>
      <c r="J144" s="99" t="s">
        <v>560</v>
      </c>
      <c r="K144" s="100" t="b">
        <v>1</v>
      </c>
      <c r="L144" s="100"/>
      <c r="M144" s="101"/>
    </row>
    <row r="145" ht="22.5" customHeight="1">
      <c r="B145" s="94">
        <v>475.0</v>
      </c>
      <c r="C145" s="95" t="s">
        <v>507</v>
      </c>
      <c r="D145" s="96">
        <v>46081.0</v>
      </c>
      <c r="E145" s="97" t="str">
        <f t="shared" si="5"/>
        <v>2026</v>
      </c>
      <c r="F145" s="97" t="str">
        <f t="shared" si="6"/>
        <v>02 Feb</v>
      </c>
      <c r="G145" s="98">
        <v>100000.0</v>
      </c>
      <c r="H145" s="95" t="s">
        <v>33</v>
      </c>
      <c r="I145" s="99" t="s">
        <v>621</v>
      </c>
      <c r="J145" s="99" t="s">
        <v>560</v>
      </c>
      <c r="K145" s="100" t="b">
        <v>1</v>
      </c>
      <c r="L145" s="100"/>
      <c r="M145" s="101"/>
    </row>
  </sheetData>
  <customSheetViews>
    <customSheetView guid="{340219A3-3393-4686-89D9-DE3506F9031C}" filter="1" showAutoFilter="1">
      <autoFilter ref="$B$4:$M$145">
        <filterColumn colId="2">
          <customFilters and="1">
            <customFilter operator="greaterThanOrEqual" val="17/12/2025"/>
            <customFilter operator="lessThanOrEqual" val="24/12/2025"/>
          </customFilters>
        </filterColumn>
      </autoFilter>
    </customSheetView>
  </customSheetViews>
  <conditionalFormatting sqref="B5:B145">
    <cfRule type="expression" dxfId="8" priority="1">
      <formula>COUNTIF($B$5:$B145,B5)&gt;1</formula>
    </cfRule>
  </conditionalFormatting>
  <conditionalFormatting sqref="B5:J145">
    <cfRule type="expression" dxfId="9" priority="2">
      <formula>IF(OR($B5:$B145="",$C5:$C145="",$D5:$D145="",$G5:$G145="",$H5:$H145="",$I5:$I145="",$J5:$J145="",$K5:$K145=FALSE),TRUE,FALSE)</formula>
    </cfRule>
  </conditionalFormatting>
  <dataValidations>
    <dataValidation type="list" allowBlank="1" sqref="H5:H145">
      <formula1>#REF!</formula1>
    </dataValidation>
    <dataValidation type="custom" allowBlank="1" showDropDown="1" sqref="D5:D145">
      <formula1>OR(NOT(ISERROR(DATEVALUE(D5))), AND(ISNUMBER(D5), LEFT(CELL("format", D5))="D"))</formula1>
    </dataValidation>
    <dataValidation type="custom" allowBlank="1" showDropDown="1" sqref="G5:G145">
      <formula1>AND(ISNUMBER(G5),(NOT(OR(NOT(ISERROR(DATEVALUE(G5))), AND(ISNUMBER(G5), LEFT(CELL("format", G5))="D")))))</formula1>
    </dataValidation>
    <dataValidation type="list" allowBlank="1" sqref="C5:C145">
      <formula1>#REF!</formula1>
    </dataValidation>
  </dataValidations>
  <printOptions gridLines="1" horizontalCentered="1"/>
  <pageMargins bottom="0.75" footer="0.0" header="0.0" left="0.7" right="0.7" top="0.75"/>
  <pageSetup fitToHeight="0" paperSize="14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25"/>
    <col customWidth="1" min="4" max="5" width="2.63"/>
    <col customWidth="1" min="6" max="6" width="18.13"/>
    <col customWidth="1" min="8" max="9" width="2.63"/>
    <col customWidth="1" min="10" max="10" width="21.75"/>
    <col customWidth="1" min="12" max="13" width="2.63"/>
    <col customWidth="1" min="14" max="15" width="12.63"/>
    <col customWidth="1" min="16" max="16" width="2.63"/>
  </cols>
  <sheetData>
    <row r="1">
      <c r="A1" s="11"/>
      <c r="B1" s="102" t="s">
        <v>628</v>
      </c>
      <c r="C1" s="5"/>
      <c r="D1" s="5"/>
      <c r="E1" s="5"/>
      <c r="F1" s="4"/>
      <c r="G1" s="5"/>
      <c r="H1" s="5"/>
      <c r="I1" s="5"/>
      <c r="J1" s="4"/>
      <c r="K1" s="5"/>
      <c r="L1" s="5"/>
      <c r="M1" s="5"/>
      <c r="N1" s="5"/>
      <c r="O1" s="5"/>
      <c r="P1" s="5"/>
    </row>
    <row r="2">
      <c r="A2" s="5"/>
      <c r="B2" s="4"/>
      <c r="C2" s="5"/>
      <c r="D2" s="5"/>
      <c r="E2" s="5"/>
      <c r="F2" s="4"/>
      <c r="G2" s="5"/>
      <c r="H2" s="5"/>
      <c r="I2" s="5"/>
      <c r="J2" s="4"/>
      <c r="K2" s="5"/>
      <c r="L2" s="5"/>
      <c r="M2" s="5"/>
      <c r="N2" s="5"/>
      <c r="O2" s="103" t="s">
        <v>629</v>
      </c>
      <c r="P2" s="5"/>
    </row>
    <row r="3">
      <c r="A3" s="5"/>
      <c r="B3" s="4"/>
      <c r="C3" s="5"/>
      <c r="D3" s="5"/>
      <c r="E3" s="5"/>
      <c r="F3" s="4"/>
      <c r="G3" s="5"/>
      <c r="H3" s="5"/>
      <c r="I3" s="5"/>
      <c r="J3" s="4"/>
      <c r="K3" s="5"/>
      <c r="L3" s="5"/>
      <c r="M3" s="5"/>
      <c r="N3" s="104">
        <f>K6-O6</f>
        <v>0</v>
      </c>
      <c r="P3" s="5"/>
    </row>
    <row r="4">
      <c r="A4" s="5"/>
      <c r="B4" s="4"/>
      <c r="C4" s="5"/>
      <c r="D4" s="5"/>
      <c r="E4" s="5"/>
      <c r="F4" s="4"/>
      <c r="G4" s="5"/>
      <c r="H4" s="5"/>
      <c r="I4" s="5"/>
      <c r="J4" s="4"/>
      <c r="K4" s="5"/>
      <c r="L4" s="5"/>
      <c r="M4" s="5"/>
      <c r="N4" s="5"/>
      <c r="O4" s="5"/>
      <c r="P4" s="5"/>
    </row>
    <row r="5">
      <c r="A5" s="105"/>
      <c r="B5" s="106" t="s">
        <v>630</v>
      </c>
      <c r="C5" s="105"/>
      <c r="D5" s="105"/>
      <c r="E5" s="105"/>
      <c r="F5" s="106" t="s">
        <v>631</v>
      </c>
      <c r="G5" s="105"/>
      <c r="H5" s="105"/>
      <c r="I5" s="105"/>
      <c r="J5" s="106" t="s">
        <v>632</v>
      </c>
      <c r="K5" s="105"/>
      <c r="L5" s="105"/>
      <c r="M5" s="105"/>
      <c r="N5" s="106" t="s">
        <v>633</v>
      </c>
      <c r="O5" s="105"/>
      <c r="P5" s="105"/>
    </row>
    <row r="6">
      <c r="A6" s="105"/>
      <c r="B6" s="106"/>
      <c r="C6" s="105"/>
      <c r="D6" s="105"/>
      <c r="E6" s="105"/>
      <c r="F6" s="106"/>
      <c r="G6" s="105"/>
      <c r="H6" s="105"/>
      <c r="I6" s="105"/>
      <c r="J6" s="106"/>
      <c r="K6" s="105" t="str">
        <f t="array" ref="K6">XLOOKUP("TUNAI",$J$7:$J1006,$K$7:$K1006,"0")</f>
        <v>0</v>
      </c>
      <c r="L6" s="105"/>
      <c r="M6" s="105"/>
      <c r="N6" s="106"/>
      <c r="O6" s="105" t="str">
        <f t="array" ref="O6">XLOOKUP("TUNAI",$N$7:$N1006,$O$7:OK1006,"0")</f>
        <v>0</v>
      </c>
      <c r="P6" s="105"/>
    </row>
    <row r="7">
      <c r="A7" s="13"/>
      <c r="D7" s="108"/>
      <c r="E7" s="108"/>
      <c r="H7" s="108"/>
      <c r="I7" s="108"/>
      <c r="L7" s="108"/>
      <c r="M7" s="108"/>
      <c r="P7" s="108"/>
    </row>
    <row r="8" ht="30.0" customHeight="1">
      <c r="A8" s="110"/>
      <c r="D8" s="110"/>
      <c r="E8" s="110"/>
      <c r="H8" s="110"/>
      <c r="I8" s="110"/>
      <c r="L8" s="110"/>
      <c r="M8" s="110"/>
      <c r="P8" s="110"/>
    </row>
    <row r="9" ht="30.0" customHeight="1">
      <c r="A9" s="112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</row>
    <row r="10" ht="30.0" customHeight="1">
      <c r="A10" s="112"/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</row>
    <row r="11" ht="30.0" customHeight="1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</row>
    <row r="12" ht="30.0" customHeight="1">
      <c r="A12" s="112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</row>
    <row r="13" ht="30.0" customHeight="1">
      <c r="A13" s="112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</row>
    <row r="14" ht="30.0" customHeight="1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</row>
    <row r="15" ht="30.0" customHeight="1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</row>
    <row r="16" ht="30.0" customHeight="1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</row>
    <row r="17" ht="30.0" customHeight="1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</row>
    <row r="18" ht="30.0" customHeight="1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</row>
    <row r="19" ht="30.0" customHeight="1">
      <c r="A19" s="112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</row>
    <row r="20" ht="30.0" customHeight="1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</row>
    <row r="21" ht="30.0" customHeight="1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</row>
    <row r="22" ht="30.0" customHeight="1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</row>
    <row r="23" ht="30.0" customHeight="1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</row>
    <row r="24" ht="30.0" customHeight="1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</row>
    <row r="25" ht="30.0" customHeight="1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</row>
    <row r="26" ht="30.0" customHeight="1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</row>
    <row r="27" ht="30.0" customHeight="1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</row>
    <row r="28" ht="30.0" customHeight="1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</row>
    <row r="29" ht="30.0" customHeight="1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</row>
    <row r="30" ht="30.0" customHeight="1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</row>
    <row r="31" ht="30.0" customHeight="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</row>
    <row r="32" ht="30.0" customHeight="1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</row>
    <row r="33" ht="30.0" customHeight="1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</row>
    <row r="34" ht="30.0" customHeight="1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</row>
    <row r="35" ht="30.0" customHeight="1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ht="30.0" customHeight="1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</row>
    <row r="37" ht="30.0" customHeight="1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</row>
    <row r="38" ht="30.0" customHeight="1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</row>
    <row r="39" ht="30.0" customHeight="1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</row>
    <row r="40" ht="30.0" customHeight="1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</row>
    <row r="41" ht="30.0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</row>
    <row r="42" ht="30.0" customHeight="1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</row>
    <row r="43" ht="30.0" customHeight="1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</row>
    <row r="44" ht="30.0" customHeight="1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</row>
    <row r="45" ht="30.0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</row>
    <row r="46" ht="30.0" customHeight="1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</row>
    <row r="47" ht="30.0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</row>
    <row r="48" ht="30.0" customHeight="1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</row>
    <row r="49" ht="30.0" customHeight="1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</row>
    <row r="50" ht="30.0" customHeight="1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</row>
    <row r="51" ht="30.0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</row>
    <row r="52" ht="30.0" customHeight="1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</row>
    <row r="53" ht="30.0" customHeight="1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</row>
    <row r="54" ht="30.0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</row>
    <row r="55" ht="30.0" customHeight="1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</row>
    <row r="56" ht="30.0" customHeight="1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</row>
    <row r="57" ht="30.0" customHeight="1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</row>
    <row r="58" ht="30.0" customHeight="1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</row>
    <row r="59" ht="30.0" customHeight="1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</row>
    <row r="60" ht="30.0" customHeight="1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</row>
    <row r="61" ht="30.0" customHeight="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</row>
    <row r="62" ht="30.0" customHeight="1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</row>
    <row r="63" ht="30.0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</row>
    <row r="64" ht="30.0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</row>
    <row r="65" ht="30.0" customHeight="1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</row>
    <row r="66" ht="30.0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</row>
    <row r="67" ht="30.0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</row>
    <row r="68" ht="30.0" customHeight="1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</row>
    <row r="69" ht="30.0" customHeight="1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</row>
    <row r="70" ht="30.0" customHeight="1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</row>
    <row r="71" ht="30.0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</row>
    <row r="72" ht="30.0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</row>
    <row r="73" ht="30.0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</row>
    <row r="74" ht="30.0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</row>
    <row r="75" ht="30.0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</row>
    <row r="76" ht="30.0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</row>
    <row r="77" ht="30.0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</row>
    <row r="78" ht="30.0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</row>
    <row r="79" ht="30.0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</row>
    <row r="80" ht="30.0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</row>
    <row r="81" ht="30.0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</row>
    <row r="82" ht="30.0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</row>
    <row r="83" ht="30.0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</row>
    <row r="84" ht="30.0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</row>
    <row r="85" ht="30.0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</row>
    <row r="86" ht="30.0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</row>
    <row r="87" ht="30.0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</row>
    <row r="88" ht="30.0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</row>
    <row r="89" ht="30.0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</row>
    <row r="90" ht="30.0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</row>
    <row r="91" ht="30.0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</row>
    <row r="92" ht="30.0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</row>
    <row r="93" ht="30.0" customHeight="1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</row>
    <row r="94" ht="30.0" customHeight="1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</row>
    <row r="95" ht="30.0" customHeight="1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</row>
    <row r="96" ht="30.0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</row>
    <row r="97" ht="30.0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 ht="30.0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 ht="30.0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</row>
    <row r="100" ht="30.0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</row>
    <row r="101" ht="30.0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</row>
    <row r="102" ht="30.0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</row>
    <row r="103" ht="30.0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</row>
    <row r="104" ht="30.0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</row>
    <row r="105" ht="30.0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</row>
    <row r="106" ht="30.0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</row>
    <row r="107" ht="30.0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</row>
    <row r="108" ht="30.0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</row>
    <row r="109" ht="30.0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</row>
    <row r="110" ht="30.0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</row>
    <row r="111" ht="30.0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</row>
    <row r="112" ht="30.0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</row>
    <row r="113" ht="30.0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</row>
    <row r="114" ht="30.0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</row>
    <row r="115" ht="30.0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</row>
    <row r="116" ht="30.0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</row>
    <row r="117" ht="30.0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</row>
    <row r="118" ht="30.0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</row>
    <row r="119" ht="30.0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</row>
    <row r="120" ht="30.0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</row>
    <row r="121" ht="30.0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</row>
    <row r="122" ht="30.0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</row>
    <row r="123" ht="30.0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</row>
    <row r="124" ht="30.0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</row>
    <row r="125" ht="30.0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</row>
    <row r="126" ht="30.0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</row>
    <row r="127" ht="30.0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</row>
    <row r="128" ht="30.0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</row>
    <row r="129" ht="30.0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</row>
    <row r="130" ht="30.0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</row>
    <row r="131" ht="30.0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</row>
    <row r="132" ht="30.0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</row>
    <row r="133" ht="30.0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</row>
    <row r="134" ht="30.0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</row>
    <row r="135" ht="30.0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</row>
    <row r="136" ht="30.0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</row>
    <row r="137" ht="30.0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</row>
    <row r="138" ht="30.0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</row>
    <row r="139" ht="30.0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</row>
    <row r="140" ht="30.0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</row>
    <row r="141" ht="30.0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</row>
    <row r="142" ht="30.0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</row>
    <row r="143" ht="30.0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</row>
    <row r="144" ht="30.0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</row>
    <row r="145" ht="30.0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</row>
    <row r="146" ht="30.0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</row>
    <row r="147" ht="30.0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</row>
    <row r="148" ht="30.0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</row>
    <row r="149" ht="30.0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</row>
    <row r="150" ht="30.0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</row>
    <row r="151" ht="30.0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</row>
    <row r="152" ht="30.0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</row>
    <row r="153" ht="30.0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</row>
    <row r="154" ht="30.0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</row>
    <row r="155" ht="30.0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</row>
    <row r="156" ht="30.0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</row>
    <row r="157" ht="30.0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</row>
    <row r="158" ht="30.0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</row>
    <row r="159" ht="30.0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</row>
    <row r="160" ht="30.0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</row>
    <row r="161" ht="30.0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</row>
    <row r="162" ht="30.0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</row>
    <row r="163" ht="30.0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</row>
    <row r="164" ht="30.0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</row>
    <row r="165" ht="30.0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</row>
    <row r="166" ht="30.0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</row>
    <row r="167" ht="30.0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</row>
    <row r="168" ht="30.0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</row>
    <row r="169" ht="30.0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</row>
    <row r="170" ht="30.0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</row>
    <row r="171" ht="30.0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</row>
    <row r="172" ht="30.0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</row>
    <row r="173" ht="30.0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</row>
    <row r="174" ht="30.0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</row>
    <row r="175" ht="30.0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</row>
    <row r="176" ht="30.0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</row>
    <row r="177" ht="30.0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</row>
    <row r="178" ht="30.0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</row>
    <row r="179" ht="30.0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</row>
    <row r="180" ht="30.0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</row>
    <row r="181" ht="30.0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</row>
    <row r="182" ht="30.0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</row>
    <row r="183" ht="30.0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</row>
    <row r="184" ht="30.0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</row>
    <row r="185" ht="30.0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</row>
    <row r="186" ht="30.0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</row>
    <row r="187" ht="30.0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</row>
    <row r="188" ht="30.0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</row>
    <row r="189" ht="30.0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</row>
    <row r="190" ht="30.0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</row>
    <row r="191" ht="30.0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</row>
    <row r="192" ht="30.0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</row>
    <row r="193" ht="30.0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</row>
    <row r="194" ht="30.0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</row>
    <row r="195" ht="30.0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</row>
    <row r="196" ht="30.0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</row>
    <row r="197" ht="30.0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</row>
    <row r="198" ht="30.0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</row>
    <row r="199" ht="30.0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</row>
    <row r="200" ht="30.0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</row>
    <row r="201" ht="30.0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</row>
    <row r="202" ht="30.0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</row>
    <row r="203" ht="30.0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</row>
    <row r="204" ht="30.0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</row>
    <row r="205" ht="30.0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</row>
    <row r="206" ht="30.0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</row>
    <row r="207" ht="30.0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</row>
    <row r="208" ht="30.0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</row>
    <row r="209" ht="30.0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</row>
    <row r="210" ht="30.0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</row>
    <row r="211" ht="30.0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</row>
    <row r="212" ht="30.0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</row>
    <row r="213" ht="30.0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</row>
    <row r="214" ht="30.0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</row>
    <row r="215" ht="30.0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</row>
    <row r="216" ht="30.0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</row>
    <row r="217" ht="30.0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</row>
    <row r="218" ht="30.0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</row>
    <row r="219" ht="30.0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</row>
    <row r="220" ht="30.0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</row>
    <row r="221" ht="30.0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</row>
    <row r="222" ht="30.0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</row>
    <row r="223" ht="30.0" customHeigh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</row>
    <row r="224" ht="30.0" customHeigh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</row>
    <row r="225" ht="30.0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</row>
    <row r="226" ht="30.0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</row>
    <row r="227" ht="30.0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</row>
    <row r="228" ht="30.0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</row>
    <row r="229" ht="30.0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</row>
    <row r="230" ht="30.0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</row>
    <row r="231" ht="30.0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</row>
    <row r="232" ht="30.0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</row>
    <row r="233" ht="30.0" customHeigh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</row>
    <row r="234" ht="30.0" customHeigh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</row>
    <row r="235" ht="30.0" customHeigh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</row>
    <row r="236" ht="30.0" customHeigh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</row>
    <row r="237" ht="30.0" customHeigh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</row>
    <row r="238" ht="30.0" customHeigh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</row>
    <row r="239" ht="30.0" customHeigh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</row>
    <row r="240" ht="30.0" customHeigh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</row>
    <row r="241" ht="30.0" customHeigh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</row>
    <row r="242" ht="30.0" customHeigh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</row>
    <row r="243" ht="30.0" customHeigh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</row>
    <row r="244" ht="30.0" customHeigh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</row>
    <row r="245" ht="30.0" customHeigh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</row>
    <row r="246" ht="30.0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</row>
    <row r="247" ht="30.0" customHeigh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</row>
    <row r="248" ht="30.0" customHeigh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</row>
    <row r="249" ht="30.0" customHeigh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</row>
    <row r="250" ht="30.0" customHeigh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</row>
    <row r="251" ht="30.0" customHeigh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</row>
    <row r="252" ht="30.0" customHeigh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</row>
    <row r="253" ht="30.0" customHeigh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</row>
    <row r="254" ht="30.0" customHeigh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</row>
    <row r="255" ht="30.0" customHeigh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</row>
    <row r="256" ht="30.0" customHeigh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</row>
    <row r="257" ht="30.0" customHeigh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</row>
    <row r="258" ht="30.0" customHeigh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</row>
    <row r="259" ht="30.0" customHeigh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</row>
    <row r="260" ht="30.0" customHeigh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</row>
    <row r="261" ht="30.0" customHeigh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</row>
    <row r="262" ht="30.0" customHeigh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</row>
    <row r="263" ht="30.0" customHeigh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</row>
    <row r="264" ht="30.0" customHeigh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</row>
    <row r="265" ht="30.0" customHeigh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</row>
    <row r="266" ht="30.0" customHeigh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</row>
    <row r="267" ht="30.0" customHeigh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</row>
    <row r="268" ht="30.0" customHeigh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</row>
    <row r="269" ht="30.0" customHeigh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</row>
    <row r="270" ht="30.0" customHeigh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</row>
    <row r="271" ht="30.0" customHeight="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</row>
    <row r="272" ht="30.0" customHeight="1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</row>
    <row r="273" ht="30.0" customHeight="1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</row>
    <row r="274" ht="30.0" customHeight="1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</row>
    <row r="275" ht="30.0" customHeight="1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</row>
    <row r="276" ht="30.0" customHeight="1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</row>
    <row r="277" ht="30.0" customHeight="1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</row>
    <row r="278" ht="30.0" customHeight="1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</row>
    <row r="279" ht="30.0" customHeight="1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</row>
    <row r="280" ht="30.0" customHeight="1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</row>
    <row r="281" ht="30.0" customHeight="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</row>
    <row r="282" ht="30.0" customHeight="1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</row>
    <row r="283" ht="30.0" customHeight="1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</row>
    <row r="284" ht="30.0" customHeight="1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</row>
    <row r="285" ht="30.0" customHeight="1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</row>
    <row r="286" ht="30.0" customHeight="1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</row>
    <row r="287" ht="30.0" customHeight="1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</row>
    <row r="288" ht="30.0" customHeight="1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</row>
    <row r="289" ht="30.0" customHeight="1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</row>
    <row r="290" ht="30.0" customHeight="1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</row>
    <row r="291" ht="30.0" customHeight="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</row>
    <row r="292" ht="30.0" customHeight="1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</row>
    <row r="293" ht="30.0" customHeight="1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</row>
    <row r="294" ht="30.0" customHeight="1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</row>
    <row r="295" ht="30.0" customHeight="1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</row>
    <row r="296" ht="30.0" customHeight="1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</row>
    <row r="297" ht="30.0" customHeight="1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</row>
    <row r="298" ht="30.0" customHeight="1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</row>
    <row r="299" ht="30.0" customHeight="1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</row>
    <row r="300" ht="30.0" customHeight="1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</row>
    <row r="301" ht="30.0" customHeight="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</row>
    <row r="302" ht="30.0" customHeight="1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</row>
    <row r="303" ht="30.0" customHeight="1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</row>
    <row r="304" ht="30.0" customHeight="1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</row>
    <row r="305" ht="30.0" customHeight="1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</row>
    <row r="306" ht="30.0" customHeight="1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</row>
    <row r="307" ht="30.0" customHeight="1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</row>
    <row r="308" ht="30.0" customHeight="1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</row>
    <row r="309" ht="30.0" customHeight="1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</row>
    <row r="310" ht="30.0" customHeight="1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</row>
    <row r="311" ht="30.0" customHeight="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</row>
    <row r="312" ht="30.0" customHeight="1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</row>
    <row r="313" ht="30.0" customHeight="1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</row>
    <row r="314" ht="30.0" customHeight="1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</row>
    <row r="315" ht="30.0" customHeight="1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</row>
    <row r="316" ht="30.0" customHeigh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</row>
    <row r="317" ht="30.0" customHeight="1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</row>
    <row r="318" ht="30.0" customHeight="1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</row>
    <row r="319" ht="30.0" customHeight="1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</row>
    <row r="320" ht="30.0" customHeight="1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</row>
    <row r="321" ht="30.0" customHeight="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</row>
    <row r="322" ht="30.0" customHeight="1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</row>
    <row r="323" ht="30.0" customHeight="1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</row>
    <row r="324" ht="30.0" customHeight="1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</row>
    <row r="325" ht="30.0" customHeight="1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</row>
    <row r="326" ht="30.0" customHeight="1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</row>
    <row r="327" ht="30.0" customHeight="1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</row>
    <row r="328" ht="30.0" customHeight="1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</row>
    <row r="329" ht="30.0" customHeight="1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</row>
    <row r="330" ht="30.0" customHeight="1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</row>
    <row r="331" ht="30.0" customHeight="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</row>
    <row r="332" ht="30.0" customHeight="1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</row>
    <row r="333" ht="30.0" customHeight="1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</row>
    <row r="334" ht="30.0" customHeight="1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</row>
    <row r="335" ht="30.0" customHeight="1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</row>
    <row r="336" ht="30.0" customHeight="1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</row>
    <row r="337" ht="30.0" customHeight="1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</row>
    <row r="338" ht="30.0" customHeight="1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</row>
    <row r="339" ht="30.0" customHeight="1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</row>
    <row r="340" ht="30.0" customHeight="1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</row>
    <row r="341" ht="30.0" customHeight="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</row>
    <row r="342" ht="30.0" customHeight="1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</row>
    <row r="343" ht="30.0" customHeight="1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</row>
    <row r="344" ht="30.0" customHeight="1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</row>
    <row r="345" ht="30.0" customHeight="1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</row>
    <row r="346" ht="30.0" customHeight="1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</row>
    <row r="347" ht="30.0" customHeight="1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</row>
    <row r="348" ht="30.0" customHeight="1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</row>
    <row r="349" ht="30.0" customHeight="1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</row>
    <row r="350" ht="30.0" customHeigh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</row>
    <row r="351" ht="30.0" customHeigh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</row>
    <row r="352" ht="30.0" customHeigh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</row>
    <row r="353" ht="30.0" customHeigh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</row>
    <row r="354" ht="30.0" customHeigh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</row>
    <row r="355" ht="30.0" customHeigh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</row>
    <row r="356" ht="30.0" customHeigh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</row>
    <row r="357" ht="30.0" customHeigh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</row>
    <row r="358" ht="30.0" customHeigh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</row>
    <row r="359" ht="30.0" customHeigh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</row>
    <row r="360" ht="30.0" customHeigh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</row>
    <row r="361" ht="30.0" customHeigh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</row>
    <row r="362" ht="30.0" customHeigh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</row>
    <row r="363" ht="30.0" customHeigh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</row>
    <row r="364" ht="30.0" customHeigh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</row>
    <row r="365" ht="30.0" customHeigh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</row>
    <row r="366" ht="30.0" customHeigh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</row>
    <row r="367" ht="30.0" customHeigh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</row>
    <row r="368" ht="30.0" customHeigh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</row>
    <row r="369" ht="30.0" customHeigh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</row>
    <row r="370" ht="30.0" customHeigh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</row>
    <row r="371" ht="30.0" customHeigh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</row>
    <row r="372" ht="30.0" customHeigh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</row>
    <row r="373" ht="30.0" customHeigh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</row>
    <row r="374" ht="30.0" customHeigh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</row>
    <row r="375" ht="30.0" customHeigh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</row>
    <row r="376" ht="30.0" customHeigh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</row>
    <row r="377" ht="30.0" customHeigh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</row>
    <row r="378" ht="30.0" customHeigh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</row>
    <row r="379" ht="30.0" customHeigh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</row>
    <row r="380" ht="30.0" customHeigh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</row>
    <row r="381" ht="30.0" customHeigh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</row>
    <row r="382" ht="30.0" customHeigh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</row>
    <row r="383" ht="30.0" customHeigh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</row>
    <row r="384" ht="30.0" customHeigh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</row>
    <row r="385" ht="30.0" customHeigh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</row>
    <row r="386" ht="30.0" customHeigh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</row>
    <row r="387" ht="30.0" customHeigh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</row>
    <row r="388" ht="30.0" customHeigh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</row>
    <row r="389" ht="30.0" customHeigh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</row>
    <row r="390" ht="30.0" customHeigh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</row>
    <row r="391" ht="30.0" customHeigh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</row>
    <row r="392" ht="30.0" customHeigh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</row>
    <row r="393" ht="30.0" customHeigh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</row>
    <row r="394" ht="30.0" customHeigh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</row>
    <row r="395" ht="30.0" customHeigh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</row>
    <row r="396" ht="30.0" customHeigh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</row>
    <row r="397" ht="30.0" customHeigh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</row>
    <row r="398" ht="30.0" customHeigh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</row>
    <row r="399" ht="30.0" customHeigh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</row>
    <row r="400" ht="30.0" customHeigh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</row>
    <row r="401" ht="30.0" customHeigh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</row>
    <row r="402" ht="30.0" customHeigh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</row>
    <row r="403" ht="30.0" customHeigh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</row>
    <row r="404" ht="30.0" customHeigh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</row>
    <row r="405" ht="30.0" customHeigh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</row>
    <row r="406" ht="30.0" customHeigh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</row>
    <row r="407" ht="30.0" customHeigh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</row>
    <row r="408" ht="30.0" customHeigh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</row>
    <row r="409" ht="30.0" customHeigh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</row>
    <row r="410" ht="30.0" customHeigh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</row>
    <row r="411" ht="30.0" customHeigh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</row>
    <row r="412" ht="30.0" customHeigh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</row>
    <row r="413" ht="30.0" customHeigh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</row>
    <row r="414" ht="30.0" customHeigh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</row>
    <row r="415" ht="30.0" customHeigh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</row>
    <row r="416" ht="30.0" customHeigh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</row>
    <row r="417" ht="30.0" customHeigh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</row>
    <row r="418" ht="30.0" customHeigh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</row>
    <row r="419" ht="30.0" customHeigh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</row>
    <row r="420" ht="30.0" customHeigh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</row>
    <row r="421" ht="30.0" customHeigh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</row>
    <row r="422" ht="30.0" customHeigh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</row>
    <row r="423" ht="30.0" customHeigh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</row>
    <row r="424" ht="30.0" customHeigh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</row>
    <row r="425" ht="30.0" customHeigh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</row>
    <row r="426" ht="30.0" customHeigh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</row>
    <row r="427" ht="30.0" customHeigh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</row>
    <row r="428" ht="30.0" customHeigh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</row>
    <row r="429" ht="30.0" customHeigh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</row>
    <row r="430" ht="30.0" customHeigh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</row>
    <row r="431" ht="30.0" customHeigh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</row>
    <row r="432" ht="30.0" customHeigh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</row>
    <row r="433" ht="30.0" customHeigh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</row>
    <row r="434" ht="30.0" customHeigh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</row>
    <row r="435" ht="30.0" customHeigh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</row>
    <row r="436" ht="30.0" customHeigh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</row>
    <row r="437" ht="30.0" customHeigh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</row>
    <row r="438" ht="30.0" customHeigh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</row>
    <row r="439" ht="30.0" customHeigh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</row>
    <row r="440" ht="30.0" customHeigh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</row>
    <row r="441" ht="30.0" customHeigh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</row>
    <row r="442" ht="30.0" customHeigh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</row>
    <row r="443" ht="30.0" customHeigh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</row>
    <row r="444" ht="30.0" customHeigh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</row>
    <row r="445" ht="30.0" customHeigh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</row>
    <row r="446" ht="30.0" customHeigh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</row>
    <row r="447" ht="30.0" customHeigh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</row>
    <row r="448" ht="30.0" customHeigh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</row>
    <row r="449" ht="30.0" customHeigh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</row>
    <row r="450" ht="30.0" customHeigh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</row>
    <row r="451" ht="30.0" customHeigh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</row>
    <row r="452" ht="30.0" customHeigh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</row>
    <row r="453" ht="30.0" customHeigh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</row>
    <row r="454" ht="30.0" customHeigh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</row>
    <row r="455" ht="30.0" customHeigh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</row>
    <row r="456" ht="30.0" customHeigh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</row>
    <row r="457" ht="30.0" customHeigh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</row>
    <row r="458" ht="30.0" customHeigh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</row>
    <row r="459" ht="30.0" customHeigh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</row>
    <row r="460" ht="30.0" customHeigh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</row>
    <row r="461" ht="30.0" customHeigh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</row>
    <row r="462" ht="30.0" customHeigh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</row>
    <row r="463" ht="30.0" customHeigh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</row>
    <row r="464" ht="30.0" customHeigh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</row>
    <row r="465" ht="30.0" customHeigh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</row>
    <row r="466" ht="30.0" customHeigh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</row>
    <row r="467" ht="30.0" customHeigh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</row>
    <row r="468" ht="30.0" customHeigh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</row>
    <row r="469" ht="30.0" customHeigh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</row>
    <row r="470" ht="30.0" customHeigh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</row>
    <row r="471" ht="30.0" customHeigh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</row>
    <row r="472" ht="30.0" customHeigh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</row>
    <row r="473" ht="30.0" customHeigh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</row>
    <row r="474" ht="30.0" customHeigh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</row>
    <row r="475" ht="30.0" customHeigh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</row>
    <row r="476" ht="30.0" customHeigh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</row>
    <row r="477" ht="30.0" customHeigh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</row>
    <row r="478" ht="30.0" customHeigh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</row>
    <row r="479" ht="30.0" customHeigh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</row>
    <row r="480" ht="30.0" customHeigh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</row>
    <row r="481" ht="30.0" customHeigh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</row>
    <row r="482" ht="30.0" customHeigh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</row>
    <row r="483" ht="30.0" customHeigh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</row>
    <row r="484" ht="30.0" customHeigh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</row>
    <row r="485" ht="30.0" customHeigh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</row>
    <row r="486" ht="30.0" customHeigh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</row>
    <row r="487" ht="30.0" customHeigh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</row>
    <row r="488" ht="30.0" customHeigh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</row>
    <row r="489" ht="30.0" customHeigh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</row>
    <row r="490" ht="30.0" customHeigh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</row>
    <row r="491" ht="30.0" customHeigh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</row>
    <row r="492" ht="30.0" customHeigh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</row>
    <row r="493" ht="30.0" customHeigh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</row>
    <row r="494" ht="30.0" customHeigh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</row>
    <row r="495" ht="30.0" customHeigh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</row>
    <row r="496" ht="30.0" customHeigh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</row>
    <row r="497" ht="30.0" customHeigh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</row>
    <row r="498" ht="30.0" customHeigh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</row>
    <row r="499" ht="30.0" customHeigh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</row>
    <row r="500" ht="30.0" customHeigh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</row>
    <row r="501" ht="30.0" customHeigh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</row>
    <row r="502" ht="30.0" customHeigh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</row>
    <row r="503" ht="30.0" customHeigh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</row>
    <row r="504" ht="30.0" customHeigh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</row>
    <row r="505" ht="30.0" customHeigh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</row>
    <row r="506" ht="30.0" customHeigh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</row>
    <row r="507" ht="30.0" customHeigh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</row>
    <row r="508" ht="30.0" customHeigh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</row>
    <row r="509" ht="30.0" customHeigh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</row>
    <row r="510" ht="30.0" customHeigh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</row>
    <row r="511" ht="30.0" customHeigh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</row>
    <row r="512" ht="30.0" customHeigh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</row>
    <row r="513" ht="30.0" customHeigh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</row>
    <row r="514" ht="30.0" customHeigh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</row>
    <row r="515" ht="30.0" customHeigh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</row>
    <row r="516" ht="30.0" customHeigh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</row>
    <row r="517" ht="30.0" customHeigh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</row>
    <row r="518" ht="30.0" customHeigh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</row>
    <row r="519" ht="30.0" customHeigh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</row>
    <row r="520" ht="30.0" customHeigh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</row>
    <row r="521" ht="30.0" customHeigh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</row>
    <row r="522" ht="30.0" customHeigh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</row>
    <row r="523" ht="30.0" customHeigh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</row>
    <row r="524" ht="30.0" customHeigh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</row>
    <row r="525" ht="30.0" customHeigh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</row>
    <row r="526" ht="30.0" customHeigh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</row>
    <row r="527" ht="30.0" customHeigh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</row>
    <row r="528" ht="30.0" customHeigh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</row>
    <row r="529" ht="30.0" customHeigh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</row>
    <row r="530" ht="30.0" customHeigh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</row>
    <row r="531" ht="30.0" customHeigh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</row>
    <row r="532" ht="30.0" customHeigh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</row>
    <row r="533" ht="30.0" customHeigh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</row>
    <row r="534" ht="30.0" customHeigh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</row>
    <row r="535" ht="30.0" customHeigh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</row>
    <row r="536" ht="30.0" customHeigh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</row>
    <row r="537" ht="30.0" customHeigh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</row>
    <row r="538" ht="30.0" customHeigh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</row>
    <row r="539" ht="30.0" customHeigh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</row>
    <row r="540" ht="30.0" customHeigh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</row>
    <row r="541" ht="30.0" customHeigh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</row>
    <row r="542" ht="30.0" customHeigh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</row>
    <row r="543" ht="30.0" customHeigh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</row>
    <row r="544" ht="30.0" customHeigh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</row>
    <row r="545" ht="30.0" customHeigh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</row>
    <row r="546" ht="30.0" customHeigh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</row>
    <row r="547" ht="30.0" customHeigh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</row>
    <row r="548" ht="30.0" customHeigh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</row>
    <row r="549" ht="30.0" customHeigh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</row>
    <row r="550" ht="30.0" customHeigh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</row>
    <row r="551" ht="30.0" customHeigh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</row>
    <row r="552" ht="30.0" customHeigh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</row>
    <row r="553" ht="30.0" customHeigh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</row>
    <row r="554" ht="30.0" customHeigh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</row>
    <row r="555" ht="30.0" customHeigh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</row>
    <row r="556" ht="30.0" customHeigh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</row>
    <row r="557" ht="30.0" customHeigh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</row>
    <row r="558" ht="30.0" customHeigh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</row>
    <row r="559" ht="30.0" customHeigh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</row>
    <row r="560" ht="30.0" customHeigh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</row>
    <row r="561" ht="30.0" customHeigh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</row>
    <row r="562" ht="30.0" customHeigh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</row>
    <row r="563" ht="30.0" customHeigh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</row>
    <row r="564" ht="30.0" customHeigh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</row>
    <row r="565" ht="30.0" customHeigh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</row>
    <row r="566" ht="30.0" customHeigh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</row>
    <row r="567" ht="30.0" customHeigh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</row>
    <row r="568" ht="30.0" customHeigh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</row>
    <row r="569" ht="30.0" customHeigh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</row>
    <row r="570" ht="30.0" customHeigh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</row>
    <row r="571" ht="30.0" customHeigh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</row>
    <row r="572" ht="30.0" customHeigh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</row>
    <row r="573" ht="30.0" customHeigh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</row>
    <row r="574" ht="30.0" customHeigh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</row>
    <row r="575" ht="30.0" customHeigh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</row>
    <row r="576" ht="30.0" customHeigh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</row>
    <row r="577" ht="30.0" customHeigh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</row>
    <row r="578" ht="30.0" customHeigh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</row>
    <row r="579" ht="30.0" customHeigh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</row>
    <row r="580" ht="30.0" customHeigh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</row>
    <row r="581" ht="30.0" customHeigh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</row>
    <row r="582" ht="30.0" customHeigh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</row>
    <row r="583" ht="30.0" customHeigh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</row>
    <row r="584" ht="30.0" customHeigh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</row>
    <row r="585" ht="30.0" customHeigh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</row>
    <row r="586" ht="30.0" customHeigh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</row>
    <row r="587" ht="30.0" customHeigh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</row>
    <row r="588" ht="30.0" customHeigh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</row>
    <row r="589" ht="30.0" customHeigh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</row>
    <row r="590" ht="30.0" customHeigh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</row>
    <row r="591" ht="30.0" customHeigh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</row>
    <row r="592" ht="30.0" customHeigh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</row>
    <row r="593" ht="30.0" customHeigh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</row>
    <row r="594" ht="30.0" customHeigh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</row>
    <row r="595" ht="30.0" customHeigh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</row>
    <row r="596" ht="30.0" customHeigh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</row>
    <row r="597" ht="30.0" customHeigh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</row>
    <row r="598" ht="30.0" customHeigh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</row>
    <row r="599" ht="30.0" customHeigh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</row>
    <row r="600" ht="30.0" customHeigh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</row>
    <row r="601" ht="30.0" customHeigh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</row>
    <row r="602" ht="30.0" customHeigh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</row>
    <row r="603" ht="30.0" customHeigh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</row>
    <row r="604" ht="30.0" customHeigh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</row>
    <row r="605" ht="30.0" customHeigh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</row>
    <row r="606" ht="30.0" customHeigh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</row>
    <row r="607" ht="30.0" customHeigh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</row>
    <row r="608" ht="30.0" customHeigh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</row>
    <row r="609" ht="30.0" customHeigh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</row>
    <row r="610" ht="30.0" customHeigh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</row>
    <row r="611" ht="30.0" customHeigh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</row>
    <row r="612" ht="30.0" customHeigh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</row>
    <row r="613" ht="30.0" customHeigh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</row>
    <row r="614" ht="30.0" customHeigh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</row>
    <row r="615" ht="30.0" customHeigh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</row>
    <row r="616" ht="30.0" customHeigh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</row>
    <row r="617" ht="30.0" customHeigh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</row>
    <row r="618" ht="30.0" customHeigh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</row>
    <row r="619" ht="30.0" customHeigh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</row>
    <row r="620" ht="30.0" customHeigh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</row>
    <row r="621" ht="30.0" customHeigh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</row>
    <row r="622" ht="30.0" customHeigh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</row>
    <row r="623" ht="30.0" customHeigh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</row>
    <row r="624" ht="30.0" customHeigh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</row>
    <row r="625" ht="30.0" customHeigh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</row>
    <row r="626" ht="30.0" customHeigh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</row>
    <row r="627" ht="30.0" customHeigh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</row>
    <row r="628" ht="30.0" customHeigh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</row>
    <row r="629" ht="30.0" customHeigh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</row>
    <row r="630" ht="30.0" customHeigh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</row>
    <row r="631" ht="30.0" customHeigh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</row>
    <row r="632" ht="30.0" customHeigh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</row>
    <row r="633" ht="30.0" customHeigh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</row>
    <row r="634" ht="30.0" customHeigh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</row>
    <row r="635" ht="30.0" customHeigh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</row>
    <row r="636" ht="30.0" customHeigh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</row>
    <row r="637" ht="30.0" customHeigh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</row>
    <row r="638" ht="30.0" customHeigh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</row>
    <row r="639" ht="30.0" customHeigh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</row>
    <row r="640" ht="30.0" customHeigh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</row>
    <row r="641" ht="30.0" customHeigh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</row>
    <row r="642" ht="30.0" customHeigh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</row>
    <row r="643" ht="30.0" customHeigh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</row>
    <row r="644" ht="30.0" customHeigh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</row>
    <row r="645" ht="30.0" customHeigh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</row>
    <row r="646" ht="30.0" customHeigh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</row>
    <row r="647" ht="30.0" customHeigh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</row>
    <row r="648" ht="30.0" customHeigh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</row>
    <row r="649" ht="30.0" customHeigh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</row>
    <row r="650" ht="30.0" customHeigh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</row>
    <row r="651" ht="30.0" customHeigh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</row>
    <row r="652" ht="30.0" customHeigh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</row>
    <row r="653" ht="30.0" customHeigh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</row>
    <row r="654" ht="30.0" customHeigh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</row>
    <row r="655" ht="30.0" customHeigh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</row>
    <row r="656" ht="30.0" customHeigh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</row>
    <row r="657" ht="30.0" customHeigh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</row>
    <row r="658" ht="30.0" customHeigh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</row>
    <row r="659" ht="30.0" customHeigh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</row>
    <row r="660" ht="30.0" customHeigh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</row>
    <row r="661" ht="30.0" customHeigh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</row>
    <row r="662" ht="30.0" customHeigh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</row>
    <row r="663" ht="30.0" customHeigh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</row>
    <row r="664" ht="30.0" customHeigh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</row>
    <row r="665" ht="30.0" customHeigh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</row>
    <row r="666" ht="30.0" customHeigh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</row>
    <row r="667" ht="30.0" customHeigh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</row>
    <row r="668" ht="30.0" customHeigh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</row>
    <row r="669" ht="30.0" customHeigh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</row>
    <row r="670" ht="30.0" customHeigh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</row>
    <row r="671" ht="30.0" customHeigh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</row>
    <row r="672" ht="30.0" customHeigh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</row>
    <row r="673" ht="30.0" customHeigh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</row>
    <row r="674" ht="30.0" customHeigh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</row>
    <row r="675" ht="30.0" customHeigh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</row>
    <row r="676" ht="30.0" customHeigh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</row>
    <row r="677" ht="30.0" customHeigh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</row>
    <row r="678" ht="30.0" customHeigh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</row>
    <row r="679" ht="30.0" customHeigh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</row>
    <row r="680" ht="30.0" customHeigh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</row>
    <row r="681" ht="30.0" customHeigh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</row>
    <row r="682" ht="30.0" customHeigh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</row>
    <row r="683" ht="30.0" customHeigh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</row>
    <row r="684" ht="30.0" customHeigh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</row>
    <row r="685" ht="30.0" customHeigh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</row>
    <row r="686" ht="30.0" customHeigh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</row>
    <row r="687" ht="30.0" customHeigh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</row>
    <row r="688" ht="30.0" customHeigh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</row>
    <row r="689" ht="30.0" customHeigh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</row>
    <row r="690" ht="30.0" customHeigh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</row>
    <row r="691" ht="30.0" customHeigh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</row>
    <row r="692" ht="30.0" customHeigh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</row>
    <row r="693" ht="30.0" customHeigh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</row>
    <row r="694" ht="30.0" customHeigh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</row>
    <row r="695" ht="30.0" customHeigh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</row>
    <row r="696" ht="30.0" customHeigh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</row>
    <row r="697" ht="30.0" customHeigh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</row>
    <row r="698" ht="30.0" customHeigh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</row>
    <row r="699" ht="30.0" customHeigh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</row>
    <row r="700" ht="30.0" customHeigh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</row>
    <row r="701" ht="30.0" customHeigh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</row>
    <row r="702" ht="30.0" customHeigh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</row>
    <row r="703" ht="30.0" customHeigh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</row>
    <row r="704" ht="30.0" customHeigh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</row>
    <row r="705" ht="30.0" customHeigh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</row>
    <row r="706" ht="30.0" customHeigh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</row>
    <row r="707" ht="30.0" customHeigh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</row>
    <row r="708" ht="30.0" customHeigh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</row>
    <row r="709" ht="30.0" customHeigh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</row>
    <row r="710" ht="30.0" customHeigh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</row>
    <row r="711" ht="30.0" customHeigh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</row>
    <row r="712" ht="30.0" customHeigh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</row>
    <row r="713" ht="30.0" customHeigh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</row>
    <row r="714" ht="30.0" customHeigh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</row>
    <row r="715" ht="30.0" customHeigh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</row>
    <row r="716" ht="30.0" customHeigh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</row>
    <row r="717" ht="30.0" customHeigh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</row>
    <row r="718" ht="30.0" customHeigh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</row>
    <row r="719" ht="30.0" customHeigh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</row>
    <row r="720" ht="30.0" customHeigh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</row>
    <row r="721" ht="30.0" customHeigh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</row>
    <row r="722" ht="30.0" customHeigh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</row>
    <row r="723" ht="30.0" customHeigh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</row>
    <row r="724" ht="30.0" customHeigh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</row>
    <row r="725" ht="30.0" customHeigh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</row>
    <row r="726" ht="30.0" customHeigh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</row>
    <row r="727" ht="30.0" customHeigh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</row>
    <row r="728" ht="30.0" customHeigh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</row>
    <row r="729" ht="30.0" customHeigh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</row>
    <row r="730" ht="30.0" customHeigh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</row>
    <row r="731" ht="30.0" customHeigh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</row>
    <row r="732" ht="30.0" customHeigh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</row>
    <row r="733" ht="30.0" customHeigh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</row>
    <row r="734" ht="30.0" customHeigh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</row>
    <row r="735" ht="30.0" customHeigh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</row>
    <row r="736" ht="30.0" customHeigh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</row>
    <row r="737" ht="30.0" customHeigh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</row>
    <row r="738" ht="30.0" customHeigh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</row>
    <row r="739" ht="30.0" customHeigh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</row>
    <row r="740" ht="30.0" customHeigh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</row>
    <row r="741" ht="30.0" customHeigh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</row>
    <row r="742" ht="30.0" customHeigh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</row>
    <row r="743" ht="30.0" customHeigh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</row>
    <row r="744" ht="30.0" customHeigh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</row>
    <row r="745" ht="30.0" customHeigh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</row>
    <row r="746" ht="30.0" customHeigh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</row>
    <row r="747" ht="30.0" customHeigh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</row>
    <row r="748" ht="30.0" customHeigh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</row>
    <row r="749" ht="30.0" customHeigh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</row>
    <row r="750" ht="30.0" customHeigh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</row>
    <row r="751" ht="30.0" customHeigh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</row>
    <row r="752" ht="30.0" customHeigh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</row>
    <row r="753" ht="30.0" customHeigh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</row>
    <row r="754" ht="30.0" customHeigh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</row>
    <row r="755" ht="30.0" customHeigh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</row>
    <row r="756" ht="30.0" customHeigh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</row>
    <row r="757" ht="30.0" customHeigh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</row>
    <row r="758" ht="30.0" customHeigh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</row>
    <row r="759" ht="30.0" customHeigh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</row>
    <row r="760" ht="30.0" customHeigh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</row>
    <row r="761" ht="30.0" customHeigh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</row>
    <row r="762" ht="30.0" customHeigh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</row>
    <row r="763" ht="30.0" customHeigh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</row>
    <row r="764" ht="30.0" customHeigh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</row>
    <row r="765" ht="30.0" customHeigh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</row>
    <row r="766" ht="30.0" customHeigh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</row>
    <row r="767" ht="30.0" customHeigh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</row>
    <row r="768" ht="30.0" customHeigh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</row>
    <row r="769" ht="30.0" customHeigh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</row>
    <row r="770" ht="30.0" customHeigh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</row>
    <row r="771" ht="30.0" customHeigh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</row>
    <row r="772" ht="30.0" customHeigh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</row>
    <row r="773" ht="30.0" customHeigh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</row>
    <row r="774" ht="30.0" customHeigh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</row>
    <row r="775" ht="30.0" customHeigh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</row>
    <row r="776" ht="30.0" customHeigh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</row>
    <row r="777" ht="30.0" customHeigh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</row>
    <row r="778" ht="30.0" customHeigh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</row>
    <row r="779" ht="30.0" customHeigh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</row>
    <row r="780" ht="30.0" customHeigh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</row>
    <row r="781" ht="30.0" customHeigh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</row>
    <row r="782" ht="30.0" customHeigh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</row>
    <row r="783" ht="30.0" customHeigh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</row>
    <row r="784" ht="30.0" customHeigh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</row>
    <row r="785" ht="30.0" customHeigh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</row>
    <row r="786" ht="30.0" customHeigh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</row>
    <row r="787" ht="30.0" customHeigh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</row>
    <row r="788" ht="30.0" customHeigh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</row>
    <row r="789" ht="30.0" customHeigh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</row>
    <row r="790" ht="30.0" customHeigh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</row>
    <row r="791" ht="30.0" customHeigh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</row>
    <row r="792" ht="30.0" customHeigh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</row>
    <row r="793" ht="30.0" customHeigh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</row>
    <row r="794" ht="30.0" customHeigh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</row>
    <row r="795" ht="30.0" customHeigh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</row>
    <row r="796" ht="30.0" customHeigh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</row>
    <row r="797" ht="30.0" customHeigh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</row>
    <row r="798" ht="30.0" customHeigh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</row>
    <row r="799" ht="30.0" customHeigh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</row>
    <row r="800" ht="30.0" customHeigh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</row>
    <row r="801" ht="30.0" customHeigh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</row>
    <row r="802" ht="30.0" customHeigh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</row>
    <row r="803" ht="30.0" customHeigh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</row>
    <row r="804" ht="30.0" customHeigh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</row>
    <row r="805" ht="30.0" customHeigh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</row>
    <row r="806" ht="30.0" customHeigh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</row>
    <row r="807" ht="30.0" customHeigh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</row>
    <row r="808" ht="30.0" customHeigh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</row>
    <row r="809" ht="30.0" customHeigh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</row>
    <row r="810" ht="30.0" customHeigh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</row>
    <row r="811" ht="30.0" customHeigh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</row>
    <row r="812" ht="30.0" customHeigh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</row>
    <row r="813" ht="30.0" customHeigh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</row>
    <row r="814" ht="30.0" customHeigh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</row>
    <row r="815" ht="30.0" customHeigh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</row>
    <row r="816" ht="30.0" customHeigh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</row>
    <row r="817" ht="30.0" customHeigh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</row>
    <row r="818" ht="30.0" customHeigh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</row>
    <row r="819" ht="30.0" customHeigh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</row>
    <row r="820" ht="30.0" customHeigh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</row>
    <row r="821" ht="30.0" customHeigh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</row>
    <row r="822" ht="30.0" customHeigh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</row>
    <row r="823" ht="30.0" customHeigh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</row>
    <row r="824" ht="30.0" customHeigh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</row>
    <row r="825" ht="30.0" customHeigh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</row>
    <row r="826" ht="30.0" customHeigh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</row>
    <row r="827" ht="30.0" customHeigh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</row>
    <row r="828" ht="30.0" customHeigh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</row>
    <row r="829" ht="30.0" customHeigh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</row>
    <row r="830" ht="30.0" customHeigh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</row>
    <row r="831" ht="30.0" customHeigh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</row>
    <row r="832" ht="30.0" customHeigh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</row>
    <row r="833" ht="30.0" customHeigh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</row>
    <row r="834" ht="30.0" customHeigh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</row>
    <row r="835" ht="30.0" customHeigh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</row>
    <row r="836" ht="30.0" customHeigh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</row>
    <row r="837" ht="30.0" customHeigh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</row>
    <row r="838" ht="30.0" customHeigh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</row>
    <row r="839" ht="30.0" customHeigh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</row>
    <row r="840" ht="30.0" customHeigh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</row>
    <row r="841" ht="30.0" customHeigh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</row>
    <row r="842" ht="30.0" customHeigh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</row>
    <row r="843" ht="30.0" customHeigh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</row>
    <row r="844" ht="30.0" customHeigh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</row>
    <row r="845" ht="30.0" customHeigh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</row>
    <row r="846" ht="30.0" customHeigh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</row>
    <row r="847" ht="30.0" customHeigh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</row>
    <row r="848" ht="30.0" customHeigh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</row>
    <row r="849" ht="30.0" customHeigh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</row>
    <row r="850" ht="30.0" customHeigh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</row>
    <row r="851" ht="30.0" customHeigh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</row>
    <row r="852" ht="30.0" customHeigh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</row>
    <row r="853" ht="30.0" customHeigh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</row>
    <row r="854" ht="30.0" customHeigh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</row>
    <row r="855" ht="30.0" customHeigh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</row>
    <row r="856" ht="30.0" customHeigh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</row>
    <row r="857" ht="30.0" customHeigh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</row>
    <row r="858" ht="30.0" customHeigh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</row>
    <row r="859" ht="30.0" customHeigh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</row>
    <row r="860" ht="30.0" customHeigh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</row>
    <row r="861" ht="30.0" customHeigh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</row>
    <row r="862" ht="30.0" customHeigh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</row>
    <row r="863" ht="30.0" customHeigh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</row>
    <row r="864" ht="30.0" customHeigh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</row>
    <row r="865" ht="30.0" customHeigh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</row>
    <row r="866" ht="30.0" customHeigh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</row>
    <row r="867" ht="30.0" customHeigh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</row>
    <row r="868" ht="30.0" customHeigh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</row>
    <row r="869" ht="30.0" customHeigh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</row>
    <row r="870" ht="30.0" customHeigh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</row>
    <row r="871" ht="30.0" customHeigh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</row>
    <row r="872" ht="30.0" customHeigh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</row>
    <row r="873" ht="30.0" customHeigh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</row>
    <row r="874" ht="30.0" customHeigh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</row>
    <row r="875" ht="30.0" customHeigh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</row>
    <row r="876" ht="30.0" customHeigh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</row>
    <row r="877" ht="30.0" customHeigh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</row>
    <row r="878" ht="30.0" customHeigh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</row>
    <row r="879" ht="30.0" customHeigh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</row>
    <row r="880" ht="30.0" customHeigh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</row>
    <row r="881" ht="30.0" customHeigh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</row>
    <row r="882" ht="30.0" customHeigh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</row>
    <row r="883" ht="30.0" customHeigh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</row>
    <row r="884" ht="30.0" customHeigh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</row>
    <row r="885" ht="30.0" customHeigh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</row>
    <row r="886" ht="30.0" customHeigh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</row>
    <row r="887" ht="30.0" customHeigh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</row>
    <row r="888" ht="30.0" customHeigh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</row>
    <row r="889" ht="30.0" customHeigh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</row>
    <row r="890" ht="30.0" customHeigh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</row>
    <row r="891" ht="30.0" customHeigh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</row>
    <row r="892" ht="30.0" customHeigh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</row>
    <row r="893" ht="30.0" customHeigh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</row>
    <row r="894" ht="30.0" customHeigh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</row>
    <row r="895" ht="30.0" customHeigh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</row>
    <row r="896" ht="30.0" customHeigh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</row>
    <row r="897" ht="30.0" customHeigh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</row>
    <row r="898" ht="30.0" customHeigh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</row>
    <row r="899" ht="30.0" customHeigh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</row>
    <row r="900" ht="30.0" customHeigh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</row>
    <row r="901" ht="30.0" customHeigh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</row>
    <row r="902" ht="30.0" customHeigh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</row>
    <row r="903" ht="30.0" customHeigh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</row>
    <row r="904" ht="30.0" customHeigh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</row>
    <row r="905" ht="30.0" customHeigh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</row>
    <row r="906" ht="30.0" customHeigh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</row>
    <row r="907" ht="30.0" customHeigh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</row>
    <row r="908" ht="30.0" customHeigh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</row>
    <row r="909" ht="30.0" customHeigh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</row>
    <row r="910" ht="30.0" customHeigh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</row>
    <row r="911" ht="30.0" customHeigh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</row>
    <row r="912" ht="30.0" customHeigh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</row>
    <row r="913" ht="30.0" customHeigh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</row>
    <row r="914" ht="30.0" customHeigh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</row>
    <row r="915" ht="30.0" customHeigh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</row>
    <row r="916" ht="30.0" customHeigh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</row>
    <row r="917" ht="30.0" customHeigh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</row>
    <row r="918" ht="30.0" customHeigh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</row>
    <row r="919" ht="30.0" customHeigh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</row>
    <row r="920" ht="30.0" customHeigh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</row>
    <row r="921" ht="30.0" customHeigh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</row>
    <row r="922" ht="30.0" customHeigh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</row>
    <row r="923" ht="30.0" customHeigh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</row>
    <row r="924" ht="30.0" customHeigh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</row>
    <row r="925" ht="30.0" customHeigh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</row>
    <row r="926" ht="30.0" customHeigh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</row>
    <row r="927" ht="30.0" customHeigh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</row>
    <row r="928" ht="30.0" customHeigh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</row>
    <row r="929" ht="30.0" customHeigh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</row>
    <row r="930" ht="30.0" customHeigh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</row>
    <row r="931" ht="30.0" customHeigh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</row>
    <row r="932" ht="30.0" customHeigh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</row>
    <row r="933" ht="30.0" customHeigh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</row>
    <row r="934" ht="30.0" customHeigh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</row>
    <row r="935" ht="30.0" customHeigh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</row>
    <row r="936" ht="30.0" customHeigh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</row>
    <row r="937" ht="30.0" customHeigh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</row>
    <row r="938" ht="30.0" customHeigh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</row>
    <row r="939" ht="30.0" customHeigh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</row>
    <row r="940" ht="30.0" customHeigh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</row>
    <row r="941" ht="30.0" customHeigh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</row>
    <row r="942" ht="30.0" customHeigh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</row>
    <row r="943" ht="30.0" customHeigh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</row>
    <row r="944" ht="30.0" customHeigh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</row>
    <row r="945" ht="30.0" customHeigh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</row>
    <row r="946" ht="30.0" customHeigh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</row>
    <row r="947" ht="30.0" customHeigh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</row>
    <row r="948" ht="30.0" customHeigh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</row>
    <row r="949" ht="30.0" customHeigh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</row>
    <row r="950" ht="30.0" customHeigh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</row>
    <row r="951" ht="30.0" customHeigh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</row>
    <row r="952" ht="30.0" customHeigh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</row>
    <row r="953" ht="30.0" customHeigh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</row>
    <row r="954" ht="30.0" customHeigh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</row>
    <row r="955" ht="30.0" customHeigh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</row>
    <row r="956" ht="30.0" customHeigh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</row>
    <row r="957" ht="30.0" customHeigh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</row>
    <row r="958" ht="30.0" customHeigh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</row>
    <row r="959" ht="30.0" customHeigh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</row>
    <row r="960" ht="30.0" customHeigh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</row>
    <row r="961" ht="30.0" customHeigh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</row>
    <row r="962" ht="30.0" customHeigh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</row>
    <row r="963" ht="30.0" customHeigh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</row>
    <row r="964" ht="30.0" customHeigh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</row>
    <row r="965" ht="30.0" customHeigh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</row>
    <row r="966" ht="30.0" customHeigh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</row>
    <row r="967" ht="30.0" customHeigh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</row>
    <row r="968" ht="30.0" customHeigh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</row>
    <row r="969" ht="30.0" customHeigh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</row>
    <row r="970" ht="30.0" customHeigh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</row>
    <row r="971" ht="30.0" customHeigh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</row>
    <row r="972" ht="30.0" customHeigh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</row>
    <row r="973" ht="30.0" customHeigh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</row>
    <row r="974" ht="30.0" customHeigh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</row>
    <row r="975" ht="30.0" customHeigh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</row>
    <row r="976" ht="30.0" customHeigh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</row>
    <row r="977" ht="30.0" customHeigh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</row>
    <row r="978" ht="30.0" customHeigh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</row>
    <row r="979" ht="30.0" customHeigh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</row>
    <row r="980" ht="30.0" customHeigh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</row>
    <row r="981" ht="30.0" customHeigh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</row>
    <row r="982" ht="30.0" customHeigh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</row>
    <row r="983" ht="30.0" customHeigh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</row>
    <row r="984" ht="30.0" customHeigh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</row>
    <row r="985" ht="30.0" customHeigh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</row>
    <row r="986" ht="30.0" customHeigh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</row>
    <row r="987" ht="30.0" customHeight="1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</row>
    <row r="988" ht="30.0" customHeight="1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</row>
    <row r="989" ht="30.0" customHeight="1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</row>
    <row r="990" ht="30.0" customHeight="1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</row>
    <row r="991" ht="30.0" customHeight="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</row>
    <row r="992" ht="30.0" customHeight="1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</row>
    <row r="993" ht="30.0" customHeight="1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</row>
    <row r="994" ht="30.0" customHeight="1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</row>
    <row r="995" ht="30.0" customHeight="1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</row>
    <row r="996" ht="30.0" customHeight="1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</row>
    <row r="997" ht="30.0" customHeight="1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</row>
    <row r="998" ht="30.0" customHeight="1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</row>
    <row r="999" ht="30.0" customHeight="1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</row>
    <row r="1000" ht="30.0" customHeight="1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</row>
    <row r="1001" ht="30.0" customHeight="1">
      <c r="A1001" s="112"/>
      <c r="B1001" s="112"/>
      <c r="C1001" s="112"/>
      <c r="D1001" s="112"/>
      <c r="E1001" s="112"/>
      <c r="F1001" s="112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</row>
    <row r="1002" ht="30.0" customHeight="1">
      <c r="A1002" s="112"/>
      <c r="B1002" s="112"/>
      <c r="C1002" s="112"/>
      <c r="D1002" s="112"/>
      <c r="E1002" s="112"/>
      <c r="F1002" s="112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</row>
    <row r="1003" ht="30.0" customHeight="1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</row>
    <row r="1004" ht="30.0" customHeight="1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</row>
    <row r="1005" ht="30.0" customHeight="1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</row>
    <row r="1006" ht="30.0" customHeight="1">
      <c r="A1006" s="112"/>
      <c r="B1006" s="112"/>
      <c r="C1006" s="112"/>
      <c r="D1006" s="112"/>
      <c r="E1006" s="112"/>
      <c r="F1006" s="112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</row>
  </sheetData>
  <mergeCells count="1">
    <mergeCell ref="N3:O3"/>
  </mergeCell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.63"/>
    <col customWidth="1" min="3" max="20" width="7.63"/>
    <col customWidth="1" min="21" max="22" width="2.63"/>
    <col customWidth="1" min="23" max="23" width="12.63"/>
    <col customWidth="1" min="24" max="40" width="7.63"/>
    <col customWidth="1" min="41" max="52" width="2.63"/>
  </cols>
  <sheetData>
    <row r="1">
      <c r="A1" s="5"/>
      <c r="B1" s="4" t="s">
        <v>638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</row>
    <row r="2">
      <c r="A2" s="14"/>
      <c r="B2" s="116" t="s">
        <v>639</v>
      </c>
      <c r="C2" s="117">
        <v>46023.0</v>
      </c>
      <c r="D2" s="118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</row>
    <row r="3">
      <c r="A3" s="14"/>
      <c r="B3" s="121" t="s">
        <v>640</v>
      </c>
      <c r="C3" s="117">
        <v>46053.0</v>
      </c>
      <c r="D3" s="118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</row>
    <row r="4">
      <c r="A4" s="14"/>
      <c r="B4" s="122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</row>
    <row r="5">
      <c r="A5" s="14"/>
      <c r="B5" s="122" t="s">
        <v>641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20"/>
      <c r="R5" s="120"/>
      <c r="S5" s="120"/>
      <c r="T5" s="120"/>
      <c r="U5" s="120"/>
      <c r="V5" s="120"/>
      <c r="W5" s="122" t="s">
        <v>642</v>
      </c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</row>
    <row r="6" hidden="1">
      <c r="A6" s="108"/>
      <c r="Q6" s="126"/>
      <c r="R6" s="126"/>
      <c r="S6" s="126"/>
      <c r="T6" s="126"/>
      <c r="U6" s="126"/>
      <c r="V6" s="126"/>
      <c r="AL6" s="125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</row>
    <row r="7">
      <c r="A7" s="127"/>
      <c r="Q7" s="129"/>
      <c r="R7" s="129"/>
      <c r="S7" s="129"/>
      <c r="T7" s="129"/>
      <c r="U7" s="130"/>
      <c r="V7" s="130"/>
      <c r="AL7" s="129"/>
      <c r="AM7" s="129"/>
      <c r="AN7" s="129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</row>
    <row r="8">
      <c r="A8" s="121"/>
      <c r="Q8" s="119"/>
      <c r="R8" s="119"/>
      <c r="S8" s="119"/>
      <c r="T8" s="119"/>
      <c r="U8" s="120"/>
      <c r="V8" s="120"/>
      <c r="AL8" s="119"/>
      <c r="AM8" s="119"/>
      <c r="AN8" s="119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</row>
    <row r="9">
      <c r="A9" s="121"/>
      <c r="Q9" s="119"/>
      <c r="R9" s="119"/>
      <c r="S9" s="119"/>
      <c r="T9" s="119"/>
      <c r="U9" s="120"/>
      <c r="V9" s="120"/>
      <c r="AL9" s="119"/>
      <c r="AM9" s="119"/>
      <c r="AN9" s="119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</row>
    <row r="10">
      <c r="A10" s="121"/>
      <c r="Q10" s="119"/>
      <c r="R10" s="119"/>
      <c r="S10" s="119"/>
      <c r="T10" s="119"/>
      <c r="U10" s="120"/>
      <c r="V10" s="120"/>
      <c r="AL10" s="119"/>
      <c r="AM10" s="119"/>
      <c r="AN10" s="119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</row>
    <row r="11">
      <c r="A11" s="133"/>
      <c r="Q11" s="119"/>
      <c r="R11" s="119"/>
      <c r="S11" s="119"/>
      <c r="T11" s="119"/>
      <c r="U11" s="120"/>
      <c r="V11" s="120"/>
      <c r="AL11" s="119"/>
      <c r="AM11" s="119"/>
      <c r="AN11" s="119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</row>
    <row r="12">
      <c r="A12" s="133"/>
      <c r="Q12" s="119"/>
      <c r="R12" s="119"/>
      <c r="S12" s="119"/>
      <c r="T12" s="119"/>
      <c r="U12" s="120"/>
      <c r="V12" s="120"/>
      <c r="AL12" s="119"/>
      <c r="AM12" s="119"/>
      <c r="AN12" s="119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</row>
    <row r="13">
      <c r="A13" s="133"/>
      <c r="Q13" s="119"/>
      <c r="R13" s="119"/>
      <c r="S13" s="119"/>
      <c r="T13" s="119"/>
      <c r="U13" s="120"/>
      <c r="V13" s="120"/>
      <c r="AL13" s="119"/>
      <c r="AM13" s="119"/>
      <c r="AN13" s="119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</row>
    <row r="14">
      <c r="A14" s="133"/>
      <c r="Q14" s="119"/>
      <c r="R14" s="119"/>
      <c r="S14" s="119"/>
      <c r="T14" s="119"/>
      <c r="U14" s="120"/>
      <c r="V14" s="120"/>
      <c r="AL14" s="119"/>
      <c r="AM14" s="119"/>
      <c r="AN14" s="119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</row>
    <row r="15">
      <c r="A15" s="133"/>
      <c r="Q15" s="119"/>
      <c r="R15" s="119"/>
      <c r="S15" s="119"/>
      <c r="T15" s="119"/>
      <c r="U15" s="120"/>
      <c r="V15" s="120"/>
      <c r="AL15" s="119"/>
      <c r="AM15" s="119"/>
      <c r="AN15" s="119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</row>
    <row r="16">
      <c r="A16" s="11"/>
      <c r="Q16" s="119"/>
      <c r="R16" s="119"/>
      <c r="S16" s="119"/>
      <c r="T16" s="119"/>
      <c r="U16" s="120"/>
      <c r="V16" s="120"/>
      <c r="AL16" s="119"/>
      <c r="AM16" s="119"/>
      <c r="AN16" s="119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</row>
    <row r="17">
      <c r="A17" s="11"/>
      <c r="Q17" s="119"/>
      <c r="R17" s="119"/>
      <c r="S17" s="119"/>
      <c r="T17" s="119"/>
      <c r="U17" s="120"/>
      <c r="V17" s="120"/>
      <c r="AL17" s="119"/>
      <c r="AM17" s="119"/>
      <c r="AN17" s="119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>
      <c r="A18" s="11"/>
      <c r="Q18" s="119"/>
      <c r="R18" s="119"/>
      <c r="S18" s="119"/>
      <c r="T18" s="119"/>
      <c r="U18" s="120"/>
      <c r="V18" s="120"/>
      <c r="W18" s="11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</row>
    <row r="19">
      <c r="A19" s="11"/>
      <c r="Q19" s="119"/>
      <c r="R19" s="119"/>
      <c r="S19" s="119"/>
      <c r="T19" s="119"/>
      <c r="U19" s="120"/>
      <c r="V19" s="120"/>
      <c r="W19" s="136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</row>
    <row r="20">
      <c r="A20" s="11"/>
      <c r="Q20" s="119"/>
      <c r="R20" s="119"/>
      <c r="S20" s="119"/>
      <c r="T20" s="119"/>
      <c r="U20" s="120"/>
      <c r="V20" s="120"/>
      <c r="W20" s="11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</row>
    <row r="21">
      <c r="A21" s="11"/>
      <c r="Q21" s="119"/>
      <c r="R21" s="119"/>
      <c r="S21" s="119"/>
      <c r="T21" s="119"/>
      <c r="U21" s="120"/>
      <c r="V21" s="120"/>
      <c r="W21" s="11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</row>
    <row r="22">
      <c r="A22" s="11"/>
      <c r="Q22" s="119"/>
      <c r="R22" s="119"/>
      <c r="S22" s="119"/>
      <c r="T22" s="119"/>
      <c r="U22" s="120"/>
      <c r="V22" s="120"/>
      <c r="W22" s="11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</row>
    <row r="23">
      <c r="A23" s="11"/>
      <c r="Q23" s="133"/>
      <c r="R23" s="133"/>
      <c r="S23" s="133"/>
      <c r="T23" s="133"/>
      <c r="U23" s="120"/>
      <c r="V23" s="120"/>
      <c r="W23" s="11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33"/>
      <c r="AN23" s="133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</row>
    <row r="24">
      <c r="A24" s="11"/>
      <c r="Q24" s="119"/>
      <c r="R24" s="119"/>
      <c r="S24" s="119"/>
      <c r="T24" s="119"/>
      <c r="U24" s="120"/>
      <c r="V24" s="120"/>
      <c r="W24" s="11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</row>
    <row r="25">
      <c r="A25" s="11"/>
      <c r="Q25" s="119"/>
      <c r="R25" s="119"/>
      <c r="S25" s="119"/>
      <c r="T25" s="119"/>
      <c r="U25" s="120"/>
      <c r="V25" s="120"/>
      <c r="W25" s="11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</row>
    <row r="26">
      <c r="A26" s="11"/>
      <c r="Q26" s="119"/>
      <c r="R26" s="119"/>
      <c r="S26" s="119"/>
      <c r="T26" s="119"/>
      <c r="U26" s="120"/>
      <c r="V26" s="120"/>
      <c r="W26" s="11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</row>
    <row r="27">
      <c r="A27" s="11"/>
      <c r="Q27" s="119"/>
      <c r="R27" s="119"/>
      <c r="S27" s="119"/>
      <c r="T27" s="119"/>
      <c r="U27" s="120"/>
      <c r="V27" s="120"/>
      <c r="W27" s="11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</row>
    <row r="28">
      <c r="A28" s="11"/>
      <c r="Q28" s="119"/>
      <c r="R28" s="119"/>
      <c r="S28" s="119"/>
      <c r="T28" s="119"/>
      <c r="U28" s="120"/>
      <c r="V28" s="120"/>
      <c r="W28" s="11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</row>
    <row r="29">
      <c r="A29" s="11"/>
      <c r="Q29" s="119"/>
      <c r="R29" s="119"/>
      <c r="S29" s="119"/>
      <c r="T29" s="119"/>
      <c r="U29" s="120"/>
      <c r="V29" s="120"/>
      <c r="W29" s="11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</row>
    <row r="30">
      <c r="A30" s="11"/>
      <c r="Q30" s="133"/>
      <c r="R30" s="133"/>
      <c r="S30" s="133"/>
      <c r="T30" s="133"/>
      <c r="U30" s="120"/>
      <c r="V30" s="120"/>
      <c r="W30" s="11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33"/>
      <c r="AN30" s="133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</row>
    <row r="31">
      <c r="A31" s="11"/>
      <c r="Q31" s="119"/>
      <c r="R31" s="119"/>
      <c r="S31" s="119"/>
      <c r="T31" s="119"/>
      <c r="U31" s="120"/>
      <c r="V31" s="120"/>
      <c r="W31" s="11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</row>
    <row r="32">
      <c r="A32" s="11"/>
      <c r="Q32" s="119"/>
      <c r="R32" s="119"/>
      <c r="S32" s="119"/>
      <c r="T32" s="119"/>
      <c r="U32" s="120"/>
      <c r="V32" s="120"/>
      <c r="W32" s="138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</row>
    <row r="33">
      <c r="A33" s="11"/>
      <c r="Q33" s="119"/>
      <c r="R33" s="119"/>
      <c r="S33" s="119"/>
      <c r="T33" s="119"/>
      <c r="U33" s="120"/>
      <c r="V33" s="120"/>
      <c r="W33" s="11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</row>
    <row r="34">
      <c r="A34" s="11"/>
      <c r="Q34" s="119"/>
      <c r="R34" s="119"/>
      <c r="S34" s="119"/>
      <c r="T34" s="119"/>
      <c r="U34" s="120"/>
      <c r="V34" s="120"/>
      <c r="W34" s="11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</row>
    <row r="35">
      <c r="A35" s="11"/>
      <c r="Q35" s="119"/>
      <c r="R35" s="119"/>
      <c r="S35" s="119"/>
      <c r="T35" s="119"/>
      <c r="U35" s="120"/>
      <c r="V35" s="120"/>
      <c r="W35" s="11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20"/>
      <c r="AP35" s="120"/>
      <c r="AQ35" s="120"/>
      <c r="AR35" s="120"/>
      <c r="AS35" s="120"/>
      <c r="AT35" s="120"/>
      <c r="AU35" s="120"/>
      <c r="AV35" s="120"/>
      <c r="AW35" s="120"/>
      <c r="AX35" s="120"/>
      <c r="AY35" s="120"/>
      <c r="AZ35" s="120"/>
    </row>
    <row r="36">
      <c r="A36" s="11"/>
      <c r="Q36" s="119"/>
      <c r="R36" s="119"/>
      <c r="S36" s="119"/>
      <c r="T36" s="119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</row>
    <row r="37">
      <c r="A37" s="11"/>
      <c r="B37" s="11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0"/>
      <c r="AX37" s="120"/>
      <c r="AY37" s="120"/>
      <c r="AZ37" s="120"/>
    </row>
    <row r="38">
      <c r="A38" s="11"/>
      <c r="B38" s="11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</row>
    <row r="39">
      <c r="A39" s="11"/>
      <c r="B39" s="11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</row>
    <row r="40">
      <c r="A40" s="11"/>
      <c r="B40" s="11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/>
      <c r="AY40" s="120"/>
      <c r="AZ40" s="120"/>
    </row>
    <row r="41">
      <c r="A41" s="11"/>
      <c r="B41" s="11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</row>
    <row r="42">
      <c r="A42" s="11"/>
      <c r="B42" s="11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</row>
    <row r="43">
      <c r="A43" s="11"/>
      <c r="B43" s="11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0"/>
      <c r="AX43" s="120"/>
      <c r="AY43" s="120"/>
      <c r="AZ43" s="120"/>
    </row>
    <row r="44">
      <c r="A44" s="11"/>
      <c r="B44" s="11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0"/>
      <c r="AY44" s="120"/>
      <c r="AZ44" s="120"/>
    </row>
    <row r="45">
      <c r="A45" s="11"/>
      <c r="B45" s="11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</row>
    <row r="46">
      <c r="A46" s="11"/>
      <c r="B46" s="11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</row>
    <row r="47">
      <c r="A47" s="11"/>
      <c r="B47" s="11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</row>
    <row r="48">
      <c r="A48" s="11"/>
      <c r="B48" s="11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/>
      <c r="AY48" s="120"/>
      <c r="AZ48" s="120"/>
    </row>
    <row r="49">
      <c r="A49" s="11"/>
      <c r="B49" s="11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</row>
    <row r="50">
      <c r="A50" s="11"/>
      <c r="B50" s="11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</row>
    <row r="51">
      <c r="A51" s="11"/>
      <c r="B51" s="11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0"/>
      <c r="AX51" s="120"/>
      <c r="AY51" s="120"/>
      <c r="AZ51" s="120"/>
    </row>
    <row r="52">
      <c r="A52" s="11"/>
      <c r="B52" s="11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</row>
    <row r="53">
      <c r="A53" s="11"/>
      <c r="B53" s="11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</row>
    <row r="54">
      <c r="A54" s="11"/>
      <c r="B54" s="11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</row>
    <row r="55">
      <c r="A55" s="11"/>
      <c r="B55" s="11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</row>
    <row r="56">
      <c r="A56" s="11"/>
      <c r="B56" s="11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0"/>
      <c r="AV56" s="120"/>
      <c r="AW56" s="120"/>
      <c r="AX56" s="120"/>
      <c r="AY56" s="120"/>
      <c r="AZ56" s="120"/>
    </row>
    <row r="57">
      <c r="A57" s="11"/>
      <c r="B57" s="11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  <c r="AY57" s="120"/>
      <c r="AZ57" s="120"/>
    </row>
    <row r="58">
      <c r="A58" s="11"/>
      <c r="B58" s="11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20"/>
      <c r="AU58" s="120"/>
      <c r="AV58" s="120"/>
      <c r="AW58" s="120"/>
      <c r="AX58" s="120"/>
      <c r="AY58" s="120"/>
      <c r="AZ58" s="120"/>
    </row>
    <row r="59">
      <c r="A59" s="11"/>
      <c r="B59" s="11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20"/>
      <c r="AU59" s="120"/>
      <c r="AV59" s="120"/>
      <c r="AW59" s="120"/>
      <c r="AX59" s="120"/>
      <c r="AY59" s="120"/>
      <c r="AZ59" s="120"/>
    </row>
    <row r="60">
      <c r="A60" s="11"/>
      <c r="B60" s="11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0"/>
      <c r="AU60" s="120"/>
      <c r="AV60" s="120"/>
      <c r="AW60" s="120"/>
      <c r="AX60" s="120"/>
      <c r="AY60" s="120"/>
      <c r="AZ60" s="120"/>
    </row>
    <row r="61">
      <c r="A61" s="11"/>
      <c r="B61" s="11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0"/>
      <c r="AU61" s="120"/>
      <c r="AV61" s="120"/>
      <c r="AW61" s="120"/>
      <c r="AX61" s="120"/>
      <c r="AY61" s="120"/>
      <c r="AZ61" s="120"/>
    </row>
    <row r="62">
      <c r="A62" s="11"/>
      <c r="B62" s="11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0"/>
      <c r="AT62" s="120"/>
      <c r="AU62" s="120"/>
      <c r="AV62" s="120"/>
      <c r="AW62" s="120"/>
      <c r="AX62" s="120"/>
      <c r="AY62" s="120"/>
      <c r="AZ62" s="120"/>
    </row>
    <row r="63">
      <c r="A63" s="11"/>
      <c r="B63" s="11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20"/>
      <c r="AU63" s="120"/>
      <c r="AV63" s="120"/>
      <c r="AW63" s="120"/>
      <c r="AX63" s="120"/>
      <c r="AY63" s="120"/>
      <c r="AZ63" s="120"/>
    </row>
    <row r="64">
      <c r="A64" s="11"/>
      <c r="B64" s="11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20"/>
      <c r="AU64" s="120"/>
      <c r="AV64" s="120"/>
      <c r="AW64" s="120"/>
      <c r="AX64" s="120"/>
      <c r="AY64" s="120"/>
      <c r="AZ64" s="120"/>
    </row>
    <row r="65">
      <c r="A65" s="11"/>
      <c r="B65" s="11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20"/>
      <c r="AU65" s="120"/>
      <c r="AV65" s="120"/>
      <c r="AW65" s="120"/>
      <c r="AX65" s="120"/>
      <c r="AY65" s="120"/>
      <c r="AZ65" s="120"/>
    </row>
    <row r="66">
      <c r="A66" s="11"/>
      <c r="B66" s="11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20"/>
      <c r="AU66" s="120"/>
      <c r="AV66" s="120"/>
      <c r="AW66" s="120"/>
      <c r="AX66" s="120"/>
      <c r="AY66" s="120"/>
      <c r="AZ66" s="120"/>
    </row>
    <row r="67">
      <c r="A67" s="11"/>
      <c r="B67" s="11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0"/>
      <c r="AT67" s="120"/>
      <c r="AU67" s="120"/>
      <c r="AV67" s="120"/>
      <c r="AW67" s="120"/>
      <c r="AX67" s="120"/>
      <c r="AY67" s="120"/>
      <c r="AZ67" s="120"/>
    </row>
    <row r="68">
      <c r="A68" s="11"/>
      <c r="B68" s="11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0"/>
      <c r="AT68" s="120"/>
      <c r="AU68" s="120"/>
      <c r="AV68" s="120"/>
      <c r="AW68" s="120"/>
      <c r="AX68" s="120"/>
      <c r="AY68" s="120"/>
      <c r="AZ68" s="120"/>
    </row>
    <row r="69">
      <c r="A69" s="11"/>
      <c r="B69" s="11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20"/>
      <c r="AS69" s="120"/>
      <c r="AT69" s="120"/>
      <c r="AU69" s="120"/>
      <c r="AV69" s="120"/>
      <c r="AW69" s="120"/>
      <c r="AX69" s="120"/>
      <c r="AY69" s="120"/>
      <c r="AZ69" s="120"/>
    </row>
    <row r="70">
      <c r="A70" s="11"/>
      <c r="B70" s="11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  <c r="AP70" s="120"/>
      <c r="AQ70" s="120"/>
      <c r="AR70" s="120"/>
      <c r="AS70" s="120"/>
      <c r="AT70" s="120"/>
      <c r="AU70" s="120"/>
      <c r="AV70" s="120"/>
      <c r="AW70" s="120"/>
      <c r="AX70" s="120"/>
      <c r="AY70" s="120"/>
      <c r="AZ70" s="120"/>
    </row>
    <row r="71">
      <c r="A71" s="11"/>
      <c r="B71" s="11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20"/>
      <c r="AU71" s="120"/>
      <c r="AV71" s="120"/>
      <c r="AW71" s="120"/>
      <c r="AX71" s="120"/>
      <c r="AY71" s="120"/>
      <c r="AZ71" s="120"/>
    </row>
    <row r="72">
      <c r="A72" s="11"/>
      <c r="B72" s="11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  <c r="AP72" s="120"/>
      <c r="AQ72" s="120"/>
      <c r="AR72" s="120"/>
      <c r="AS72" s="120"/>
      <c r="AT72" s="120"/>
      <c r="AU72" s="120"/>
      <c r="AV72" s="120"/>
      <c r="AW72" s="120"/>
      <c r="AX72" s="120"/>
      <c r="AY72" s="120"/>
      <c r="AZ72" s="120"/>
    </row>
    <row r="73">
      <c r="A73" s="11"/>
      <c r="B73" s="11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20"/>
      <c r="AU73" s="120"/>
      <c r="AV73" s="120"/>
      <c r="AW73" s="120"/>
      <c r="AX73" s="120"/>
      <c r="AY73" s="120"/>
      <c r="AZ73" s="120"/>
    </row>
    <row r="74">
      <c r="A74" s="11"/>
      <c r="B74" s="11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  <c r="AP74" s="120"/>
      <c r="AQ74" s="120"/>
      <c r="AR74" s="120"/>
      <c r="AS74" s="120"/>
      <c r="AT74" s="120"/>
      <c r="AU74" s="120"/>
      <c r="AV74" s="120"/>
      <c r="AW74" s="120"/>
      <c r="AX74" s="120"/>
      <c r="AY74" s="120"/>
      <c r="AZ74" s="120"/>
    </row>
    <row r="75">
      <c r="A75" s="11"/>
      <c r="B75" s="11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  <c r="AV75" s="120"/>
      <c r="AW75" s="120"/>
      <c r="AX75" s="120"/>
      <c r="AY75" s="120"/>
      <c r="AZ75" s="120"/>
    </row>
    <row r="76">
      <c r="A76" s="11"/>
      <c r="B76" s="11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  <c r="AS76" s="120"/>
      <c r="AT76" s="120"/>
      <c r="AU76" s="120"/>
      <c r="AV76" s="120"/>
      <c r="AW76" s="120"/>
      <c r="AX76" s="120"/>
      <c r="AY76" s="120"/>
      <c r="AZ76" s="120"/>
    </row>
    <row r="77">
      <c r="A77" s="11"/>
      <c r="B77" s="11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0"/>
      <c r="AT77" s="120"/>
      <c r="AU77" s="120"/>
      <c r="AV77" s="120"/>
      <c r="AW77" s="120"/>
      <c r="AX77" s="120"/>
      <c r="AY77" s="120"/>
      <c r="AZ77" s="120"/>
    </row>
    <row r="78">
      <c r="A78" s="11"/>
      <c r="B78" s="11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0"/>
      <c r="AT78" s="120"/>
      <c r="AU78" s="120"/>
      <c r="AV78" s="120"/>
      <c r="AW78" s="120"/>
      <c r="AX78" s="120"/>
      <c r="AY78" s="120"/>
      <c r="AZ78" s="120"/>
    </row>
    <row r="79">
      <c r="A79" s="11"/>
      <c r="B79" s="11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120"/>
      <c r="AT79" s="120"/>
      <c r="AU79" s="120"/>
      <c r="AV79" s="120"/>
      <c r="AW79" s="120"/>
      <c r="AX79" s="120"/>
      <c r="AY79" s="120"/>
      <c r="AZ79" s="120"/>
    </row>
    <row r="80">
      <c r="A80" s="11"/>
      <c r="B80" s="11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120"/>
      <c r="AU80" s="120"/>
      <c r="AV80" s="120"/>
      <c r="AW80" s="120"/>
      <c r="AX80" s="120"/>
      <c r="AY80" s="120"/>
      <c r="AZ80" s="120"/>
    </row>
    <row r="81">
      <c r="A81" s="11"/>
      <c r="B81" s="11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  <c r="AO81" s="120"/>
      <c r="AP81" s="120"/>
      <c r="AQ81" s="120"/>
      <c r="AR81" s="120"/>
      <c r="AS81" s="120"/>
      <c r="AT81" s="120"/>
      <c r="AU81" s="120"/>
      <c r="AV81" s="120"/>
      <c r="AW81" s="120"/>
      <c r="AX81" s="120"/>
      <c r="AY81" s="120"/>
      <c r="AZ81" s="120"/>
    </row>
    <row r="82">
      <c r="A82" s="11"/>
      <c r="B82" s="11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  <c r="AO82" s="120"/>
      <c r="AP82" s="120"/>
      <c r="AQ82" s="120"/>
      <c r="AR82" s="120"/>
      <c r="AS82" s="120"/>
      <c r="AT82" s="120"/>
      <c r="AU82" s="120"/>
      <c r="AV82" s="120"/>
      <c r="AW82" s="120"/>
      <c r="AX82" s="120"/>
      <c r="AY82" s="120"/>
      <c r="AZ82" s="120"/>
    </row>
    <row r="83">
      <c r="A83" s="11"/>
      <c r="B83" s="11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0"/>
      <c r="AT83" s="120"/>
      <c r="AU83" s="120"/>
      <c r="AV83" s="120"/>
      <c r="AW83" s="120"/>
      <c r="AX83" s="120"/>
      <c r="AY83" s="120"/>
      <c r="AZ83" s="120"/>
    </row>
    <row r="84">
      <c r="A84" s="11"/>
      <c r="B84" s="11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0"/>
      <c r="AT84" s="120"/>
      <c r="AU84" s="120"/>
      <c r="AV84" s="120"/>
      <c r="AW84" s="120"/>
      <c r="AX84" s="120"/>
      <c r="AY84" s="120"/>
      <c r="AZ84" s="120"/>
    </row>
    <row r="85">
      <c r="A85" s="11"/>
      <c r="B85" s="11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  <c r="AS85" s="120"/>
      <c r="AT85" s="120"/>
      <c r="AU85" s="120"/>
      <c r="AV85" s="120"/>
      <c r="AW85" s="120"/>
      <c r="AX85" s="120"/>
      <c r="AY85" s="120"/>
      <c r="AZ85" s="120"/>
    </row>
    <row r="86">
      <c r="A86" s="11"/>
      <c r="B86" s="11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0"/>
      <c r="AU86" s="120"/>
      <c r="AV86" s="120"/>
      <c r="AW86" s="120"/>
      <c r="AX86" s="120"/>
      <c r="AY86" s="120"/>
      <c r="AZ86" s="120"/>
    </row>
    <row r="87">
      <c r="A87" s="11"/>
      <c r="B87" s="11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  <c r="AS87" s="120"/>
      <c r="AT87" s="120"/>
      <c r="AU87" s="120"/>
      <c r="AV87" s="120"/>
      <c r="AW87" s="120"/>
      <c r="AX87" s="120"/>
      <c r="AY87" s="120"/>
      <c r="AZ87" s="120"/>
    </row>
    <row r="88">
      <c r="A88" s="11"/>
      <c r="B88" s="11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120"/>
      <c r="AT88" s="120"/>
      <c r="AU88" s="120"/>
      <c r="AV88" s="120"/>
      <c r="AW88" s="120"/>
      <c r="AX88" s="120"/>
      <c r="AY88" s="120"/>
      <c r="AZ88" s="120"/>
    </row>
    <row r="89">
      <c r="A89" s="11"/>
      <c r="B89" s="11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  <c r="AP89" s="120"/>
      <c r="AQ89" s="120"/>
      <c r="AR89" s="120"/>
      <c r="AS89" s="120"/>
      <c r="AT89" s="120"/>
      <c r="AU89" s="120"/>
      <c r="AV89" s="120"/>
      <c r="AW89" s="120"/>
      <c r="AX89" s="120"/>
      <c r="AY89" s="120"/>
      <c r="AZ89" s="120"/>
    </row>
    <row r="90">
      <c r="A90" s="11"/>
      <c r="B90" s="11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20"/>
      <c r="AU90" s="120"/>
      <c r="AV90" s="120"/>
      <c r="AW90" s="120"/>
      <c r="AX90" s="120"/>
      <c r="AY90" s="120"/>
      <c r="AZ90" s="120"/>
    </row>
    <row r="91">
      <c r="A91" s="11"/>
      <c r="B91" s="11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  <c r="AS91" s="120"/>
      <c r="AT91" s="120"/>
      <c r="AU91" s="120"/>
      <c r="AV91" s="120"/>
      <c r="AW91" s="120"/>
      <c r="AX91" s="120"/>
      <c r="AY91" s="120"/>
      <c r="AZ91" s="120"/>
    </row>
    <row r="92">
      <c r="A92" s="11"/>
      <c r="B92" s="11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  <c r="AS92" s="120"/>
      <c r="AT92" s="120"/>
      <c r="AU92" s="120"/>
      <c r="AV92" s="120"/>
      <c r="AW92" s="120"/>
      <c r="AX92" s="120"/>
      <c r="AY92" s="120"/>
      <c r="AZ92" s="120"/>
    </row>
    <row r="93">
      <c r="A93" s="11"/>
      <c r="B93" s="11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  <c r="AV93" s="120"/>
      <c r="AW93" s="120"/>
      <c r="AX93" s="120"/>
      <c r="AY93" s="120"/>
      <c r="AZ93" s="120"/>
    </row>
    <row r="94">
      <c r="A94" s="11"/>
      <c r="B94" s="11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0"/>
      <c r="AT94" s="120"/>
      <c r="AU94" s="120"/>
      <c r="AV94" s="120"/>
      <c r="AW94" s="120"/>
      <c r="AX94" s="120"/>
      <c r="AY94" s="120"/>
      <c r="AZ94" s="120"/>
    </row>
    <row r="95">
      <c r="A95" s="11"/>
      <c r="B95" s="11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0"/>
      <c r="AT95" s="120"/>
      <c r="AU95" s="120"/>
      <c r="AV95" s="120"/>
      <c r="AW95" s="120"/>
      <c r="AX95" s="120"/>
      <c r="AY95" s="120"/>
      <c r="AZ95" s="120"/>
    </row>
    <row r="96">
      <c r="A96" s="11"/>
      <c r="B96" s="11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  <c r="AP96" s="120"/>
      <c r="AQ96" s="120"/>
      <c r="AR96" s="120"/>
      <c r="AS96" s="120"/>
      <c r="AT96" s="120"/>
      <c r="AU96" s="120"/>
      <c r="AV96" s="120"/>
      <c r="AW96" s="120"/>
      <c r="AX96" s="120"/>
      <c r="AY96" s="120"/>
      <c r="AZ96" s="120"/>
    </row>
    <row r="97">
      <c r="A97" s="11"/>
      <c r="B97" s="11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  <c r="AS97" s="120"/>
      <c r="AT97" s="120"/>
      <c r="AU97" s="120"/>
      <c r="AV97" s="120"/>
      <c r="AW97" s="120"/>
      <c r="AX97" s="120"/>
      <c r="AY97" s="120"/>
      <c r="AZ97" s="120"/>
    </row>
    <row r="98">
      <c r="A98" s="11"/>
      <c r="B98" s="11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0"/>
      <c r="AT98" s="120"/>
      <c r="AU98" s="120"/>
      <c r="AV98" s="120"/>
      <c r="AW98" s="120"/>
      <c r="AX98" s="120"/>
      <c r="AY98" s="120"/>
      <c r="AZ98" s="120"/>
    </row>
    <row r="99">
      <c r="A99" s="11"/>
      <c r="B99" s="11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  <c r="AP99" s="120"/>
      <c r="AQ99" s="120"/>
      <c r="AR99" s="120"/>
      <c r="AS99" s="120"/>
      <c r="AT99" s="120"/>
      <c r="AU99" s="120"/>
      <c r="AV99" s="120"/>
      <c r="AW99" s="120"/>
      <c r="AX99" s="120"/>
      <c r="AY99" s="120"/>
      <c r="AZ99" s="120"/>
    </row>
    <row r="100">
      <c r="A100" s="11"/>
      <c r="B100" s="11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  <c r="AV100" s="120"/>
      <c r="AW100" s="120"/>
      <c r="AX100" s="120"/>
      <c r="AY100" s="120"/>
      <c r="AZ100" s="120"/>
    </row>
    <row r="101">
      <c r="A101" s="11"/>
      <c r="B101" s="11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0"/>
      <c r="AU101" s="120"/>
      <c r="AV101" s="120"/>
      <c r="AW101" s="120"/>
      <c r="AX101" s="120"/>
      <c r="AY101" s="120"/>
      <c r="AZ101" s="120"/>
    </row>
    <row r="102">
      <c r="A102" s="11"/>
      <c r="B102" s="11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  <c r="AV102" s="120"/>
      <c r="AW102" s="120"/>
      <c r="AX102" s="120"/>
      <c r="AY102" s="120"/>
      <c r="AZ102" s="120"/>
    </row>
    <row r="103">
      <c r="A103" s="11"/>
      <c r="B103" s="11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  <c r="AV103" s="120"/>
      <c r="AW103" s="120"/>
      <c r="AX103" s="120"/>
      <c r="AY103" s="120"/>
      <c r="AZ103" s="120"/>
    </row>
    <row r="104">
      <c r="A104" s="11"/>
      <c r="B104" s="11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  <c r="AV104" s="120"/>
      <c r="AW104" s="120"/>
      <c r="AX104" s="120"/>
      <c r="AY104" s="120"/>
      <c r="AZ104" s="120"/>
    </row>
    <row r="105">
      <c r="A105" s="11"/>
      <c r="B105" s="11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0"/>
      <c r="AV105" s="120"/>
      <c r="AW105" s="120"/>
      <c r="AX105" s="120"/>
      <c r="AY105" s="120"/>
      <c r="AZ105" s="120"/>
    </row>
    <row r="106">
      <c r="A106" s="11"/>
      <c r="B106" s="11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  <c r="AV106" s="120"/>
      <c r="AW106" s="120"/>
      <c r="AX106" s="120"/>
      <c r="AY106" s="120"/>
      <c r="AZ106" s="120"/>
    </row>
    <row r="107">
      <c r="A107" s="11"/>
      <c r="B107" s="11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0"/>
      <c r="AX107" s="120"/>
      <c r="AY107" s="120"/>
      <c r="AZ107" s="120"/>
    </row>
    <row r="108">
      <c r="A108" s="11"/>
      <c r="B108" s="11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  <c r="AV108" s="120"/>
      <c r="AW108" s="120"/>
      <c r="AX108" s="120"/>
      <c r="AY108" s="120"/>
      <c r="AZ108" s="120"/>
    </row>
    <row r="109">
      <c r="A109" s="11"/>
      <c r="B109" s="11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  <c r="AV109" s="120"/>
      <c r="AW109" s="120"/>
      <c r="AX109" s="120"/>
      <c r="AY109" s="120"/>
      <c r="AZ109" s="120"/>
    </row>
    <row r="110">
      <c r="A110" s="11"/>
      <c r="B110" s="11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  <c r="AV110" s="120"/>
      <c r="AW110" s="120"/>
      <c r="AX110" s="120"/>
      <c r="AY110" s="120"/>
      <c r="AZ110" s="120"/>
    </row>
    <row r="111">
      <c r="A111" s="11"/>
      <c r="B111" s="11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20"/>
      <c r="AU111" s="120"/>
      <c r="AV111" s="120"/>
      <c r="AW111" s="120"/>
      <c r="AX111" s="120"/>
      <c r="AY111" s="120"/>
      <c r="AZ111" s="120"/>
    </row>
    <row r="112">
      <c r="A112" s="11"/>
      <c r="B112" s="11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  <c r="AO112" s="120"/>
      <c r="AP112" s="120"/>
      <c r="AQ112" s="120"/>
      <c r="AR112" s="120"/>
      <c r="AS112" s="120"/>
      <c r="AT112" s="120"/>
      <c r="AU112" s="120"/>
      <c r="AV112" s="120"/>
      <c r="AW112" s="120"/>
      <c r="AX112" s="120"/>
      <c r="AY112" s="120"/>
      <c r="AZ112" s="120"/>
    </row>
    <row r="113">
      <c r="A113" s="11"/>
      <c r="B113" s="11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  <c r="AS113" s="120"/>
      <c r="AT113" s="120"/>
      <c r="AU113" s="120"/>
      <c r="AV113" s="120"/>
      <c r="AW113" s="120"/>
      <c r="AX113" s="120"/>
      <c r="AY113" s="120"/>
      <c r="AZ113" s="120"/>
    </row>
    <row r="114">
      <c r="A114" s="11"/>
      <c r="B114" s="11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20"/>
      <c r="AS114" s="120"/>
      <c r="AT114" s="120"/>
      <c r="AU114" s="120"/>
      <c r="AV114" s="120"/>
      <c r="AW114" s="120"/>
      <c r="AX114" s="120"/>
      <c r="AY114" s="120"/>
      <c r="AZ114" s="120"/>
    </row>
    <row r="115">
      <c r="A115" s="11"/>
      <c r="B115" s="11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20"/>
      <c r="AU115" s="120"/>
      <c r="AV115" s="120"/>
      <c r="AW115" s="120"/>
      <c r="AX115" s="120"/>
      <c r="AY115" s="120"/>
      <c r="AZ115" s="120"/>
    </row>
    <row r="116">
      <c r="A116" s="11"/>
      <c r="B116" s="11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20"/>
      <c r="AU116" s="120"/>
      <c r="AV116" s="120"/>
      <c r="AW116" s="120"/>
      <c r="AX116" s="120"/>
      <c r="AY116" s="120"/>
      <c r="AZ116" s="120"/>
    </row>
    <row r="117">
      <c r="A117" s="11"/>
      <c r="B117" s="11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  <c r="AV117" s="120"/>
      <c r="AW117" s="120"/>
      <c r="AX117" s="120"/>
      <c r="AY117" s="120"/>
      <c r="AZ117" s="120"/>
    </row>
    <row r="118">
      <c r="A118" s="11"/>
      <c r="B118" s="11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20"/>
      <c r="AS118" s="120"/>
      <c r="AT118" s="120"/>
      <c r="AU118" s="120"/>
      <c r="AV118" s="120"/>
      <c r="AW118" s="120"/>
      <c r="AX118" s="120"/>
      <c r="AY118" s="120"/>
      <c r="AZ118" s="120"/>
    </row>
    <row r="119">
      <c r="A119" s="11"/>
      <c r="B119" s="11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20"/>
      <c r="AU119" s="120"/>
      <c r="AV119" s="120"/>
      <c r="AW119" s="120"/>
      <c r="AX119" s="120"/>
      <c r="AY119" s="120"/>
      <c r="AZ119" s="120"/>
    </row>
    <row r="120">
      <c r="A120" s="11"/>
      <c r="B120" s="11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  <c r="AO120" s="120"/>
      <c r="AP120" s="120"/>
      <c r="AQ120" s="120"/>
      <c r="AR120" s="120"/>
      <c r="AS120" s="120"/>
      <c r="AT120" s="120"/>
      <c r="AU120" s="120"/>
      <c r="AV120" s="120"/>
      <c r="AW120" s="120"/>
      <c r="AX120" s="120"/>
      <c r="AY120" s="120"/>
      <c r="AZ120" s="120"/>
    </row>
    <row r="121">
      <c r="A121" s="11"/>
      <c r="B121" s="11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0"/>
      <c r="AQ121" s="120"/>
      <c r="AR121" s="120"/>
      <c r="AS121" s="120"/>
      <c r="AT121" s="120"/>
      <c r="AU121" s="120"/>
      <c r="AV121" s="120"/>
      <c r="AW121" s="120"/>
      <c r="AX121" s="120"/>
      <c r="AY121" s="120"/>
      <c r="AZ121" s="120"/>
    </row>
    <row r="122">
      <c r="A122" s="11"/>
      <c r="B122" s="11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  <c r="AO122" s="120"/>
      <c r="AP122" s="120"/>
      <c r="AQ122" s="120"/>
      <c r="AR122" s="120"/>
      <c r="AS122" s="120"/>
      <c r="AT122" s="120"/>
      <c r="AU122" s="120"/>
      <c r="AV122" s="120"/>
      <c r="AW122" s="120"/>
      <c r="AX122" s="120"/>
      <c r="AY122" s="120"/>
      <c r="AZ122" s="120"/>
    </row>
    <row r="123">
      <c r="A123" s="11"/>
      <c r="B123" s="11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  <c r="AO123" s="120"/>
      <c r="AP123" s="120"/>
      <c r="AQ123" s="120"/>
      <c r="AR123" s="120"/>
      <c r="AS123" s="120"/>
      <c r="AT123" s="120"/>
      <c r="AU123" s="120"/>
      <c r="AV123" s="120"/>
      <c r="AW123" s="120"/>
      <c r="AX123" s="120"/>
      <c r="AY123" s="120"/>
      <c r="AZ123" s="120"/>
    </row>
    <row r="124">
      <c r="A124" s="11"/>
      <c r="B124" s="11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  <c r="AP124" s="120"/>
      <c r="AQ124" s="120"/>
      <c r="AR124" s="120"/>
      <c r="AS124" s="120"/>
      <c r="AT124" s="120"/>
      <c r="AU124" s="120"/>
      <c r="AV124" s="120"/>
      <c r="AW124" s="120"/>
      <c r="AX124" s="120"/>
      <c r="AY124" s="120"/>
      <c r="AZ124" s="120"/>
    </row>
    <row r="125">
      <c r="A125" s="11"/>
      <c r="B125" s="11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0"/>
      <c r="AT125" s="120"/>
      <c r="AU125" s="120"/>
      <c r="AV125" s="120"/>
      <c r="AW125" s="120"/>
      <c r="AX125" s="120"/>
      <c r="AY125" s="120"/>
      <c r="AZ125" s="120"/>
    </row>
    <row r="126">
      <c r="A126" s="11"/>
      <c r="B126" s="11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Q126" s="120"/>
      <c r="AR126" s="120"/>
      <c r="AS126" s="120"/>
      <c r="AT126" s="120"/>
      <c r="AU126" s="120"/>
      <c r="AV126" s="120"/>
      <c r="AW126" s="120"/>
      <c r="AX126" s="120"/>
      <c r="AY126" s="120"/>
      <c r="AZ126" s="120"/>
    </row>
    <row r="127">
      <c r="A127" s="11"/>
      <c r="B127" s="11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  <c r="AO127" s="120"/>
      <c r="AP127" s="120"/>
      <c r="AQ127" s="120"/>
      <c r="AR127" s="120"/>
      <c r="AS127" s="120"/>
      <c r="AT127" s="120"/>
      <c r="AU127" s="120"/>
      <c r="AV127" s="120"/>
      <c r="AW127" s="120"/>
      <c r="AX127" s="120"/>
      <c r="AY127" s="120"/>
      <c r="AZ127" s="120"/>
    </row>
    <row r="128">
      <c r="A128" s="11"/>
      <c r="B128" s="11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0"/>
      <c r="AT128" s="120"/>
      <c r="AU128" s="120"/>
      <c r="AV128" s="120"/>
      <c r="AW128" s="120"/>
      <c r="AX128" s="120"/>
      <c r="AY128" s="120"/>
      <c r="AZ128" s="120"/>
    </row>
    <row r="129">
      <c r="A129" s="11"/>
      <c r="B129" s="11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  <c r="AP129" s="120"/>
      <c r="AQ129" s="120"/>
      <c r="AR129" s="120"/>
      <c r="AS129" s="120"/>
      <c r="AT129" s="120"/>
      <c r="AU129" s="120"/>
      <c r="AV129" s="120"/>
      <c r="AW129" s="120"/>
      <c r="AX129" s="120"/>
      <c r="AY129" s="120"/>
      <c r="AZ129" s="120"/>
    </row>
    <row r="130">
      <c r="A130" s="11"/>
      <c r="B130" s="11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  <c r="AP130" s="120"/>
      <c r="AQ130" s="120"/>
      <c r="AR130" s="120"/>
      <c r="AS130" s="120"/>
      <c r="AT130" s="120"/>
      <c r="AU130" s="120"/>
      <c r="AV130" s="120"/>
      <c r="AW130" s="120"/>
      <c r="AX130" s="120"/>
      <c r="AY130" s="120"/>
      <c r="AZ130" s="120"/>
    </row>
    <row r="131">
      <c r="A131" s="11"/>
      <c r="B131" s="11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120"/>
      <c r="AP131" s="120"/>
      <c r="AQ131" s="120"/>
      <c r="AR131" s="120"/>
      <c r="AS131" s="120"/>
      <c r="AT131" s="120"/>
      <c r="AU131" s="120"/>
      <c r="AV131" s="120"/>
      <c r="AW131" s="120"/>
      <c r="AX131" s="120"/>
      <c r="AY131" s="120"/>
      <c r="AZ131" s="120"/>
    </row>
    <row r="132">
      <c r="A132" s="11"/>
      <c r="B132" s="11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0"/>
      <c r="AT132" s="120"/>
      <c r="AU132" s="120"/>
      <c r="AV132" s="120"/>
      <c r="AW132" s="120"/>
      <c r="AX132" s="120"/>
      <c r="AY132" s="120"/>
      <c r="AZ132" s="120"/>
    </row>
    <row r="133">
      <c r="A133" s="11"/>
      <c r="B133" s="11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  <c r="AO133" s="120"/>
      <c r="AP133" s="120"/>
      <c r="AQ133" s="120"/>
      <c r="AR133" s="120"/>
      <c r="AS133" s="120"/>
      <c r="AT133" s="120"/>
      <c r="AU133" s="120"/>
      <c r="AV133" s="120"/>
      <c r="AW133" s="120"/>
      <c r="AX133" s="120"/>
      <c r="AY133" s="120"/>
      <c r="AZ133" s="120"/>
    </row>
    <row r="134">
      <c r="A134" s="11"/>
      <c r="B134" s="11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0"/>
      <c r="AQ134" s="120"/>
      <c r="AR134" s="120"/>
      <c r="AS134" s="120"/>
      <c r="AT134" s="120"/>
      <c r="AU134" s="120"/>
      <c r="AV134" s="120"/>
      <c r="AW134" s="120"/>
      <c r="AX134" s="120"/>
      <c r="AY134" s="120"/>
      <c r="AZ134" s="120"/>
    </row>
    <row r="135">
      <c r="A135" s="11"/>
      <c r="B135" s="11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  <c r="AO135" s="120"/>
      <c r="AP135" s="120"/>
      <c r="AQ135" s="120"/>
      <c r="AR135" s="120"/>
      <c r="AS135" s="120"/>
      <c r="AT135" s="120"/>
      <c r="AU135" s="120"/>
      <c r="AV135" s="120"/>
      <c r="AW135" s="120"/>
      <c r="AX135" s="120"/>
      <c r="AY135" s="120"/>
      <c r="AZ135" s="120"/>
    </row>
    <row r="136">
      <c r="A136" s="11"/>
      <c r="B136" s="11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  <c r="AO136" s="120"/>
      <c r="AP136" s="120"/>
      <c r="AQ136" s="120"/>
      <c r="AR136" s="120"/>
      <c r="AS136" s="120"/>
      <c r="AT136" s="120"/>
      <c r="AU136" s="120"/>
      <c r="AV136" s="120"/>
      <c r="AW136" s="120"/>
      <c r="AX136" s="120"/>
      <c r="AY136" s="120"/>
      <c r="AZ136" s="120"/>
    </row>
    <row r="137">
      <c r="A137" s="11"/>
      <c r="B137" s="11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  <c r="AP137" s="120"/>
      <c r="AQ137" s="120"/>
      <c r="AR137" s="120"/>
      <c r="AS137" s="120"/>
      <c r="AT137" s="120"/>
      <c r="AU137" s="120"/>
      <c r="AV137" s="120"/>
      <c r="AW137" s="120"/>
      <c r="AX137" s="120"/>
      <c r="AY137" s="120"/>
      <c r="AZ137" s="120"/>
    </row>
    <row r="138">
      <c r="A138" s="11"/>
      <c r="B138" s="11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0"/>
      <c r="AT138" s="120"/>
      <c r="AU138" s="120"/>
      <c r="AV138" s="120"/>
      <c r="AW138" s="120"/>
      <c r="AX138" s="120"/>
      <c r="AY138" s="120"/>
      <c r="AZ138" s="120"/>
    </row>
    <row r="139">
      <c r="A139" s="11"/>
      <c r="B139" s="11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  <c r="AO139" s="120"/>
      <c r="AP139" s="120"/>
      <c r="AQ139" s="120"/>
      <c r="AR139" s="120"/>
      <c r="AS139" s="120"/>
      <c r="AT139" s="120"/>
      <c r="AU139" s="120"/>
      <c r="AV139" s="120"/>
      <c r="AW139" s="120"/>
      <c r="AX139" s="120"/>
      <c r="AY139" s="120"/>
      <c r="AZ139" s="120"/>
    </row>
    <row r="140">
      <c r="A140" s="11"/>
      <c r="B140" s="11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  <c r="AO140" s="120"/>
      <c r="AP140" s="120"/>
      <c r="AQ140" s="120"/>
      <c r="AR140" s="120"/>
      <c r="AS140" s="120"/>
      <c r="AT140" s="120"/>
      <c r="AU140" s="120"/>
      <c r="AV140" s="120"/>
      <c r="AW140" s="120"/>
      <c r="AX140" s="120"/>
      <c r="AY140" s="120"/>
      <c r="AZ140" s="120"/>
    </row>
    <row r="141">
      <c r="A141" s="11"/>
      <c r="B141" s="11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0"/>
      <c r="AQ141" s="120"/>
      <c r="AR141" s="120"/>
      <c r="AS141" s="120"/>
      <c r="AT141" s="120"/>
      <c r="AU141" s="120"/>
      <c r="AV141" s="120"/>
      <c r="AW141" s="120"/>
      <c r="AX141" s="120"/>
      <c r="AY141" s="120"/>
      <c r="AZ141" s="120"/>
    </row>
    <row r="142">
      <c r="A142" s="11"/>
      <c r="B142" s="11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0"/>
      <c r="AQ142" s="120"/>
      <c r="AR142" s="120"/>
      <c r="AS142" s="120"/>
      <c r="AT142" s="120"/>
      <c r="AU142" s="120"/>
      <c r="AV142" s="120"/>
      <c r="AW142" s="120"/>
      <c r="AX142" s="120"/>
      <c r="AY142" s="120"/>
      <c r="AZ142" s="120"/>
    </row>
    <row r="143">
      <c r="A143" s="11"/>
      <c r="B143" s="11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  <c r="AO143" s="120"/>
      <c r="AP143" s="120"/>
      <c r="AQ143" s="120"/>
      <c r="AR143" s="120"/>
      <c r="AS143" s="120"/>
      <c r="AT143" s="120"/>
      <c r="AU143" s="120"/>
      <c r="AV143" s="120"/>
      <c r="AW143" s="120"/>
      <c r="AX143" s="120"/>
      <c r="AY143" s="120"/>
      <c r="AZ143" s="120"/>
    </row>
    <row r="144">
      <c r="A144" s="11"/>
      <c r="B144" s="11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0"/>
      <c r="AQ144" s="120"/>
      <c r="AR144" s="120"/>
      <c r="AS144" s="120"/>
      <c r="AT144" s="120"/>
      <c r="AU144" s="120"/>
      <c r="AV144" s="120"/>
      <c r="AW144" s="120"/>
      <c r="AX144" s="120"/>
      <c r="AY144" s="120"/>
      <c r="AZ144" s="120"/>
    </row>
    <row r="145">
      <c r="A145" s="11"/>
      <c r="B145" s="11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20"/>
      <c r="AU145" s="120"/>
      <c r="AV145" s="120"/>
      <c r="AW145" s="120"/>
      <c r="AX145" s="120"/>
      <c r="AY145" s="120"/>
      <c r="AZ145" s="120"/>
    </row>
    <row r="146">
      <c r="A146" s="11"/>
      <c r="B146" s="11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Q146" s="120"/>
      <c r="AR146" s="120"/>
      <c r="AS146" s="120"/>
      <c r="AT146" s="120"/>
      <c r="AU146" s="120"/>
      <c r="AV146" s="120"/>
      <c r="AW146" s="120"/>
      <c r="AX146" s="120"/>
      <c r="AY146" s="120"/>
      <c r="AZ146" s="120"/>
    </row>
    <row r="147">
      <c r="A147" s="11"/>
      <c r="B147" s="11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0"/>
      <c r="AU147" s="120"/>
      <c r="AV147" s="120"/>
      <c r="AW147" s="120"/>
      <c r="AX147" s="120"/>
      <c r="AY147" s="120"/>
      <c r="AZ147" s="120"/>
    </row>
    <row r="148">
      <c r="A148" s="11"/>
      <c r="B148" s="11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  <c r="AP148" s="120"/>
      <c r="AQ148" s="120"/>
      <c r="AR148" s="120"/>
      <c r="AS148" s="120"/>
      <c r="AT148" s="120"/>
      <c r="AU148" s="120"/>
      <c r="AV148" s="120"/>
      <c r="AW148" s="120"/>
      <c r="AX148" s="120"/>
      <c r="AY148" s="120"/>
      <c r="AZ148" s="120"/>
    </row>
    <row r="149">
      <c r="A149" s="11"/>
      <c r="B149" s="11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  <c r="AP149" s="120"/>
      <c r="AQ149" s="120"/>
      <c r="AR149" s="120"/>
      <c r="AS149" s="120"/>
      <c r="AT149" s="120"/>
      <c r="AU149" s="120"/>
      <c r="AV149" s="120"/>
      <c r="AW149" s="120"/>
      <c r="AX149" s="120"/>
      <c r="AY149" s="120"/>
      <c r="AZ149" s="120"/>
    </row>
    <row r="150">
      <c r="A150" s="11"/>
      <c r="B150" s="11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0"/>
      <c r="AQ150" s="120"/>
      <c r="AR150" s="120"/>
      <c r="AS150" s="120"/>
      <c r="AT150" s="120"/>
      <c r="AU150" s="120"/>
      <c r="AV150" s="120"/>
      <c r="AW150" s="120"/>
      <c r="AX150" s="120"/>
      <c r="AY150" s="120"/>
      <c r="AZ150" s="120"/>
    </row>
    <row r="151">
      <c r="A151" s="11"/>
      <c r="B151" s="11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  <c r="AP151" s="120"/>
      <c r="AQ151" s="120"/>
      <c r="AR151" s="120"/>
      <c r="AS151" s="120"/>
      <c r="AT151" s="120"/>
      <c r="AU151" s="120"/>
      <c r="AV151" s="120"/>
      <c r="AW151" s="120"/>
      <c r="AX151" s="120"/>
      <c r="AY151" s="120"/>
      <c r="AZ151" s="120"/>
    </row>
    <row r="152">
      <c r="A152" s="11"/>
      <c r="B152" s="11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  <c r="AP152" s="120"/>
      <c r="AQ152" s="120"/>
      <c r="AR152" s="120"/>
      <c r="AS152" s="120"/>
      <c r="AT152" s="120"/>
      <c r="AU152" s="120"/>
      <c r="AV152" s="120"/>
      <c r="AW152" s="120"/>
      <c r="AX152" s="120"/>
      <c r="AY152" s="120"/>
      <c r="AZ152" s="120"/>
    </row>
    <row r="153">
      <c r="A153" s="11"/>
      <c r="B153" s="11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  <c r="AO153" s="120"/>
      <c r="AP153" s="120"/>
      <c r="AQ153" s="120"/>
      <c r="AR153" s="120"/>
      <c r="AS153" s="120"/>
      <c r="AT153" s="120"/>
      <c r="AU153" s="120"/>
      <c r="AV153" s="120"/>
      <c r="AW153" s="120"/>
      <c r="AX153" s="120"/>
      <c r="AY153" s="120"/>
      <c r="AZ153" s="120"/>
    </row>
    <row r="154">
      <c r="A154" s="11"/>
      <c r="B154" s="11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  <c r="AO154" s="120"/>
      <c r="AP154" s="120"/>
      <c r="AQ154" s="120"/>
      <c r="AR154" s="120"/>
      <c r="AS154" s="120"/>
      <c r="AT154" s="120"/>
      <c r="AU154" s="120"/>
      <c r="AV154" s="120"/>
      <c r="AW154" s="120"/>
      <c r="AX154" s="120"/>
      <c r="AY154" s="120"/>
      <c r="AZ154" s="120"/>
    </row>
    <row r="155">
      <c r="A155" s="11"/>
      <c r="B155" s="11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  <c r="AO155" s="120"/>
      <c r="AP155" s="120"/>
      <c r="AQ155" s="120"/>
      <c r="AR155" s="120"/>
      <c r="AS155" s="120"/>
      <c r="AT155" s="120"/>
      <c r="AU155" s="120"/>
      <c r="AV155" s="120"/>
      <c r="AW155" s="120"/>
      <c r="AX155" s="120"/>
      <c r="AY155" s="120"/>
      <c r="AZ155" s="120"/>
    </row>
    <row r="156">
      <c r="A156" s="11"/>
      <c r="B156" s="11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  <c r="AO156" s="120"/>
      <c r="AP156" s="120"/>
      <c r="AQ156" s="120"/>
      <c r="AR156" s="120"/>
      <c r="AS156" s="120"/>
      <c r="AT156" s="120"/>
      <c r="AU156" s="120"/>
      <c r="AV156" s="120"/>
      <c r="AW156" s="120"/>
      <c r="AX156" s="120"/>
      <c r="AY156" s="120"/>
      <c r="AZ156" s="120"/>
    </row>
    <row r="157">
      <c r="A157" s="11"/>
      <c r="B157" s="11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  <c r="AO157" s="120"/>
      <c r="AP157" s="120"/>
      <c r="AQ157" s="120"/>
      <c r="AR157" s="120"/>
      <c r="AS157" s="120"/>
      <c r="AT157" s="120"/>
      <c r="AU157" s="120"/>
      <c r="AV157" s="120"/>
      <c r="AW157" s="120"/>
      <c r="AX157" s="120"/>
      <c r="AY157" s="120"/>
      <c r="AZ157" s="120"/>
    </row>
    <row r="158">
      <c r="A158" s="11"/>
      <c r="B158" s="11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  <c r="AO158" s="120"/>
      <c r="AP158" s="120"/>
      <c r="AQ158" s="120"/>
      <c r="AR158" s="120"/>
      <c r="AS158" s="120"/>
      <c r="AT158" s="120"/>
      <c r="AU158" s="120"/>
      <c r="AV158" s="120"/>
      <c r="AW158" s="120"/>
      <c r="AX158" s="120"/>
      <c r="AY158" s="120"/>
      <c r="AZ158" s="120"/>
    </row>
    <row r="159">
      <c r="A159" s="11"/>
      <c r="B159" s="11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  <c r="W159" s="120"/>
      <c r="X159" s="120"/>
      <c r="Y159" s="120"/>
      <c r="Z159" s="120"/>
      <c r="AA159" s="120"/>
      <c r="AB159" s="120"/>
      <c r="AC159" s="120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  <c r="AO159" s="120"/>
      <c r="AP159" s="120"/>
      <c r="AQ159" s="120"/>
      <c r="AR159" s="120"/>
      <c r="AS159" s="120"/>
      <c r="AT159" s="120"/>
      <c r="AU159" s="120"/>
      <c r="AV159" s="120"/>
      <c r="AW159" s="120"/>
      <c r="AX159" s="120"/>
      <c r="AY159" s="120"/>
      <c r="AZ159" s="120"/>
    </row>
    <row r="160">
      <c r="A160" s="11"/>
      <c r="B160" s="11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  <c r="AO160" s="120"/>
      <c r="AP160" s="120"/>
      <c r="AQ160" s="120"/>
      <c r="AR160" s="120"/>
      <c r="AS160" s="120"/>
      <c r="AT160" s="120"/>
      <c r="AU160" s="120"/>
      <c r="AV160" s="120"/>
      <c r="AW160" s="120"/>
      <c r="AX160" s="120"/>
      <c r="AY160" s="120"/>
      <c r="AZ160" s="120"/>
    </row>
    <row r="161">
      <c r="A161" s="11"/>
      <c r="B161" s="11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120"/>
      <c r="AN161" s="120"/>
      <c r="AO161" s="120"/>
      <c r="AP161" s="120"/>
      <c r="AQ161" s="120"/>
      <c r="AR161" s="120"/>
      <c r="AS161" s="120"/>
      <c r="AT161" s="120"/>
      <c r="AU161" s="120"/>
      <c r="AV161" s="120"/>
      <c r="AW161" s="120"/>
      <c r="AX161" s="120"/>
      <c r="AY161" s="120"/>
      <c r="AZ161" s="120"/>
    </row>
    <row r="162">
      <c r="A162" s="11"/>
      <c r="B162" s="11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  <c r="AO162" s="120"/>
      <c r="AP162" s="120"/>
      <c r="AQ162" s="120"/>
      <c r="AR162" s="120"/>
      <c r="AS162" s="120"/>
      <c r="AT162" s="120"/>
      <c r="AU162" s="120"/>
      <c r="AV162" s="120"/>
      <c r="AW162" s="120"/>
      <c r="AX162" s="120"/>
      <c r="AY162" s="120"/>
      <c r="AZ162" s="120"/>
    </row>
    <row r="163">
      <c r="A163" s="11"/>
      <c r="B163" s="11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  <c r="AE163" s="120"/>
      <c r="AF163" s="120"/>
      <c r="AG163" s="120"/>
      <c r="AH163" s="120"/>
      <c r="AI163" s="120"/>
      <c r="AJ163" s="120"/>
      <c r="AK163" s="120"/>
      <c r="AL163" s="120"/>
      <c r="AM163" s="120"/>
      <c r="AN163" s="120"/>
      <c r="AO163" s="120"/>
      <c r="AP163" s="120"/>
      <c r="AQ163" s="120"/>
      <c r="AR163" s="120"/>
      <c r="AS163" s="120"/>
      <c r="AT163" s="120"/>
      <c r="AU163" s="120"/>
      <c r="AV163" s="120"/>
      <c r="AW163" s="120"/>
      <c r="AX163" s="120"/>
      <c r="AY163" s="120"/>
      <c r="AZ163" s="120"/>
    </row>
    <row r="164">
      <c r="A164" s="11"/>
      <c r="B164" s="11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  <c r="AE164" s="120"/>
      <c r="AF164" s="120"/>
      <c r="AG164" s="120"/>
      <c r="AH164" s="120"/>
      <c r="AI164" s="120"/>
      <c r="AJ164" s="120"/>
      <c r="AK164" s="120"/>
      <c r="AL164" s="120"/>
      <c r="AM164" s="120"/>
      <c r="AN164" s="120"/>
      <c r="AO164" s="120"/>
      <c r="AP164" s="120"/>
      <c r="AQ164" s="120"/>
      <c r="AR164" s="120"/>
      <c r="AS164" s="120"/>
      <c r="AT164" s="120"/>
      <c r="AU164" s="120"/>
      <c r="AV164" s="120"/>
      <c r="AW164" s="120"/>
      <c r="AX164" s="120"/>
      <c r="AY164" s="120"/>
      <c r="AZ164" s="120"/>
    </row>
    <row r="165">
      <c r="A165" s="11"/>
      <c r="B165" s="11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  <c r="W165" s="120"/>
      <c r="X165" s="120"/>
      <c r="Y165" s="120"/>
      <c r="Z165" s="120"/>
      <c r="AA165" s="120"/>
      <c r="AB165" s="120"/>
      <c r="AC165" s="120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  <c r="AO165" s="120"/>
      <c r="AP165" s="120"/>
      <c r="AQ165" s="120"/>
      <c r="AR165" s="120"/>
      <c r="AS165" s="120"/>
      <c r="AT165" s="120"/>
      <c r="AU165" s="120"/>
      <c r="AV165" s="120"/>
      <c r="AW165" s="120"/>
      <c r="AX165" s="120"/>
      <c r="AY165" s="120"/>
      <c r="AZ165" s="120"/>
    </row>
    <row r="166">
      <c r="A166" s="11"/>
      <c r="B166" s="11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  <c r="AO166" s="120"/>
      <c r="AP166" s="120"/>
      <c r="AQ166" s="120"/>
      <c r="AR166" s="120"/>
      <c r="AS166" s="120"/>
      <c r="AT166" s="120"/>
      <c r="AU166" s="120"/>
      <c r="AV166" s="120"/>
      <c r="AW166" s="120"/>
      <c r="AX166" s="120"/>
      <c r="AY166" s="120"/>
      <c r="AZ166" s="120"/>
    </row>
    <row r="167">
      <c r="A167" s="11"/>
      <c r="B167" s="11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  <c r="W167" s="120"/>
      <c r="X167" s="120"/>
      <c r="Y167" s="120"/>
      <c r="Z167" s="120"/>
      <c r="AA167" s="120"/>
      <c r="AB167" s="120"/>
      <c r="AC167" s="120"/>
      <c r="AD167" s="120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  <c r="AO167" s="120"/>
      <c r="AP167" s="120"/>
      <c r="AQ167" s="120"/>
      <c r="AR167" s="120"/>
      <c r="AS167" s="120"/>
      <c r="AT167" s="120"/>
      <c r="AU167" s="120"/>
      <c r="AV167" s="120"/>
      <c r="AW167" s="120"/>
      <c r="AX167" s="120"/>
      <c r="AY167" s="120"/>
      <c r="AZ167" s="120"/>
    </row>
    <row r="168">
      <c r="A168" s="11"/>
      <c r="B168" s="11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  <c r="W168" s="120"/>
      <c r="X168" s="120"/>
      <c r="Y168" s="120"/>
      <c r="Z168" s="120"/>
      <c r="AA168" s="120"/>
      <c r="AB168" s="120"/>
      <c r="AC168" s="120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  <c r="AO168" s="120"/>
      <c r="AP168" s="120"/>
      <c r="AQ168" s="120"/>
      <c r="AR168" s="120"/>
      <c r="AS168" s="120"/>
      <c r="AT168" s="120"/>
      <c r="AU168" s="120"/>
      <c r="AV168" s="120"/>
      <c r="AW168" s="120"/>
      <c r="AX168" s="120"/>
      <c r="AY168" s="120"/>
      <c r="AZ168" s="120"/>
    </row>
    <row r="169">
      <c r="A169" s="11"/>
      <c r="B169" s="11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  <c r="AE169" s="120"/>
      <c r="AF169" s="120"/>
      <c r="AG169" s="120"/>
      <c r="AH169" s="120"/>
      <c r="AI169" s="120"/>
      <c r="AJ169" s="120"/>
      <c r="AK169" s="120"/>
      <c r="AL169" s="120"/>
      <c r="AM169" s="120"/>
      <c r="AN169" s="120"/>
      <c r="AO169" s="120"/>
      <c r="AP169" s="120"/>
      <c r="AQ169" s="120"/>
      <c r="AR169" s="120"/>
      <c r="AS169" s="120"/>
      <c r="AT169" s="120"/>
      <c r="AU169" s="120"/>
      <c r="AV169" s="120"/>
      <c r="AW169" s="120"/>
      <c r="AX169" s="120"/>
      <c r="AY169" s="120"/>
      <c r="AZ169" s="120"/>
    </row>
    <row r="170">
      <c r="A170" s="11"/>
      <c r="B170" s="11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  <c r="W170" s="120"/>
      <c r="X170" s="120"/>
      <c r="Y170" s="120"/>
      <c r="Z170" s="120"/>
      <c r="AA170" s="120"/>
      <c r="AB170" s="120"/>
      <c r="AC170" s="120"/>
      <c r="AD170" s="120"/>
      <c r="AE170" s="120"/>
      <c r="AF170" s="120"/>
      <c r="AG170" s="120"/>
      <c r="AH170" s="120"/>
      <c r="AI170" s="120"/>
      <c r="AJ170" s="120"/>
      <c r="AK170" s="120"/>
      <c r="AL170" s="120"/>
      <c r="AM170" s="120"/>
      <c r="AN170" s="120"/>
      <c r="AO170" s="120"/>
      <c r="AP170" s="120"/>
      <c r="AQ170" s="120"/>
      <c r="AR170" s="120"/>
      <c r="AS170" s="120"/>
      <c r="AT170" s="120"/>
      <c r="AU170" s="120"/>
      <c r="AV170" s="120"/>
      <c r="AW170" s="120"/>
      <c r="AX170" s="120"/>
      <c r="AY170" s="120"/>
      <c r="AZ170" s="120"/>
    </row>
    <row r="171">
      <c r="A171" s="11"/>
      <c r="B171" s="11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  <c r="W171" s="120"/>
      <c r="X171" s="120"/>
      <c r="Y171" s="120"/>
      <c r="Z171" s="120"/>
      <c r="AA171" s="120"/>
      <c r="AB171" s="120"/>
      <c r="AC171" s="120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  <c r="AO171" s="120"/>
      <c r="AP171" s="120"/>
      <c r="AQ171" s="120"/>
      <c r="AR171" s="120"/>
      <c r="AS171" s="120"/>
      <c r="AT171" s="120"/>
      <c r="AU171" s="120"/>
      <c r="AV171" s="120"/>
      <c r="AW171" s="120"/>
      <c r="AX171" s="120"/>
      <c r="AY171" s="120"/>
      <c r="AZ171" s="120"/>
    </row>
    <row r="172">
      <c r="A172" s="11"/>
      <c r="B172" s="11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  <c r="AO172" s="120"/>
      <c r="AP172" s="120"/>
      <c r="AQ172" s="120"/>
      <c r="AR172" s="120"/>
      <c r="AS172" s="120"/>
      <c r="AT172" s="120"/>
      <c r="AU172" s="120"/>
      <c r="AV172" s="120"/>
      <c r="AW172" s="120"/>
      <c r="AX172" s="120"/>
      <c r="AY172" s="120"/>
      <c r="AZ172" s="120"/>
    </row>
    <row r="173">
      <c r="A173" s="11"/>
      <c r="B173" s="11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  <c r="W173" s="120"/>
      <c r="X173" s="120"/>
      <c r="Y173" s="120"/>
      <c r="Z173" s="120"/>
      <c r="AA173" s="120"/>
      <c r="AB173" s="120"/>
      <c r="AC173" s="120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  <c r="AO173" s="120"/>
      <c r="AP173" s="120"/>
      <c r="AQ173" s="120"/>
      <c r="AR173" s="120"/>
      <c r="AS173" s="120"/>
      <c r="AT173" s="120"/>
      <c r="AU173" s="120"/>
      <c r="AV173" s="120"/>
      <c r="AW173" s="120"/>
      <c r="AX173" s="120"/>
      <c r="AY173" s="120"/>
      <c r="AZ173" s="120"/>
    </row>
    <row r="174">
      <c r="A174" s="11"/>
      <c r="B174" s="11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  <c r="AO174" s="120"/>
      <c r="AP174" s="120"/>
      <c r="AQ174" s="120"/>
      <c r="AR174" s="120"/>
      <c r="AS174" s="120"/>
      <c r="AT174" s="120"/>
      <c r="AU174" s="120"/>
      <c r="AV174" s="120"/>
      <c r="AW174" s="120"/>
      <c r="AX174" s="120"/>
      <c r="AY174" s="120"/>
      <c r="AZ174" s="120"/>
    </row>
    <row r="175">
      <c r="A175" s="11"/>
      <c r="B175" s="11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  <c r="W175" s="120"/>
      <c r="X175" s="120"/>
      <c r="Y175" s="120"/>
      <c r="Z175" s="120"/>
      <c r="AA175" s="120"/>
      <c r="AB175" s="120"/>
      <c r="AC175" s="120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  <c r="AO175" s="120"/>
      <c r="AP175" s="120"/>
      <c r="AQ175" s="120"/>
      <c r="AR175" s="120"/>
      <c r="AS175" s="120"/>
      <c r="AT175" s="120"/>
      <c r="AU175" s="120"/>
      <c r="AV175" s="120"/>
      <c r="AW175" s="120"/>
      <c r="AX175" s="120"/>
      <c r="AY175" s="120"/>
      <c r="AZ175" s="120"/>
    </row>
    <row r="176">
      <c r="A176" s="11"/>
      <c r="B176" s="11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  <c r="W176" s="120"/>
      <c r="X176" s="120"/>
      <c r="Y176" s="120"/>
      <c r="Z176" s="120"/>
      <c r="AA176" s="120"/>
      <c r="AB176" s="120"/>
      <c r="AC176" s="120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  <c r="AO176" s="120"/>
      <c r="AP176" s="120"/>
      <c r="AQ176" s="120"/>
      <c r="AR176" s="120"/>
      <c r="AS176" s="120"/>
      <c r="AT176" s="120"/>
      <c r="AU176" s="120"/>
      <c r="AV176" s="120"/>
      <c r="AW176" s="120"/>
      <c r="AX176" s="120"/>
      <c r="AY176" s="120"/>
      <c r="AZ176" s="120"/>
    </row>
    <row r="177">
      <c r="A177" s="11"/>
      <c r="B177" s="11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  <c r="W177" s="120"/>
      <c r="X177" s="120"/>
      <c r="Y177" s="120"/>
      <c r="Z177" s="120"/>
      <c r="AA177" s="120"/>
      <c r="AB177" s="120"/>
      <c r="AC177" s="120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  <c r="AO177" s="120"/>
      <c r="AP177" s="120"/>
      <c r="AQ177" s="120"/>
      <c r="AR177" s="120"/>
      <c r="AS177" s="120"/>
      <c r="AT177" s="120"/>
      <c r="AU177" s="120"/>
      <c r="AV177" s="120"/>
      <c r="AW177" s="120"/>
      <c r="AX177" s="120"/>
      <c r="AY177" s="120"/>
      <c r="AZ177" s="120"/>
    </row>
    <row r="178">
      <c r="A178" s="11"/>
      <c r="B178" s="11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  <c r="W178" s="120"/>
      <c r="X178" s="120"/>
      <c r="Y178" s="120"/>
      <c r="Z178" s="120"/>
      <c r="AA178" s="120"/>
      <c r="AB178" s="120"/>
      <c r="AC178" s="120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  <c r="AO178" s="120"/>
      <c r="AP178" s="120"/>
      <c r="AQ178" s="120"/>
      <c r="AR178" s="120"/>
      <c r="AS178" s="120"/>
      <c r="AT178" s="120"/>
      <c r="AU178" s="120"/>
      <c r="AV178" s="120"/>
      <c r="AW178" s="120"/>
      <c r="AX178" s="120"/>
      <c r="AY178" s="120"/>
      <c r="AZ178" s="120"/>
    </row>
    <row r="179">
      <c r="A179" s="11"/>
      <c r="B179" s="11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  <c r="AE179" s="120"/>
      <c r="AF179" s="120"/>
      <c r="AG179" s="120"/>
      <c r="AH179" s="120"/>
      <c r="AI179" s="120"/>
      <c r="AJ179" s="120"/>
      <c r="AK179" s="120"/>
      <c r="AL179" s="120"/>
      <c r="AM179" s="120"/>
      <c r="AN179" s="120"/>
      <c r="AO179" s="120"/>
      <c r="AP179" s="120"/>
      <c r="AQ179" s="120"/>
      <c r="AR179" s="120"/>
      <c r="AS179" s="120"/>
      <c r="AT179" s="120"/>
      <c r="AU179" s="120"/>
      <c r="AV179" s="120"/>
      <c r="AW179" s="120"/>
      <c r="AX179" s="120"/>
      <c r="AY179" s="120"/>
      <c r="AZ179" s="120"/>
    </row>
    <row r="180">
      <c r="A180" s="11"/>
      <c r="B180" s="11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  <c r="W180" s="120"/>
      <c r="X180" s="120"/>
      <c r="Y180" s="120"/>
      <c r="Z180" s="120"/>
      <c r="AA180" s="120"/>
      <c r="AB180" s="120"/>
      <c r="AC180" s="120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  <c r="AO180" s="120"/>
      <c r="AP180" s="120"/>
      <c r="AQ180" s="120"/>
      <c r="AR180" s="120"/>
      <c r="AS180" s="120"/>
      <c r="AT180" s="120"/>
      <c r="AU180" s="120"/>
      <c r="AV180" s="120"/>
      <c r="AW180" s="120"/>
      <c r="AX180" s="120"/>
      <c r="AY180" s="120"/>
      <c r="AZ180" s="120"/>
    </row>
    <row r="181">
      <c r="A181" s="11"/>
      <c r="B181" s="11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  <c r="W181" s="120"/>
      <c r="X181" s="120"/>
      <c r="Y181" s="120"/>
      <c r="Z181" s="120"/>
      <c r="AA181" s="120"/>
      <c r="AB181" s="120"/>
      <c r="AC181" s="120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  <c r="AO181" s="120"/>
      <c r="AP181" s="120"/>
      <c r="AQ181" s="120"/>
      <c r="AR181" s="120"/>
      <c r="AS181" s="120"/>
      <c r="AT181" s="120"/>
      <c r="AU181" s="120"/>
      <c r="AV181" s="120"/>
      <c r="AW181" s="120"/>
      <c r="AX181" s="120"/>
      <c r="AY181" s="120"/>
      <c r="AZ181" s="120"/>
    </row>
    <row r="182">
      <c r="A182" s="11"/>
      <c r="B182" s="11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  <c r="W182" s="120"/>
      <c r="X182" s="120"/>
      <c r="Y182" s="120"/>
      <c r="Z182" s="120"/>
      <c r="AA182" s="120"/>
      <c r="AB182" s="120"/>
      <c r="AC182" s="120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  <c r="AO182" s="120"/>
      <c r="AP182" s="120"/>
      <c r="AQ182" s="120"/>
      <c r="AR182" s="120"/>
      <c r="AS182" s="120"/>
      <c r="AT182" s="120"/>
      <c r="AU182" s="120"/>
      <c r="AV182" s="120"/>
      <c r="AW182" s="120"/>
      <c r="AX182" s="120"/>
      <c r="AY182" s="120"/>
      <c r="AZ182" s="120"/>
    </row>
    <row r="183">
      <c r="A183" s="11"/>
      <c r="B183" s="11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  <c r="W183" s="120"/>
      <c r="X183" s="120"/>
      <c r="Y183" s="120"/>
      <c r="Z183" s="120"/>
      <c r="AA183" s="120"/>
      <c r="AB183" s="120"/>
      <c r="AC183" s="120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  <c r="AO183" s="120"/>
      <c r="AP183" s="120"/>
      <c r="AQ183" s="120"/>
      <c r="AR183" s="120"/>
      <c r="AS183" s="120"/>
      <c r="AT183" s="120"/>
      <c r="AU183" s="120"/>
      <c r="AV183" s="120"/>
      <c r="AW183" s="120"/>
      <c r="AX183" s="120"/>
      <c r="AY183" s="120"/>
      <c r="AZ183" s="120"/>
    </row>
    <row r="184">
      <c r="A184" s="11"/>
      <c r="B184" s="11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  <c r="W184" s="120"/>
      <c r="X184" s="120"/>
      <c r="Y184" s="120"/>
      <c r="Z184" s="120"/>
      <c r="AA184" s="120"/>
      <c r="AB184" s="120"/>
      <c r="AC184" s="120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  <c r="AO184" s="120"/>
      <c r="AP184" s="120"/>
      <c r="AQ184" s="120"/>
      <c r="AR184" s="120"/>
      <c r="AS184" s="120"/>
      <c r="AT184" s="120"/>
      <c r="AU184" s="120"/>
      <c r="AV184" s="120"/>
      <c r="AW184" s="120"/>
      <c r="AX184" s="120"/>
      <c r="AY184" s="120"/>
      <c r="AZ184" s="120"/>
    </row>
    <row r="185">
      <c r="A185" s="11"/>
      <c r="B185" s="11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  <c r="AO185" s="120"/>
      <c r="AP185" s="120"/>
      <c r="AQ185" s="120"/>
      <c r="AR185" s="120"/>
      <c r="AS185" s="120"/>
      <c r="AT185" s="120"/>
      <c r="AU185" s="120"/>
      <c r="AV185" s="120"/>
      <c r="AW185" s="120"/>
      <c r="AX185" s="120"/>
      <c r="AY185" s="120"/>
      <c r="AZ185" s="120"/>
    </row>
    <row r="186">
      <c r="A186" s="11"/>
      <c r="B186" s="11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  <c r="W186" s="120"/>
      <c r="X186" s="120"/>
      <c r="Y186" s="120"/>
      <c r="Z186" s="120"/>
      <c r="AA186" s="120"/>
      <c r="AB186" s="120"/>
      <c r="AC186" s="120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  <c r="AO186" s="120"/>
      <c r="AP186" s="120"/>
      <c r="AQ186" s="120"/>
      <c r="AR186" s="120"/>
      <c r="AS186" s="120"/>
      <c r="AT186" s="120"/>
      <c r="AU186" s="120"/>
      <c r="AV186" s="120"/>
      <c r="AW186" s="120"/>
      <c r="AX186" s="120"/>
      <c r="AY186" s="120"/>
      <c r="AZ186" s="120"/>
    </row>
    <row r="187">
      <c r="A187" s="11"/>
      <c r="B187" s="11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  <c r="W187" s="120"/>
      <c r="X187" s="120"/>
      <c r="Y187" s="120"/>
      <c r="Z187" s="120"/>
      <c r="AA187" s="120"/>
      <c r="AB187" s="120"/>
      <c r="AC187" s="120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  <c r="AO187" s="120"/>
      <c r="AP187" s="120"/>
      <c r="AQ187" s="120"/>
      <c r="AR187" s="120"/>
      <c r="AS187" s="120"/>
      <c r="AT187" s="120"/>
      <c r="AU187" s="120"/>
      <c r="AV187" s="120"/>
      <c r="AW187" s="120"/>
      <c r="AX187" s="120"/>
      <c r="AY187" s="120"/>
      <c r="AZ187" s="120"/>
    </row>
    <row r="188">
      <c r="A188" s="11"/>
      <c r="B188" s="11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  <c r="W188" s="120"/>
      <c r="X188" s="120"/>
      <c r="Y188" s="120"/>
      <c r="Z188" s="120"/>
      <c r="AA188" s="120"/>
      <c r="AB188" s="120"/>
      <c r="AC188" s="120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  <c r="AO188" s="120"/>
      <c r="AP188" s="120"/>
      <c r="AQ188" s="120"/>
      <c r="AR188" s="120"/>
      <c r="AS188" s="120"/>
      <c r="AT188" s="120"/>
      <c r="AU188" s="120"/>
      <c r="AV188" s="120"/>
      <c r="AW188" s="120"/>
      <c r="AX188" s="120"/>
      <c r="AY188" s="120"/>
      <c r="AZ188" s="120"/>
    </row>
    <row r="189">
      <c r="A189" s="11"/>
      <c r="B189" s="11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  <c r="W189" s="120"/>
      <c r="X189" s="120"/>
      <c r="Y189" s="120"/>
      <c r="Z189" s="120"/>
      <c r="AA189" s="120"/>
      <c r="AB189" s="120"/>
      <c r="AC189" s="120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  <c r="AO189" s="120"/>
      <c r="AP189" s="120"/>
      <c r="AQ189" s="120"/>
      <c r="AR189" s="120"/>
      <c r="AS189" s="120"/>
      <c r="AT189" s="120"/>
      <c r="AU189" s="120"/>
      <c r="AV189" s="120"/>
      <c r="AW189" s="120"/>
      <c r="AX189" s="120"/>
      <c r="AY189" s="120"/>
      <c r="AZ189" s="120"/>
    </row>
    <row r="190">
      <c r="A190" s="11"/>
      <c r="B190" s="11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  <c r="AO190" s="120"/>
      <c r="AP190" s="120"/>
      <c r="AQ190" s="120"/>
      <c r="AR190" s="120"/>
      <c r="AS190" s="120"/>
      <c r="AT190" s="120"/>
      <c r="AU190" s="120"/>
      <c r="AV190" s="120"/>
      <c r="AW190" s="120"/>
      <c r="AX190" s="120"/>
      <c r="AY190" s="120"/>
      <c r="AZ190" s="120"/>
    </row>
    <row r="191">
      <c r="A191" s="11"/>
      <c r="B191" s="11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  <c r="AO191" s="120"/>
      <c r="AP191" s="120"/>
      <c r="AQ191" s="120"/>
      <c r="AR191" s="120"/>
      <c r="AS191" s="120"/>
      <c r="AT191" s="120"/>
      <c r="AU191" s="120"/>
      <c r="AV191" s="120"/>
      <c r="AW191" s="120"/>
      <c r="AX191" s="120"/>
      <c r="AY191" s="120"/>
      <c r="AZ191" s="120"/>
    </row>
    <row r="192">
      <c r="A192" s="11"/>
      <c r="B192" s="11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  <c r="AO192" s="120"/>
      <c r="AP192" s="120"/>
      <c r="AQ192" s="120"/>
      <c r="AR192" s="120"/>
      <c r="AS192" s="120"/>
      <c r="AT192" s="120"/>
      <c r="AU192" s="120"/>
      <c r="AV192" s="120"/>
      <c r="AW192" s="120"/>
      <c r="AX192" s="120"/>
      <c r="AY192" s="120"/>
      <c r="AZ192" s="120"/>
    </row>
    <row r="193">
      <c r="A193" s="11"/>
      <c r="B193" s="11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  <c r="W193" s="120"/>
      <c r="X193" s="120"/>
      <c r="Y193" s="120"/>
      <c r="Z193" s="120"/>
      <c r="AA193" s="120"/>
      <c r="AB193" s="120"/>
      <c r="AC193" s="120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  <c r="AO193" s="120"/>
      <c r="AP193" s="120"/>
      <c r="AQ193" s="120"/>
      <c r="AR193" s="120"/>
      <c r="AS193" s="120"/>
      <c r="AT193" s="120"/>
      <c r="AU193" s="120"/>
      <c r="AV193" s="120"/>
      <c r="AW193" s="120"/>
      <c r="AX193" s="120"/>
      <c r="AY193" s="120"/>
      <c r="AZ193" s="120"/>
    </row>
    <row r="194">
      <c r="A194" s="11"/>
      <c r="B194" s="11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  <c r="AO194" s="120"/>
      <c r="AP194" s="120"/>
      <c r="AQ194" s="120"/>
      <c r="AR194" s="120"/>
      <c r="AS194" s="120"/>
      <c r="AT194" s="120"/>
      <c r="AU194" s="120"/>
      <c r="AV194" s="120"/>
      <c r="AW194" s="120"/>
      <c r="AX194" s="120"/>
      <c r="AY194" s="120"/>
      <c r="AZ194" s="120"/>
    </row>
    <row r="195">
      <c r="A195" s="11"/>
      <c r="B195" s="11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  <c r="W195" s="120"/>
      <c r="X195" s="120"/>
      <c r="Y195" s="120"/>
      <c r="Z195" s="120"/>
      <c r="AA195" s="120"/>
      <c r="AB195" s="120"/>
      <c r="AC195" s="120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  <c r="AO195" s="120"/>
      <c r="AP195" s="120"/>
      <c r="AQ195" s="120"/>
      <c r="AR195" s="120"/>
      <c r="AS195" s="120"/>
      <c r="AT195" s="120"/>
      <c r="AU195" s="120"/>
      <c r="AV195" s="120"/>
      <c r="AW195" s="120"/>
      <c r="AX195" s="120"/>
      <c r="AY195" s="120"/>
      <c r="AZ195" s="120"/>
    </row>
    <row r="196">
      <c r="A196" s="11"/>
      <c r="B196" s="11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  <c r="AO196" s="120"/>
      <c r="AP196" s="120"/>
      <c r="AQ196" s="120"/>
      <c r="AR196" s="120"/>
      <c r="AS196" s="120"/>
      <c r="AT196" s="120"/>
      <c r="AU196" s="120"/>
      <c r="AV196" s="120"/>
      <c r="AW196" s="120"/>
      <c r="AX196" s="120"/>
      <c r="AY196" s="120"/>
      <c r="AZ196" s="120"/>
    </row>
    <row r="197">
      <c r="A197" s="11"/>
      <c r="B197" s="11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  <c r="AO197" s="120"/>
      <c r="AP197" s="120"/>
      <c r="AQ197" s="120"/>
      <c r="AR197" s="120"/>
      <c r="AS197" s="120"/>
      <c r="AT197" s="120"/>
      <c r="AU197" s="120"/>
      <c r="AV197" s="120"/>
      <c r="AW197" s="120"/>
      <c r="AX197" s="120"/>
      <c r="AY197" s="120"/>
      <c r="AZ197" s="120"/>
    </row>
    <row r="198">
      <c r="A198" s="11"/>
      <c r="B198" s="11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  <c r="AO198" s="120"/>
      <c r="AP198" s="120"/>
      <c r="AQ198" s="120"/>
      <c r="AR198" s="120"/>
      <c r="AS198" s="120"/>
      <c r="AT198" s="120"/>
      <c r="AU198" s="120"/>
      <c r="AV198" s="120"/>
      <c r="AW198" s="120"/>
      <c r="AX198" s="120"/>
      <c r="AY198" s="120"/>
      <c r="AZ198" s="120"/>
    </row>
    <row r="199">
      <c r="A199" s="11"/>
      <c r="B199" s="11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  <c r="AO199" s="120"/>
      <c r="AP199" s="120"/>
      <c r="AQ199" s="120"/>
      <c r="AR199" s="120"/>
      <c r="AS199" s="120"/>
      <c r="AT199" s="120"/>
      <c r="AU199" s="120"/>
      <c r="AV199" s="120"/>
      <c r="AW199" s="120"/>
      <c r="AX199" s="120"/>
      <c r="AY199" s="120"/>
      <c r="AZ199" s="120"/>
    </row>
    <row r="200">
      <c r="A200" s="11"/>
      <c r="B200" s="11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  <c r="AO200" s="120"/>
      <c r="AP200" s="120"/>
      <c r="AQ200" s="120"/>
      <c r="AR200" s="120"/>
      <c r="AS200" s="120"/>
      <c r="AT200" s="120"/>
      <c r="AU200" s="120"/>
      <c r="AV200" s="120"/>
      <c r="AW200" s="120"/>
      <c r="AX200" s="120"/>
      <c r="AY200" s="120"/>
      <c r="AZ200" s="120"/>
    </row>
    <row r="201">
      <c r="A201" s="11"/>
      <c r="B201" s="11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  <c r="AO201" s="120"/>
      <c r="AP201" s="120"/>
      <c r="AQ201" s="120"/>
      <c r="AR201" s="120"/>
      <c r="AS201" s="120"/>
      <c r="AT201" s="120"/>
      <c r="AU201" s="120"/>
      <c r="AV201" s="120"/>
      <c r="AW201" s="120"/>
      <c r="AX201" s="120"/>
      <c r="AY201" s="120"/>
      <c r="AZ201" s="120"/>
    </row>
    <row r="202">
      <c r="A202" s="11"/>
      <c r="B202" s="11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  <c r="AO202" s="120"/>
      <c r="AP202" s="120"/>
      <c r="AQ202" s="120"/>
      <c r="AR202" s="120"/>
      <c r="AS202" s="120"/>
      <c r="AT202" s="120"/>
      <c r="AU202" s="120"/>
      <c r="AV202" s="120"/>
      <c r="AW202" s="120"/>
      <c r="AX202" s="120"/>
      <c r="AY202" s="120"/>
      <c r="AZ202" s="120"/>
    </row>
    <row r="203">
      <c r="A203" s="11"/>
      <c r="B203" s="11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  <c r="W203" s="120"/>
      <c r="X203" s="120"/>
      <c r="Y203" s="120"/>
      <c r="Z203" s="120"/>
      <c r="AA203" s="120"/>
      <c r="AB203" s="120"/>
      <c r="AC203" s="120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  <c r="AO203" s="120"/>
      <c r="AP203" s="120"/>
      <c r="AQ203" s="120"/>
      <c r="AR203" s="120"/>
      <c r="AS203" s="120"/>
      <c r="AT203" s="120"/>
      <c r="AU203" s="120"/>
      <c r="AV203" s="120"/>
      <c r="AW203" s="120"/>
      <c r="AX203" s="120"/>
      <c r="AY203" s="120"/>
      <c r="AZ203" s="120"/>
    </row>
    <row r="204">
      <c r="A204" s="11"/>
      <c r="B204" s="11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  <c r="AO204" s="120"/>
      <c r="AP204" s="120"/>
      <c r="AQ204" s="120"/>
      <c r="AR204" s="120"/>
      <c r="AS204" s="120"/>
      <c r="AT204" s="120"/>
      <c r="AU204" s="120"/>
      <c r="AV204" s="120"/>
      <c r="AW204" s="120"/>
      <c r="AX204" s="120"/>
      <c r="AY204" s="120"/>
      <c r="AZ204" s="120"/>
    </row>
    <row r="205">
      <c r="A205" s="11"/>
      <c r="B205" s="11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  <c r="W205" s="120"/>
      <c r="X205" s="120"/>
      <c r="Y205" s="120"/>
      <c r="Z205" s="120"/>
      <c r="AA205" s="120"/>
      <c r="AB205" s="120"/>
      <c r="AC205" s="120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  <c r="AO205" s="120"/>
      <c r="AP205" s="120"/>
      <c r="AQ205" s="120"/>
      <c r="AR205" s="120"/>
      <c r="AS205" s="120"/>
      <c r="AT205" s="120"/>
      <c r="AU205" s="120"/>
      <c r="AV205" s="120"/>
      <c r="AW205" s="120"/>
      <c r="AX205" s="120"/>
      <c r="AY205" s="120"/>
      <c r="AZ205" s="120"/>
    </row>
    <row r="206">
      <c r="A206" s="11"/>
      <c r="B206" s="11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  <c r="AO206" s="120"/>
      <c r="AP206" s="120"/>
      <c r="AQ206" s="120"/>
      <c r="AR206" s="120"/>
      <c r="AS206" s="120"/>
      <c r="AT206" s="120"/>
      <c r="AU206" s="120"/>
      <c r="AV206" s="120"/>
      <c r="AW206" s="120"/>
      <c r="AX206" s="120"/>
      <c r="AY206" s="120"/>
      <c r="AZ206" s="120"/>
    </row>
    <row r="207">
      <c r="A207" s="11"/>
      <c r="B207" s="11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  <c r="W207" s="120"/>
      <c r="X207" s="120"/>
      <c r="Y207" s="120"/>
      <c r="Z207" s="120"/>
      <c r="AA207" s="120"/>
      <c r="AB207" s="120"/>
      <c r="AC207" s="120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  <c r="AO207" s="120"/>
      <c r="AP207" s="120"/>
      <c r="AQ207" s="120"/>
      <c r="AR207" s="120"/>
      <c r="AS207" s="120"/>
      <c r="AT207" s="120"/>
      <c r="AU207" s="120"/>
      <c r="AV207" s="120"/>
      <c r="AW207" s="120"/>
      <c r="AX207" s="120"/>
      <c r="AY207" s="120"/>
      <c r="AZ207" s="120"/>
    </row>
    <row r="208">
      <c r="A208" s="11"/>
      <c r="B208" s="11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  <c r="AO208" s="120"/>
      <c r="AP208" s="120"/>
      <c r="AQ208" s="120"/>
      <c r="AR208" s="120"/>
      <c r="AS208" s="120"/>
      <c r="AT208" s="120"/>
      <c r="AU208" s="120"/>
      <c r="AV208" s="120"/>
      <c r="AW208" s="120"/>
      <c r="AX208" s="120"/>
      <c r="AY208" s="120"/>
      <c r="AZ208" s="120"/>
    </row>
    <row r="209">
      <c r="A209" s="11"/>
      <c r="B209" s="11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  <c r="W209" s="120"/>
      <c r="X209" s="120"/>
      <c r="Y209" s="120"/>
      <c r="Z209" s="120"/>
      <c r="AA209" s="120"/>
      <c r="AB209" s="120"/>
      <c r="AC209" s="120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  <c r="AO209" s="120"/>
      <c r="AP209" s="120"/>
      <c r="AQ209" s="120"/>
      <c r="AR209" s="120"/>
      <c r="AS209" s="120"/>
      <c r="AT209" s="120"/>
      <c r="AU209" s="120"/>
      <c r="AV209" s="120"/>
      <c r="AW209" s="120"/>
      <c r="AX209" s="120"/>
      <c r="AY209" s="120"/>
      <c r="AZ209" s="120"/>
    </row>
    <row r="210">
      <c r="A210" s="11"/>
      <c r="B210" s="11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  <c r="AO210" s="120"/>
      <c r="AP210" s="120"/>
      <c r="AQ210" s="120"/>
      <c r="AR210" s="120"/>
      <c r="AS210" s="120"/>
      <c r="AT210" s="120"/>
      <c r="AU210" s="120"/>
      <c r="AV210" s="120"/>
      <c r="AW210" s="120"/>
      <c r="AX210" s="120"/>
      <c r="AY210" s="120"/>
      <c r="AZ210" s="120"/>
    </row>
    <row r="211">
      <c r="A211" s="11"/>
      <c r="B211" s="11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  <c r="AO211" s="120"/>
      <c r="AP211" s="120"/>
      <c r="AQ211" s="120"/>
      <c r="AR211" s="120"/>
      <c r="AS211" s="120"/>
      <c r="AT211" s="120"/>
      <c r="AU211" s="120"/>
      <c r="AV211" s="120"/>
      <c r="AW211" s="120"/>
      <c r="AX211" s="120"/>
      <c r="AY211" s="120"/>
      <c r="AZ211" s="120"/>
    </row>
    <row r="212">
      <c r="A212" s="11"/>
      <c r="B212" s="11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  <c r="AO212" s="120"/>
      <c r="AP212" s="120"/>
      <c r="AQ212" s="120"/>
      <c r="AR212" s="120"/>
      <c r="AS212" s="120"/>
      <c r="AT212" s="120"/>
      <c r="AU212" s="120"/>
      <c r="AV212" s="120"/>
      <c r="AW212" s="120"/>
      <c r="AX212" s="120"/>
      <c r="AY212" s="120"/>
      <c r="AZ212" s="120"/>
    </row>
    <row r="213">
      <c r="A213" s="11"/>
      <c r="B213" s="11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  <c r="AO213" s="120"/>
      <c r="AP213" s="120"/>
      <c r="AQ213" s="120"/>
      <c r="AR213" s="120"/>
      <c r="AS213" s="120"/>
      <c r="AT213" s="120"/>
      <c r="AU213" s="120"/>
      <c r="AV213" s="120"/>
      <c r="AW213" s="120"/>
      <c r="AX213" s="120"/>
      <c r="AY213" s="120"/>
      <c r="AZ213" s="120"/>
    </row>
    <row r="214">
      <c r="A214" s="11"/>
      <c r="B214" s="11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  <c r="AO214" s="120"/>
      <c r="AP214" s="120"/>
      <c r="AQ214" s="120"/>
      <c r="AR214" s="120"/>
      <c r="AS214" s="120"/>
      <c r="AT214" s="120"/>
      <c r="AU214" s="120"/>
      <c r="AV214" s="120"/>
      <c r="AW214" s="120"/>
      <c r="AX214" s="120"/>
      <c r="AY214" s="120"/>
      <c r="AZ214" s="120"/>
    </row>
    <row r="215">
      <c r="A215" s="11"/>
      <c r="B215" s="11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  <c r="W215" s="120"/>
      <c r="X215" s="120"/>
      <c r="Y215" s="120"/>
      <c r="Z215" s="120"/>
      <c r="AA215" s="120"/>
      <c r="AB215" s="120"/>
      <c r="AC215" s="120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  <c r="AO215" s="120"/>
      <c r="AP215" s="120"/>
      <c r="AQ215" s="120"/>
      <c r="AR215" s="120"/>
      <c r="AS215" s="120"/>
      <c r="AT215" s="120"/>
      <c r="AU215" s="120"/>
      <c r="AV215" s="120"/>
      <c r="AW215" s="120"/>
      <c r="AX215" s="120"/>
      <c r="AY215" s="120"/>
      <c r="AZ215" s="120"/>
    </row>
    <row r="216">
      <c r="A216" s="11"/>
      <c r="B216" s="11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  <c r="AO216" s="120"/>
      <c r="AP216" s="120"/>
      <c r="AQ216" s="120"/>
      <c r="AR216" s="120"/>
      <c r="AS216" s="120"/>
      <c r="AT216" s="120"/>
      <c r="AU216" s="120"/>
      <c r="AV216" s="120"/>
      <c r="AW216" s="120"/>
      <c r="AX216" s="120"/>
      <c r="AY216" s="120"/>
      <c r="AZ216" s="120"/>
    </row>
    <row r="217">
      <c r="A217" s="11"/>
      <c r="B217" s="11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  <c r="W217" s="120"/>
      <c r="X217" s="120"/>
      <c r="Y217" s="120"/>
      <c r="Z217" s="120"/>
      <c r="AA217" s="120"/>
      <c r="AB217" s="120"/>
      <c r="AC217" s="120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  <c r="AO217" s="120"/>
      <c r="AP217" s="120"/>
      <c r="AQ217" s="120"/>
      <c r="AR217" s="120"/>
      <c r="AS217" s="120"/>
      <c r="AT217" s="120"/>
      <c r="AU217" s="120"/>
      <c r="AV217" s="120"/>
      <c r="AW217" s="120"/>
      <c r="AX217" s="120"/>
      <c r="AY217" s="120"/>
      <c r="AZ217" s="120"/>
    </row>
    <row r="218">
      <c r="A218" s="11"/>
      <c r="B218" s="11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  <c r="W218" s="120"/>
      <c r="X218" s="120"/>
      <c r="Y218" s="120"/>
      <c r="Z218" s="120"/>
      <c r="AA218" s="120"/>
      <c r="AB218" s="120"/>
      <c r="AC218" s="120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  <c r="AO218" s="120"/>
      <c r="AP218" s="120"/>
      <c r="AQ218" s="120"/>
      <c r="AR218" s="120"/>
      <c r="AS218" s="120"/>
      <c r="AT218" s="120"/>
      <c r="AU218" s="120"/>
      <c r="AV218" s="120"/>
      <c r="AW218" s="120"/>
      <c r="AX218" s="120"/>
      <c r="AY218" s="120"/>
      <c r="AZ218" s="120"/>
    </row>
    <row r="219">
      <c r="A219" s="11"/>
      <c r="B219" s="11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  <c r="W219" s="120"/>
      <c r="X219" s="120"/>
      <c r="Y219" s="120"/>
      <c r="Z219" s="120"/>
      <c r="AA219" s="120"/>
      <c r="AB219" s="120"/>
      <c r="AC219" s="120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  <c r="AO219" s="120"/>
      <c r="AP219" s="120"/>
      <c r="AQ219" s="120"/>
      <c r="AR219" s="120"/>
      <c r="AS219" s="120"/>
      <c r="AT219" s="120"/>
      <c r="AU219" s="120"/>
      <c r="AV219" s="120"/>
      <c r="AW219" s="120"/>
      <c r="AX219" s="120"/>
      <c r="AY219" s="120"/>
      <c r="AZ219" s="120"/>
    </row>
    <row r="220">
      <c r="A220" s="11"/>
      <c r="B220" s="11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  <c r="W220" s="120"/>
      <c r="X220" s="120"/>
      <c r="Y220" s="120"/>
      <c r="Z220" s="120"/>
      <c r="AA220" s="120"/>
      <c r="AB220" s="120"/>
      <c r="AC220" s="120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  <c r="AO220" s="120"/>
      <c r="AP220" s="120"/>
      <c r="AQ220" s="120"/>
      <c r="AR220" s="120"/>
      <c r="AS220" s="120"/>
      <c r="AT220" s="120"/>
      <c r="AU220" s="120"/>
      <c r="AV220" s="120"/>
      <c r="AW220" s="120"/>
      <c r="AX220" s="120"/>
      <c r="AY220" s="120"/>
      <c r="AZ220" s="120"/>
    </row>
    <row r="221">
      <c r="A221" s="11"/>
      <c r="B221" s="11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  <c r="W221" s="120"/>
      <c r="X221" s="120"/>
      <c r="Y221" s="120"/>
      <c r="Z221" s="120"/>
      <c r="AA221" s="120"/>
      <c r="AB221" s="120"/>
      <c r="AC221" s="120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  <c r="AO221" s="120"/>
      <c r="AP221" s="120"/>
      <c r="AQ221" s="120"/>
      <c r="AR221" s="120"/>
      <c r="AS221" s="120"/>
      <c r="AT221" s="120"/>
      <c r="AU221" s="120"/>
      <c r="AV221" s="120"/>
      <c r="AW221" s="120"/>
      <c r="AX221" s="120"/>
      <c r="AY221" s="120"/>
      <c r="AZ221" s="120"/>
    </row>
    <row r="222">
      <c r="A222" s="11"/>
      <c r="B222" s="11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  <c r="AO222" s="120"/>
      <c r="AP222" s="120"/>
      <c r="AQ222" s="120"/>
      <c r="AR222" s="120"/>
      <c r="AS222" s="120"/>
      <c r="AT222" s="120"/>
      <c r="AU222" s="120"/>
      <c r="AV222" s="120"/>
      <c r="AW222" s="120"/>
      <c r="AX222" s="120"/>
      <c r="AY222" s="120"/>
      <c r="AZ222" s="120"/>
    </row>
    <row r="223">
      <c r="A223" s="11"/>
      <c r="B223" s="11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  <c r="W223" s="120"/>
      <c r="X223" s="120"/>
      <c r="Y223" s="120"/>
      <c r="Z223" s="120"/>
      <c r="AA223" s="120"/>
      <c r="AB223" s="120"/>
      <c r="AC223" s="120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  <c r="AO223" s="120"/>
      <c r="AP223" s="120"/>
      <c r="AQ223" s="120"/>
      <c r="AR223" s="120"/>
      <c r="AS223" s="120"/>
      <c r="AT223" s="120"/>
      <c r="AU223" s="120"/>
      <c r="AV223" s="120"/>
      <c r="AW223" s="120"/>
      <c r="AX223" s="120"/>
      <c r="AY223" s="120"/>
      <c r="AZ223" s="120"/>
    </row>
    <row r="224">
      <c r="A224" s="11"/>
      <c r="B224" s="11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  <c r="W224" s="120"/>
      <c r="X224" s="120"/>
      <c r="Y224" s="120"/>
      <c r="Z224" s="120"/>
      <c r="AA224" s="120"/>
      <c r="AB224" s="120"/>
      <c r="AC224" s="120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  <c r="AO224" s="120"/>
      <c r="AP224" s="120"/>
      <c r="AQ224" s="120"/>
      <c r="AR224" s="120"/>
      <c r="AS224" s="120"/>
      <c r="AT224" s="120"/>
      <c r="AU224" s="120"/>
      <c r="AV224" s="120"/>
      <c r="AW224" s="120"/>
      <c r="AX224" s="120"/>
      <c r="AY224" s="120"/>
      <c r="AZ224" s="120"/>
    </row>
    <row r="225">
      <c r="A225" s="11"/>
      <c r="B225" s="11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  <c r="W225" s="120"/>
      <c r="X225" s="120"/>
      <c r="Y225" s="120"/>
      <c r="Z225" s="120"/>
      <c r="AA225" s="120"/>
      <c r="AB225" s="120"/>
      <c r="AC225" s="120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</row>
    <row r="226">
      <c r="A226" s="11"/>
      <c r="B226" s="11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  <c r="W226" s="120"/>
      <c r="X226" s="120"/>
      <c r="Y226" s="120"/>
      <c r="Z226" s="120"/>
      <c r="AA226" s="120"/>
      <c r="AB226" s="120"/>
      <c r="AC226" s="120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  <c r="AO226" s="120"/>
      <c r="AP226" s="120"/>
      <c r="AQ226" s="120"/>
      <c r="AR226" s="120"/>
      <c r="AS226" s="120"/>
      <c r="AT226" s="120"/>
      <c r="AU226" s="120"/>
      <c r="AV226" s="120"/>
      <c r="AW226" s="120"/>
      <c r="AX226" s="120"/>
      <c r="AY226" s="120"/>
      <c r="AZ226" s="120"/>
    </row>
    <row r="227">
      <c r="A227" s="11"/>
      <c r="B227" s="11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  <c r="W227" s="120"/>
      <c r="X227" s="120"/>
      <c r="Y227" s="120"/>
      <c r="Z227" s="120"/>
      <c r="AA227" s="120"/>
      <c r="AB227" s="120"/>
      <c r="AC227" s="120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  <c r="AO227" s="120"/>
      <c r="AP227" s="120"/>
      <c r="AQ227" s="120"/>
      <c r="AR227" s="120"/>
      <c r="AS227" s="120"/>
      <c r="AT227" s="120"/>
      <c r="AU227" s="120"/>
      <c r="AV227" s="120"/>
      <c r="AW227" s="120"/>
      <c r="AX227" s="120"/>
      <c r="AY227" s="120"/>
      <c r="AZ227" s="120"/>
    </row>
    <row r="228">
      <c r="A228" s="11"/>
      <c r="B228" s="11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  <c r="W228" s="120"/>
      <c r="X228" s="120"/>
      <c r="Y228" s="120"/>
      <c r="Z228" s="120"/>
      <c r="AA228" s="120"/>
      <c r="AB228" s="120"/>
      <c r="AC228" s="120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  <c r="AO228" s="120"/>
      <c r="AP228" s="120"/>
      <c r="AQ228" s="120"/>
      <c r="AR228" s="120"/>
      <c r="AS228" s="120"/>
      <c r="AT228" s="120"/>
      <c r="AU228" s="120"/>
      <c r="AV228" s="120"/>
      <c r="AW228" s="120"/>
      <c r="AX228" s="120"/>
      <c r="AY228" s="120"/>
      <c r="AZ228" s="120"/>
    </row>
    <row r="229">
      <c r="A229" s="11"/>
      <c r="B229" s="11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  <c r="AO229" s="120"/>
      <c r="AP229" s="120"/>
      <c r="AQ229" s="120"/>
      <c r="AR229" s="120"/>
      <c r="AS229" s="120"/>
      <c r="AT229" s="120"/>
      <c r="AU229" s="120"/>
      <c r="AV229" s="120"/>
      <c r="AW229" s="120"/>
      <c r="AX229" s="120"/>
      <c r="AY229" s="120"/>
      <c r="AZ229" s="120"/>
    </row>
    <row r="230">
      <c r="A230" s="11"/>
      <c r="B230" s="11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  <c r="W230" s="120"/>
      <c r="X230" s="120"/>
      <c r="Y230" s="120"/>
      <c r="Z230" s="120"/>
      <c r="AA230" s="120"/>
      <c r="AB230" s="120"/>
      <c r="AC230" s="120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  <c r="AO230" s="120"/>
      <c r="AP230" s="120"/>
      <c r="AQ230" s="120"/>
      <c r="AR230" s="120"/>
      <c r="AS230" s="120"/>
      <c r="AT230" s="120"/>
      <c r="AU230" s="120"/>
      <c r="AV230" s="120"/>
      <c r="AW230" s="120"/>
      <c r="AX230" s="120"/>
      <c r="AY230" s="120"/>
      <c r="AZ230" s="120"/>
    </row>
    <row r="231">
      <c r="A231" s="11"/>
      <c r="B231" s="11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  <c r="W231" s="120"/>
      <c r="X231" s="120"/>
      <c r="Y231" s="120"/>
      <c r="Z231" s="120"/>
      <c r="AA231" s="120"/>
      <c r="AB231" s="120"/>
      <c r="AC231" s="120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  <c r="AO231" s="120"/>
      <c r="AP231" s="120"/>
      <c r="AQ231" s="120"/>
      <c r="AR231" s="120"/>
      <c r="AS231" s="120"/>
      <c r="AT231" s="120"/>
      <c r="AU231" s="120"/>
      <c r="AV231" s="120"/>
      <c r="AW231" s="120"/>
      <c r="AX231" s="120"/>
      <c r="AY231" s="120"/>
      <c r="AZ231" s="120"/>
    </row>
    <row r="232">
      <c r="A232" s="11"/>
      <c r="B232" s="11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  <c r="W232" s="120"/>
      <c r="X232" s="120"/>
      <c r="Y232" s="120"/>
      <c r="Z232" s="120"/>
      <c r="AA232" s="120"/>
      <c r="AB232" s="120"/>
      <c r="AC232" s="120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  <c r="AO232" s="120"/>
      <c r="AP232" s="120"/>
      <c r="AQ232" s="120"/>
      <c r="AR232" s="120"/>
      <c r="AS232" s="120"/>
      <c r="AT232" s="120"/>
      <c r="AU232" s="120"/>
      <c r="AV232" s="120"/>
      <c r="AW232" s="120"/>
      <c r="AX232" s="120"/>
      <c r="AY232" s="120"/>
      <c r="AZ232" s="120"/>
    </row>
    <row r="233">
      <c r="A233" s="11"/>
      <c r="B233" s="11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  <c r="W233" s="120"/>
      <c r="X233" s="120"/>
      <c r="Y233" s="120"/>
      <c r="Z233" s="120"/>
      <c r="AA233" s="120"/>
      <c r="AB233" s="120"/>
      <c r="AC233" s="120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  <c r="AO233" s="120"/>
      <c r="AP233" s="120"/>
      <c r="AQ233" s="120"/>
      <c r="AR233" s="120"/>
      <c r="AS233" s="120"/>
      <c r="AT233" s="120"/>
      <c r="AU233" s="120"/>
      <c r="AV233" s="120"/>
      <c r="AW233" s="120"/>
      <c r="AX233" s="120"/>
      <c r="AY233" s="120"/>
      <c r="AZ233" s="120"/>
    </row>
    <row r="234">
      <c r="A234" s="11"/>
      <c r="B234" s="11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  <c r="W234" s="120"/>
      <c r="X234" s="120"/>
      <c r="Y234" s="120"/>
      <c r="Z234" s="120"/>
      <c r="AA234" s="120"/>
      <c r="AB234" s="120"/>
      <c r="AC234" s="120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  <c r="AO234" s="120"/>
      <c r="AP234" s="120"/>
      <c r="AQ234" s="120"/>
      <c r="AR234" s="120"/>
      <c r="AS234" s="120"/>
      <c r="AT234" s="120"/>
      <c r="AU234" s="120"/>
      <c r="AV234" s="120"/>
      <c r="AW234" s="120"/>
      <c r="AX234" s="120"/>
      <c r="AY234" s="120"/>
      <c r="AZ234" s="120"/>
    </row>
    <row r="235">
      <c r="A235" s="11"/>
      <c r="B235" s="11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  <c r="W235" s="120"/>
      <c r="X235" s="120"/>
      <c r="Y235" s="120"/>
      <c r="Z235" s="120"/>
      <c r="AA235" s="120"/>
      <c r="AB235" s="120"/>
      <c r="AC235" s="120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  <c r="AO235" s="120"/>
      <c r="AP235" s="120"/>
      <c r="AQ235" s="120"/>
      <c r="AR235" s="120"/>
      <c r="AS235" s="120"/>
      <c r="AT235" s="120"/>
      <c r="AU235" s="120"/>
      <c r="AV235" s="120"/>
      <c r="AW235" s="120"/>
      <c r="AX235" s="120"/>
      <c r="AY235" s="120"/>
      <c r="AZ235" s="120"/>
    </row>
    <row r="236">
      <c r="A236" s="11"/>
      <c r="B236" s="11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  <c r="AO236" s="120"/>
      <c r="AP236" s="120"/>
      <c r="AQ236" s="120"/>
      <c r="AR236" s="120"/>
      <c r="AS236" s="120"/>
      <c r="AT236" s="120"/>
      <c r="AU236" s="120"/>
      <c r="AV236" s="120"/>
      <c r="AW236" s="120"/>
      <c r="AX236" s="120"/>
      <c r="AY236" s="120"/>
      <c r="AZ236" s="120"/>
    </row>
    <row r="237">
      <c r="A237" s="11"/>
      <c r="B237" s="11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  <c r="W237" s="120"/>
      <c r="X237" s="120"/>
      <c r="Y237" s="120"/>
      <c r="Z237" s="120"/>
      <c r="AA237" s="120"/>
      <c r="AB237" s="120"/>
      <c r="AC237" s="120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  <c r="AO237" s="120"/>
      <c r="AP237" s="120"/>
      <c r="AQ237" s="120"/>
      <c r="AR237" s="120"/>
      <c r="AS237" s="120"/>
      <c r="AT237" s="120"/>
      <c r="AU237" s="120"/>
      <c r="AV237" s="120"/>
      <c r="AW237" s="120"/>
      <c r="AX237" s="120"/>
      <c r="AY237" s="120"/>
      <c r="AZ237" s="120"/>
    </row>
    <row r="238">
      <c r="A238" s="11"/>
      <c r="B238" s="11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  <c r="W238" s="120"/>
      <c r="X238" s="120"/>
      <c r="Y238" s="120"/>
      <c r="Z238" s="120"/>
      <c r="AA238" s="120"/>
      <c r="AB238" s="120"/>
      <c r="AC238" s="120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  <c r="AO238" s="120"/>
      <c r="AP238" s="120"/>
      <c r="AQ238" s="120"/>
      <c r="AR238" s="120"/>
      <c r="AS238" s="120"/>
      <c r="AT238" s="120"/>
      <c r="AU238" s="120"/>
      <c r="AV238" s="120"/>
      <c r="AW238" s="120"/>
      <c r="AX238" s="120"/>
      <c r="AY238" s="120"/>
      <c r="AZ238" s="120"/>
    </row>
    <row r="239">
      <c r="A239" s="11"/>
      <c r="B239" s="11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  <c r="W239" s="120"/>
      <c r="X239" s="120"/>
      <c r="Y239" s="120"/>
      <c r="Z239" s="120"/>
      <c r="AA239" s="120"/>
      <c r="AB239" s="120"/>
      <c r="AC239" s="120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  <c r="AO239" s="120"/>
      <c r="AP239" s="120"/>
      <c r="AQ239" s="120"/>
      <c r="AR239" s="120"/>
      <c r="AS239" s="120"/>
      <c r="AT239" s="120"/>
      <c r="AU239" s="120"/>
      <c r="AV239" s="120"/>
      <c r="AW239" s="120"/>
      <c r="AX239" s="120"/>
      <c r="AY239" s="120"/>
      <c r="AZ239" s="120"/>
    </row>
    <row r="240">
      <c r="A240" s="11"/>
      <c r="B240" s="11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  <c r="W240" s="120"/>
      <c r="X240" s="120"/>
      <c r="Y240" s="120"/>
      <c r="Z240" s="120"/>
      <c r="AA240" s="120"/>
      <c r="AB240" s="120"/>
      <c r="AC240" s="120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  <c r="AO240" s="120"/>
      <c r="AP240" s="120"/>
      <c r="AQ240" s="120"/>
      <c r="AR240" s="120"/>
      <c r="AS240" s="120"/>
      <c r="AT240" s="120"/>
      <c r="AU240" s="120"/>
      <c r="AV240" s="120"/>
      <c r="AW240" s="120"/>
      <c r="AX240" s="120"/>
      <c r="AY240" s="120"/>
      <c r="AZ240" s="120"/>
    </row>
    <row r="241">
      <c r="A241" s="11"/>
      <c r="B241" s="11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  <c r="W241" s="120"/>
      <c r="X241" s="120"/>
      <c r="Y241" s="120"/>
      <c r="Z241" s="120"/>
      <c r="AA241" s="120"/>
      <c r="AB241" s="120"/>
      <c r="AC241" s="120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  <c r="AO241" s="120"/>
      <c r="AP241" s="120"/>
      <c r="AQ241" s="120"/>
      <c r="AR241" s="120"/>
      <c r="AS241" s="120"/>
      <c r="AT241" s="120"/>
      <c r="AU241" s="120"/>
      <c r="AV241" s="120"/>
      <c r="AW241" s="120"/>
      <c r="AX241" s="120"/>
      <c r="AY241" s="120"/>
      <c r="AZ241" s="120"/>
    </row>
    <row r="242">
      <c r="A242" s="11"/>
      <c r="B242" s="11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  <c r="AO242" s="120"/>
      <c r="AP242" s="120"/>
      <c r="AQ242" s="120"/>
      <c r="AR242" s="120"/>
      <c r="AS242" s="120"/>
      <c r="AT242" s="120"/>
      <c r="AU242" s="120"/>
      <c r="AV242" s="120"/>
      <c r="AW242" s="120"/>
      <c r="AX242" s="120"/>
      <c r="AY242" s="120"/>
      <c r="AZ242" s="120"/>
    </row>
    <row r="243">
      <c r="A243" s="11"/>
      <c r="B243" s="11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  <c r="W243" s="120"/>
      <c r="X243" s="120"/>
      <c r="Y243" s="120"/>
      <c r="Z243" s="120"/>
      <c r="AA243" s="120"/>
      <c r="AB243" s="120"/>
      <c r="AC243" s="120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  <c r="AO243" s="120"/>
      <c r="AP243" s="120"/>
      <c r="AQ243" s="120"/>
      <c r="AR243" s="120"/>
      <c r="AS243" s="120"/>
      <c r="AT243" s="120"/>
      <c r="AU243" s="120"/>
      <c r="AV243" s="120"/>
      <c r="AW243" s="120"/>
      <c r="AX243" s="120"/>
      <c r="AY243" s="120"/>
      <c r="AZ243" s="120"/>
    </row>
    <row r="244">
      <c r="A244" s="11"/>
      <c r="B244" s="11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  <c r="W244" s="120"/>
      <c r="X244" s="120"/>
      <c r="Y244" s="120"/>
      <c r="Z244" s="120"/>
      <c r="AA244" s="120"/>
      <c r="AB244" s="120"/>
      <c r="AC244" s="120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  <c r="AO244" s="120"/>
      <c r="AP244" s="120"/>
      <c r="AQ244" s="120"/>
      <c r="AR244" s="120"/>
      <c r="AS244" s="120"/>
      <c r="AT244" s="120"/>
      <c r="AU244" s="120"/>
      <c r="AV244" s="120"/>
      <c r="AW244" s="120"/>
      <c r="AX244" s="120"/>
      <c r="AY244" s="120"/>
      <c r="AZ244" s="120"/>
    </row>
    <row r="245">
      <c r="A245" s="11"/>
      <c r="B245" s="11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  <c r="W245" s="120"/>
      <c r="X245" s="120"/>
      <c r="Y245" s="120"/>
      <c r="Z245" s="120"/>
      <c r="AA245" s="120"/>
      <c r="AB245" s="120"/>
      <c r="AC245" s="120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  <c r="AO245" s="120"/>
      <c r="AP245" s="120"/>
      <c r="AQ245" s="120"/>
      <c r="AR245" s="120"/>
      <c r="AS245" s="120"/>
      <c r="AT245" s="120"/>
      <c r="AU245" s="120"/>
      <c r="AV245" s="120"/>
      <c r="AW245" s="120"/>
      <c r="AX245" s="120"/>
      <c r="AY245" s="120"/>
      <c r="AZ245" s="120"/>
    </row>
    <row r="246">
      <c r="A246" s="11"/>
      <c r="B246" s="11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  <c r="W246" s="120"/>
      <c r="X246" s="120"/>
      <c r="Y246" s="120"/>
      <c r="Z246" s="120"/>
      <c r="AA246" s="120"/>
      <c r="AB246" s="120"/>
      <c r="AC246" s="120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  <c r="AO246" s="120"/>
      <c r="AP246" s="120"/>
      <c r="AQ246" s="120"/>
      <c r="AR246" s="120"/>
      <c r="AS246" s="120"/>
      <c r="AT246" s="120"/>
      <c r="AU246" s="120"/>
      <c r="AV246" s="120"/>
      <c r="AW246" s="120"/>
      <c r="AX246" s="120"/>
      <c r="AY246" s="120"/>
      <c r="AZ246" s="120"/>
    </row>
    <row r="247">
      <c r="A247" s="11"/>
      <c r="B247" s="11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  <c r="AO247" s="120"/>
      <c r="AP247" s="120"/>
      <c r="AQ247" s="120"/>
      <c r="AR247" s="120"/>
      <c r="AS247" s="120"/>
      <c r="AT247" s="120"/>
      <c r="AU247" s="120"/>
      <c r="AV247" s="120"/>
      <c r="AW247" s="120"/>
      <c r="AX247" s="120"/>
      <c r="AY247" s="120"/>
      <c r="AZ247" s="120"/>
    </row>
    <row r="248">
      <c r="A248" s="11"/>
      <c r="B248" s="11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  <c r="W248" s="120"/>
      <c r="X248" s="120"/>
      <c r="Y248" s="120"/>
      <c r="Z248" s="120"/>
      <c r="AA248" s="120"/>
      <c r="AB248" s="120"/>
      <c r="AC248" s="120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  <c r="AO248" s="120"/>
      <c r="AP248" s="120"/>
      <c r="AQ248" s="120"/>
      <c r="AR248" s="120"/>
      <c r="AS248" s="120"/>
      <c r="AT248" s="120"/>
      <c r="AU248" s="120"/>
      <c r="AV248" s="120"/>
      <c r="AW248" s="120"/>
      <c r="AX248" s="120"/>
      <c r="AY248" s="120"/>
      <c r="AZ248" s="120"/>
    </row>
    <row r="249">
      <c r="A249" s="11"/>
      <c r="B249" s="11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  <c r="AO249" s="120"/>
      <c r="AP249" s="120"/>
      <c r="AQ249" s="120"/>
      <c r="AR249" s="120"/>
      <c r="AS249" s="120"/>
      <c r="AT249" s="120"/>
      <c r="AU249" s="120"/>
      <c r="AV249" s="120"/>
      <c r="AW249" s="120"/>
      <c r="AX249" s="120"/>
      <c r="AY249" s="120"/>
      <c r="AZ249" s="120"/>
    </row>
    <row r="250">
      <c r="A250" s="11"/>
      <c r="B250" s="11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  <c r="W250" s="120"/>
      <c r="X250" s="120"/>
      <c r="Y250" s="120"/>
      <c r="Z250" s="120"/>
      <c r="AA250" s="120"/>
      <c r="AB250" s="120"/>
      <c r="AC250" s="120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  <c r="AO250" s="120"/>
      <c r="AP250" s="120"/>
      <c r="AQ250" s="120"/>
      <c r="AR250" s="120"/>
      <c r="AS250" s="120"/>
      <c r="AT250" s="120"/>
      <c r="AU250" s="120"/>
      <c r="AV250" s="120"/>
      <c r="AW250" s="120"/>
      <c r="AX250" s="120"/>
      <c r="AY250" s="120"/>
      <c r="AZ250" s="120"/>
    </row>
    <row r="251">
      <c r="A251" s="11"/>
      <c r="B251" s="11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  <c r="AO251" s="120"/>
      <c r="AP251" s="120"/>
      <c r="AQ251" s="120"/>
      <c r="AR251" s="120"/>
      <c r="AS251" s="120"/>
      <c r="AT251" s="120"/>
      <c r="AU251" s="120"/>
      <c r="AV251" s="120"/>
      <c r="AW251" s="120"/>
      <c r="AX251" s="120"/>
      <c r="AY251" s="120"/>
      <c r="AZ251" s="120"/>
    </row>
    <row r="252">
      <c r="A252" s="11"/>
      <c r="B252" s="11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  <c r="W252" s="120"/>
      <c r="X252" s="120"/>
      <c r="Y252" s="120"/>
      <c r="Z252" s="120"/>
      <c r="AA252" s="120"/>
      <c r="AB252" s="120"/>
      <c r="AC252" s="120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  <c r="AO252" s="120"/>
      <c r="AP252" s="120"/>
      <c r="AQ252" s="120"/>
      <c r="AR252" s="120"/>
      <c r="AS252" s="120"/>
      <c r="AT252" s="120"/>
      <c r="AU252" s="120"/>
      <c r="AV252" s="120"/>
      <c r="AW252" s="120"/>
      <c r="AX252" s="120"/>
      <c r="AY252" s="120"/>
      <c r="AZ252" s="120"/>
    </row>
    <row r="253">
      <c r="A253" s="11"/>
      <c r="B253" s="11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  <c r="W253" s="120"/>
      <c r="X253" s="120"/>
      <c r="Y253" s="120"/>
      <c r="Z253" s="120"/>
      <c r="AA253" s="120"/>
      <c r="AB253" s="120"/>
      <c r="AC253" s="120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  <c r="AO253" s="120"/>
      <c r="AP253" s="120"/>
      <c r="AQ253" s="120"/>
      <c r="AR253" s="120"/>
      <c r="AS253" s="120"/>
      <c r="AT253" s="120"/>
      <c r="AU253" s="120"/>
      <c r="AV253" s="120"/>
      <c r="AW253" s="120"/>
      <c r="AX253" s="120"/>
      <c r="AY253" s="120"/>
      <c r="AZ253" s="120"/>
    </row>
    <row r="254">
      <c r="A254" s="11"/>
      <c r="B254" s="11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  <c r="W254" s="120"/>
      <c r="X254" s="120"/>
      <c r="Y254" s="120"/>
      <c r="Z254" s="120"/>
      <c r="AA254" s="120"/>
      <c r="AB254" s="120"/>
      <c r="AC254" s="120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  <c r="AO254" s="120"/>
      <c r="AP254" s="120"/>
      <c r="AQ254" s="120"/>
      <c r="AR254" s="120"/>
      <c r="AS254" s="120"/>
      <c r="AT254" s="120"/>
      <c r="AU254" s="120"/>
      <c r="AV254" s="120"/>
      <c r="AW254" s="120"/>
      <c r="AX254" s="120"/>
      <c r="AY254" s="120"/>
      <c r="AZ254" s="120"/>
    </row>
    <row r="255">
      <c r="A255" s="11"/>
      <c r="B255" s="11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  <c r="W255" s="120"/>
      <c r="X255" s="120"/>
      <c r="Y255" s="120"/>
      <c r="Z255" s="120"/>
      <c r="AA255" s="120"/>
      <c r="AB255" s="120"/>
      <c r="AC255" s="120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  <c r="AO255" s="120"/>
      <c r="AP255" s="120"/>
      <c r="AQ255" s="120"/>
      <c r="AR255" s="120"/>
      <c r="AS255" s="120"/>
      <c r="AT255" s="120"/>
      <c r="AU255" s="120"/>
      <c r="AV255" s="120"/>
      <c r="AW255" s="120"/>
      <c r="AX255" s="120"/>
      <c r="AY255" s="120"/>
      <c r="AZ255" s="120"/>
    </row>
    <row r="256">
      <c r="A256" s="11"/>
      <c r="B256" s="11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  <c r="W256" s="120"/>
      <c r="X256" s="120"/>
      <c r="Y256" s="120"/>
      <c r="Z256" s="120"/>
      <c r="AA256" s="120"/>
      <c r="AB256" s="120"/>
      <c r="AC256" s="120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  <c r="AO256" s="120"/>
      <c r="AP256" s="120"/>
      <c r="AQ256" s="120"/>
      <c r="AR256" s="120"/>
      <c r="AS256" s="120"/>
      <c r="AT256" s="120"/>
      <c r="AU256" s="120"/>
      <c r="AV256" s="120"/>
      <c r="AW256" s="120"/>
      <c r="AX256" s="120"/>
      <c r="AY256" s="120"/>
      <c r="AZ256" s="120"/>
    </row>
    <row r="257">
      <c r="A257" s="11"/>
      <c r="B257" s="11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  <c r="W257" s="120"/>
      <c r="X257" s="120"/>
      <c r="Y257" s="120"/>
      <c r="Z257" s="120"/>
      <c r="AA257" s="120"/>
      <c r="AB257" s="120"/>
      <c r="AC257" s="120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  <c r="AO257" s="120"/>
      <c r="AP257" s="120"/>
      <c r="AQ257" s="120"/>
      <c r="AR257" s="120"/>
      <c r="AS257" s="120"/>
      <c r="AT257" s="120"/>
      <c r="AU257" s="120"/>
      <c r="AV257" s="120"/>
      <c r="AW257" s="120"/>
      <c r="AX257" s="120"/>
      <c r="AY257" s="120"/>
      <c r="AZ257" s="120"/>
    </row>
    <row r="258">
      <c r="A258" s="11"/>
      <c r="B258" s="11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  <c r="W258" s="120"/>
      <c r="X258" s="120"/>
      <c r="Y258" s="120"/>
      <c r="Z258" s="120"/>
      <c r="AA258" s="120"/>
      <c r="AB258" s="120"/>
      <c r="AC258" s="120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  <c r="AO258" s="120"/>
      <c r="AP258" s="120"/>
      <c r="AQ258" s="120"/>
      <c r="AR258" s="120"/>
      <c r="AS258" s="120"/>
      <c r="AT258" s="120"/>
      <c r="AU258" s="120"/>
      <c r="AV258" s="120"/>
      <c r="AW258" s="120"/>
      <c r="AX258" s="120"/>
      <c r="AY258" s="120"/>
      <c r="AZ258" s="120"/>
    </row>
    <row r="259">
      <c r="A259" s="11"/>
      <c r="B259" s="11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  <c r="W259" s="120"/>
      <c r="X259" s="120"/>
      <c r="Y259" s="120"/>
      <c r="Z259" s="120"/>
      <c r="AA259" s="120"/>
      <c r="AB259" s="120"/>
      <c r="AC259" s="120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  <c r="AO259" s="120"/>
      <c r="AP259" s="120"/>
      <c r="AQ259" s="120"/>
      <c r="AR259" s="120"/>
      <c r="AS259" s="120"/>
      <c r="AT259" s="120"/>
      <c r="AU259" s="120"/>
      <c r="AV259" s="120"/>
      <c r="AW259" s="120"/>
      <c r="AX259" s="120"/>
      <c r="AY259" s="120"/>
      <c r="AZ259" s="120"/>
    </row>
    <row r="260">
      <c r="A260" s="11"/>
      <c r="B260" s="11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  <c r="W260" s="120"/>
      <c r="X260" s="120"/>
      <c r="Y260" s="120"/>
      <c r="Z260" s="120"/>
      <c r="AA260" s="120"/>
      <c r="AB260" s="120"/>
      <c r="AC260" s="120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  <c r="AO260" s="120"/>
      <c r="AP260" s="120"/>
      <c r="AQ260" s="120"/>
      <c r="AR260" s="120"/>
      <c r="AS260" s="120"/>
      <c r="AT260" s="120"/>
      <c r="AU260" s="120"/>
      <c r="AV260" s="120"/>
      <c r="AW260" s="120"/>
      <c r="AX260" s="120"/>
      <c r="AY260" s="120"/>
      <c r="AZ260" s="120"/>
    </row>
    <row r="261">
      <c r="A261" s="11"/>
      <c r="B261" s="11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  <c r="W261" s="120"/>
      <c r="X261" s="120"/>
      <c r="Y261" s="120"/>
      <c r="Z261" s="120"/>
      <c r="AA261" s="120"/>
      <c r="AB261" s="120"/>
      <c r="AC261" s="120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  <c r="AO261" s="120"/>
      <c r="AP261" s="120"/>
      <c r="AQ261" s="120"/>
      <c r="AR261" s="120"/>
      <c r="AS261" s="120"/>
      <c r="AT261" s="120"/>
      <c r="AU261" s="120"/>
      <c r="AV261" s="120"/>
      <c r="AW261" s="120"/>
      <c r="AX261" s="120"/>
      <c r="AY261" s="120"/>
      <c r="AZ261" s="120"/>
    </row>
    <row r="262">
      <c r="A262" s="11"/>
      <c r="B262" s="11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  <c r="W262" s="120"/>
      <c r="X262" s="120"/>
      <c r="Y262" s="120"/>
      <c r="Z262" s="120"/>
      <c r="AA262" s="120"/>
      <c r="AB262" s="120"/>
      <c r="AC262" s="120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  <c r="AO262" s="120"/>
      <c r="AP262" s="120"/>
      <c r="AQ262" s="120"/>
      <c r="AR262" s="120"/>
      <c r="AS262" s="120"/>
      <c r="AT262" s="120"/>
      <c r="AU262" s="120"/>
      <c r="AV262" s="120"/>
      <c r="AW262" s="120"/>
      <c r="AX262" s="120"/>
      <c r="AY262" s="120"/>
      <c r="AZ262" s="120"/>
    </row>
    <row r="263">
      <c r="A263" s="11"/>
      <c r="B263" s="11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  <c r="W263" s="120"/>
      <c r="X263" s="120"/>
      <c r="Y263" s="120"/>
      <c r="Z263" s="120"/>
      <c r="AA263" s="120"/>
      <c r="AB263" s="120"/>
      <c r="AC263" s="120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  <c r="AO263" s="120"/>
      <c r="AP263" s="120"/>
      <c r="AQ263" s="120"/>
      <c r="AR263" s="120"/>
      <c r="AS263" s="120"/>
      <c r="AT263" s="120"/>
      <c r="AU263" s="120"/>
      <c r="AV263" s="120"/>
      <c r="AW263" s="120"/>
      <c r="AX263" s="120"/>
      <c r="AY263" s="120"/>
      <c r="AZ263" s="120"/>
    </row>
    <row r="264">
      <c r="A264" s="11"/>
      <c r="B264" s="11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  <c r="W264" s="120"/>
      <c r="X264" s="120"/>
      <c r="Y264" s="120"/>
      <c r="Z264" s="120"/>
      <c r="AA264" s="120"/>
      <c r="AB264" s="120"/>
      <c r="AC264" s="120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  <c r="AO264" s="120"/>
      <c r="AP264" s="120"/>
      <c r="AQ264" s="120"/>
      <c r="AR264" s="120"/>
      <c r="AS264" s="120"/>
      <c r="AT264" s="120"/>
      <c r="AU264" s="120"/>
      <c r="AV264" s="120"/>
      <c r="AW264" s="120"/>
      <c r="AX264" s="120"/>
      <c r="AY264" s="120"/>
      <c r="AZ264" s="120"/>
    </row>
    <row r="265">
      <c r="A265" s="11"/>
      <c r="B265" s="11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  <c r="W265" s="120"/>
      <c r="X265" s="120"/>
      <c r="Y265" s="120"/>
      <c r="Z265" s="120"/>
      <c r="AA265" s="120"/>
      <c r="AB265" s="120"/>
      <c r="AC265" s="120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  <c r="AO265" s="120"/>
      <c r="AP265" s="120"/>
      <c r="AQ265" s="120"/>
      <c r="AR265" s="120"/>
      <c r="AS265" s="120"/>
      <c r="AT265" s="120"/>
      <c r="AU265" s="120"/>
      <c r="AV265" s="120"/>
      <c r="AW265" s="120"/>
      <c r="AX265" s="120"/>
      <c r="AY265" s="120"/>
      <c r="AZ265" s="120"/>
    </row>
    <row r="266">
      <c r="A266" s="11"/>
      <c r="B266" s="11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  <c r="W266" s="120"/>
      <c r="X266" s="120"/>
      <c r="Y266" s="120"/>
      <c r="Z266" s="120"/>
      <c r="AA266" s="120"/>
      <c r="AB266" s="120"/>
      <c r="AC266" s="120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  <c r="AO266" s="120"/>
      <c r="AP266" s="120"/>
      <c r="AQ266" s="120"/>
      <c r="AR266" s="120"/>
      <c r="AS266" s="120"/>
      <c r="AT266" s="120"/>
      <c r="AU266" s="120"/>
      <c r="AV266" s="120"/>
      <c r="AW266" s="120"/>
      <c r="AX266" s="120"/>
      <c r="AY266" s="120"/>
      <c r="AZ266" s="120"/>
    </row>
    <row r="267">
      <c r="A267" s="11"/>
      <c r="B267" s="11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  <c r="W267" s="120"/>
      <c r="X267" s="120"/>
      <c r="Y267" s="120"/>
      <c r="Z267" s="120"/>
      <c r="AA267" s="120"/>
      <c r="AB267" s="120"/>
      <c r="AC267" s="120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  <c r="AO267" s="120"/>
      <c r="AP267" s="120"/>
      <c r="AQ267" s="120"/>
      <c r="AR267" s="120"/>
      <c r="AS267" s="120"/>
      <c r="AT267" s="120"/>
      <c r="AU267" s="120"/>
      <c r="AV267" s="120"/>
      <c r="AW267" s="120"/>
      <c r="AX267" s="120"/>
      <c r="AY267" s="120"/>
      <c r="AZ267" s="120"/>
    </row>
    <row r="268">
      <c r="A268" s="11"/>
      <c r="B268" s="11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  <c r="W268" s="120"/>
      <c r="X268" s="120"/>
      <c r="Y268" s="120"/>
      <c r="Z268" s="120"/>
      <c r="AA268" s="120"/>
      <c r="AB268" s="120"/>
      <c r="AC268" s="120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  <c r="AO268" s="120"/>
      <c r="AP268" s="120"/>
      <c r="AQ268" s="120"/>
      <c r="AR268" s="120"/>
      <c r="AS268" s="120"/>
      <c r="AT268" s="120"/>
      <c r="AU268" s="120"/>
      <c r="AV268" s="120"/>
      <c r="AW268" s="120"/>
      <c r="AX268" s="120"/>
      <c r="AY268" s="120"/>
      <c r="AZ268" s="120"/>
    </row>
    <row r="269">
      <c r="A269" s="11"/>
      <c r="B269" s="11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  <c r="W269" s="120"/>
      <c r="X269" s="120"/>
      <c r="Y269" s="120"/>
      <c r="Z269" s="120"/>
      <c r="AA269" s="120"/>
      <c r="AB269" s="120"/>
      <c r="AC269" s="120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  <c r="AO269" s="120"/>
      <c r="AP269" s="120"/>
      <c r="AQ269" s="120"/>
      <c r="AR269" s="120"/>
      <c r="AS269" s="120"/>
      <c r="AT269" s="120"/>
      <c r="AU269" s="120"/>
      <c r="AV269" s="120"/>
      <c r="AW269" s="120"/>
      <c r="AX269" s="120"/>
      <c r="AY269" s="120"/>
      <c r="AZ269" s="120"/>
    </row>
    <row r="270">
      <c r="A270" s="11"/>
      <c r="B270" s="11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  <c r="W270" s="120"/>
      <c r="X270" s="120"/>
      <c r="Y270" s="120"/>
      <c r="Z270" s="120"/>
      <c r="AA270" s="120"/>
      <c r="AB270" s="120"/>
      <c r="AC270" s="120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  <c r="AO270" s="120"/>
      <c r="AP270" s="120"/>
      <c r="AQ270" s="120"/>
      <c r="AR270" s="120"/>
      <c r="AS270" s="120"/>
      <c r="AT270" s="120"/>
      <c r="AU270" s="120"/>
      <c r="AV270" s="120"/>
      <c r="AW270" s="120"/>
      <c r="AX270" s="120"/>
      <c r="AY270" s="120"/>
      <c r="AZ270" s="120"/>
    </row>
    <row r="271">
      <c r="A271" s="11"/>
      <c r="B271" s="11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  <c r="W271" s="120"/>
      <c r="X271" s="120"/>
      <c r="Y271" s="120"/>
      <c r="Z271" s="120"/>
      <c r="AA271" s="120"/>
      <c r="AB271" s="120"/>
      <c r="AC271" s="120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  <c r="AO271" s="120"/>
      <c r="AP271" s="120"/>
      <c r="AQ271" s="120"/>
      <c r="AR271" s="120"/>
      <c r="AS271" s="120"/>
      <c r="AT271" s="120"/>
      <c r="AU271" s="120"/>
      <c r="AV271" s="120"/>
      <c r="AW271" s="120"/>
      <c r="AX271" s="120"/>
      <c r="AY271" s="120"/>
      <c r="AZ271" s="120"/>
    </row>
    <row r="272">
      <c r="A272" s="11"/>
      <c r="B272" s="11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  <c r="W272" s="120"/>
      <c r="X272" s="120"/>
      <c r="Y272" s="120"/>
      <c r="Z272" s="120"/>
      <c r="AA272" s="120"/>
      <c r="AB272" s="120"/>
      <c r="AC272" s="120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  <c r="AO272" s="120"/>
      <c r="AP272" s="120"/>
      <c r="AQ272" s="120"/>
      <c r="AR272" s="120"/>
      <c r="AS272" s="120"/>
      <c r="AT272" s="120"/>
      <c r="AU272" s="120"/>
      <c r="AV272" s="120"/>
      <c r="AW272" s="120"/>
      <c r="AX272" s="120"/>
      <c r="AY272" s="120"/>
      <c r="AZ272" s="120"/>
    </row>
    <row r="273">
      <c r="A273" s="11"/>
      <c r="B273" s="11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  <c r="W273" s="120"/>
      <c r="X273" s="120"/>
      <c r="Y273" s="120"/>
      <c r="Z273" s="120"/>
      <c r="AA273" s="120"/>
      <c r="AB273" s="120"/>
      <c r="AC273" s="120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  <c r="AO273" s="120"/>
      <c r="AP273" s="120"/>
      <c r="AQ273" s="120"/>
      <c r="AR273" s="120"/>
      <c r="AS273" s="120"/>
      <c r="AT273" s="120"/>
      <c r="AU273" s="120"/>
      <c r="AV273" s="120"/>
      <c r="AW273" s="120"/>
      <c r="AX273" s="120"/>
      <c r="AY273" s="120"/>
      <c r="AZ273" s="120"/>
    </row>
    <row r="274">
      <c r="A274" s="11"/>
      <c r="B274" s="11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  <c r="W274" s="120"/>
      <c r="X274" s="120"/>
      <c r="Y274" s="120"/>
      <c r="Z274" s="120"/>
      <c r="AA274" s="120"/>
      <c r="AB274" s="120"/>
      <c r="AC274" s="120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  <c r="AO274" s="120"/>
      <c r="AP274" s="120"/>
      <c r="AQ274" s="120"/>
      <c r="AR274" s="120"/>
      <c r="AS274" s="120"/>
      <c r="AT274" s="120"/>
      <c r="AU274" s="120"/>
      <c r="AV274" s="120"/>
      <c r="AW274" s="120"/>
      <c r="AX274" s="120"/>
      <c r="AY274" s="120"/>
      <c r="AZ274" s="120"/>
    </row>
    <row r="275">
      <c r="A275" s="11"/>
      <c r="B275" s="11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  <c r="AO275" s="120"/>
      <c r="AP275" s="120"/>
      <c r="AQ275" s="120"/>
      <c r="AR275" s="120"/>
      <c r="AS275" s="120"/>
      <c r="AT275" s="120"/>
      <c r="AU275" s="120"/>
      <c r="AV275" s="120"/>
      <c r="AW275" s="120"/>
      <c r="AX275" s="120"/>
      <c r="AY275" s="120"/>
      <c r="AZ275" s="120"/>
    </row>
    <row r="276">
      <c r="A276" s="11"/>
      <c r="B276" s="11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  <c r="AO276" s="120"/>
      <c r="AP276" s="120"/>
      <c r="AQ276" s="120"/>
      <c r="AR276" s="120"/>
      <c r="AS276" s="120"/>
      <c r="AT276" s="120"/>
      <c r="AU276" s="120"/>
      <c r="AV276" s="120"/>
      <c r="AW276" s="120"/>
      <c r="AX276" s="120"/>
      <c r="AY276" s="120"/>
      <c r="AZ276" s="120"/>
    </row>
    <row r="277">
      <c r="A277" s="11"/>
      <c r="B277" s="11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  <c r="AO277" s="120"/>
      <c r="AP277" s="120"/>
      <c r="AQ277" s="120"/>
      <c r="AR277" s="120"/>
      <c r="AS277" s="120"/>
      <c r="AT277" s="120"/>
      <c r="AU277" s="120"/>
      <c r="AV277" s="120"/>
      <c r="AW277" s="120"/>
      <c r="AX277" s="120"/>
      <c r="AY277" s="120"/>
      <c r="AZ277" s="120"/>
    </row>
    <row r="278">
      <c r="A278" s="11"/>
      <c r="B278" s="11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  <c r="AO278" s="120"/>
      <c r="AP278" s="120"/>
      <c r="AQ278" s="120"/>
      <c r="AR278" s="120"/>
      <c r="AS278" s="120"/>
      <c r="AT278" s="120"/>
      <c r="AU278" s="120"/>
      <c r="AV278" s="120"/>
      <c r="AW278" s="120"/>
      <c r="AX278" s="120"/>
      <c r="AY278" s="120"/>
      <c r="AZ278" s="120"/>
    </row>
    <row r="279">
      <c r="A279" s="11"/>
      <c r="B279" s="11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  <c r="AO279" s="120"/>
      <c r="AP279" s="120"/>
      <c r="AQ279" s="120"/>
      <c r="AR279" s="120"/>
      <c r="AS279" s="120"/>
      <c r="AT279" s="120"/>
      <c r="AU279" s="120"/>
      <c r="AV279" s="120"/>
      <c r="AW279" s="120"/>
      <c r="AX279" s="120"/>
      <c r="AY279" s="120"/>
      <c r="AZ279" s="120"/>
    </row>
    <row r="280">
      <c r="A280" s="11"/>
      <c r="B280" s="11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  <c r="AO280" s="120"/>
      <c r="AP280" s="120"/>
      <c r="AQ280" s="120"/>
      <c r="AR280" s="120"/>
      <c r="AS280" s="120"/>
      <c r="AT280" s="120"/>
      <c r="AU280" s="120"/>
      <c r="AV280" s="120"/>
      <c r="AW280" s="120"/>
      <c r="AX280" s="120"/>
      <c r="AY280" s="120"/>
      <c r="AZ280" s="120"/>
    </row>
    <row r="281">
      <c r="A281" s="11"/>
      <c r="B281" s="11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  <c r="AO281" s="120"/>
      <c r="AP281" s="120"/>
      <c r="AQ281" s="120"/>
      <c r="AR281" s="120"/>
      <c r="AS281" s="120"/>
      <c r="AT281" s="120"/>
      <c r="AU281" s="120"/>
      <c r="AV281" s="120"/>
      <c r="AW281" s="120"/>
      <c r="AX281" s="120"/>
      <c r="AY281" s="120"/>
      <c r="AZ281" s="120"/>
    </row>
    <row r="282">
      <c r="A282" s="11"/>
      <c r="B282" s="11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  <c r="AO282" s="120"/>
      <c r="AP282" s="120"/>
      <c r="AQ282" s="120"/>
      <c r="AR282" s="120"/>
      <c r="AS282" s="120"/>
      <c r="AT282" s="120"/>
      <c r="AU282" s="120"/>
      <c r="AV282" s="120"/>
      <c r="AW282" s="120"/>
      <c r="AX282" s="120"/>
      <c r="AY282" s="120"/>
      <c r="AZ282" s="120"/>
    </row>
    <row r="283">
      <c r="A283" s="11"/>
      <c r="B283" s="11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  <c r="AO283" s="120"/>
      <c r="AP283" s="120"/>
      <c r="AQ283" s="120"/>
      <c r="AR283" s="120"/>
      <c r="AS283" s="120"/>
      <c r="AT283" s="120"/>
      <c r="AU283" s="120"/>
      <c r="AV283" s="120"/>
      <c r="AW283" s="120"/>
      <c r="AX283" s="120"/>
      <c r="AY283" s="120"/>
      <c r="AZ283" s="120"/>
    </row>
    <row r="284">
      <c r="A284" s="11"/>
      <c r="B284" s="11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  <c r="AO284" s="120"/>
      <c r="AP284" s="120"/>
      <c r="AQ284" s="120"/>
      <c r="AR284" s="120"/>
      <c r="AS284" s="120"/>
      <c r="AT284" s="120"/>
      <c r="AU284" s="120"/>
      <c r="AV284" s="120"/>
      <c r="AW284" s="120"/>
      <c r="AX284" s="120"/>
      <c r="AY284" s="120"/>
      <c r="AZ284" s="120"/>
    </row>
    <row r="285">
      <c r="A285" s="11"/>
      <c r="B285" s="11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  <c r="AO285" s="120"/>
      <c r="AP285" s="120"/>
      <c r="AQ285" s="120"/>
      <c r="AR285" s="120"/>
      <c r="AS285" s="120"/>
      <c r="AT285" s="120"/>
      <c r="AU285" s="120"/>
      <c r="AV285" s="120"/>
      <c r="AW285" s="120"/>
      <c r="AX285" s="120"/>
      <c r="AY285" s="120"/>
      <c r="AZ285" s="120"/>
    </row>
    <row r="286">
      <c r="A286" s="11"/>
      <c r="B286" s="11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  <c r="AO286" s="120"/>
      <c r="AP286" s="120"/>
      <c r="AQ286" s="120"/>
      <c r="AR286" s="120"/>
      <c r="AS286" s="120"/>
      <c r="AT286" s="120"/>
      <c r="AU286" s="120"/>
      <c r="AV286" s="120"/>
      <c r="AW286" s="120"/>
      <c r="AX286" s="120"/>
      <c r="AY286" s="120"/>
      <c r="AZ286" s="120"/>
    </row>
    <row r="287">
      <c r="A287" s="11"/>
      <c r="B287" s="11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  <c r="AO287" s="120"/>
      <c r="AP287" s="120"/>
      <c r="AQ287" s="120"/>
      <c r="AR287" s="120"/>
      <c r="AS287" s="120"/>
      <c r="AT287" s="120"/>
      <c r="AU287" s="120"/>
      <c r="AV287" s="120"/>
      <c r="AW287" s="120"/>
      <c r="AX287" s="120"/>
      <c r="AY287" s="120"/>
      <c r="AZ287" s="120"/>
    </row>
    <row r="288">
      <c r="A288" s="11"/>
      <c r="B288" s="11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  <c r="AO288" s="120"/>
      <c r="AP288" s="120"/>
      <c r="AQ288" s="120"/>
      <c r="AR288" s="120"/>
      <c r="AS288" s="120"/>
      <c r="AT288" s="120"/>
      <c r="AU288" s="120"/>
      <c r="AV288" s="120"/>
      <c r="AW288" s="120"/>
      <c r="AX288" s="120"/>
      <c r="AY288" s="120"/>
      <c r="AZ288" s="120"/>
    </row>
    <row r="289">
      <c r="A289" s="11"/>
      <c r="B289" s="11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  <c r="AO289" s="120"/>
      <c r="AP289" s="120"/>
      <c r="AQ289" s="120"/>
      <c r="AR289" s="120"/>
      <c r="AS289" s="120"/>
      <c r="AT289" s="120"/>
      <c r="AU289" s="120"/>
      <c r="AV289" s="120"/>
      <c r="AW289" s="120"/>
      <c r="AX289" s="120"/>
      <c r="AY289" s="120"/>
      <c r="AZ289" s="120"/>
    </row>
    <row r="290">
      <c r="A290" s="11"/>
      <c r="B290" s="11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  <c r="AO290" s="120"/>
      <c r="AP290" s="120"/>
      <c r="AQ290" s="120"/>
      <c r="AR290" s="120"/>
      <c r="AS290" s="120"/>
      <c r="AT290" s="120"/>
      <c r="AU290" s="120"/>
      <c r="AV290" s="120"/>
      <c r="AW290" s="120"/>
      <c r="AX290" s="120"/>
      <c r="AY290" s="120"/>
      <c r="AZ290" s="120"/>
    </row>
    <row r="291">
      <c r="A291" s="11"/>
      <c r="B291" s="11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  <c r="AO291" s="120"/>
      <c r="AP291" s="120"/>
      <c r="AQ291" s="120"/>
      <c r="AR291" s="120"/>
      <c r="AS291" s="120"/>
      <c r="AT291" s="120"/>
      <c r="AU291" s="120"/>
      <c r="AV291" s="120"/>
      <c r="AW291" s="120"/>
      <c r="AX291" s="120"/>
      <c r="AY291" s="120"/>
      <c r="AZ291" s="120"/>
    </row>
    <row r="292">
      <c r="A292" s="11"/>
      <c r="B292" s="11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  <c r="AO292" s="120"/>
      <c r="AP292" s="120"/>
      <c r="AQ292" s="120"/>
      <c r="AR292" s="120"/>
      <c r="AS292" s="120"/>
      <c r="AT292" s="120"/>
      <c r="AU292" s="120"/>
      <c r="AV292" s="120"/>
      <c r="AW292" s="120"/>
      <c r="AX292" s="120"/>
      <c r="AY292" s="120"/>
      <c r="AZ292" s="120"/>
    </row>
    <row r="293">
      <c r="A293" s="11"/>
      <c r="B293" s="11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  <c r="W293" s="120"/>
      <c r="X293" s="120"/>
      <c r="Y293" s="120"/>
      <c r="Z293" s="120"/>
      <c r="AA293" s="120"/>
      <c r="AB293" s="120"/>
      <c r="AC293" s="120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  <c r="AO293" s="120"/>
      <c r="AP293" s="120"/>
      <c r="AQ293" s="120"/>
      <c r="AR293" s="120"/>
      <c r="AS293" s="120"/>
      <c r="AT293" s="120"/>
      <c r="AU293" s="120"/>
      <c r="AV293" s="120"/>
      <c r="AW293" s="120"/>
      <c r="AX293" s="120"/>
      <c r="AY293" s="120"/>
      <c r="AZ293" s="120"/>
    </row>
    <row r="294">
      <c r="A294" s="11"/>
      <c r="B294" s="11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  <c r="W294" s="120"/>
      <c r="X294" s="120"/>
      <c r="Y294" s="120"/>
      <c r="Z294" s="120"/>
      <c r="AA294" s="120"/>
      <c r="AB294" s="120"/>
      <c r="AC294" s="120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  <c r="AO294" s="120"/>
      <c r="AP294" s="120"/>
      <c r="AQ294" s="120"/>
      <c r="AR294" s="120"/>
      <c r="AS294" s="120"/>
      <c r="AT294" s="120"/>
      <c r="AU294" s="120"/>
      <c r="AV294" s="120"/>
      <c r="AW294" s="120"/>
      <c r="AX294" s="120"/>
      <c r="AY294" s="120"/>
      <c r="AZ294" s="120"/>
    </row>
    <row r="295">
      <c r="A295" s="11"/>
      <c r="B295" s="11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  <c r="W295" s="120"/>
      <c r="X295" s="120"/>
      <c r="Y295" s="120"/>
      <c r="Z295" s="120"/>
      <c r="AA295" s="120"/>
      <c r="AB295" s="120"/>
      <c r="AC295" s="120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  <c r="AO295" s="120"/>
      <c r="AP295" s="120"/>
      <c r="AQ295" s="120"/>
      <c r="AR295" s="120"/>
      <c r="AS295" s="120"/>
      <c r="AT295" s="120"/>
      <c r="AU295" s="120"/>
      <c r="AV295" s="120"/>
      <c r="AW295" s="120"/>
      <c r="AX295" s="120"/>
      <c r="AY295" s="120"/>
      <c r="AZ295" s="120"/>
    </row>
    <row r="296">
      <c r="A296" s="11"/>
      <c r="B296" s="11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  <c r="W296" s="120"/>
      <c r="X296" s="120"/>
      <c r="Y296" s="120"/>
      <c r="Z296" s="120"/>
      <c r="AA296" s="120"/>
      <c r="AB296" s="120"/>
      <c r="AC296" s="120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  <c r="AO296" s="120"/>
      <c r="AP296" s="120"/>
      <c r="AQ296" s="120"/>
      <c r="AR296" s="120"/>
      <c r="AS296" s="120"/>
      <c r="AT296" s="120"/>
      <c r="AU296" s="120"/>
      <c r="AV296" s="120"/>
      <c r="AW296" s="120"/>
      <c r="AX296" s="120"/>
      <c r="AY296" s="120"/>
      <c r="AZ296" s="120"/>
    </row>
    <row r="297">
      <c r="A297" s="11"/>
      <c r="B297" s="11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  <c r="W297" s="120"/>
      <c r="X297" s="120"/>
      <c r="Y297" s="120"/>
      <c r="Z297" s="120"/>
      <c r="AA297" s="120"/>
      <c r="AB297" s="120"/>
      <c r="AC297" s="120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  <c r="AO297" s="120"/>
      <c r="AP297" s="120"/>
      <c r="AQ297" s="120"/>
      <c r="AR297" s="120"/>
      <c r="AS297" s="120"/>
      <c r="AT297" s="120"/>
      <c r="AU297" s="120"/>
      <c r="AV297" s="120"/>
      <c r="AW297" s="120"/>
      <c r="AX297" s="120"/>
      <c r="AY297" s="120"/>
      <c r="AZ297" s="120"/>
    </row>
    <row r="298">
      <c r="A298" s="11"/>
      <c r="B298" s="11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  <c r="W298" s="120"/>
      <c r="X298" s="120"/>
      <c r="Y298" s="120"/>
      <c r="Z298" s="120"/>
      <c r="AA298" s="120"/>
      <c r="AB298" s="120"/>
      <c r="AC298" s="120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  <c r="AO298" s="120"/>
      <c r="AP298" s="120"/>
      <c r="AQ298" s="120"/>
      <c r="AR298" s="120"/>
      <c r="AS298" s="120"/>
      <c r="AT298" s="120"/>
      <c r="AU298" s="120"/>
      <c r="AV298" s="120"/>
      <c r="AW298" s="120"/>
      <c r="AX298" s="120"/>
      <c r="AY298" s="120"/>
      <c r="AZ298" s="120"/>
    </row>
    <row r="299">
      <c r="A299" s="11"/>
      <c r="B299" s="11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  <c r="W299" s="120"/>
      <c r="X299" s="120"/>
      <c r="Y299" s="120"/>
      <c r="Z299" s="120"/>
      <c r="AA299" s="120"/>
      <c r="AB299" s="120"/>
      <c r="AC299" s="120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  <c r="AO299" s="120"/>
      <c r="AP299" s="120"/>
      <c r="AQ299" s="120"/>
      <c r="AR299" s="120"/>
      <c r="AS299" s="120"/>
      <c r="AT299" s="120"/>
      <c r="AU299" s="120"/>
      <c r="AV299" s="120"/>
      <c r="AW299" s="120"/>
      <c r="AX299" s="120"/>
      <c r="AY299" s="120"/>
      <c r="AZ299" s="120"/>
    </row>
    <row r="300">
      <c r="A300" s="11"/>
      <c r="B300" s="11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  <c r="W300" s="120"/>
      <c r="X300" s="120"/>
      <c r="Y300" s="120"/>
      <c r="Z300" s="120"/>
      <c r="AA300" s="120"/>
      <c r="AB300" s="120"/>
      <c r="AC300" s="120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  <c r="AO300" s="120"/>
      <c r="AP300" s="120"/>
      <c r="AQ300" s="120"/>
      <c r="AR300" s="120"/>
      <c r="AS300" s="120"/>
      <c r="AT300" s="120"/>
      <c r="AU300" s="120"/>
      <c r="AV300" s="120"/>
      <c r="AW300" s="120"/>
      <c r="AX300" s="120"/>
      <c r="AY300" s="120"/>
      <c r="AZ300" s="120"/>
    </row>
    <row r="301">
      <c r="A301" s="11"/>
      <c r="B301" s="11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  <c r="W301" s="120"/>
      <c r="X301" s="120"/>
      <c r="Y301" s="120"/>
      <c r="Z301" s="120"/>
      <c r="AA301" s="120"/>
      <c r="AB301" s="120"/>
      <c r="AC301" s="120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  <c r="AO301" s="120"/>
      <c r="AP301" s="120"/>
      <c r="AQ301" s="120"/>
      <c r="AR301" s="120"/>
      <c r="AS301" s="120"/>
      <c r="AT301" s="120"/>
      <c r="AU301" s="120"/>
      <c r="AV301" s="120"/>
      <c r="AW301" s="120"/>
      <c r="AX301" s="120"/>
      <c r="AY301" s="120"/>
      <c r="AZ301" s="120"/>
    </row>
    <row r="302">
      <c r="A302" s="11"/>
      <c r="B302" s="11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  <c r="W302" s="120"/>
      <c r="X302" s="120"/>
      <c r="Y302" s="120"/>
      <c r="Z302" s="120"/>
      <c r="AA302" s="120"/>
      <c r="AB302" s="120"/>
      <c r="AC302" s="120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  <c r="AO302" s="120"/>
      <c r="AP302" s="120"/>
      <c r="AQ302" s="120"/>
      <c r="AR302" s="120"/>
      <c r="AS302" s="120"/>
      <c r="AT302" s="120"/>
      <c r="AU302" s="120"/>
      <c r="AV302" s="120"/>
      <c r="AW302" s="120"/>
      <c r="AX302" s="120"/>
      <c r="AY302" s="120"/>
      <c r="AZ302" s="120"/>
    </row>
    <row r="303">
      <c r="A303" s="11"/>
      <c r="B303" s="11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  <c r="W303" s="120"/>
      <c r="X303" s="120"/>
      <c r="Y303" s="120"/>
      <c r="Z303" s="120"/>
      <c r="AA303" s="120"/>
      <c r="AB303" s="120"/>
      <c r="AC303" s="120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  <c r="AO303" s="120"/>
      <c r="AP303" s="120"/>
      <c r="AQ303" s="120"/>
      <c r="AR303" s="120"/>
      <c r="AS303" s="120"/>
      <c r="AT303" s="120"/>
      <c r="AU303" s="120"/>
      <c r="AV303" s="120"/>
      <c r="AW303" s="120"/>
      <c r="AX303" s="120"/>
      <c r="AY303" s="120"/>
      <c r="AZ303" s="120"/>
    </row>
    <row r="304">
      <c r="A304" s="11"/>
      <c r="B304" s="11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  <c r="W304" s="120"/>
      <c r="X304" s="120"/>
      <c r="Y304" s="120"/>
      <c r="Z304" s="120"/>
      <c r="AA304" s="120"/>
      <c r="AB304" s="120"/>
      <c r="AC304" s="120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  <c r="AO304" s="120"/>
      <c r="AP304" s="120"/>
      <c r="AQ304" s="120"/>
      <c r="AR304" s="120"/>
      <c r="AS304" s="120"/>
      <c r="AT304" s="120"/>
      <c r="AU304" s="120"/>
      <c r="AV304" s="120"/>
      <c r="AW304" s="120"/>
      <c r="AX304" s="120"/>
      <c r="AY304" s="120"/>
      <c r="AZ304" s="120"/>
    </row>
    <row r="305">
      <c r="A305" s="11"/>
      <c r="B305" s="11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  <c r="W305" s="120"/>
      <c r="X305" s="120"/>
      <c r="Y305" s="120"/>
      <c r="Z305" s="120"/>
      <c r="AA305" s="120"/>
      <c r="AB305" s="120"/>
      <c r="AC305" s="120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  <c r="AO305" s="120"/>
      <c r="AP305" s="120"/>
      <c r="AQ305" s="120"/>
      <c r="AR305" s="120"/>
      <c r="AS305" s="120"/>
      <c r="AT305" s="120"/>
      <c r="AU305" s="120"/>
      <c r="AV305" s="120"/>
      <c r="AW305" s="120"/>
      <c r="AX305" s="120"/>
      <c r="AY305" s="120"/>
      <c r="AZ305" s="120"/>
    </row>
    <row r="306">
      <c r="A306" s="11"/>
      <c r="B306" s="11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  <c r="W306" s="120"/>
      <c r="X306" s="120"/>
      <c r="Y306" s="120"/>
      <c r="Z306" s="120"/>
      <c r="AA306" s="120"/>
      <c r="AB306" s="120"/>
      <c r="AC306" s="120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  <c r="AO306" s="120"/>
      <c r="AP306" s="120"/>
      <c r="AQ306" s="120"/>
      <c r="AR306" s="120"/>
      <c r="AS306" s="120"/>
      <c r="AT306" s="120"/>
      <c r="AU306" s="120"/>
      <c r="AV306" s="120"/>
      <c r="AW306" s="120"/>
      <c r="AX306" s="120"/>
      <c r="AY306" s="120"/>
      <c r="AZ306" s="120"/>
    </row>
    <row r="307">
      <c r="A307" s="11"/>
      <c r="B307" s="11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  <c r="W307" s="120"/>
      <c r="X307" s="120"/>
      <c r="Y307" s="120"/>
      <c r="Z307" s="120"/>
      <c r="AA307" s="120"/>
      <c r="AB307" s="120"/>
      <c r="AC307" s="120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  <c r="AO307" s="120"/>
      <c r="AP307" s="120"/>
      <c r="AQ307" s="120"/>
      <c r="AR307" s="120"/>
      <c r="AS307" s="120"/>
      <c r="AT307" s="120"/>
      <c r="AU307" s="120"/>
      <c r="AV307" s="120"/>
      <c r="AW307" s="120"/>
      <c r="AX307" s="120"/>
      <c r="AY307" s="120"/>
      <c r="AZ307" s="120"/>
    </row>
    <row r="308">
      <c r="A308" s="11"/>
      <c r="B308" s="11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  <c r="W308" s="120"/>
      <c r="X308" s="120"/>
      <c r="Y308" s="120"/>
      <c r="Z308" s="120"/>
      <c r="AA308" s="120"/>
      <c r="AB308" s="120"/>
      <c r="AC308" s="120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  <c r="AO308" s="120"/>
      <c r="AP308" s="120"/>
      <c r="AQ308" s="120"/>
      <c r="AR308" s="120"/>
      <c r="AS308" s="120"/>
      <c r="AT308" s="120"/>
      <c r="AU308" s="120"/>
      <c r="AV308" s="120"/>
      <c r="AW308" s="120"/>
      <c r="AX308" s="120"/>
      <c r="AY308" s="120"/>
      <c r="AZ308" s="120"/>
    </row>
    <row r="309">
      <c r="A309" s="11"/>
      <c r="B309" s="11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  <c r="W309" s="120"/>
      <c r="X309" s="120"/>
      <c r="Y309" s="120"/>
      <c r="Z309" s="120"/>
      <c r="AA309" s="120"/>
      <c r="AB309" s="120"/>
      <c r="AC309" s="120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  <c r="AO309" s="120"/>
      <c r="AP309" s="120"/>
      <c r="AQ309" s="120"/>
      <c r="AR309" s="120"/>
      <c r="AS309" s="120"/>
      <c r="AT309" s="120"/>
      <c r="AU309" s="120"/>
      <c r="AV309" s="120"/>
      <c r="AW309" s="120"/>
      <c r="AX309" s="120"/>
      <c r="AY309" s="120"/>
      <c r="AZ309" s="120"/>
    </row>
    <row r="310">
      <c r="A310" s="11"/>
      <c r="B310" s="11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  <c r="W310" s="120"/>
      <c r="X310" s="120"/>
      <c r="Y310" s="120"/>
      <c r="Z310" s="120"/>
      <c r="AA310" s="120"/>
      <c r="AB310" s="120"/>
      <c r="AC310" s="120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  <c r="AO310" s="120"/>
      <c r="AP310" s="120"/>
      <c r="AQ310" s="120"/>
      <c r="AR310" s="120"/>
      <c r="AS310" s="120"/>
      <c r="AT310" s="120"/>
      <c r="AU310" s="120"/>
      <c r="AV310" s="120"/>
      <c r="AW310" s="120"/>
      <c r="AX310" s="120"/>
      <c r="AY310" s="120"/>
      <c r="AZ310" s="120"/>
    </row>
    <row r="311">
      <c r="A311" s="11"/>
      <c r="B311" s="11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  <c r="W311" s="120"/>
      <c r="X311" s="120"/>
      <c r="Y311" s="120"/>
      <c r="Z311" s="120"/>
      <c r="AA311" s="120"/>
      <c r="AB311" s="120"/>
      <c r="AC311" s="120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  <c r="AO311" s="120"/>
      <c r="AP311" s="120"/>
      <c r="AQ311" s="120"/>
      <c r="AR311" s="120"/>
      <c r="AS311" s="120"/>
      <c r="AT311" s="120"/>
      <c r="AU311" s="120"/>
      <c r="AV311" s="120"/>
      <c r="AW311" s="120"/>
      <c r="AX311" s="120"/>
      <c r="AY311" s="120"/>
      <c r="AZ311" s="120"/>
    </row>
    <row r="312">
      <c r="A312" s="11"/>
      <c r="B312" s="11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  <c r="W312" s="120"/>
      <c r="X312" s="120"/>
      <c r="Y312" s="120"/>
      <c r="Z312" s="120"/>
      <c r="AA312" s="120"/>
      <c r="AB312" s="120"/>
      <c r="AC312" s="120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  <c r="AO312" s="120"/>
      <c r="AP312" s="120"/>
      <c r="AQ312" s="120"/>
      <c r="AR312" s="120"/>
      <c r="AS312" s="120"/>
      <c r="AT312" s="120"/>
      <c r="AU312" s="120"/>
      <c r="AV312" s="120"/>
      <c r="AW312" s="120"/>
      <c r="AX312" s="120"/>
      <c r="AY312" s="120"/>
      <c r="AZ312" s="120"/>
    </row>
    <row r="313">
      <c r="A313" s="11"/>
      <c r="B313" s="11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  <c r="W313" s="120"/>
      <c r="X313" s="120"/>
      <c r="Y313" s="120"/>
      <c r="Z313" s="120"/>
      <c r="AA313" s="120"/>
      <c r="AB313" s="120"/>
      <c r="AC313" s="120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  <c r="AO313" s="120"/>
      <c r="AP313" s="120"/>
      <c r="AQ313" s="120"/>
      <c r="AR313" s="120"/>
      <c r="AS313" s="120"/>
      <c r="AT313" s="120"/>
      <c r="AU313" s="120"/>
      <c r="AV313" s="120"/>
      <c r="AW313" s="120"/>
      <c r="AX313" s="120"/>
      <c r="AY313" s="120"/>
      <c r="AZ313" s="120"/>
    </row>
    <row r="314">
      <c r="A314" s="11"/>
      <c r="B314" s="11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  <c r="W314" s="120"/>
      <c r="X314" s="120"/>
      <c r="Y314" s="120"/>
      <c r="Z314" s="120"/>
      <c r="AA314" s="120"/>
      <c r="AB314" s="120"/>
      <c r="AC314" s="120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  <c r="AO314" s="120"/>
      <c r="AP314" s="120"/>
      <c r="AQ314" s="120"/>
      <c r="AR314" s="120"/>
      <c r="AS314" s="120"/>
      <c r="AT314" s="120"/>
      <c r="AU314" s="120"/>
      <c r="AV314" s="120"/>
      <c r="AW314" s="120"/>
      <c r="AX314" s="120"/>
      <c r="AY314" s="120"/>
      <c r="AZ314" s="120"/>
    </row>
    <row r="315">
      <c r="A315" s="11"/>
      <c r="B315" s="11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  <c r="W315" s="120"/>
      <c r="X315" s="120"/>
      <c r="Y315" s="120"/>
      <c r="Z315" s="120"/>
      <c r="AA315" s="120"/>
      <c r="AB315" s="120"/>
      <c r="AC315" s="120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  <c r="AO315" s="120"/>
      <c r="AP315" s="120"/>
      <c r="AQ315" s="120"/>
      <c r="AR315" s="120"/>
      <c r="AS315" s="120"/>
      <c r="AT315" s="120"/>
      <c r="AU315" s="120"/>
      <c r="AV315" s="120"/>
      <c r="AW315" s="120"/>
      <c r="AX315" s="120"/>
      <c r="AY315" s="120"/>
      <c r="AZ315" s="120"/>
    </row>
    <row r="316">
      <c r="A316" s="11"/>
      <c r="B316" s="11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  <c r="W316" s="120"/>
      <c r="X316" s="120"/>
      <c r="Y316" s="120"/>
      <c r="Z316" s="120"/>
      <c r="AA316" s="120"/>
      <c r="AB316" s="120"/>
      <c r="AC316" s="120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  <c r="AO316" s="120"/>
      <c r="AP316" s="120"/>
      <c r="AQ316" s="120"/>
      <c r="AR316" s="120"/>
      <c r="AS316" s="120"/>
      <c r="AT316" s="120"/>
      <c r="AU316" s="120"/>
      <c r="AV316" s="120"/>
      <c r="AW316" s="120"/>
      <c r="AX316" s="120"/>
      <c r="AY316" s="120"/>
      <c r="AZ316" s="120"/>
    </row>
    <row r="317">
      <c r="A317" s="11"/>
      <c r="B317" s="11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  <c r="W317" s="120"/>
      <c r="X317" s="120"/>
      <c r="Y317" s="120"/>
      <c r="Z317" s="120"/>
      <c r="AA317" s="120"/>
      <c r="AB317" s="120"/>
      <c r="AC317" s="120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  <c r="AO317" s="120"/>
      <c r="AP317" s="120"/>
      <c r="AQ317" s="120"/>
      <c r="AR317" s="120"/>
      <c r="AS317" s="120"/>
      <c r="AT317" s="120"/>
      <c r="AU317" s="120"/>
      <c r="AV317" s="120"/>
      <c r="AW317" s="120"/>
      <c r="AX317" s="120"/>
      <c r="AY317" s="120"/>
      <c r="AZ317" s="120"/>
    </row>
    <row r="318">
      <c r="A318" s="11"/>
      <c r="B318" s="11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  <c r="W318" s="120"/>
      <c r="X318" s="120"/>
      <c r="Y318" s="120"/>
      <c r="Z318" s="120"/>
      <c r="AA318" s="120"/>
      <c r="AB318" s="120"/>
      <c r="AC318" s="120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  <c r="AO318" s="120"/>
      <c r="AP318" s="120"/>
      <c r="AQ318" s="120"/>
      <c r="AR318" s="120"/>
      <c r="AS318" s="120"/>
      <c r="AT318" s="120"/>
      <c r="AU318" s="120"/>
      <c r="AV318" s="120"/>
      <c r="AW318" s="120"/>
      <c r="AX318" s="120"/>
      <c r="AY318" s="120"/>
      <c r="AZ318" s="120"/>
    </row>
    <row r="319">
      <c r="A319" s="11"/>
      <c r="B319" s="11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  <c r="W319" s="120"/>
      <c r="X319" s="120"/>
      <c r="Y319" s="120"/>
      <c r="Z319" s="120"/>
      <c r="AA319" s="120"/>
      <c r="AB319" s="120"/>
      <c r="AC319" s="120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  <c r="AO319" s="120"/>
      <c r="AP319" s="120"/>
      <c r="AQ319" s="120"/>
      <c r="AR319" s="120"/>
      <c r="AS319" s="120"/>
      <c r="AT319" s="120"/>
      <c r="AU319" s="120"/>
      <c r="AV319" s="120"/>
      <c r="AW319" s="120"/>
      <c r="AX319" s="120"/>
      <c r="AY319" s="120"/>
      <c r="AZ319" s="120"/>
    </row>
    <row r="320">
      <c r="A320" s="11"/>
      <c r="B320" s="11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  <c r="W320" s="120"/>
      <c r="X320" s="120"/>
      <c r="Y320" s="120"/>
      <c r="Z320" s="120"/>
      <c r="AA320" s="120"/>
      <c r="AB320" s="120"/>
      <c r="AC320" s="120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  <c r="AO320" s="120"/>
      <c r="AP320" s="120"/>
      <c r="AQ320" s="120"/>
      <c r="AR320" s="120"/>
      <c r="AS320" s="120"/>
      <c r="AT320" s="120"/>
      <c r="AU320" s="120"/>
      <c r="AV320" s="120"/>
      <c r="AW320" s="120"/>
      <c r="AX320" s="120"/>
      <c r="AY320" s="120"/>
      <c r="AZ320" s="120"/>
    </row>
    <row r="321">
      <c r="A321" s="11"/>
      <c r="B321" s="11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  <c r="W321" s="120"/>
      <c r="X321" s="120"/>
      <c r="Y321" s="120"/>
      <c r="Z321" s="120"/>
      <c r="AA321" s="120"/>
      <c r="AB321" s="120"/>
      <c r="AC321" s="120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  <c r="AO321" s="120"/>
      <c r="AP321" s="120"/>
      <c r="AQ321" s="120"/>
      <c r="AR321" s="120"/>
      <c r="AS321" s="120"/>
      <c r="AT321" s="120"/>
      <c r="AU321" s="120"/>
      <c r="AV321" s="120"/>
      <c r="AW321" s="120"/>
      <c r="AX321" s="120"/>
      <c r="AY321" s="120"/>
      <c r="AZ321" s="120"/>
    </row>
    <row r="322">
      <c r="A322" s="11"/>
      <c r="B322" s="11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  <c r="W322" s="120"/>
      <c r="X322" s="120"/>
      <c r="Y322" s="120"/>
      <c r="Z322" s="120"/>
      <c r="AA322" s="120"/>
      <c r="AB322" s="120"/>
      <c r="AC322" s="120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  <c r="AO322" s="120"/>
      <c r="AP322" s="120"/>
      <c r="AQ322" s="120"/>
      <c r="AR322" s="120"/>
      <c r="AS322" s="120"/>
      <c r="AT322" s="120"/>
      <c r="AU322" s="120"/>
      <c r="AV322" s="120"/>
      <c r="AW322" s="120"/>
      <c r="AX322" s="120"/>
      <c r="AY322" s="120"/>
      <c r="AZ322" s="120"/>
    </row>
    <row r="323">
      <c r="A323" s="11"/>
      <c r="B323" s="11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  <c r="W323" s="120"/>
      <c r="X323" s="120"/>
      <c r="Y323" s="120"/>
      <c r="Z323" s="120"/>
      <c r="AA323" s="120"/>
      <c r="AB323" s="120"/>
      <c r="AC323" s="120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  <c r="AO323" s="120"/>
      <c r="AP323" s="120"/>
      <c r="AQ323" s="120"/>
      <c r="AR323" s="120"/>
      <c r="AS323" s="120"/>
      <c r="AT323" s="120"/>
      <c r="AU323" s="120"/>
      <c r="AV323" s="120"/>
      <c r="AW323" s="120"/>
      <c r="AX323" s="120"/>
      <c r="AY323" s="120"/>
      <c r="AZ323" s="120"/>
    </row>
    <row r="324">
      <c r="A324" s="11"/>
      <c r="B324" s="11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  <c r="W324" s="120"/>
      <c r="X324" s="120"/>
      <c r="Y324" s="120"/>
      <c r="Z324" s="120"/>
      <c r="AA324" s="120"/>
      <c r="AB324" s="120"/>
      <c r="AC324" s="120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  <c r="AO324" s="120"/>
      <c r="AP324" s="120"/>
      <c r="AQ324" s="120"/>
      <c r="AR324" s="120"/>
      <c r="AS324" s="120"/>
      <c r="AT324" s="120"/>
      <c r="AU324" s="120"/>
      <c r="AV324" s="120"/>
      <c r="AW324" s="120"/>
      <c r="AX324" s="120"/>
      <c r="AY324" s="120"/>
      <c r="AZ324" s="120"/>
    </row>
    <row r="325">
      <c r="A325" s="11"/>
      <c r="B325" s="11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  <c r="W325" s="120"/>
      <c r="X325" s="120"/>
      <c r="Y325" s="120"/>
      <c r="Z325" s="120"/>
      <c r="AA325" s="120"/>
      <c r="AB325" s="120"/>
      <c r="AC325" s="120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  <c r="AO325" s="120"/>
      <c r="AP325" s="120"/>
      <c r="AQ325" s="120"/>
      <c r="AR325" s="120"/>
      <c r="AS325" s="120"/>
      <c r="AT325" s="120"/>
      <c r="AU325" s="120"/>
      <c r="AV325" s="120"/>
      <c r="AW325" s="120"/>
      <c r="AX325" s="120"/>
      <c r="AY325" s="120"/>
      <c r="AZ325" s="120"/>
    </row>
    <row r="326">
      <c r="A326" s="11"/>
      <c r="B326" s="11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  <c r="W326" s="120"/>
      <c r="X326" s="120"/>
      <c r="Y326" s="120"/>
      <c r="Z326" s="120"/>
      <c r="AA326" s="120"/>
      <c r="AB326" s="120"/>
      <c r="AC326" s="120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  <c r="AO326" s="120"/>
      <c r="AP326" s="120"/>
      <c r="AQ326" s="120"/>
      <c r="AR326" s="120"/>
      <c r="AS326" s="120"/>
      <c r="AT326" s="120"/>
      <c r="AU326" s="120"/>
      <c r="AV326" s="120"/>
      <c r="AW326" s="120"/>
      <c r="AX326" s="120"/>
      <c r="AY326" s="120"/>
      <c r="AZ326" s="120"/>
    </row>
    <row r="327">
      <c r="A327" s="11"/>
      <c r="B327" s="11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  <c r="W327" s="120"/>
      <c r="X327" s="120"/>
      <c r="Y327" s="120"/>
      <c r="Z327" s="120"/>
      <c r="AA327" s="120"/>
      <c r="AB327" s="120"/>
      <c r="AC327" s="120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  <c r="AO327" s="120"/>
      <c r="AP327" s="120"/>
      <c r="AQ327" s="120"/>
      <c r="AR327" s="120"/>
      <c r="AS327" s="120"/>
      <c r="AT327" s="120"/>
      <c r="AU327" s="120"/>
      <c r="AV327" s="120"/>
      <c r="AW327" s="120"/>
      <c r="AX327" s="120"/>
      <c r="AY327" s="120"/>
      <c r="AZ327" s="120"/>
    </row>
    <row r="328">
      <c r="A328" s="11"/>
      <c r="B328" s="11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  <c r="W328" s="120"/>
      <c r="X328" s="120"/>
      <c r="Y328" s="120"/>
      <c r="Z328" s="120"/>
      <c r="AA328" s="120"/>
      <c r="AB328" s="120"/>
      <c r="AC328" s="120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  <c r="AO328" s="120"/>
      <c r="AP328" s="120"/>
      <c r="AQ328" s="120"/>
      <c r="AR328" s="120"/>
      <c r="AS328" s="120"/>
      <c r="AT328" s="120"/>
      <c r="AU328" s="120"/>
      <c r="AV328" s="120"/>
      <c r="AW328" s="120"/>
      <c r="AX328" s="120"/>
      <c r="AY328" s="120"/>
      <c r="AZ328" s="120"/>
    </row>
    <row r="329">
      <c r="A329" s="11"/>
      <c r="B329" s="11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  <c r="W329" s="120"/>
      <c r="X329" s="120"/>
      <c r="Y329" s="120"/>
      <c r="Z329" s="120"/>
      <c r="AA329" s="120"/>
      <c r="AB329" s="120"/>
      <c r="AC329" s="120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  <c r="AO329" s="120"/>
      <c r="AP329" s="120"/>
      <c r="AQ329" s="120"/>
      <c r="AR329" s="120"/>
      <c r="AS329" s="120"/>
      <c r="AT329" s="120"/>
      <c r="AU329" s="120"/>
      <c r="AV329" s="120"/>
      <c r="AW329" s="120"/>
      <c r="AX329" s="120"/>
      <c r="AY329" s="120"/>
      <c r="AZ329" s="120"/>
    </row>
    <row r="330">
      <c r="A330" s="11"/>
      <c r="B330" s="11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  <c r="W330" s="120"/>
      <c r="X330" s="120"/>
      <c r="Y330" s="120"/>
      <c r="Z330" s="120"/>
      <c r="AA330" s="120"/>
      <c r="AB330" s="120"/>
      <c r="AC330" s="120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  <c r="AO330" s="120"/>
      <c r="AP330" s="120"/>
      <c r="AQ330" s="120"/>
      <c r="AR330" s="120"/>
      <c r="AS330" s="120"/>
      <c r="AT330" s="120"/>
      <c r="AU330" s="120"/>
      <c r="AV330" s="120"/>
      <c r="AW330" s="120"/>
      <c r="AX330" s="120"/>
      <c r="AY330" s="120"/>
      <c r="AZ330" s="120"/>
    </row>
    <row r="331">
      <c r="A331" s="11"/>
      <c r="B331" s="11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  <c r="W331" s="120"/>
      <c r="X331" s="120"/>
      <c r="Y331" s="120"/>
      <c r="Z331" s="120"/>
      <c r="AA331" s="120"/>
      <c r="AB331" s="120"/>
      <c r="AC331" s="120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  <c r="AO331" s="120"/>
      <c r="AP331" s="120"/>
      <c r="AQ331" s="120"/>
      <c r="AR331" s="120"/>
      <c r="AS331" s="120"/>
      <c r="AT331" s="120"/>
      <c r="AU331" s="120"/>
      <c r="AV331" s="120"/>
      <c r="AW331" s="120"/>
      <c r="AX331" s="120"/>
      <c r="AY331" s="120"/>
      <c r="AZ331" s="120"/>
    </row>
    <row r="332">
      <c r="A332" s="11"/>
      <c r="B332" s="11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  <c r="W332" s="120"/>
      <c r="X332" s="120"/>
      <c r="Y332" s="120"/>
      <c r="Z332" s="120"/>
      <c r="AA332" s="120"/>
      <c r="AB332" s="120"/>
      <c r="AC332" s="120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  <c r="AO332" s="120"/>
      <c r="AP332" s="120"/>
      <c r="AQ332" s="120"/>
      <c r="AR332" s="120"/>
      <c r="AS332" s="120"/>
      <c r="AT332" s="120"/>
      <c r="AU332" s="120"/>
      <c r="AV332" s="120"/>
      <c r="AW332" s="120"/>
      <c r="AX332" s="120"/>
      <c r="AY332" s="120"/>
      <c r="AZ332" s="120"/>
    </row>
    <row r="333">
      <c r="A333" s="11"/>
      <c r="B333" s="11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  <c r="W333" s="120"/>
      <c r="X333" s="120"/>
      <c r="Y333" s="120"/>
      <c r="Z333" s="120"/>
      <c r="AA333" s="120"/>
      <c r="AB333" s="120"/>
      <c r="AC333" s="120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  <c r="AO333" s="120"/>
      <c r="AP333" s="120"/>
      <c r="AQ333" s="120"/>
      <c r="AR333" s="120"/>
      <c r="AS333" s="120"/>
      <c r="AT333" s="120"/>
      <c r="AU333" s="120"/>
      <c r="AV333" s="120"/>
      <c r="AW333" s="120"/>
      <c r="AX333" s="120"/>
      <c r="AY333" s="120"/>
      <c r="AZ333" s="120"/>
    </row>
    <row r="334">
      <c r="A334" s="11"/>
      <c r="B334" s="11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  <c r="W334" s="120"/>
      <c r="X334" s="120"/>
      <c r="Y334" s="120"/>
      <c r="Z334" s="120"/>
      <c r="AA334" s="120"/>
      <c r="AB334" s="120"/>
      <c r="AC334" s="120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  <c r="AO334" s="120"/>
      <c r="AP334" s="120"/>
      <c r="AQ334" s="120"/>
      <c r="AR334" s="120"/>
      <c r="AS334" s="120"/>
      <c r="AT334" s="120"/>
      <c r="AU334" s="120"/>
      <c r="AV334" s="120"/>
      <c r="AW334" s="120"/>
      <c r="AX334" s="120"/>
      <c r="AY334" s="120"/>
      <c r="AZ334" s="120"/>
    </row>
    <row r="335">
      <c r="A335" s="11"/>
      <c r="B335" s="11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  <c r="W335" s="120"/>
      <c r="X335" s="120"/>
      <c r="Y335" s="120"/>
      <c r="Z335" s="120"/>
      <c r="AA335" s="120"/>
      <c r="AB335" s="120"/>
      <c r="AC335" s="120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  <c r="AO335" s="120"/>
      <c r="AP335" s="120"/>
      <c r="AQ335" s="120"/>
      <c r="AR335" s="120"/>
      <c r="AS335" s="120"/>
      <c r="AT335" s="120"/>
      <c r="AU335" s="120"/>
      <c r="AV335" s="120"/>
      <c r="AW335" s="120"/>
      <c r="AX335" s="120"/>
      <c r="AY335" s="120"/>
      <c r="AZ335" s="120"/>
    </row>
    <row r="336">
      <c r="A336" s="11"/>
      <c r="B336" s="11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  <c r="W336" s="120"/>
      <c r="X336" s="120"/>
      <c r="Y336" s="120"/>
      <c r="Z336" s="120"/>
      <c r="AA336" s="120"/>
      <c r="AB336" s="120"/>
      <c r="AC336" s="120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  <c r="AO336" s="120"/>
      <c r="AP336" s="120"/>
      <c r="AQ336" s="120"/>
      <c r="AR336" s="120"/>
      <c r="AS336" s="120"/>
      <c r="AT336" s="120"/>
      <c r="AU336" s="120"/>
      <c r="AV336" s="120"/>
      <c r="AW336" s="120"/>
      <c r="AX336" s="120"/>
      <c r="AY336" s="120"/>
      <c r="AZ336" s="120"/>
    </row>
    <row r="337">
      <c r="A337" s="11"/>
      <c r="B337" s="11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  <c r="W337" s="120"/>
      <c r="X337" s="120"/>
      <c r="Y337" s="120"/>
      <c r="Z337" s="120"/>
      <c r="AA337" s="120"/>
      <c r="AB337" s="120"/>
      <c r="AC337" s="120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  <c r="AO337" s="120"/>
      <c r="AP337" s="120"/>
      <c r="AQ337" s="120"/>
      <c r="AR337" s="120"/>
      <c r="AS337" s="120"/>
      <c r="AT337" s="120"/>
      <c r="AU337" s="120"/>
      <c r="AV337" s="120"/>
      <c r="AW337" s="120"/>
      <c r="AX337" s="120"/>
      <c r="AY337" s="120"/>
      <c r="AZ337" s="120"/>
    </row>
    <row r="338">
      <c r="A338" s="11"/>
      <c r="B338" s="11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  <c r="W338" s="120"/>
      <c r="X338" s="120"/>
      <c r="Y338" s="120"/>
      <c r="Z338" s="120"/>
      <c r="AA338" s="120"/>
      <c r="AB338" s="120"/>
      <c r="AC338" s="120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  <c r="AO338" s="120"/>
      <c r="AP338" s="120"/>
      <c r="AQ338" s="120"/>
      <c r="AR338" s="120"/>
      <c r="AS338" s="120"/>
      <c r="AT338" s="120"/>
      <c r="AU338" s="120"/>
      <c r="AV338" s="120"/>
      <c r="AW338" s="120"/>
      <c r="AX338" s="120"/>
      <c r="AY338" s="120"/>
      <c r="AZ338" s="120"/>
    </row>
    <row r="339">
      <c r="A339" s="11"/>
      <c r="B339" s="11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  <c r="W339" s="120"/>
      <c r="X339" s="120"/>
      <c r="Y339" s="120"/>
      <c r="Z339" s="120"/>
      <c r="AA339" s="120"/>
      <c r="AB339" s="120"/>
      <c r="AC339" s="120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  <c r="AO339" s="120"/>
      <c r="AP339" s="120"/>
      <c r="AQ339" s="120"/>
      <c r="AR339" s="120"/>
      <c r="AS339" s="120"/>
      <c r="AT339" s="120"/>
      <c r="AU339" s="120"/>
      <c r="AV339" s="120"/>
      <c r="AW339" s="120"/>
      <c r="AX339" s="120"/>
      <c r="AY339" s="120"/>
      <c r="AZ339" s="120"/>
    </row>
    <row r="340">
      <c r="A340" s="11"/>
      <c r="B340" s="11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  <c r="W340" s="120"/>
      <c r="X340" s="120"/>
      <c r="Y340" s="120"/>
      <c r="Z340" s="120"/>
      <c r="AA340" s="120"/>
      <c r="AB340" s="120"/>
      <c r="AC340" s="120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  <c r="AO340" s="120"/>
      <c r="AP340" s="120"/>
      <c r="AQ340" s="120"/>
      <c r="AR340" s="120"/>
      <c r="AS340" s="120"/>
      <c r="AT340" s="120"/>
      <c r="AU340" s="120"/>
      <c r="AV340" s="120"/>
      <c r="AW340" s="120"/>
      <c r="AX340" s="120"/>
      <c r="AY340" s="120"/>
      <c r="AZ340" s="120"/>
    </row>
    <row r="341">
      <c r="A341" s="11"/>
      <c r="B341" s="11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  <c r="W341" s="120"/>
      <c r="X341" s="120"/>
      <c r="Y341" s="120"/>
      <c r="Z341" s="120"/>
      <c r="AA341" s="120"/>
      <c r="AB341" s="120"/>
      <c r="AC341" s="120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  <c r="AO341" s="120"/>
      <c r="AP341" s="120"/>
      <c r="AQ341" s="120"/>
      <c r="AR341" s="120"/>
      <c r="AS341" s="120"/>
      <c r="AT341" s="120"/>
      <c r="AU341" s="120"/>
      <c r="AV341" s="120"/>
      <c r="AW341" s="120"/>
      <c r="AX341" s="120"/>
      <c r="AY341" s="120"/>
      <c r="AZ341" s="120"/>
    </row>
    <row r="342">
      <c r="A342" s="11"/>
      <c r="B342" s="11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  <c r="W342" s="120"/>
      <c r="X342" s="120"/>
      <c r="Y342" s="120"/>
      <c r="Z342" s="120"/>
      <c r="AA342" s="120"/>
      <c r="AB342" s="120"/>
      <c r="AC342" s="120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  <c r="AO342" s="120"/>
      <c r="AP342" s="120"/>
      <c r="AQ342" s="120"/>
      <c r="AR342" s="120"/>
      <c r="AS342" s="120"/>
      <c r="AT342" s="120"/>
      <c r="AU342" s="120"/>
      <c r="AV342" s="120"/>
      <c r="AW342" s="120"/>
      <c r="AX342" s="120"/>
      <c r="AY342" s="120"/>
      <c r="AZ342" s="120"/>
    </row>
    <row r="343">
      <c r="A343" s="11"/>
      <c r="B343" s="11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  <c r="W343" s="120"/>
      <c r="X343" s="120"/>
      <c r="Y343" s="120"/>
      <c r="Z343" s="120"/>
      <c r="AA343" s="120"/>
      <c r="AB343" s="120"/>
      <c r="AC343" s="120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  <c r="AO343" s="120"/>
      <c r="AP343" s="120"/>
      <c r="AQ343" s="120"/>
      <c r="AR343" s="120"/>
      <c r="AS343" s="120"/>
      <c r="AT343" s="120"/>
      <c r="AU343" s="120"/>
      <c r="AV343" s="120"/>
      <c r="AW343" s="120"/>
      <c r="AX343" s="120"/>
      <c r="AY343" s="120"/>
      <c r="AZ343" s="120"/>
    </row>
    <row r="344">
      <c r="A344" s="11"/>
      <c r="B344" s="11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  <c r="W344" s="120"/>
      <c r="X344" s="120"/>
      <c r="Y344" s="120"/>
      <c r="Z344" s="120"/>
      <c r="AA344" s="120"/>
      <c r="AB344" s="120"/>
      <c r="AC344" s="120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  <c r="AO344" s="120"/>
      <c r="AP344" s="120"/>
      <c r="AQ344" s="120"/>
      <c r="AR344" s="120"/>
      <c r="AS344" s="120"/>
      <c r="AT344" s="120"/>
      <c r="AU344" s="120"/>
      <c r="AV344" s="120"/>
      <c r="AW344" s="120"/>
      <c r="AX344" s="120"/>
      <c r="AY344" s="120"/>
      <c r="AZ344" s="120"/>
    </row>
    <row r="345">
      <c r="A345" s="11"/>
      <c r="B345" s="11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  <c r="W345" s="120"/>
      <c r="X345" s="120"/>
      <c r="Y345" s="120"/>
      <c r="Z345" s="120"/>
      <c r="AA345" s="120"/>
      <c r="AB345" s="120"/>
      <c r="AC345" s="120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  <c r="AO345" s="120"/>
      <c r="AP345" s="120"/>
      <c r="AQ345" s="120"/>
      <c r="AR345" s="120"/>
      <c r="AS345" s="120"/>
      <c r="AT345" s="120"/>
      <c r="AU345" s="120"/>
      <c r="AV345" s="120"/>
      <c r="AW345" s="120"/>
      <c r="AX345" s="120"/>
      <c r="AY345" s="120"/>
      <c r="AZ345" s="120"/>
    </row>
    <row r="346">
      <c r="A346" s="11"/>
      <c r="B346" s="11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  <c r="W346" s="120"/>
      <c r="X346" s="120"/>
      <c r="Y346" s="120"/>
      <c r="Z346" s="120"/>
      <c r="AA346" s="120"/>
      <c r="AB346" s="120"/>
      <c r="AC346" s="120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  <c r="AO346" s="120"/>
      <c r="AP346" s="120"/>
      <c r="AQ346" s="120"/>
      <c r="AR346" s="120"/>
      <c r="AS346" s="120"/>
      <c r="AT346" s="120"/>
      <c r="AU346" s="120"/>
      <c r="AV346" s="120"/>
      <c r="AW346" s="120"/>
      <c r="AX346" s="120"/>
      <c r="AY346" s="120"/>
      <c r="AZ346" s="120"/>
    </row>
    <row r="347">
      <c r="A347" s="11"/>
      <c r="B347" s="11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  <c r="W347" s="120"/>
      <c r="X347" s="120"/>
      <c r="Y347" s="120"/>
      <c r="Z347" s="120"/>
      <c r="AA347" s="120"/>
      <c r="AB347" s="120"/>
      <c r="AC347" s="120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  <c r="AO347" s="120"/>
      <c r="AP347" s="120"/>
      <c r="AQ347" s="120"/>
      <c r="AR347" s="120"/>
      <c r="AS347" s="120"/>
      <c r="AT347" s="120"/>
      <c r="AU347" s="120"/>
      <c r="AV347" s="120"/>
      <c r="AW347" s="120"/>
      <c r="AX347" s="120"/>
      <c r="AY347" s="120"/>
      <c r="AZ347" s="120"/>
    </row>
    <row r="348">
      <c r="A348" s="11"/>
      <c r="B348" s="11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  <c r="W348" s="120"/>
      <c r="X348" s="120"/>
      <c r="Y348" s="120"/>
      <c r="Z348" s="120"/>
      <c r="AA348" s="120"/>
      <c r="AB348" s="120"/>
      <c r="AC348" s="120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  <c r="AO348" s="120"/>
      <c r="AP348" s="120"/>
      <c r="AQ348" s="120"/>
      <c r="AR348" s="120"/>
      <c r="AS348" s="120"/>
      <c r="AT348" s="120"/>
      <c r="AU348" s="120"/>
      <c r="AV348" s="120"/>
      <c r="AW348" s="120"/>
      <c r="AX348" s="120"/>
      <c r="AY348" s="120"/>
      <c r="AZ348" s="120"/>
    </row>
    <row r="349">
      <c r="A349" s="11"/>
      <c r="B349" s="11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  <c r="W349" s="120"/>
      <c r="X349" s="120"/>
      <c r="Y349" s="120"/>
      <c r="Z349" s="120"/>
      <c r="AA349" s="120"/>
      <c r="AB349" s="120"/>
      <c r="AC349" s="120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  <c r="AO349" s="120"/>
      <c r="AP349" s="120"/>
      <c r="AQ349" s="120"/>
      <c r="AR349" s="120"/>
      <c r="AS349" s="120"/>
      <c r="AT349" s="120"/>
      <c r="AU349" s="120"/>
      <c r="AV349" s="120"/>
      <c r="AW349" s="120"/>
      <c r="AX349" s="120"/>
      <c r="AY349" s="120"/>
      <c r="AZ349" s="120"/>
    </row>
    <row r="350">
      <c r="A350" s="11"/>
      <c r="B350" s="11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  <c r="W350" s="120"/>
      <c r="X350" s="120"/>
      <c r="Y350" s="120"/>
      <c r="Z350" s="120"/>
      <c r="AA350" s="120"/>
      <c r="AB350" s="120"/>
      <c r="AC350" s="120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  <c r="AO350" s="120"/>
      <c r="AP350" s="120"/>
      <c r="AQ350" s="120"/>
      <c r="AR350" s="120"/>
      <c r="AS350" s="120"/>
      <c r="AT350" s="120"/>
      <c r="AU350" s="120"/>
      <c r="AV350" s="120"/>
      <c r="AW350" s="120"/>
      <c r="AX350" s="120"/>
      <c r="AY350" s="120"/>
      <c r="AZ350" s="120"/>
    </row>
    <row r="351">
      <c r="A351" s="11"/>
      <c r="B351" s="11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  <c r="W351" s="120"/>
      <c r="X351" s="120"/>
      <c r="Y351" s="120"/>
      <c r="Z351" s="120"/>
      <c r="AA351" s="120"/>
      <c r="AB351" s="120"/>
      <c r="AC351" s="120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  <c r="AO351" s="120"/>
      <c r="AP351" s="120"/>
      <c r="AQ351" s="120"/>
      <c r="AR351" s="120"/>
      <c r="AS351" s="120"/>
      <c r="AT351" s="120"/>
      <c r="AU351" s="120"/>
      <c r="AV351" s="120"/>
      <c r="AW351" s="120"/>
      <c r="AX351" s="120"/>
      <c r="AY351" s="120"/>
      <c r="AZ351" s="120"/>
    </row>
    <row r="352">
      <c r="A352" s="11"/>
      <c r="B352" s="11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  <c r="W352" s="120"/>
      <c r="X352" s="120"/>
      <c r="Y352" s="120"/>
      <c r="Z352" s="120"/>
      <c r="AA352" s="120"/>
      <c r="AB352" s="120"/>
      <c r="AC352" s="120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  <c r="AO352" s="120"/>
      <c r="AP352" s="120"/>
      <c r="AQ352" s="120"/>
      <c r="AR352" s="120"/>
      <c r="AS352" s="120"/>
      <c r="AT352" s="120"/>
      <c r="AU352" s="120"/>
      <c r="AV352" s="120"/>
      <c r="AW352" s="120"/>
      <c r="AX352" s="120"/>
      <c r="AY352" s="120"/>
      <c r="AZ352" s="120"/>
    </row>
    <row r="353">
      <c r="A353" s="11"/>
      <c r="B353" s="11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  <c r="W353" s="120"/>
      <c r="X353" s="120"/>
      <c r="Y353" s="120"/>
      <c r="Z353" s="120"/>
      <c r="AA353" s="120"/>
      <c r="AB353" s="120"/>
      <c r="AC353" s="120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  <c r="AO353" s="120"/>
      <c r="AP353" s="120"/>
      <c r="AQ353" s="120"/>
      <c r="AR353" s="120"/>
      <c r="AS353" s="120"/>
      <c r="AT353" s="120"/>
      <c r="AU353" s="120"/>
      <c r="AV353" s="120"/>
      <c r="AW353" s="120"/>
      <c r="AX353" s="120"/>
      <c r="AY353" s="120"/>
      <c r="AZ353" s="120"/>
    </row>
    <row r="354">
      <c r="A354" s="11"/>
      <c r="B354" s="11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  <c r="W354" s="120"/>
      <c r="X354" s="120"/>
      <c r="Y354" s="120"/>
      <c r="Z354" s="120"/>
      <c r="AA354" s="120"/>
      <c r="AB354" s="120"/>
      <c r="AC354" s="120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  <c r="AO354" s="120"/>
      <c r="AP354" s="120"/>
      <c r="AQ354" s="120"/>
      <c r="AR354" s="120"/>
      <c r="AS354" s="120"/>
      <c r="AT354" s="120"/>
      <c r="AU354" s="120"/>
      <c r="AV354" s="120"/>
      <c r="AW354" s="120"/>
      <c r="AX354" s="120"/>
      <c r="AY354" s="120"/>
      <c r="AZ354" s="120"/>
    </row>
    <row r="355">
      <c r="A355" s="11"/>
      <c r="B355" s="11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  <c r="W355" s="120"/>
      <c r="X355" s="120"/>
      <c r="Y355" s="120"/>
      <c r="Z355" s="120"/>
      <c r="AA355" s="120"/>
      <c r="AB355" s="120"/>
      <c r="AC355" s="120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  <c r="AO355" s="120"/>
      <c r="AP355" s="120"/>
      <c r="AQ355" s="120"/>
      <c r="AR355" s="120"/>
      <c r="AS355" s="120"/>
      <c r="AT355" s="120"/>
      <c r="AU355" s="120"/>
      <c r="AV355" s="120"/>
      <c r="AW355" s="120"/>
      <c r="AX355" s="120"/>
      <c r="AY355" s="120"/>
      <c r="AZ355" s="120"/>
    </row>
    <row r="356">
      <c r="A356" s="11"/>
      <c r="B356" s="11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  <c r="W356" s="120"/>
      <c r="X356" s="120"/>
      <c r="Y356" s="120"/>
      <c r="Z356" s="120"/>
      <c r="AA356" s="120"/>
      <c r="AB356" s="120"/>
      <c r="AC356" s="120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  <c r="AO356" s="120"/>
      <c r="AP356" s="120"/>
      <c r="AQ356" s="120"/>
      <c r="AR356" s="120"/>
      <c r="AS356" s="120"/>
      <c r="AT356" s="120"/>
      <c r="AU356" s="120"/>
      <c r="AV356" s="120"/>
      <c r="AW356" s="120"/>
      <c r="AX356" s="120"/>
      <c r="AY356" s="120"/>
      <c r="AZ356" s="120"/>
    </row>
    <row r="357">
      <c r="A357" s="11"/>
      <c r="B357" s="11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  <c r="W357" s="120"/>
      <c r="X357" s="120"/>
      <c r="Y357" s="120"/>
      <c r="Z357" s="120"/>
      <c r="AA357" s="120"/>
      <c r="AB357" s="120"/>
      <c r="AC357" s="120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  <c r="AO357" s="120"/>
      <c r="AP357" s="120"/>
      <c r="AQ357" s="120"/>
      <c r="AR357" s="120"/>
      <c r="AS357" s="120"/>
      <c r="AT357" s="120"/>
      <c r="AU357" s="120"/>
      <c r="AV357" s="120"/>
      <c r="AW357" s="120"/>
      <c r="AX357" s="120"/>
      <c r="AY357" s="120"/>
      <c r="AZ357" s="120"/>
    </row>
    <row r="358">
      <c r="A358" s="11"/>
      <c r="B358" s="11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  <c r="W358" s="120"/>
      <c r="X358" s="120"/>
      <c r="Y358" s="120"/>
      <c r="Z358" s="120"/>
      <c r="AA358" s="120"/>
      <c r="AB358" s="120"/>
      <c r="AC358" s="120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  <c r="AO358" s="120"/>
      <c r="AP358" s="120"/>
      <c r="AQ358" s="120"/>
      <c r="AR358" s="120"/>
      <c r="AS358" s="120"/>
      <c r="AT358" s="120"/>
      <c r="AU358" s="120"/>
      <c r="AV358" s="120"/>
      <c r="AW358" s="120"/>
      <c r="AX358" s="120"/>
      <c r="AY358" s="120"/>
      <c r="AZ358" s="120"/>
    </row>
    <row r="359">
      <c r="A359" s="11"/>
      <c r="B359" s="11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  <c r="W359" s="120"/>
      <c r="X359" s="120"/>
      <c r="Y359" s="120"/>
      <c r="Z359" s="120"/>
      <c r="AA359" s="120"/>
      <c r="AB359" s="120"/>
      <c r="AC359" s="120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  <c r="AO359" s="120"/>
      <c r="AP359" s="120"/>
      <c r="AQ359" s="120"/>
      <c r="AR359" s="120"/>
      <c r="AS359" s="120"/>
      <c r="AT359" s="120"/>
      <c r="AU359" s="120"/>
      <c r="AV359" s="120"/>
      <c r="AW359" s="120"/>
      <c r="AX359" s="120"/>
      <c r="AY359" s="120"/>
      <c r="AZ359" s="120"/>
    </row>
    <row r="360">
      <c r="A360" s="11"/>
      <c r="B360" s="11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  <c r="W360" s="120"/>
      <c r="X360" s="120"/>
      <c r="Y360" s="120"/>
      <c r="Z360" s="120"/>
      <c r="AA360" s="120"/>
      <c r="AB360" s="120"/>
      <c r="AC360" s="120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  <c r="AO360" s="120"/>
      <c r="AP360" s="120"/>
      <c r="AQ360" s="120"/>
      <c r="AR360" s="120"/>
      <c r="AS360" s="120"/>
      <c r="AT360" s="120"/>
      <c r="AU360" s="120"/>
      <c r="AV360" s="120"/>
      <c r="AW360" s="120"/>
      <c r="AX360" s="120"/>
      <c r="AY360" s="120"/>
      <c r="AZ360" s="120"/>
    </row>
    <row r="361">
      <c r="A361" s="11"/>
      <c r="B361" s="11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  <c r="W361" s="120"/>
      <c r="X361" s="120"/>
      <c r="Y361" s="120"/>
      <c r="Z361" s="120"/>
      <c r="AA361" s="120"/>
      <c r="AB361" s="120"/>
      <c r="AC361" s="120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  <c r="AO361" s="120"/>
      <c r="AP361" s="120"/>
      <c r="AQ361" s="120"/>
      <c r="AR361" s="120"/>
      <c r="AS361" s="120"/>
      <c r="AT361" s="120"/>
      <c r="AU361" s="120"/>
      <c r="AV361" s="120"/>
      <c r="AW361" s="120"/>
      <c r="AX361" s="120"/>
      <c r="AY361" s="120"/>
      <c r="AZ361" s="120"/>
    </row>
    <row r="362">
      <c r="A362" s="11"/>
      <c r="B362" s="11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  <c r="W362" s="120"/>
      <c r="X362" s="120"/>
      <c r="Y362" s="120"/>
      <c r="Z362" s="120"/>
      <c r="AA362" s="120"/>
      <c r="AB362" s="120"/>
      <c r="AC362" s="120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  <c r="AO362" s="120"/>
      <c r="AP362" s="120"/>
      <c r="AQ362" s="120"/>
      <c r="AR362" s="120"/>
      <c r="AS362" s="120"/>
      <c r="AT362" s="120"/>
      <c r="AU362" s="120"/>
      <c r="AV362" s="120"/>
      <c r="AW362" s="120"/>
      <c r="AX362" s="120"/>
      <c r="AY362" s="120"/>
      <c r="AZ362" s="120"/>
    </row>
    <row r="363">
      <c r="A363" s="11"/>
      <c r="B363" s="11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  <c r="W363" s="120"/>
      <c r="X363" s="120"/>
      <c r="Y363" s="120"/>
      <c r="Z363" s="120"/>
      <c r="AA363" s="120"/>
      <c r="AB363" s="120"/>
      <c r="AC363" s="120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  <c r="AO363" s="120"/>
      <c r="AP363" s="120"/>
      <c r="AQ363" s="120"/>
      <c r="AR363" s="120"/>
      <c r="AS363" s="120"/>
      <c r="AT363" s="120"/>
      <c r="AU363" s="120"/>
      <c r="AV363" s="120"/>
      <c r="AW363" s="120"/>
      <c r="AX363" s="120"/>
      <c r="AY363" s="120"/>
      <c r="AZ363" s="120"/>
    </row>
    <row r="364">
      <c r="A364" s="11"/>
      <c r="B364" s="11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  <c r="W364" s="120"/>
      <c r="X364" s="120"/>
      <c r="Y364" s="120"/>
      <c r="Z364" s="120"/>
      <c r="AA364" s="120"/>
      <c r="AB364" s="120"/>
      <c r="AC364" s="120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  <c r="AO364" s="120"/>
      <c r="AP364" s="120"/>
      <c r="AQ364" s="120"/>
      <c r="AR364" s="120"/>
      <c r="AS364" s="120"/>
      <c r="AT364" s="120"/>
      <c r="AU364" s="120"/>
      <c r="AV364" s="120"/>
      <c r="AW364" s="120"/>
      <c r="AX364" s="120"/>
      <c r="AY364" s="120"/>
      <c r="AZ364" s="120"/>
    </row>
    <row r="365">
      <c r="A365" s="11"/>
      <c r="B365" s="11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  <c r="W365" s="120"/>
      <c r="X365" s="120"/>
      <c r="Y365" s="120"/>
      <c r="Z365" s="120"/>
      <c r="AA365" s="120"/>
      <c r="AB365" s="120"/>
      <c r="AC365" s="120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  <c r="AO365" s="120"/>
      <c r="AP365" s="120"/>
      <c r="AQ365" s="120"/>
      <c r="AR365" s="120"/>
      <c r="AS365" s="120"/>
      <c r="AT365" s="120"/>
      <c r="AU365" s="120"/>
      <c r="AV365" s="120"/>
      <c r="AW365" s="120"/>
      <c r="AX365" s="120"/>
      <c r="AY365" s="120"/>
      <c r="AZ365" s="120"/>
    </row>
    <row r="366">
      <c r="A366" s="11"/>
      <c r="B366" s="11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  <c r="W366" s="120"/>
      <c r="X366" s="120"/>
      <c r="Y366" s="120"/>
      <c r="Z366" s="120"/>
      <c r="AA366" s="120"/>
      <c r="AB366" s="120"/>
      <c r="AC366" s="120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  <c r="AO366" s="120"/>
      <c r="AP366" s="120"/>
      <c r="AQ366" s="120"/>
      <c r="AR366" s="120"/>
      <c r="AS366" s="120"/>
      <c r="AT366" s="120"/>
      <c r="AU366" s="120"/>
      <c r="AV366" s="120"/>
      <c r="AW366" s="120"/>
      <c r="AX366" s="120"/>
      <c r="AY366" s="120"/>
      <c r="AZ366" s="120"/>
    </row>
    <row r="367">
      <c r="A367" s="11"/>
      <c r="B367" s="11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  <c r="W367" s="120"/>
      <c r="X367" s="120"/>
      <c r="Y367" s="120"/>
      <c r="Z367" s="120"/>
      <c r="AA367" s="120"/>
      <c r="AB367" s="120"/>
      <c r="AC367" s="120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  <c r="AO367" s="120"/>
      <c r="AP367" s="120"/>
      <c r="AQ367" s="120"/>
      <c r="AR367" s="120"/>
      <c r="AS367" s="120"/>
      <c r="AT367" s="120"/>
      <c r="AU367" s="120"/>
      <c r="AV367" s="120"/>
      <c r="AW367" s="120"/>
      <c r="AX367" s="120"/>
      <c r="AY367" s="120"/>
      <c r="AZ367" s="120"/>
    </row>
    <row r="368">
      <c r="A368" s="11"/>
      <c r="B368" s="11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  <c r="W368" s="120"/>
      <c r="X368" s="120"/>
      <c r="Y368" s="120"/>
      <c r="Z368" s="120"/>
      <c r="AA368" s="120"/>
      <c r="AB368" s="120"/>
      <c r="AC368" s="120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  <c r="AO368" s="120"/>
      <c r="AP368" s="120"/>
      <c r="AQ368" s="120"/>
      <c r="AR368" s="120"/>
      <c r="AS368" s="120"/>
      <c r="AT368" s="120"/>
      <c r="AU368" s="120"/>
      <c r="AV368" s="120"/>
      <c r="AW368" s="120"/>
      <c r="AX368" s="120"/>
      <c r="AY368" s="120"/>
      <c r="AZ368" s="120"/>
    </row>
    <row r="369">
      <c r="A369" s="11"/>
      <c r="B369" s="11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  <c r="W369" s="120"/>
      <c r="X369" s="120"/>
      <c r="Y369" s="120"/>
      <c r="Z369" s="120"/>
      <c r="AA369" s="120"/>
      <c r="AB369" s="120"/>
      <c r="AC369" s="120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  <c r="AO369" s="120"/>
      <c r="AP369" s="120"/>
      <c r="AQ369" s="120"/>
      <c r="AR369" s="120"/>
      <c r="AS369" s="120"/>
      <c r="AT369" s="120"/>
      <c r="AU369" s="120"/>
      <c r="AV369" s="120"/>
      <c r="AW369" s="120"/>
      <c r="AX369" s="120"/>
      <c r="AY369" s="120"/>
      <c r="AZ369" s="120"/>
    </row>
    <row r="370">
      <c r="A370" s="11"/>
      <c r="B370" s="11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  <c r="W370" s="120"/>
      <c r="X370" s="120"/>
      <c r="Y370" s="120"/>
      <c r="Z370" s="120"/>
      <c r="AA370" s="120"/>
      <c r="AB370" s="120"/>
      <c r="AC370" s="120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  <c r="AO370" s="120"/>
      <c r="AP370" s="120"/>
      <c r="AQ370" s="120"/>
      <c r="AR370" s="120"/>
      <c r="AS370" s="120"/>
      <c r="AT370" s="120"/>
      <c r="AU370" s="120"/>
      <c r="AV370" s="120"/>
      <c r="AW370" s="120"/>
      <c r="AX370" s="120"/>
      <c r="AY370" s="120"/>
      <c r="AZ370" s="120"/>
    </row>
    <row r="371">
      <c r="A371" s="11"/>
      <c r="B371" s="11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  <c r="W371" s="120"/>
      <c r="X371" s="120"/>
      <c r="Y371" s="120"/>
      <c r="Z371" s="120"/>
      <c r="AA371" s="120"/>
      <c r="AB371" s="120"/>
      <c r="AC371" s="120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  <c r="AO371" s="120"/>
      <c r="AP371" s="120"/>
      <c r="AQ371" s="120"/>
      <c r="AR371" s="120"/>
      <c r="AS371" s="120"/>
      <c r="AT371" s="120"/>
      <c r="AU371" s="120"/>
      <c r="AV371" s="120"/>
      <c r="AW371" s="120"/>
      <c r="AX371" s="120"/>
      <c r="AY371" s="120"/>
      <c r="AZ371" s="120"/>
    </row>
    <row r="372">
      <c r="A372" s="11"/>
      <c r="B372" s="11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  <c r="W372" s="120"/>
      <c r="X372" s="120"/>
      <c r="Y372" s="120"/>
      <c r="Z372" s="120"/>
      <c r="AA372" s="120"/>
      <c r="AB372" s="120"/>
      <c r="AC372" s="120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  <c r="AO372" s="120"/>
      <c r="AP372" s="120"/>
      <c r="AQ372" s="120"/>
      <c r="AR372" s="120"/>
      <c r="AS372" s="120"/>
      <c r="AT372" s="120"/>
      <c r="AU372" s="120"/>
      <c r="AV372" s="120"/>
      <c r="AW372" s="120"/>
      <c r="AX372" s="120"/>
      <c r="AY372" s="120"/>
      <c r="AZ372" s="120"/>
    </row>
    <row r="373">
      <c r="A373" s="11"/>
      <c r="B373" s="11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  <c r="W373" s="120"/>
      <c r="X373" s="120"/>
      <c r="Y373" s="120"/>
      <c r="Z373" s="120"/>
      <c r="AA373" s="120"/>
      <c r="AB373" s="120"/>
      <c r="AC373" s="120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  <c r="AO373" s="120"/>
      <c r="AP373" s="120"/>
      <c r="AQ373" s="120"/>
      <c r="AR373" s="120"/>
      <c r="AS373" s="120"/>
      <c r="AT373" s="120"/>
      <c r="AU373" s="120"/>
      <c r="AV373" s="120"/>
      <c r="AW373" s="120"/>
      <c r="AX373" s="120"/>
      <c r="AY373" s="120"/>
      <c r="AZ373" s="120"/>
    </row>
    <row r="374">
      <c r="A374" s="11"/>
      <c r="B374" s="11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  <c r="W374" s="120"/>
      <c r="X374" s="120"/>
      <c r="Y374" s="120"/>
      <c r="Z374" s="120"/>
      <c r="AA374" s="120"/>
      <c r="AB374" s="120"/>
      <c r="AC374" s="120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  <c r="AO374" s="120"/>
      <c r="AP374" s="120"/>
      <c r="AQ374" s="120"/>
      <c r="AR374" s="120"/>
      <c r="AS374" s="120"/>
      <c r="AT374" s="120"/>
      <c r="AU374" s="120"/>
      <c r="AV374" s="120"/>
      <c r="AW374" s="120"/>
      <c r="AX374" s="120"/>
      <c r="AY374" s="120"/>
      <c r="AZ374" s="120"/>
    </row>
    <row r="375">
      <c r="A375" s="11"/>
      <c r="B375" s="11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  <c r="W375" s="120"/>
      <c r="X375" s="120"/>
      <c r="Y375" s="120"/>
      <c r="Z375" s="120"/>
      <c r="AA375" s="120"/>
      <c r="AB375" s="120"/>
      <c r="AC375" s="120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  <c r="AO375" s="120"/>
      <c r="AP375" s="120"/>
      <c r="AQ375" s="120"/>
      <c r="AR375" s="120"/>
      <c r="AS375" s="120"/>
      <c r="AT375" s="120"/>
      <c r="AU375" s="120"/>
      <c r="AV375" s="120"/>
      <c r="AW375" s="120"/>
      <c r="AX375" s="120"/>
      <c r="AY375" s="120"/>
      <c r="AZ375" s="120"/>
    </row>
    <row r="376">
      <c r="A376" s="11"/>
      <c r="B376" s="11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  <c r="W376" s="120"/>
      <c r="X376" s="120"/>
      <c r="Y376" s="120"/>
      <c r="Z376" s="120"/>
      <c r="AA376" s="120"/>
      <c r="AB376" s="120"/>
      <c r="AC376" s="120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  <c r="AO376" s="120"/>
      <c r="AP376" s="120"/>
      <c r="AQ376" s="120"/>
      <c r="AR376" s="120"/>
      <c r="AS376" s="120"/>
      <c r="AT376" s="120"/>
      <c r="AU376" s="120"/>
      <c r="AV376" s="120"/>
      <c r="AW376" s="120"/>
      <c r="AX376" s="120"/>
      <c r="AY376" s="120"/>
      <c r="AZ376" s="120"/>
    </row>
    <row r="377">
      <c r="A377" s="11"/>
      <c r="B377" s="11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  <c r="W377" s="120"/>
      <c r="X377" s="120"/>
      <c r="Y377" s="120"/>
      <c r="Z377" s="120"/>
      <c r="AA377" s="120"/>
      <c r="AB377" s="120"/>
      <c r="AC377" s="120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  <c r="AO377" s="120"/>
      <c r="AP377" s="120"/>
      <c r="AQ377" s="120"/>
      <c r="AR377" s="120"/>
      <c r="AS377" s="120"/>
      <c r="AT377" s="120"/>
      <c r="AU377" s="120"/>
      <c r="AV377" s="120"/>
      <c r="AW377" s="120"/>
      <c r="AX377" s="120"/>
      <c r="AY377" s="120"/>
      <c r="AZ377" s="120"/>
    </row>
    <row r="378">
      <c r="A378" s="11"/>
      <c r="B378" s="11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  <c r="W378" s="120"/>
      <c r="X378" s="120"/>
      <c r="Y378" s="120"/>
      <c r="Z378" s="120"/>
      <c r="AA378" s="120"/>
      <c r="AB378" s="120"/>
      <c r="AC378" s="120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  <c r="AO378" s="120"/>
      <c r="AP378" s="120"/>
      <c r="AQ378" s="120"/>
      <c r="AR378" s="120"/>
      <c r="AS378" s="120"/>
      <c r="AT378" s="120"/>
      <c r="AU378" s="120"/>
      <c r="AV378" s="120"/>
      <c r="AW378" s="120"/>
      <c r="AX378" s="120"/>
      <c r="AY378" s="120"/>
      <c r="AZ378" s="120"/>
    </row>
    <row r="379">
      <c r="A379" s="11"/>
      <c r="B379" s="11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  <c r="W379" s="120"/>
      <c r="X379" s="120"/>
      <c r="Y379" s="120"/>
      <c r="Z379" s="120"/>
      <c r="AA379" s="120"/>
      <c r="AB379" s="120"/>
      <c r="AC379" s="120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  <c r="AO379" s="120"/>
      <c r="AP379" s="120"/>
      <c r="AQ379" s="120"/>
      <c r="AR379" s="120"/>
      <c r="AS379" s="120"/>
      <c r="AT379" s="120"/>
      <c r="AU379" s="120"/>
      <c r="AV379" s="120"/>
      <c r="AW379" s="120"/>
      <c r="AX379" s="120"/>
      <c r="AY379" s="120"/>
      <c r="AZ379" s="120"/>
    </row>
    <row r="380">
      <c r="A380" s="11"/>
      <c r="B380" s="11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  <c r="W380" s="120"/>
      <c r="X380" s="120"/>
      <c r="Y380" s="120"/>
      <c r="Z380" s="120"/>
      <c r="AA380" s="120"/>
      <c r="AB380" s="120"/>
      <c r="AC380" s="120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  <c r="AO380" s="120"/>
      <c r="AP380" s="120"/>
      <c r="AQ380" s="120"/>
      <c r="AR380" s="120"/>
      <c r="AS380" s="120"/>
      <c r="AT380" s="120"/>
      <c r="AU380" s="120"/>
      <c r="AV380" s="120"/>
      <c r="AW380" s="120"/>
      <c r="AX380" s="120"/>
      <c r="AY380" s="120"/>
      <c r="AZ380" s="120"/>
    </row>
    <row r="381">
      <c r="A381" s="11"/>
      <c r="B381" s="11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  <c r="W381" s="120"/>
      <c r="X381" s="120"/>
      <c r="Y381" s="120"/>
      <c r="Z381" s="120"/>
      <c r="AA381" s="120"/>
      <c r="AB381" s="120"/>
      <c r="AC381" s="120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  <c r="AO381" s="120"/>
      <c r="AP381" s="120"/>
      <c r="AQ381" s="120"/>
      <c r="AR381" s="120"/>
      <c r="AS381" s="120"/>
      <c r="AT381" s="120"/>
      <c r="AU381" s="120"/>
      <c r="AV381" s="120"/>
      <c r="AW381" s="120"/>
      <c r="AX381" s="120"/>
      <c r="AY381" s="120"/>
      <c r="AZ381" s="120"/>
    </row>
    <row r="382">
      <c r="A382" s="11"/>
      <c r="B382" s="11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  <c r="W382" s="120"/>
      <c r="X382" s="120"/>
      <c r="Y382" s="120"/>
      <c r="Z382" s="120"/>
      <c r="AA382" s="120"/>
      <c r="AB382" s="120"/>
      <c r="AC382" s="120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  <c r="AO382" s="120"/>
      <c r="AP382" s="120"/>
      <c r="AQ382" s="120"/>
      <c r="AR382" s="120"/>
      <c r="AS382" s="120"/>
      <c r="AT382" s="120"/>
      <c r="AU382" s="120"/>
      <c r="AV382" s="120"/>
      <c r="AW382" s="120"/>
      <c r="AX382" s="120"/>
      <c r="AY382" s="120"/>
      <c r="AZ382" s="120"/>
    </row>
    <row r="383">
      <c r="A383" s="11"/>
      <c r="B383" s="11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  <c r="W383" s="120"/>
      <c r="X383" s="120"/>
      <c r="Y383" s="120"/>
      <c r="Z383" s="120"/>
      <c r="AA383" s="120"/>
      <c r="AB383" s="120"/>
      <c r="AC383" s="120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  <c r="AO383" s="120"/>
      <c r="AP383" s="120"/>
      <c r="AQ383" s="120"/>
      <c r="AR383" s="120"/>
      <c r="AS383" s="120"/>
      <c r="AT383" s="120"/>
      <c r="AU383" s="120"/>
      <c r="AV383" s="120"/>
      <c r="AW383" s="120"/>
      <c r="AX383" s="120"/>
      <c r="AY383" s="120"/>
      <c r="AZ383" s="120"/>
    </row>
    <row r="384">
      <c r="A384" s="11"/>
      <c r="B384" s="11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  <c r="W384" s="120"/>
      <c r="X384" s="120"/>
      <c r="Y384" s="120"/>
      <c r="Z384" s="120"/>
      <c r="AA384" s="120"/>
      <c r="AB384" s="120"/>
      <c r="AC384" s="120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  <c r="AO384" s="120"/>
      <c r="AP384" s="120"/>
      <c r="AQ384" s="120"/>
      <c r="AR384" s="120"/>
      <c r="AS384" s="120"/>
      <c r="AT384" s="120"/>
      <c r="AU384" s="120"/>
      <c r="AV384" s="120"/>
      <c r="AW384" s="120"/>
      <c r="AX384" s="120"/>
      <c r="AY384" s="120"/>
      <c r="AZ384" s="120"/>
    </row>
    <row r="385">
      <c r="A385" s="11"/>
      <c r="B385" s="11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  <c r="W385" s="120"/>
      <c r="X385" s="120"/>
      <c r="Y385" s="120"/>
      <c r="Z385" s="120"/>
      <c r="AA385" s="120"/>
      <c r="AB385" s="120"/>
      <c r="AC385" s="120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  <c r="AO385" s="120"/>
      <c r="AP385" s="120"/>
      <c r="AQ385" s="120"/>
      <c r="AR385" s="120"/>
      <c r="AS385" s="120"/>
      <c r="AT385" s="120"/>
      <c r="AU385" s="120"/>
      <c r="AV385" s="120"/>
      <c r="AW385" s="120"/>
      <c r="AX385" s="120"/>
      <c r="AY385" s="120"/>
      <c r="AZ385" s="120"/>
    </row>
    <row r="386">
      <c r="A386" s="11"/>
      <c r="B386" s="11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  <c r="W386" s="120"/>
      <c r="X386" s="120"/>
      <c r="Y386" s="120"/>
      <c r="Z386" s="120"/>
      <c r="AA386" s="120"/>
      <c r="AB386" s="120"/>
      <c r="AC386" s="120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  <c r="AO386" s="120"/>
      <c r="AP386" s="120"/>
      <c r="AQ386" s="120"/>
      <c r="AR386" s="120"/>
      <c r="AS386" s="120"/>
      <c r="AT386" s="120"/>
      <c r="AU386" s="120"/>
      <c r="AV386" s="120"/>
      <c r="AW386" s="120"/>
      <c r="AX386" s="120"/>
      <c r="AY386" s="120"/>
      <c r="AZ386" s="120"/>
    </row>
    <row r="387">
      <c r="A387" s="11"/>
      <c r="B387" s="11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  <c r="W387" s="120"/>
      <c r="X387" s="120"/>
      <c r="Y387" s="120"/>
      <c r="Z387" s="120"/>
      <c r="AA387" s="120"/>
      <c r="AB387" s="120"/>
      <c r="AC387" s="120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  <c r="AO387" s="120"/>
      <c r="AP387" s="120"/>
      <c r="AQ387" s="120"/>
      <c r="AR387" s="120"/>
      <c r="AS387" s="120"/>
      <c r="AT387" s="120"/>
      <c r="AU387" s="120"/>
      <c r="AV387" s="120"/>
      <c r="AW387" s="120"/>
      <c r="AX387" s="120"/>
      <c r="AY387" s="120"/>
      <c r="AZ387" s="120"/>
    </row>
    <row r="388">
      <c r="A388" s="11"/>
      <c r="B388" s="11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  <c r="W388" s="120"/>
      <c r="X388" s="120"/>
      <c r="Y388" s="120"/>
      <c r="Z388" s="120"/>
      <c r="AA388" s="120"/>
      <c r="AB388" s="120"/>
      <c r="AC388" s="120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  <c r="AO388" s="120"/>
      <c r="AP388" s="120"/>
      <c r="AQ388" s="120"/>
      <c r="AR388" s="120"/>
      <c r="AS388" s="120"/>
      <c r="AT388" s="120"/>
      <c r="AU388" s="120"/>
      <c r="AV388" s="120"/>
      <c r="AW388" s="120"/>
      <c r="AX388" s="120"/>
      <c r="AY388" s="120"/>
      <c r="AZ388" s="120"/>
    </row>
    <row r="389">
      <c r="A389" s="11"/>
      <c r="B389" s="11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  <c r="W389" s="120"/>
      <c r="X389" s="120"/>
      <c r="Y389" s="120"/>
      <c r="Z389" s="120"/>
      <c r="AA389" s="120"/>
      <c r="AB389" s="120"/>
      <c r="AC389" s="120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  <c r="AO389" s="120"/>
      <c r="AP389" s="120"/>
      <c r="AQ389" s="120"/>
      <c r="AR389" s="120"/>
      <c r="AS389" s="120"/>
      <c r="AT389" s="120"/>
      <c r="AU389" s="120"/>
      <c r="AV389" s="120"/>
      <c r="AW389" s="120"/>
      <c r="AX389" s="120"/>
      <c r="AY389" s="120"/>
      <c r="AZ389" s="120"/>
    </row>
    <row r="390">
      <c r="A390" s="11"/>
      <c r="B390" s="11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  <c r="W390" s="120"/>
      <c r="X390" s="120"/>
      <c r="Y390" s="120"/>
      <c r="Z390" s="120"/>
      <c r="AA390" s="120"/>
      <c r="AB390" s="120"/>
      <c r="AC390" s="120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  <c r="AO390" s="120"/>
      <c r="AP390" s="120"/>
      <c r="AQ390" s="120"/>
      <c r="AR390" s="120"/>
      <c r="AS390" s="120"/>
      <c r="AT390" s="120"/>
      <c r="AU390" s="120"/>
      <c r="AV390" s="120"/>
      <c r="AW390" s="120"/>
      <c r="AX390" s="120"/>
      <c r="AY390" s="120"/>
      <c r="AZ390" s="120"/>
    </row>
    <row r="391">
      <c r="A391" s="11"/>
      <c r="B391" s="11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  <c r="W391" s="120"/>
      <c r="X391" s="120"/>
      <c r="Y391" s="120"/>
      <c r="Z391" s="120"/>
      <c r="AA391" s="120"/>
      <c r="AB391" s="120"/>
      <c r="AC391" s="120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  <c r="AO391" s="120"/>
      <c r="AP391" s="120"/>
      <c r="AQ391" s="120"/>
      <c r="AR391" s="120"/>
      <c r="AS391" s="120"/>
      <c r="AT391" s="120"/>
      <c r="AU391" s="120"/>
      <c r="AV391" s="120"/>
      <c r="AW391" s="120"/>
      <c r="AX391" s="120"/>
      <c r="AY391" s="120"/>
      <c r="AZ391" s="120"/>
    </row>
    <row r="392">
      <c r="A392" s="11"/>
      <c r="B392" s="11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  <c r="W392" s="120"/>
      <c r="X392" s="120"/>
      <c r="Y392" s="120"/>
      <c r="Z392" s="120"/>
      <c r="AA392" s="120"/>
      <c r="AB392" s="120"/>
      <c r="AC392" s="120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  <c r="AO392" s="120"/>
      <c r="AP392" s="120"/>
      <c r="AQ392" s="120"/>
      <c r="AR392" s="120"/>
      <c r="AS392" s="120"/>
      <c r="AT392" s="120"/>
      <c r="AU392" s="120"/>
      <c r="AV392" s="120"/>
      <c r="AW392" s="120"/>
      <c r="AX392" s="120"/>
      <c r="AY392" s="120"/>
      <c r="AZ392" s="120"/>
    </row>
    <row r="393">
      <c r="A393" s="11"/>
      <c r="B393" s="11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  <c r="W393" s="120"/>
      <c r="X393" s="120"/>
      <c r="Y393" s="120"/>
      <c r="Z393" s="120"/>
      <c r="AA393" s="120"/>
      <c r="AB393" s="120"/>
      <c r="AC393" s="120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  <c r="AO393" s="120"/>
      <c r="AP393" s="120"/>
      <c r="AQ393" s="120"/>
      <c r="AR393" s="120"/>
      <c r="AS393" s="120"/>
      <c r="AT393" s="120"/>
      <c r="AU393" s="120"/>
      <c r="AV393" s="120"/>
      <c r="AW393" s="120"/>
      <c r="AX393" s="120"/>
      <c r="AY393" s="120"/>
      <c r="AZ393" s="120"/>
    </row>
    <row r="394">
      <c r="A394" s="11"/>
      <c r="B394" s="11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  <c r="W394" s="120"/>
      <c r="X394" s="120"/>
      <c r="Y394" s="120"/>
      <c r="Z394" s="120"/>
      <c r="AA394" s="120"/>
      <c r="AB394" s="120"/>
      <c r="AC394" s="120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  <c r="AO394" s="120"/>
      <c r="AP394" s="120"/>
      <c r="AQ394" s="120"/>
      <c r="AR394" s="120"/>
      <c r="AS394" s="120"/>
      <c r="AT394" s="120"/>
      <c r="AU394" s="120"/>
      <c r="AV394" s="120"/>
      <c r="AW394" s="120"/>
      <c r="AX394" s="120"/>
      <c r="AY394" s="120"/>
      <c r="AZ394" s="120"/>
    </row>
    <row r="395">
      <c r="A395" s="11"/>
      <c r="B395" s="11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  <c r="W395" s="120"/>
      <c r="X395" s="120"/>
      <c r="Y395" s="120"/>
      <c r="Z395" s="120"/>
      <c r="AA395" s="120"/>
      <c r="AB395" s="120"/>
      <c r="AC395" s="120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  <c r="AO395" s="120"/>
      <c r="AP395" s="120"/>
      <c r="AQ395" s="120"/>
      <c r="AR395" s="120"/>
      <c r="AS395" s="120"/>
      <c r="AT395" s="120"/>
      <c r="AU395" s="120"/>
      <c r="AV395" s="120"/>
      <c r="AW395" s="120"/>
      <c r="AX395" s="120"/>
      <c r="AY395" s="120"/>
      <c r="AZ395" s="120"/>
    </row>
    <row r="396">
      <c r="A396" s="11"/>
      <c r="B396" s="11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  <c r="W396" s="120"/>
      <c r="X396" s="120"/>
      <c r="Y396" s="120"/>
      <c r="Z396" s="120"/>
      <c r="AA396" s="120"/>
      <c r="AB396" s="120"/>
      <c r="AC396" s="120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  <c r="AO396" s="120"/>
      <c r="AP396" s="120"/>
      <c r="AQ396" s="120"/>
      <c r="AR396" s="120"/>
      <c r="AS396" s="120"/>
      <c r="AT396" s="120"/>
      <c r="AU396" s="120"/>
      <c r="AV396" s="120"/>
      <c r="AW396" s="120"/>
      <c r="AX396" s="120"/>
      <c r="AY396" s="120"/>
      <c r="AZ396" s="120"/>
    </row>
    <row r="397">
      <c r="A397" s="11"/>
      <c r="B397" s="11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  <c r="W397" s="120"/>
      <c r="X397" s="120"/>
      <c r="Y397" s="120"/>
      <c r="Z397" s="120"/>
      <c r="AA397" s="120"/>
      <c r="AB397" s="120"/>
      <c r="AC397" s="120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  <c r="AO397" s="120"/>
      <c r="AP397" s="120"/>
      <c r="AQ397" s="120"/>
      <c r="AR397" s="120"/>
      <c r="AS397" s="120"/>
      <c r="AT397" s="120"/>
      <c r="AU397" s="120"/>
      <c r="AV397" s="120"/>
      <c r="AW397" s="120"/>
      <c r="AX397" s="120"/>
      <c r="AY397" s="120"/>
      <c r="AZ397" s="120"/>
    </row>
    <row r="398">
      <c r="A398" s="11"/>
      <c r="B398" s="11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  <c r="W398" s="120"/>
      <c r="X398" s="120"/>
      <c r="Y398" s="120"/>
      <c r="Z398" s="120"/>
      <c r="AA398" s="120"/>
      <c r="AB398" s="120"/>
      <c r="AC398" s="120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  <c r="AO398" s="120"/>
      <c r="AP398" s="120"/>
      <c r="AQ398" s="120"/>
      <c r="AR398" s="120"/>
      <c r="AS398" s="120"/>
      <c r="AT398" s="120"/>
      <c r="AU398" s="120"/>
      <c r="AV398" s="120"/>
      <c r="AW398" s="120"/>
      <c r="AX398" s="120"/>
      <c r="AY398" s="120"/>
      <c r="AZ398" s="120"/>
    </row>
    <row r="399">
      <c r="A399" s="11"/>
      <c r="B399" s="11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  <c r="W399" s="120"/>
      <c r="X399" s="120"/>
      <c r="Y399" s="120"/>
      <c r="Z399" s="120"/>
      <c r="AA399" s="120"/>
      <c r="AB399" s="120"/>
      <c r="AC399" s="120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  <c r="AO399" s="120"/>
      <c r="AP399" s="120"/>
      <c r="AQ399" s="120"/>
      <c r="AR399" s="120"/>
      <c r="AS399" s="120"/>
      <c r="AT399" s="120"/>
      <c r="AU399" s="120"/>
      <c r="AV399" s="120"/>
      <c r="AW399" s="120"/>
      <c r="AX399" s="120"/>
      <c r="AY399" s="120"/>
      <c r="AZ399" s="120"/>
    </row>
    <row r="400">
      <c r="A400" s="11"/>
      <c r="B400" s="11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  <c r="W400" s="120"/>
      <c r="X400" s="120"/>
      <c r="Y400" s="120"/>
      <c r="Z400" s="120"/>
      <c r="AA400" s="120"/>
      <c r="AB400" s="120"/>
      <c r="AC400" s="120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  <c r="AO400" s="120"/>
      <c r="AP400" s="120"/>
      <c r="AQ400" s="120"/>
      <c r="AR400" s="120"/>
      <c r="AS400" s="120"/>
      <c r="AT400" s="120"/>
      <c r="AU400" s="120"/>
      <c r="AV400" s="120"/>
      <c r="AW400" s="120"/>
      <c r="AX400" s="120"/>
      <c r="AY400" s="120"/>
      <c r="AZ400" s="120"/>
    </row>
    <row r="401">
      <c r="A401" s="11"/>
      <c r="B401" s="11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  <c r="W401" s="120"/>
      <c r="X401" s="120"/>
      <c r="Y401" s="120"/>
      <c r="Z401" s="120"/>
      <c r="AA401" s="120"/>
      <c r="AB401" s="120"/>
      <c r="AC401" s="120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  <c r="AO401" s="120"/>
      <c r="AP401" s="120"/>
      <c r="AQ401" s="120"/>
      <c r="AR401" s="120"/>
      <c r="AS401" s="120"/>
      <c r="AT401" s="120"/>
      <c r="AU401" s="120"/>
      <c r="AV401" s="120"/>
      <c r="AW401" s="120"/>
      <c r="AX401" s="120"/>
      <c r="AY401" s="120"/>
      <c r="AZ401" s="120"/>
    </row>
    <row r="402">
      <c r="A402" s="11"/>
      <c r="B402" s="11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  <c r="AY402" s="120"/>
      <c r="AZ402" s="120"/>
    </row>
    <row r="403">
      <c r="A403" s="11"/>
      <c r="B403" s="11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  <c r="AY403" s="120"/>
      <c r="AZ403" s="120"/>
    </row>
    <row r="404">
      <c r="A404" s="11"/>
      <c r="B404" s="11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  <c r="AY404" s="120"/>
      <c r="AZ404" s="120"/>
    </row>
    <row r="405">
      <c r="A405" s="11"/>
      <c r="B405" s="11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  <c r="AY405" s="120"/>
      <c r="AZ405" s="120"/>
    </row>
    <row r="406">
      <c r="A406" s="11"/>
      <c r="B406" s="11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  <c r="AY406" s="120"/>
      <c r="AZ406" s="120"/>
    </row>
    <row r="407">
      <c r="A407" s="11"/>
      <c r="B407" s="11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  <c r="AY407" s="120"/>
      <c r="AZ407" s="120"/>
    </row>
    <row r="408">
      <c r="A408" s="11"/>
      <c r="B408" s="11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  <c r="AY408" s="120"/>
      <c r="AZ408" s="120"/>
    </row>
    <row r="409">
      <c r="A409" s="11"/>
      <c r="B409" s="11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  <c r="AY409" s="120"/>
      <c r="AZ409" s="120"/>
    </row>
    <row r="410">
      <c r="A410" s="11"/>
      <c r="B410" s="11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  <c r="AY410" s="120"/>
      <c r="AZ410" s="120"/>
    </row>
    <row r="411">
      <c r="A411" s="11"/>
      <c r="B411" s="11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  <c r="AY411" s="120"/>
      <c r="AZ411" s="120"/>
    </row>
    <row r="412">
      <c r="A412" s="11"/>
      <c r="B412" s="11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  <c r="AY412" s="120"/>
      <c r="AZ412" s="120"/>
    </row>
    <row r="413">
      <c r="A413" s="11"/>
      <c r="B413" s="11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  <c r="AY413" s="120"/>
      <c r="AZ413" s="120"/>
    </row>
    <row r="414">
      <c r="A414" s="11"/>
      <c r="B414" s="11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  <c r="AY414" s="120"/>
      <c r="AZ414" s="120"/>
    </row>
    <row r="415">
      <c r="A415" s="11"/>
      <c r="B415" s="11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  <c r="AY415" s="120"/>
      <c r="AZ415" s="120"/>
    </row>
    <row r="416">
      <c r="A416" s="11"/>
      <c r="B416" s="11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  <c r="AY416" s="120"/>
      <c r="AZ416" s="120"/>
    </row>
    <row r="417">
      <c r="A417" s="11"/>
      <c r="B417" s="11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  <c r="AY417" s="120"/>
      <c r="AZ417" s="120"/>
    </row>
    <row r="418">
      <c r="A418" s="11"/>
      <c r="B418" s="11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  <c r="AY418" s="120"/>
      <c r="AZ418" s="120"/>
    </row>
    <row r="419">
      <c r="A419" s="11"/>
      <c r="B419" s="11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  <c r="AY419" s="120"/>
      <c r="AZ419" s="120"/>
    </row>
    <row r="420">
      <c r="A420" s="11"/>
      <c r="B420" s="11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  <c r="AY420" s="120"/>
      <c r="AZ420" s="120"/>
    </row>
    <row r="421">
      <c r="A421" s="11"/>
      <c r="B421" s="11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  <c r="AY421" s="120"/>
      <c r="AZ421" s="120"/>
    </row>
    <row r="422">
      <c r="A422" s="11"/>
      <c r="B422" s="11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  <c r="AY422" s="120"/>
      <c r="AZ422" s="120"/>
    </row>
    <row r="423">
      <c r="A423" s="11"/>
      <c r="B423" s="11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  <c r="AY423" s="120"/>
      <c r="AZ423" s="120"/>
    </row>
    <row r="424">
      <c r="A424" s="11"/>
      <c r="B424" s="11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  <c r="AY424" s="120"/>
      <c r="AZ424" s="120"/>
    </row>
    <row r="425">
      <c r="A425" s="11"/>
      <c r="B425" s="11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  <c r="AY425" s="120"/>
      <c r="AZ425" s="120"/>
    </row>
    <row r="426">
      <c r="A426" s="11"/>
      <c r="B426" s="11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  <c r="AY426" s="120"/>
      <c r="AZ426" s="120"/>
    </row>
    <row r="427">
      <c r="A427" s="11"/>
      <c r="B427" s="11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  <c r="AY427" s="120"/>
      <c r="AZ427" s="120"/>
    </row>
    <row r="428">
      <c r="A428" s="11"/>
      <c r="B428" s="11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  <c r="AY428" s="120"/>
      <c r="AZ428" s="120"/>
    </row>
    <row r="429">
      <c r="A429" s="11"/>
      <c r="B429" s="11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  <c r="AY429" s="120"/>
      <c r="AZ429" s="120"/>
    </row>
    <row r="430">
      <c r="A430" s="11"/>
      <c r="B430" s="11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  <c r="AY430" s="120"/>
      <c r="AZ430" s="120"/>
    </row>
    <row r="431">
      <c r="A431" s="11"/>
      <c r="B431" s="11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  <c r="AY431" s="120"/>
      <c r="AZ431" s="120"/>
    </row>
    <row r="432">
      <c r="A432" s="11"/>
      <c r="B432" s="11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  <c r="AY432" s="120"/>
      <c r="AZ432" s="120"/>
    </row>
    <row r="433">
      <c r="A433" s="11"/>
      <c r="B433" s="11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  <c r="AY433" s="120"/>
      <c r="AZ433" s="120"/>
    </row>
    <row r="434">
      <c r="A434" s="11"/>
      <c r="B434" s="11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  <c r="AY434" s="120"/>
      <c r="AZ434" s="120"/>
    </row>
    <row r="435">
      <c r="A435" s="11"/>
      <c r="B435" s="11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  <c r="AY435" s="120"/>
      <c r="AZ435" s="120"/>
    </row>
    <row r="436">
      <c r="A436" s="11"/>
      <c r="B436" s="11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</row>
    <row r="437">
      <c r="A437" s="11"/>
      <c r="B437" s="11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</row>
    <row r="438">
      <c r="A438" s="11"/>
      <c r="B438" s="11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  <c r="W438" s="120"/>
      <c r="X438" s="120"/>
      <c r="Y438" s="120"/>
      <c r="Z438" s="120"/>
      <c r="AA438" s="120"/>
      <c r="AB438" s="120"/>
      <c r="AC438" s="120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  <c r="AO438" s="120"/>
      <c r="AP438" s="120"/>
      <c r="AQ438" s="120"/>
      <c r="AR438" s="120"/>
      <c r="AS438" s="120"/>
      <c r="AT438" s="120"/>
      <c r="AU438" s="120"/>
      <c r="AV438" s="120"/>
      <c r="AW438" s="120"/>
      <c r="AX438" s="120"/>
      <c r="AY438" s="120"/>
      <c r="AZ438" s="120"/>
    </row>
    <row r="439">
      <c r="A439" s="11"/>
      <c r="B439" s="11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  <c r="W439" s="120"/>
      <c r="X439" s="120"/>
      <c r="Y439" s="120"/>
      <c r="Z439" s="120"/>
      <c r="AA439" s="120"/>
      <c r="AB439" s="120"/>
      <c r="AC439" s="120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  <c r="AO439" s="120"/>
      <c r="AP439" s="120"/>
      <c r="AQ439" s="120"/>
      <c r="AR439" s="120"/>
      <c r="AS439" s="120"/>
      <c r="AT439" s="120"/>
      <c r="AU439" s="120"/>
      <c r="AV439" s="120"/>
      <c r="AW439" s="120"/>
      <c r="AX439" s="120"/>
      <c r="AY439" s="120"/>
      <c r="AZ439" s="120"/>
    </row>
    <row r="440">
      <c r="A440" s="11"/>
      <c r="B440" s="11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  <c r="W440" s="120"/>
      <c r="X440" s="120"/>
      <c r="Y440" s="120"/>
      <c r="Z440" s="120"/>
      <c r="AA440" s="120"/>
      <c r="AB440" s="120"/>
      <c r="AC440" s="120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  <c r="AO440" s="120"/>
      <c r="AP440" s="120"/>
      <c r="AQ440" s="120"/>
      <c r="AR440" s="120"/>
      <c r="AS440" s="120"/>
      <c r="AT440" s="120"/>
      <c r="AU440" s="120"/>
      <c r="AV440" s="120"/>
      <c r="AW440" s="120"/>
      <c r="AX440" s="120"/>
      <c r="AY440" s="120"/>
      <c r="AZ440" s="120"/>
    </row>
    <row r="441">
      <c r="A441" s="11"/>
      <c r="B441" s="11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  <c r="W441" s="120"/>
      <c r="X441" s="120"/>
      <c r="Y441" s="120"/>
      <c r="Z441" s="120"/>
      <c r="AA441" s="120"/>
      <c r="AB441" s="120"/>
      <c r="AC441" s="120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  <c r="AO441" s="120"/>
      <c r="AP441" s="120"/>
      <c r="AQ441" s="120"/>
      <c r="AR441" s="120"/>
      <c r="AS441" s="120"/>
      <c r="AT441" s="120"/>
      <c r="AU441" s="120"/>
      <c r="AV441" s="120"/>
      <c r="AW441" s="120"/>
      <c r="AX441" s="120"/>
      <c r="AY441" s="120"/>
      <c r="AZ441" s="120"/>
    </row>
    <row r="442">
      <c r="A442" s="11"/>
      <c r="B442" s="11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  <c r="W442" s="120"/>
      <c r="X442" s="120"/>
      <c r="Y442" s="120"/>
      <c r="Z442" s="120"/>
      <c r="AA442" s="120"/>
      <c r="AB442" s="120"/>
      <c r="AC442" s="120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  <c r="AO442" s="120"/>
      <c r="AP442" s="120"/>
      <c r="AQ442" s="120"/>
      <c r="AR442" s="120"/>
      <c r="AS442" s="120"/>
      <c r="AT442" s="120"/>
      <c r="AU442" s="120"/>
      <c r="AV442" s="120"/>
      <c r="AW442" s="120"/>
      <c r="AX442" s="120"/>
      <c r="AY442" s="120"/>
      <c r="AZ442" s="120"/>
    </row>
    <row r="443">
      <c r="A443" s="11"/>
      <c r="B443" s="11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  <c r="W443" s="120"/>
      <c r="X443" s="120"/>
      <c r="Y443" s="120"/>
      <c r="Z443" s="120"/>
      <c r="AA443" s="120"/>
      <c r="AB443" s="120"/>
      <c r="AC443" s="120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  <c r="AO443" s="120"/>
      <c r="AP443" s="120"/>
      <c r="AQ443" s="120"/>
      <c r="AR443" s="120"/>
      <c r="AS443" s="120"/>
      <c r="AT443" s="120"/>
      <c r="AU443" s="120"/>
      <c r="AV443" s="120"/>
      <c r="AW443" s="120"/>
      <c r="AX443" s="120"/>
      <c r="AY443" s="120"/>
      <c r="AZ443" s="120"/>
    </row>
    <row r="444">
      <c r="A444" s="11"/>
      <c r="B444" s="11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  <c r="W444" s="120"/>
      <c r="X444" s="120"/>
      <c r="Y444" s="120"/>
      <c r="Z444" s="120"/>
      <c r="AA444" s="120"/>
      <c r="AB444" s="120"/>
      <c r="AC444" s="120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  <c r="AO444" s="120"/>
      <c r="AP444" s="120"/>
      <c r="AQ444" s="120"/>
      <c r="AR444" s="120"/>
      <c r="AS444" s="120"/>
      <c r="AT444" s="120"/>
      <c r="AU444" s="120"/>
      <c r="AV444" s="120"/>
      <c r="AW444" s="120"/>
      <c r="AX444" s="120"/>
      <c r="AY444" s="120"/>
      <c r="AZ444" s="120"/>
    </row>
    <row r="445">
      <c r="A445" s="11"/>
      <c r="B445" s="11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  <c r="W445" s="120"/>
      <c r="X445" s="120"/>
      <c r="Y445" s="120"/>
      <c r="Z445" s="120"/>
      <c r="AA445" s="120"/>
      <c r="AB445" s="120"/>
      <c r="AC445" s="120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  <c r="AO445" s="120"/>
      <c r="AP445" s="120"/>
      <c r="AQ445" s="120"/>
      <c r="AR445" s="120"/>
      <c r="AS445" s="120"/>
      <c r="AT445" s="120"/>
      <c r="AU445" s="120"/>
      <c r="AV445" s="120"/>
      <c r="AW445" s="120"/>
      <c r="AX445" s="120"/>
      <c r="AY445" s="120"/>
      <c r="AZ445" s="120"/>
    </row>
    <row r="446">
      <c r="A446" s="11"/>
      <c r="B446" s="11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  <c r="W446" s="120"/>
      <c r="X446" s="120"/>
      <c r="Y446" s="120"/>
      <c r="Z446" s="120"/>
      <c r="AA446" s="120"/>
      <c r="AB446" s="120"/>
      <c r="AC446" s="120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  <c r="AO446" s="120"/>
      <c r="AP446" s="120"/>
      <c r="AQ446" s="120"/>
      <c r="AR446" s="120"/>
      <c r="AS446" s="120"/>
      <c r="AT446" s="120"/>
      <c r="AU446" s="120"/>
      <c r="AV446" s="120"/>
      <c r="AW446" s="120"/>
      <c r="AX446" s="120"/>
      <c r="AY446" s="120"/>
      <c r="AZ446" s="120"/>
    </row>
    <row r="447">
      <c r="A447" s="11"/>
      <c r="B447" s="11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  <c r="W447" s="120"/>
      <c r="X447" s="120"/>
      <c r="Y447" s="120"/>
      <c r="Z447" s="120"/>
      <c r="AA447" s="120"/>
      <c r="AB447" s="120"/>
      <c r="AC447" s="120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  <c r="AO447" s="120"/>
      <c r="AP447" s="120"/>
      <c r="AQ447" s="120"/>
      <c r="AR447" s="120"/>
      <c r="AS447" s="120"/>
      <c r="AT447" s="120"/>
      <c r="AU447" s="120"/>
      <c r="AV447" s="120"/>
      <c r="AW447" s="120"/>
      <c r="AX447" s="120"/>
      <c r="AY447" s="120"/>
      <c r="AZ447" s="120"/>
    </row>
    <row r="448">
      <c r="A448" s="11"/>
      <c r="B448" s="11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  <c r="W448" s="120"/>
      <c r="X448" s="120"/>
      <c r="Y448" s="120"/>
      <c r="Z448" s="120"/>
      <c r="AA448" s="120"/>
      <c r="AB448" s="120"/>
      <c r="AC448" s="120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  <c r="AO448" s="120"/>
      <c r="AP448" s="120"/>
      <c r="AQ448" s="120"/>
      <c r="AR448" s="120"/>
      <c r="AS448" s="120"/>
      <c r="AT448" s="120"/>
      <c r="AU448" s="120"/>
      <c r="AV448" s="120"/>
      <c r="AW448" s="120"/>
      <c r="AX448" s="120"/>
      <c r="AY448" s="120"/>
      <c r="AZ448" s="120"/>
    </row>
    <row r="449">
      <c r="A449" s="11"/>
      <c r="B449" s="11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  <c r="W449" s="120"/>
      <c r="X449" s="120"/>
      <c r="Y449" s="120"/>
      <c r="Z449" s="120"/>
      <c r="AA449" s="120"/>
      <c r="AB449" s="120"/>
      <c r="AC449" s="120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  <c r="AO449" s="120"/>
      <c r="AP449" s="120"/>
      <c r="AQ449" s="120"/>
      <c r="AR449" s="120"/>
      <c r="AS449" s="120"/>
      <c r="AT449" s="120"/>
      <c r="AU449" s="120"/>
      <c r="AV449" s="120"/>
      <c r="AW449" s="120"/>
      <c r="AX449" s="120"/>
      <c r="AY449" s="120"/>
      <c r="AZ449" s="120"/>
    </row>
    <row r="450">
      <c r="A450" s="11"/>
      <c r="B450" s="11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  <c r="W450" s="120"/>
      <c r="X450" s="120"/>
      <c r="Y450" s="120"/>
      <c r="Z450" s="120"/>
      <c r="AA450" s="120"/>
      <c r="AB450" s="120"/>
      <c r="AC450" s="120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  <c r="AO450" s="120"/>
      <c r="AP450" s="120"/>
      <c r="AQ450" s="120"/>
      <c r="AR450" s="120"/>
      <c r="AS450" s="120"/>
      <c r="AT450" s="120"/>
      <c r="AU450" s="120"/>
      <c r="AV450" s="120"/>
      <c r="AW450" s="120"/>
      <c r="AX450" s="120"/>
      <c r="AY450" s="120"/>
      <c r="AZ450" s="120"/>
    </row>
    <row r="451">
      <c r="A451" s="11"/>
      <c r="B451" s="11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  <c r="W451" s="120"/>
      <c r="X451" s="120"/>
      <c r="Y451" s="120"/>
      <c r="Z451" s="120"/>
      <c r="AA451" s="120"/>
      <c r="AB451" s="120"/>
      <c r="AC451" s="120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  <c r="AO451" s="120"/>
      <c r="AP451" s="120"/>
      <c r="AQ451" s="120"/>
      <c r="AR451" s="120"/>
      <c r="AS451" s="120"/>
      <c r="AT451" s="120"/>
      <c r="AU451" s="120"/>
      <c r="AV451" s="120"/>
      <c r="AW451" s="120"/>
      <c r="AX451" s="120"/>
      <c r="AY451" s="120"/>
      <c r="AZ451" s="120"/>
    </row>
    <row r="452">
      <c r="A452" s="11"/>
      <c r="B452" s="11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  <c r="W452" s="120"/>
      <c r="X452" s="120"/>
      <c r="Y452" s="120"/>
      <c r="Z452" s="120"/>
      <c r="AA452" s="120"/>
      <c r="AB452" s="120"/>
      <c r="AC452" s="120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  <c r="AO452" s="120"/>
      <c r="AP452" s="120"/>
      <c r="AQ452" s="120"/>
      <c r="AR452" s="120"/>
      <c r="AS452" s="120"/>
      <c r="AT452" s="120"/>
      <c r="AU452" s="120"/>
      <c r="AV452" s="120"/>
      <c r="AW452" s="120"/>
      <c r="AX452" s="120"/>
      <c r="AY452" s="120"/>
      <c r="AZ452" s="120"/>
    </row>
    <row r="453">
      <c r="A453" s="11"/>
      <c r="B453" s="11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  <c r="W453" s="120"/>
      <c r="X453" s="120"/>
      <c r="Y453" s="120"/>
      <c r="Z453" s="120"/>
      <c r="AA453" s="120"/>
      <c r="AB453" s="120"/>
      <c r="AC453" s="120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  <c r="AO453" s="120"/>
      <c r="AP453" s="120"/>
      <c r="AQ453" s="120"/>
      <c r="AR453" s="120"/>
      <c r="AS453" s="120"/>
      <c r="AT453" s="120"/>
      <c r="AU453" s="120"/>
      <c r="AV453" s="120"/>
      <c r="AW453" s="120"/>
      <c r="AX453" s="120"/>
      <c r="AY453" s="120"/>
      <c r="AZ453" s="120"/>
    </row>
    <row r="454">
      <c r="A454" s="11"/>
      <c r="B454" s="11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  <c r="W454" s="120"/>
      <c r="X454" s="120"/>
      <c r="Y454" s="120"/>
      <c r="Z454" s="120"/>
      <c r="AA454" s="120"/>
      <c r="AB454" s="120"/>
      <c r="AC454" s="120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  <c r="AO454" s="120"/>
      <c r="AP454" s="120"/>
      <c r="AQ454" s="120"/>
      <c r="AR454" s="120"/>
      <c r="AS454" s="120"/>
      <c r="AT454" s="120"/>
      <c r="AU454" s="120"/>
      <c r="AV454" s="120"/>
      <c r="AW454" s="120"/>
      <c r="AX454" s="120"/>
      <c r="AY454" s="120"/>
      <c r="AZ454" s="120"/>
    </row>
    <row r="455">
      <c r="A455" s="11"/>
      <c r="B455" s="11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  <c r="W455" s="120"/>
      <c r="X455" s="120"/>
      <c r="Y455" s="120"/>
      <c r="Z455" s="120"/>
      <c r="AA455" s="120"/>
      <c r="AB455" s="120"/>
      <c r="AC455" s="120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  <c r="AO455" s="120"/>
      <c r="AP455" s="120"/>
      <c r="AQ455" s="120"/>
      <c r="AR455" s="120"/>
      <c r="AS455" s="120"/>
      <c r="AT455" s="120"/>
      <c r="AU455" s="120"/>
      <c r="AV455" s="120"/>
      <c r="AW455" s="120"/>
      <c r="AX455" s="120"/>
      <c r="AY455" s="120"/>
      <c r="AZ455" s="120"/>
    </row>
    <row r="456">
      <c r="A456" s="11"/>
      <c r="B456" s="11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  <c r="W456" s="120"/>
      <c r="X456" s="120"/>
      <c r="Y456" s="120"/>
      <c r="Z456" s="120"/>
      <c r="AA456" s="120"/>
      <c r="AB456" s="120"/>
      <c r="AC456" s="120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  <c r="AO456" s="120"/>
      <c r="AP456" s="120"/>
      <c r="AQ456" s="120"/>
      <c r="AR456" s="120"/>
      <c r="AS456" s="120"/>
      <c r="AT456" s="120"/>
      <c r="AU456" s="120"/>
      <c r="AV456" s="120"/>
      <c r="AW456" s="120"/>
      <c r="AX456" s="120"/>
      <c r="AY456" s="120"/>
      <c r="AZ456" s="120"/>
    </row>
    <row r="457">
      <c r="A457" s="11"/>
      <c r="B457" s="11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  <c r="W457" s="120"/>
      <c r="X457" s="120"/>
      <c r="Y457" s="120"/>
      <c r="Z457" s="120"/>
      <c r="AA457" s="120"/>
      <c r="AB457" s="120"/>
      <c r="AC457" s="120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  <c r="AO457" s="120"/>
      <c r="AP457" s="120"/>
      <c r="AQ457" s="120"/>
      <c r="AR457" s="120"/>
      <c r="AS457" s="120"/>
      <c r="AT457" s="120"/>
      <c r="AU457" s="120"/>
      <c r="AV457" s="120"/>
      <c r="AW457" s="120"/>
      <c r="AX457" s="120"/>
      <c r="AY457" s="120"/>
      <c r="AZ457" s="120"/>
    </row>
    <row r="458">
      <c r="A458" s="11"/>
      <c r="B458" s="11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  <c r="W458" s="120"/>
      <c r="X458" s="120"/>
      <c r="Y458" s="120"/>
      <c r="Z458" s="120"/>
      <c r="AA458" s="120"/>
      <c r="AB458" s="120"/>
      <c r="AC458" s="120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  <c r="AO458" s="120"/>
      <c r="AP458" s="120"/>
      <c r="AQ458" s="120"/>
      <c r="AR458" s="120"/>
      <c r="AS458" s="120"/>
      <c r="AT458" s="120"/>
      <c r="AU458" s="120"/>
      <c r="AV458" s="120"/>
      <c r="AW458" s="120"/>
      <c r="AX458" s="120"/>
      <c r="AY458" s="120"/>
      <c r="AZ458" s="120"/>
    </row>
    <row r="459">
      <c r="A459" s="11"/>
      <c r="B459" s="11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  <c r="W459" s="120"/>
      <c r="X459" s="120"/>
      <c r="Y459" s="120"/>
      <c r="Z459" s="120"/>
      <c r="AA459" s="120"/>
      <c r="AB459" s="120"/>
      <c r="AC459" s="120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  <c r="AO459" s="120"/>
      <c r="AP459" s="120"/>
      <c r="AQ459" s="120"/>
      <c r="AR459" s="120"/>
      <c r="AS459" s="120"/>
      <c r="AT459" s="120"/>
      <c r="AU459" s="120"/>
      <c r="AV459" s="120"/>
      <c r="AW459" s="120"/>
      <c r="AX459" s="120"/>
      <c r="AY459" s="120"/>
      <c r="AZ459" s="120"/>
    </row>
    <row r="460">
      <c r="A460" s="11"/>
      <c r="B460" s="11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  <c r="W460" s="120"/>
      <c r="X460" s="120"/>
      <c r="Y460" s="120"/>
      <c r="Z460" s="120"/>
      <c r="AA460" s="120"/>
      <c r="AB460" s="120"/>
      <c r="AC460" s="120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  <c r="AO460" s="120"/>
      <c r="AP460" s="120"/>
      <c r="AQ460" s="120"/>
      <c r="AR460" s="120"/>
      <c r="AS460" s="120"/>
      <c r="AT460" s="120"/>
      <c r="AU460" s="120"/>
      <c r="AV460" s="120"/>
      <c r="AW460" s="120"/>
      <c r="AX460" s="120"/>
      <c r="AY460" s="120"/>
      <c r="AZ460" s="120"/>
    </row>
    <row r="461">
      <c r="A461" s="11"/>
      <c r="B461" s="11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  <c r="W461" s="120"/>
      <c r="X461" s="120"/>
      <c r="Y461" s="120"/>
      <c r="Z461" s="120"/>
      <c r="AA461" s="120"/>
      <c r="AB461" s="120"/>
      <c r="AC461" s="120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  <c r="AO461" s="120"/>
      <c r="AP461" s="120"/>
      <c r="AQ461" s="120"/>
      <c r="AR461" s="120"/>
      <c r="AS461" s="120"/>
      <c r="AT461" s="120"/>
      <c r="AU461" s="120"/>
      <c r="AV461" s="120"/>
      <c r="AW461" s="120"/>
      <c r="AX461" s="120"/>
      <c r="AY461" s="120"/>
      <c r="AZ461" s="120"/>
    </row>
    <row r="462">
      <c r="A462" s="11"/>
      <c r="B462" s="11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  <c r="W462" s="120"/>
      <c r="X462" s="120"/>
      <c r="Y462" s="120"/>
      <c r="Z462" s="120"/>
      <c r="AA462" s="120"/>
      <c r="AB462" s="120"/>
      <c r="AC462" s="120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  <c r="AO462" s="120"/>
      <c r="AP462" s="120"/>
      <c r="AQ462" s="120"/>
      <c r="AR462" s="120"/>
      <c r="AS462" s="120"/>
      <c r="AT462" s="120"/>
      <c r="AU462" s="120"/>
      <c r="AV462" s="120"/>
      <c r="AW462" s="120"/>
      <c r="AX462" s="120"/>
      <c r="AY462" s="120"/>
      <c r="AZ462" s="120"/>
    </row>
    <row r="463">
      <c r="A463" s="11"/>
      <c r="B463" s="11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  <c r="W463" s="120"/>
      <c r="X463" s="120"/>
      <c r="Y463" s="120"/>
      <c r="Z463" s="120"/>
      <c r="AA463" s="120"/>
      <c r="AB463" s="120"/>
      <c r="AC463" s="120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  <c r="AO463" s="120"/>
      <c r="AP463" s="120"/>
      <c r="AQ463" s="120"/>
      <c r="AR463" s="120"/>
      <c r="AS463" s="120"/>
      <c r="AT463" s="120"/>
      <c r="AU463" s="120"/>
      <c r="AV463" s="120"/>
      <c r="AW463" s="120"/>
      <c r="AX463" s="120"/>
      <c r="AY463" s="120"/>
      <c r="AZ463" s="120"/>
    </row>
    <row r="464">
      <c r="A464" s="11"/>
      <c r="B464" s="11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  <c r="W464" s="120"/>
      <c r="X464" s="120"/>
      <c r="Y464" s="120"/>
      <c r="Z464" s="120"/>
      <c r="AA464" s="120"/>
      <c r="AB464" s="120"/>
      <c r="AC464" s="120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  <c r="AO464" s="120"/>
      <c r="AP464" s="120"/>
      <c r="AQ464" s="120"/>
      <c r="AR464" s="120"/>
      <c r="AS464" s="120"/>
      <c r="AT464" s="120"/>
      <c r="AU464" s="120"/>
      <c r="AV464" s="120"/>
      <c r="AW464" s="120"/>
      <c r="AX464" s="120"/>
      <c r="AY464" s="120"/>
      <c r="AZ464" s="120"/>
    </row>
    <row r="465">
      <c r="A465" s="11"/>
      <c r="B465" s="11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  <c r="W465" s="120"/>
      <c r="X465" s="120"/>
      <c r="Y465" s="120"/>
      <c r="Z465" s="120"/>
      <c r="AA465" s="120"/>
      <c r="AB465" s="120"/>
      <c r="AC465" s="120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  <c r="AO465" s="120"/>
      <c r="AP465" s="120"/>
      <c r="AQ465" s="120"/>
      <c r="AR465" s="120"/>
      <c r="AS465" s="120"/>
      <c r="AT465" s="120"/>
      <c r="AU465" s="120"/>
      <c r="AV465" s="120"/>
      <c r="AW465" s="120"/>
      <c r="AX465" s="120"/>
      <c r="AY465" s="120"/>
      <c r="AZ465" s="120"/>
    </row>
    <row r="466">
      <c r="A466" s="11"/>
      <c r="B466" s="11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  <c r="W466" s="120"/>
      <c r="X466" s="120"/>
      <c r="Y466" s="120"/>
      <c r="Z466" s="120"/>
      <c r="AA466" s="120"/>
      <c r="AB466" s="120"/>
      <c r="AC466" s="120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  <c r="AO466" s="120"/>
      <c r="AP466" s="120"/>
      <c r="AQ466" s="120"/>
      <c r="AR466" s="120"/>
      <c r="AS466" s="120"/>
      <c r="AT466" s="120"/>
      <c r="AU466" s="120"/>
      <c r="AV466" s="120"/>
      <c r="AW466" s="120"/>
      <c r="AX466" s="120"/>
      <c r="AY466" s="120"/>
      <c r="AZ466" s="120"/>
    </row>
    <row r="467">
      <c r="A467" s="11"/>
      <c r="B467" s="11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  <c r="W467" s="120"/>
      <c r="X467" s="120"/>
      <c r="Y467" s="120"/>
      <c r="Z467" s="120"/>
      <c r="AA467" s="120"/>
      <c r="AB467" s="120"/>
      <c r="AC467" s="120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  <c r="AO467" s="120"/>
      <c r="AP467" s="120"/>
      <c r="AQ467" s="120"/>
      <c r="AR467" s="120"/>
      <c r="AS467" s="120"/>
      <c r="AT467" s="120"/>
      <c r="AU467" s="120"/>
      <c r="AV467" s="120"/>
      <c r="AW467" s="120"/>
      <c r="AX467" s="120"/>
      <c r="AY467" s="120"/>
      <c r="AZ467" s="120"/>
    </row>
    <row r="468">
      <c r="A468" s="11"/>
      <c r="B468" s="11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  <c r="W468" s="120"/>
      <c r="X468" s="120"/>
      <c r="Y468" s="120"/>
      <c r="Z468" s="120"/>
      <c r="AA468" s="120"/>
      <c r="AB468" s="120"/>
      <c r="AC468" s="120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  <c r="AO468" s="120"/>
      <c r="AP468" s="120"/>
      <c r="AQ468" s="120"/>
      <c r="AR468" s="120"/>
      <c r="AS468" s="120"/>
      <c r="AT468" s="120"/>
      <c r="AU468" s="120"/>
      <c r="AV468" s="120"/>
      <c r="AW468" s="120"/>
      <c r="AX468" s="120"/>
      <c r="AY468" s="120"/>
      <c r="AZ468" s="120"/>
    </row>
    <row r="469">
      <c r="A469" s="11"/>
      <c r="B469" s="11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  <c r="W469" s="120"/>
      <c r="X469" s="120"/>
      <c r="Y469" s="120"/>
      <c r="Z469" s="120"/>
      <c r="AA469" s="120"/>
      <c r="AB469" s="120"/>
      <c r="AC469" s="120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  <c r="AO469" s="120"/>
      <c r="AP469" s="120"/>
      <c r="AQ469" s="120"/>
      <c r="AR469" s="120"/>
      <c r="AS469" s="120"/>
      <c r="AT469" s="120"/>
      <c r="AU469" s="120"/>
      <c r="AV469" s="120"/>
      <c r="AW469" s="120"/>
      <c r="AX469" s="120"/>
      <c r="AY469" s="120"/>
      <c r="AZ469" s="120"/>
    </row>
    <row r="470">
      <c r="A470" s="11"/>
      <c r="B470" s="11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  <c r="W470" s="120"/>
      <c r="X470" s="120"/>
      <c r="Y470" s="120"/>
      <c r="Z470" s="120"/>
      <c r="AA470" s="120"/>
      <c r="AB470" s="120"/>
      <c r="AC470" s="120"/>
      <c r="AD470" s="120"/>
      <c r="AE470" s="120"/>
      <c r="AF470" s="120"/>
      <c r="AG470" s="120"/>
      <c r="AH470" s="120"/>
      <c r="AI470" s="120"/>
      <c r="AJ470" s="120"/>
      <c r="AK470" s="120"/>
      <c r="AL470" s="120"/>
      <c r="AM470" s="120"/>
      <c r="AN470" s="120"/>
      <c r="AO470" s="120"/>
      <c r="AP470" s="120"/>
      <c r="AQ470" s="120"/>
      <c r="AR470" s="120"/>
      <c r="AS470" s="120"/>
      <c r="AT470" s="120"/>
      <c r="AU470" s="120"/>
      <c r="AV470" s="120"/>
      <c r="AW470" s="120"/>
      <c r="AX470" s="120"/>
      <c r="AY470" s="120"/>
      <c r="AZ470" s="120"/>
    </row>
    <row r="471">
      <c r="A471" s="11"/>
      <c r="B471" s="11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  <c r="W471" s="120"/>
      <c r="X471" s="120"/>
      <c r="Y471" s="120"/>
      <c r="Z471" s="120"/>
      <c r="AA471" s="120"/>
      <c r="AB471" s="120"/>
      <c r="AC471" s="120"/>
      <c r="AD471" s="120"/>
      <c r="AE471" s="120"/>
      <c r="AF471" s="120"/>
      <c r="AG471" s="120"/>
      <c r="AH471" s="120"/>
      <c r="AI471" s="120"/>
      <c r="AJ471" s="120"/>
      <c r="AK471" s="120"/>
      <c r="AL471" s="120"/>
      <c r="AM471" s="120"/>
      <c r="AN471" s="120"/>
      <c r="AO471" s="120"/>
      <c r="AP471" s="120"/>
      <c r="AQ471" s="120"/>
      <c r="AR471" s="120"/>
      <c r="AS471" s="120"/>
      <c r="AT471" s="120"/>
      <c r="AU471" s="120"/>
      <c r="AV471" s="120"/>
      <c r="AW471" s="120"/>
      <c r="AX471" s="120"/>
      <c r="AY471" s="120"/>
      <c r="AZ471" s="120"/>
    </row>
    <row r="472">
      <c r="A472" s="11"/>
      <c r="B472" s="11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  <c r="W472" s="120"/>
      <c r="X472" s="120"/>
      <c r="Y472" s="120"/>
      <c r="Z472" s="120"/>
      <c r="AA472" s="120"/>
      <c r="AB472" s="120"/>
      <c r="AC472" s="120"/>
      <c r="AD472" s="120"/>
      <c r="AE472" s="120"/>
      <c r="AF472" s="120"/>
      <c r="AG472" s="120"/>
      <c r="AH472" s="120"/>
      <c r="AI472" s="120"/>
      <c r="AJ472" s="120"/>
      <c r="AK472" s="120"/>
      <c r="AL472" s="120"/>
      <c r="AM472" s="120"/>
      <c r="AN472" s="120"/>
      <c r="AO472" s="120"/>
      <c r="AP472" s="120"/>
      <c r="AQ472" s="120"/>
      <c r="AR472" s="120"/>
      <c r="AS472" s="120"/>
      <c r="AT472" s="120"/>
      <c r="AU472" s="120"/>
      <c r="AV472" s="120"/>
      <c r="AW472" s="120"/>
      <c r="AX472" s="120"/>
      <c r="AY472" s="120"/>
      <c r="AZ472" s="120"/>
    </row>
    <row r="473">
      <c r="A473" s="11"/>
      <c r="B473" s="11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  <c r="W473" s="120"/>
      <c r="X473" s="120"/>
      <c r="Y473" s="120"/>
      <c r="Z473" s="120"/>
      <c r="AA473" s="120"/>
      <c r="AB473" s="120"/>
      <c r="AC473" s="120"/>
      <c r="AD473" s="120"/>
      <c r="AE473" s="120"/>
      <c r="AF473" s="120"/>
      <c r="AG473" s="120"/>
      <c r="AH473" s="120"/>
      <c r="AI473" s="120"/>
      <c r="AJ473" s="120"/>
      <c r="AK473" s="120"/>
      <c r="AL473" s="120"/>
      <c r="AM473" s="120"/>
      <c r="AN473" s="120"/>
      <c r="AO473" s="120"/>
      <c r="AP473" s="120"/>
      <c r="AQ473" s="120"/>
      <c r="AR473" s="120"/>
      <c r="AS473" s="120"/>
      <c r="AT473" s="120"/>
      <c r="AU473" s="120"/>
      <c r="AV473" s="120"/>
      <c r="AW473" s="120"/>
      <c r="AX473" s="120"/>
      <c r="AY473" s="120"/>
      <c r="AZ473" s="120"/>
    </row>
    <row r="474">
      <c r="A474" s="11"/>
      <c r="B474" s="11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  <c r="W474" s="120"/>
      <c r="X474" s="120"/>
      <c r="Y474" s="120"/>
      <c r="Z474" s="120"/>
      <c r="AA474" s="120"/>
      <c r="AB474" s="120"/>
      <c r="AC474" s="120"/>
      <c r="AD474" s="120"/>
      <c r="AE474" s="120"/>
      <c r="AF474" s="120"/>
      <c r="AG474" s="120"/>
      <c r="AH474" s="120"/>
      <c r="AI474" s="120"/>
      <c r="AJ474" s="120"/>
      <c r="AK474" s="120"/>
      <c r="AL474" s="120"/>
      <c r="AM474" s="120"/>
      <c r="AN474" s="120"/>
      <c r="AO474" s="120"/>
      <c r="AP474" s="120"/>
      <c r="AQ474" s="120"/>
      <c r="AR474" s="120"/>
      <c r="AS474" s="120"/>
      <c r="AT474" s="120"/>
      <c r="AU474" s="120"/>
      <c r="AV474" s="120"/>
      <c r="AW474" s="120"/>
      <c r="AX474" s="120"/>
      <c r="AY474" s="120"/>
      <c r="AZ474" s="120"/>
    </row>
    <row r="475">
      <c r="A475" s="11"/>
      <c r="B475" s="11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  <c r="W475" s="120"/>
      <c r="X475" s="120"/>
      <c r="Y475" s="120"/>
      <c r="Z475" s="120"/>
      <c r="AA475" s="120"/>
      <c r="AB475" s="120"/>
      <c r="AC475" s="120"/>
      <c r="AD475" s="120"/>
      <c r="AE475" s="120"/>
      <c r="AF475" s="120"/>
      <c r="AG475" s="120"/>
      <c r="AH475" s="120"/>
      <c r="AI475" s="120"/>
      <c r="AJ475" s="120"/>
      <c r="AK475" s="120"/>
      <c r="AL475" s="120"/>
      <c r="AM475" s="120"/>
      <c r="AN475" s="120"/>
      <c r="AO475" s="120"/>
      <c r="AP475" s="120"/>
      <c r="AQ475" s="120"/>
      <c r="AR475" s="120"/>
      <c r="AS475" s="120"/>
      <c r="AT475" s="120"/>
      <c r="AU475" s="120"/>
      <c r="AV475" s="120"/>
      <c r="AW475" s="120"/>
      <c r="AX475" s="120"/>
      <c r="AY475" s="120"/>
      <c r="AZ475" s="120"/>
    </row>
    <row r="476">
      <c r="A476" s="11"/>
      <c r="B476" s="11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  <c r="W476" s="120"/>
      <c r="X476" s="120"/>
      <c r="Y476" s="120"/>
      <c r="Z476" s="120"/>
      <c r="AA476" s="120"/>
      <c r="AB476" s="120"/>
      <c r="AC476" s="120"/>
      <c r="AD476" s="120"/>
      <c r="AE476" s="120"/>
      <c r="AF476" s="120"/>
      <c r="AG476" s="120"/>
      <c r="AH476" s="120"/>
      <c r="AI476" s="120"/>
      <c r="AJ476" s="120"/>
      <c r="AK476" s="120"/>
      <c r="AL476" s="120"/>
      <c r="AM476" s="120"/>
      <c r="AN476" s="120"/>
      <c r="AO476" s="120"/>
      <c r="AP476" s="120"/>
      <c r="AQ476" s="120"/>
      <c r="AR476" s="120"/>
      <c r="AS476" s="120"/>
      <c r="AT476" s="120"/>
      <c r="AU476" s="120"/>
      <c r="AV476" s="120"/>
      <c r="AW476" s="120"/>
      <c r="AX476" s="120"/>
      <c r="AY476" s="120"/>
      <c r="AZ476" s="120"/>
    </row>
    <row r="477">
      <c r="A477" s="11"/>
      <c r="B477" s="11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  <c r="W477" s="120"/>
      <c r="X477" s="120"/>
      <c r="Y477" s="120"/>
      <c r="Z477" s="120"/>
      <c r="AA477" s="120"/>
      <c r="AB477" s="120"/>
      <c r="AC477" s="120"/>
      <c r="AD477" s="120"/>
      <c r="AE477" s="120"/>
      <c r="AF477" s="120"/>
      <c r="AG477" s="120"/>
      <c r="AH477" s="120"/>
      <c r="AI477" s="120"/>
      <c r="AJ477" s="120"/>
      <c r="AK477" s="120"/>
      <c r="AL477" s="120"/>
      <c r="AM477" s="120"/>
      <c r="AN477" s="120"/>
      <c r="AO477" s="120"/>
      <c r="AP477" s="120"/>
      <c r="AQ477" s="120"/>
      <c r="AR477" s="120"/>
      <c r="AS477" s="120"/>
      <c r="AT477" s="120"/>
      <c r="AU477" s="120"/>
      <c r="AV477" s="120"/>
      <c r="AW477" s="120"/>
      <c r="AX477" s="120"/>
      <c r="AY477" s="120"/>
      <c r="AZ477" s="120"/>
    </row>
    <row r="478">
      <c r="A478" s="11"/>
      <c r="B478" s="11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  <c r="W478" s="120"/>
      <c r="X478" s="120"/>
      <c r="Y478" s="120"/>
      <c r="Z478" s="120"/>
      <c r="AA478" s="120"/>
      <c r="AB478" s="120"/>
      <c r="AC478" s="120"/>
      <c r="AD478" s="120"/>
      <c r="AE478" s="120"/>
      <c r="AF478" s="120"/>
      <c r="AG478" s="120"/>
      <c r="AH478" s="120"/>
      <c r="AI478" s="120"/>
      <c r="AJ478" s="120"/>
      <c r="AK478" s="120"/>
      <c r="AL478" s="120"/>
      <c r="AM478" s="120"/>
      <c r="AN478" s="120"/>
      <c r="AO478" s="120"/>
      <c r="AP478" s="120"/>
      <c r="AQ478" s="120"/>
      <c r="AR478" s="120"/>
      <c r="AS478" s="120"/>
      <c r="AT478" s="120"/>
      <c r="AU478" s="120"/>
      <c r="AV478" s="120"/>
      <c r="AW478" s="120"/>
      <c r="AX478" s="120"/>
      <c r="AY478" s="120"/>
      <c r="AZ478" s="120"/>
    </row>
    <row r="479">
      <c r="A479" s="11"/>
      <c r="B479" s="11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  <c r="W479" s="120"/>
      <c r="X479" s="120"/>
      <c r="Y479" s="120"/>
      <c r="Z479" s="120"/>
      <c r="AA479" s="120"/>
      <c r="AB479" s="120"/>
      <c r="AC479" s="120"/>
      <c r="AD479" s="120"/>
      <c r="AE479" s="120"/>
      <c r="AF479" s="120"/>
      <c r="AG479" s="120"/>
      <c r="AH479" s="120"/>
      <c r="AI479" s="120"/>
      <c r="AJ479" s="120"/>
      <c r="AK479" s="120"/>
      <c r="AL479" s="120"/>
      <c r="AM479" s="120"/>
      <c r="AN479" s="120"/>
      <c r="AO479" s="120"/>
      <c r="AP479" s="120"/>
      <c r="AQ479" s="120"/>
      <c r="AR479" s="120"/>
      <c r="AS479" s="120"/>
      <c r="AT479" s="120"/>
      <c r="AU479" s="120"/>
      <c r="AV479" s="120"/>
      <c r="AW479" s="120"/>
      <c r="AX479" s="120"/>
      <c r="AY479" s="120"/>
      <c r="AZ479" s="120"/>
    </row>
    <row r="480">
      <c r="A480" s="11"/>
      <c r="B480" s="11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  <c r="W480" s="120"/>
      <c r="X480" s="120"/>
      <c r="Y480" s="120"/>
      <c r="Z480" s="120"/>
      <c r="AA480" s="120"/>
      <c r="AB480" s="120"/>
      <c r="AC480" s="120"/>
      <c r="AD480" s="120"/>
      <c r="AE480" s="120"/>
      <c r="AF480" s="120"/>
      <c r="AG480" s="120"/>
      <c r="AH480" s="120"/>
      <c r="AI480" s="120"/>
      <c r="AJ480" s="120"/>
      <c r="AK480" s="120"/>
      <c r="AL480" s="120"/>
      <c r="AM480" s="120"/>
      <c r="AN480" s="120"/>
      <c r="AO480" s="120"/>
      <c r="AP480" s="120"/>
      <c r="AQ480" s="120"/>
      <c r="AR480" s="120"/>
      <c r="AS480" s="120"/>
      <c r="AT480" s="120"/>
      <c r="AU480" s="120"/>
      <c r="AV480" s="120"/>
      <c r="AW480" s="120"/>
      <c r="AX480" s="120"/>
      <c r="AY480" s="120"/>
      <c r="AZ480" s="120"/>
    </row>
    <row r="481">
      <c r="A481" s="11"/>
      <c r="B481" s="11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  <c r="W481" s="120"/>
      <c r="X481" s="120"/>
      <c r="Y481" s="120"/>
      <c r="Z481" s="120"/>
      <c r="AA481" s="120"/>
      <c r="AB481" s="120"/>
      <c r="AC481" s="120"/>
      <c r="AD481" s="120"/>
      <c r="AE481" s="120"/>
      <c r="AF481" s="120"/>
      <c r="AG481" s="120"/>
      <c r="AH481" s="120"/>
      <c r="AI481" s="120"/>
      <c r="AJ481" s="120"/>
      <c r="AK481" s="120"/>
      <c r="AL481" s="120"/>
      <c r="AM481" s="120"/>
      <c r="AN481" s="120"/>
      <c r="AO481" s="120"/>
      <c r="AP481" s="120"/>
      <c r="AQ481" s="120"/>
      <c r="AR481" s="120"/>
      <c r="AS481" s="120"/>
      <c r="AT481" s="120"/>
      <c r="AU481" s="120"/>
      <c r="AV481" s="120"/>
      <c r="AW481" s="120"/>
      <c r="AX481" s="120"/>
      <c r="AY481" s="120"/>
      <c r="AZ481" s="120"/>
    </row>
    <row r="482">
      <c r="A482" s="11"/>
      <c r="B482" s="11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  <c r="W482" s="120"/>
      <c r="X482" s="120"/>
      <c r="Y482" s="120"/>
      <c r="Z482" s="120"/>
      <c r="AA482" s="120"/>
      <c r="AB482" s="120"/>
      <c r="AC482" s="120"/>
      <c r="AD482" s="120"/>
      <c r="AE482" s="120"/>
      <c r="AF482" s="120"/>
      <c r="AG482" s="120"/>
      <c r="AH482" s="120"/>
      <c r="AI482" s="120"/>
      <c r="AJ482" s="120"/>
      <c r="AK482" s="120"/>
      <c r="AL482" s="120"/>
      <c r="AM482" s="120"/>
      <c r="AN482" s="120"/>
      <c r="AO482" s="120"/>
      <c r="AP482" s="120"/>
      <c r="AQ482" s="120"/>
      <c r="AR482" s="120"/>
      <c r="AS482" s="120"/>
      <c r="AT482" s="120"/>
      <c r="AU482" s="120"/>
      <c r="AV482" s="120"/>
      <c r="AW482" s="120"/>
      <c r="AX482" s="120"/>
      <c r="AY482" s="120"/>
      <c r="AZ482" s="120"/>
    </row>
    <row r="483">
      <c r="A483" s="11"/>
      <c r="B483" s="11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  <c r="W483" s="120"/>
      <c r="X483" s="120"/>
      <c r="Y483" s="120"/>
      <c r="Z483" s="120"/>
      <c r="AA483" s="120"/>
      <c r="AB483" s="120"/>
      <c r="AC483" s="120"/>
      <c r="AD483" s="120"/>
      <c r="AE483" s="120"/>
      <c r="AF483" s="120"/>
      <c r="AG483" s="120"/>
      <c r="AH483" s="120"/>
      <c r="AI483" s="120"/>
      <c r="AJ483" s="120"/>
      <c r="AK483" s="120"/>
      <c r="AL483" s="120"/>
      <c r="AM483" s="120"/>
      <c r="AN483" s="120"/>
      <c r="AO483" s="120"/>
      <c r="AP483" s="120"/>
      <c r="AQ483" s="120"/>
      <c r="AR483" s="120"/>
      <c r="AS483" s="120"/>
      <c r="AT483" s="120"/>
      <c r="AU483" s="120"/>
      <c r="AV483" s="120"/>
      <c r="AW483" s="120"/>
      <c r="AX483" s="120"/>
      <c r="AY483" s="120"/>
      <c r="AZ483" s="120"/>
    </row>
    <row r="484">
      <c r="A484" s="11"/>
      <c r="B484" s="11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  <c r="W484" s="120"/>
      <c r="X484" s="120"/>
      <c r="Y484" s="120"/>
      <c r="Z484" s="120"/>
      <c r="AA484" s="120"/>
      <c r="AB484" s="120"/>
      <c r="AC484" s="120"/>
      <c r="AD484" s="120"/>
      <c r="AE484" s="120"/>
      <c r="AF484" s="120"/>
      <c r="AG484" s="120"/>
      <c r="AH484" s="120"/>
      <c r="AI484" s="120"/>
      <c r="AJ484" s="120"/>
      <c r="AK484" s="120"/>
      <c r="AL484" s="120"/>
      <c r="AM484" s="120"/>
      <c r="AN484" s="120"/>
      <c r="AO484" s="120"/>
      <c r="AP484" s="120"/>
      <c r="AQ484" s="120"/>
      <c r="AR484" s="120"/>
      <c r="AS484" s="120"/>
      <c r="AT484" s="120"/>
      <c r="AU484" s="120"/>
      <c r="AV484" s="120"/>
      <c r="AW484" s="120"/>
      <c r="AX484" s="120"/>
      <c r="AY484" s="120"/>
      <c r="AZ484" s="120"/>
    </row>
    <row r="485">
      <c r="A485" s="11"/>
      <c r="B485" s="11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  <c r="W485" s="120"/>
      <c r="X485" s="120"/>
      <c r="Y485" s="120"/>
      <c r="Z485" s="120"/>
      <c r="AA485" s="120"/>
      <c r="AB485" s="120"/>
      <c r="AC485" s="120"/>
      <c r="AD485" s="120"/>
      <c r="AE485" s="120"/>
      <c r="AF485" s="120"/>
      <c r="AG485" s="120"/>
      <c r="AH485" s="120"/>
      <c r="AI485" s="120"/>
      <c r="AJ485" s="120"/>
      <c r="AK485" s="120"/>
      <c r="AL485" s="120"/>
      <c r="AM485" s="120"/>
      <c r="AN485" s="120"/>
      <c r="AO485" s="120"/>
      <c r="AP485" s="120"/>
      <c r="AQ485" s="120"/>
      <c r="AR485" s="120"/>
      <c r="AS485" s="120"/>
      <c r="AT485" s="120"/>
      <c r="AU485" s="120"/>
      <c r="AV485" s="120"/>
      <c r="AW485" s="120"/>
      <c r="AX485" s="120"/>
      <c r="AY485" s="120"/>
      <c r="AZ485" s="120"/>
    </row>
    <row r="486">
      <c r="A486" s="11"/>
      <c r="B486" s="11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  <c r="W486" s="120"/>
      <c r="X486" s="120"/>
      <c r="Y486" s="120"/>
      <c r="Z486" s="120"/>
      <c r="AA486" s="120"/>
      <c r="AB486" s="120"/>
      <c r="AC486" s="120"/>
      <c r="AD486" s="120"/>
      <c r="AE486" s="120"/>
      <c r="AF486" s="120"/>
      <c r="AG486" s="120"/>
      <c r="AH486" s="120"/>
      <c r="AI486" s="120"/>
      <c r="AJ486" s="120"/>
      <c r="AK486" s="120"/>
      <c r="AL486" s="120"/>
      <c r="AM486" s="120"/>
      <c r="AN486" s="120"/>
      <c r="AO486" s="120"/>
      <c r="AP486" s="120"/>
      <c r="AQ486" s="120"/>
      <c r="AR486" s="120"/>
      <c r="AS486" s="120"/>
      <c r="AT486" s="120"/>
      <c r="AU486" s="120"/>
      <c r="AV486" s="120"/>
      <c r="AW486" s="120"/>
      <c r="AX486" s="120"/>
      <c r="AY486" s="120"/>
      <c r="AZ486" s="120"/>
    </row>
    <row r="487">
      <c r="A487" s="11"/>
      <c r="B487" s="11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  <c r="W487" s="120"/>
      <c r="X487" s="120"/>
      <c r="Y487" s="120"/>
      <c r="Z487" s="120"/>
      <c r="AA487" s="120"/>
      <c r="AB487" s="120"/>
      <c r="AC487" s="120"/>
      <c r="AD487" s="120"/>
      <c r="AE487" s="120"/>
      <c r="AF487" s="120"/>
      <c r="AG487" s="120"/>
      <c r="AH487" s="120"/>
      <c r="AI487" s="120"/>
      <c r="AJ487" s="120"/>
      <c r="AK487" s="120"/>
      <c r="AL487" s="120"/>
      <c r="AM487" s="120"/>
      <c r="AN487" s="120"/>
      <c r="AO487" s="120"/>
      <c r="AP487" s="120"/>
      <c r="AQ487" s="120"/>
      <c r="AR487" s="120"/>
      <c r="AS487" s="120"/>
      <c r="AT487" s="120"/>
      <c r="AU487" s="120"/>
      <c r="AV487" s="120"/>
      <c r="AW487" s="120"/>
      <c r="AX487" s="120"/>
      <c r="AY487" s="120"/>
      <c r="AZ487" s="120"/>
    </row>
    <row r="488">
      <c r="A488" s="11"/>
      <c r="B488" s="11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  <c r="W488" s="120"/>
      <c r="X488" s="120"/>
      <c r="Y488" s="120"/>
      <c r="Z488" s="120"/>
      <c r="AA488" s="120"/>
      <c r="AB488" s="120"/>
      <c r="AC488" s="120"/>
      <c r="AD488" s="120"/>
      <c r="AE488" s="120"/>
      <c r="AF488" s="120"/>
      <c r="AG488" s="120"/>
      <c r="AH488" s="120"/>
      <c r="AI488" s="120"/>
      <c r="AJ488" s="120"/>
      <c r="AK488" s="120"/>
      <c r="AL488" s="120"/>
      <c r="AM488" s="120"/>
      <c r="AN488" s="120"/>
      <c r="AO488" s="120"/>
      <c r="AP488" s="120"/>
      <c r="AQ488" s="120"/>
      <c r="AR488" s="120"/>
      <c r="AS488" s="120"/>
      <c r="AT488" s="120"/>
      <c r="AU488" s="120"/>
      <c r="AV488" s="120"/>
      <c r="AW488" s="120"/>
      <c r="AX488" s="120"/>
      <c r="AY488" s="120"/>
      <c r="AZ488" s="120"/>
    </row>
    <row r="489">
      <c r="A489" s="11"/>
      <c r="B489" s="11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  <c r="W489" s="120"/>
      <c r="X489" s="120"/>
      <c r="Y489" s="120"/>
      <c r="Z489" s="120"/>
      <c r="AA489" s="120"/>
      <c r="AB489" s="120"/>
      <c r="AC489" s="120"/>
      <c r="AD489" s="120"/>
      <c r="AE489" s="120"/>
      <c r="AF489" s="120"/>
      <c r="AG489" s="120"/>
      <c r="AH489" s="120"/>
      <c r="AI489" s="120"/>
      <c r="AJ489" s="120"/>
      <c r="AK489" s="120"/>
      <c r="AL489" s="120"/>
      <c r="AM489" s="120"/>
      <c r="AN489" s="120"/>
      <c r="AO489" s="120"/>
      <c r="AP489" s="120"/>
      <c r="AQ489" s="120"/>
      <c r="AR489" s="120"/>
      <c r="AS489" s="120"/>
      <c r="AT489" s="120"/>
      <c r="AU489" s="120"/>
      <c r="AV489" s="120"/>
      <c r="AW489" s="120"/>
      <c r="AX489" s="120"/>
      <c r="AY489" s="120"/>
      <c r="AZ489" s="120"/>
    </row>
    <row r="490">
      <c r="A490" s="11"/>
      <c r="B490" s="11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  <c r="W490" s="120"/>
      <c r="X490" s="120"/>
      <c r="Y490" s="120"/>
      <c r="Z490" s="120"/>
      <c r="AA490" s="120"/>
      <c r="AB490" s="120"/>
      <c r="AC490" s="120"/>
      <c r="AD490" s="120"/>
      <c r="AE490" s="120"/>
      <c r="AF490" s="120"/>
      <c r="AG490" s="120"/>
      <c r="AH490" s="120"/>
      <c r="AI490" s="120"/>
      <c r="AJ490" s="120"/>
      <c r="AK490" s="120"/>
      <c r="AL490" s="120"/>
      <c r="AM490" s="120"/>
      <c r="AN490" s="120"/>
      <c r="AO490" s="120"/>
      <c r="AP490" s="120"/>
      <c r="AQ490" s="120"/>
      <c r="AR490" s="120"/>
      <c r="AS490" s="120"/>
      <c r="AT490" s="120"/>
      <c r="AU490" s="120"/>
      <c r="AV490" s="120"/>
      <c r="AW490" s="120"/>
      <c r="AX490" s="120"/>
      <c r="AY490" s="120"/>
      <c r="AZ490" s="120"/>
    </row>
    <row r="491">
      <c r="A491" s="11"/>
      <c r="B491" s="11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  <c r="W491" s="120"/>
      <c r="X491" s="120"/>
      <c r="Y491" s="120"/>
      <c r="Z491" s="120"/>
      <c r="AA491" s="120"/>
      <c r="AB491" s="120"/>
      <c r="AC491" s="120"/>
      <c r="AD491" s="120"/>
      <c r="AE491" s="120"/>
      <c r="AF491" s="120"/>
      <c r="AG491" s="120"/>
      <c r="AH491" s="120"/>
      <c r="AI491" s="120"/>
      <c r="AJ491" s="120"/>
      <c r="AK491" s="120"/>
      <c r="AL491" s="120"/>
      <c r="AM491" s="120"/>
      <c r="AN491" s="120"/>
      <c r="AO491" s="120"/>
      <c r="AP491" s="120"/>
      <c r="AQ491" s="120"/>
      <c r="AR491" s="120"/>
      <c r="AS491" s="120"/>
      <c r="AT491" s="120"/>
      <c r="AU491" s="120"/>
      <c r="AV491" s="120"/>
      <c r="AW491" s="120"/>
      <c r="AX491" s="120"/>
      <c r="AY491" s="120"/>
      <c r="AZ491" s="120"/>
    </row>
    <row r="492">
      <c r="A492" s="11"/>
      <c r="B492" s="11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  <c r="W492" s="120"/>
      <c r="X492" s="120"/>
      <c r="Y492" s="120"/>
      <c r="Z492" s="120"/>
      <c r="AA492" s="120"/>
      <c r="AB492" s="120"/>
      <c r="AC492" s="120"/>
      <c r="AD492" s="120"/>
      <c r="AE492" s="120"/>
      <c r="AF492" s="120"/>
      <c r="AG492" s="120"/>
      <c r="AH492" s="120"/>
      <c r="AI492" s="120"/>
      <c r="AJ492" s="120"/>
      <c r="AK492" s="120"/>
      <c r="AL492" s="120"/>
      <c r="AM492" s="120"/>
      <c r="AN492" s="120"/>
      <c r="AO492" s="120"/>
      <c r="AP492" s="120"/>
      <c r="AQ492" s="120"/>
      <c r="AR492" s="120"/>
      <c r="AS492" s="120"/>
      <c r="AT492" s="120"/>
      <c r="AU492" s="120"/>
      <c r="AV492" s="120"/>
      <c r="AW492" s="120"/>
      <c r="AX492" s="120"/>
      <c r="AY492" s="120"/>
      <c r="AZ492" s="120"/>
    </row>
    <row r="493">
      <c r="A493" s="11"/>
      <c r="B493" s="11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  <c r="W493" s="120"/>
      <c r="X493" s="120"/>
      <c r="Y493" s="120"/>
      <c r="Z493" s="120"/>
      <c r="AA493" s="120"/>
      <c r="AB493" s="120"/>
      <c r="AC493" s="120"/>
      <c r="AD493" s="120"/>
      <c r="AE493" s="120"/>
      <c r="AF493" s="120"/>
      <c r="AG493" s="120"/>
      <c r="AH493" s="120"/>
      <c r="AI493" s="120"/>
      <c r="AJ493" s="120"/>
      <c r="AK493" s="120"/>
      <c r="AL493" s="120"/>
      <c r="AM493" s="120"/>
      <c r="AN493" s="120"/>
      <c r="AO493" s="120"/>
      <c r="AP493" s="120"/>
      <c r="AQ493" s="120"/>
      <c r="AR493" s="120"/>
      <c r="AS493" s="120"/>
      <c r="AT493" s="120"/>
      <c r="AU493" s="120"/>
      <c r="AV493" s="120"/>
      <c r="AW493" s="120"/>
      <c r="AX493" s="120"/>
      <c r="AY493" s="120"/>
      <c r="AZ493" s="120"/>
    </row>
    <row r="494">
      <c r="A494" s="11"/>
      <c r="B494" s="11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  <c r="W494" s="120"/>
      <c r="X494" s="120"/>
      <c r="Y494" s="120"/>
      <c r="Z494" s="120"/>
      <c r="AA494" s="120"/>
      <c r="AB494" s="120"/>
      <c r="AC494" s="120"/>
      <c r="AD494" s="120"/>
      <c r="AE494" s="120"/>
      <c r="AF494" s="120"/>
      <c r="AG494" s="120"/>
      <c r="AH494" s="120"/>
      <c r="AI494" s="120"/>
      <c r="AJ494" s="120"/>
      <c r="AK494" s="120"/>
      <c r="AL494" s="120"/>
      <c r="AM494" s="120"/>
      <c r="AN494" s="120"/>
      <c r="AO494" s="120"/>
      <c r="AP494" s="120"/>
      <c r="AQ494" s="120"/>
      <c r="AR494" s="120"/>
      <c r="AS494" s="120"/>
      <c r="AT494" s="120"/>
      <c r="AU494" s="120"/>
      <c r="AV494" s="120"/>
      <c r="AW494" s="120"/>
      <c r="AX494" s="120"/>
      <c r="AY494" s="120"/>
      <c r="AZ494" s="120"/>
    </row>
    <row r="495">
      <c r="A495" s="11"/>
      <c r="B495" s="11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  <c r="W495" s="120"/>
      <c r="X495" s="120"/>
      <c r="Y495" s="120"/>
      <c r="Z495" s="120"/>
      <c r="AA495" s="120"/>
      <c r="AB495" s="120"/>
      <c r="AC495" s="120"/>
      <c r="AD495" s="120"/>
      <c r="AE495" s="120"/>
      <c r="AF495" s="120"/>
      <c r="AG495" s="120"/>
      <c r="AH495" s="120"/>
      <c r="AI495" s="120"/>
      <c r="AJ495" s="120"/>
      <c r="AK495" s="120"/>
      <c r="AL495" s="120"/>
      <c r="AM495" s="120"/>
      <c r="AN495" s="120"/>
      <c r="AO495" s="120"/>
      <c r="AP495" s="120"/>
      <c r="AQ495" s="120"/>
      <c r="AR495" s="120"/>
      <c r="AS495" s="120"/>
      <c r="AT495" s="120"/>
      <c r="AU495" s="120"/>
      <c r="AV495" s="120"/>
      <c r="AW495" s="120"/>
      <c r="AX495" s="120"/>
      <c r="AY495" s="120"/>
      <c r="AZ495" s="120"/>
    </row>
    <row r="496">
      <c r="A496" s="11"/>
      <c r="B496" s="11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  <c r="W496" s="120"/>
      <c r="X496" s="120"/>
      <c r="Y496" s="120"/>
      <c r="Z496" s="120"/>
      <c r="AA496" s="120"/>
      <c r="AB496" s="120"/>
      <c r="AC496" s="120"/>
      <c r="AD496" s="120"/>
      <c r="AE496" s="120"/>
      <c r="AF496" s="120"/>
      <c r="AG496" s="120"/>
      <c r="AH496" s="120"/>
      <c r="AI496" s="120"/>
      <c r="AJ496" s="120"/>
      <c r="AK496" s="120"/>
      <c r="AL496" s="120"/>
      <c r="AM496" s="120"/>
      <c r="AN496" s="120"/>
      <c r="AO496" s="120"/>
      <c r="AP496" s="120"/>
      <c r="AQ496" s="120"/>
      <c r="AR496" s="120"/>
      <c r="AS496" s="120"/>
      <c r="AT496" s="120"/>
      <c r="AU496" s="120"/>
      <c r="AV496" s="120"/>
      <c r="AW496" s="120"/>
      <c r="AX496" s="120"/>
      <c r="AY496" s="120"/>
      <c r="AZ496" s="120"/>
    </row>
    <row r="497">
      <c r="A497" s="11"/>
      <c r="B497" s="11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  <c r="W497" s="120"/>
      <c r="X497" s="120"/>
      <c r="Y497" s="120"/>
      <c r="Z497" s="120"/>
      <c r="AA497" s="120"/>
      <c r="AB497" s="120"/>
      <c r="AC497" s="120"/>
      <c r="AD497" s="120"/>
      <c r="AE497" s="120"/>
      <c r="AF497" s="120"/>
      <c r="AG497" s="120"/>
      <c r="AH497" s="120"/>
      <c r="AI497" s="120"/>
      <c r="AJ497" s="120"/>
      <c r="AK497" s="120"/>
      <c r="AL497" s="120"/>
      <c r="AM497" s="120"/>
      <c r="AN497" s="120"/>
      <c r="AO497" s="120"/>
      <c r="AP497" s="120"/>
      <c r="AQ497" s="120"/>
      <c r="AR497" s="120"/>
      <c r="AS497" s="120"/>
      <c r="AT497" s="120"/>
      <c r="AU497" s="120"/>
      <c r="AV497" s="120"/>
      <c r="AW497" s="120"/>
      <c r="AX497" s="120"/>
      <c r="AY497" s="120"/>
      <c r="AZ497" s="120"/>
    </row>
    <row r="498">
      <c r="A498" s="11"/>
      <c r="B498" s="11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  <c r="W498" s="120"/>
      <c r="X498" s="120"/>
      <c r="Y498" s="120"/>
      <c r="Z498" s="120"/>
      <c r="AA498" s="120"/>
      <c r="AB498" s="120"/>
      <c r="AC498" s="120"/>
      <c r="AD498" s="120"/>
      <c r="AE498" s="120"/>
      <c r="AF498" s="120"/>
      <c r="AG498" s="120"/>
      <c r="AH498" s="120"/>
      <c r="AI498" s="120"/>
      <c r="AJ498" s="120"/>
      <c r="AK498" s="120"/>
      <c r="AL498" s="120"/>
      <c r="AM498" s="120"/>
      <c r="AN498" s="120"/>
      <c r="AO498" s="120"/>
      <c r="AP498" s="120"/>
      <c r="AQ498" s="120"/>
      <c r="AR498" s="120"/>
      <c r="AS498" s="120"/>
      <c r="AT498" s="120"/>
      <c r="AU498" s="120"/>
      <c r="AV498" s="120"/>
      <c r="AW498" s="120"/>
      <c r="AX498" s="120"/>
      <c r="AY498" s="120"/>
      <c r="AZ498" s="120"/>
    </row>
    <row r="499">
      <c r="A499" s="11"/>
      <c r="B499" s="11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  <c r="W499" s="120"/>
      <c r="X499" s="120"/>
      <c r="Y499" s="120"/>
      <c r="Z499" s="120"/>
      <c r="AA499" s="120"/>
      <c r="AB499" s="120"/>
      <c r="AC499" s="120"/>
      <c r="AD499" s="120"/>
      <c r="AE499" s="120"/>
      <c r="AF499" s="120"/>
      <c r="AG499" s="120"/>
      <c r="AH499" s="120"/>
      <c r="AI499" s="120"/>
      <c r="AJ499" s="120"/>
      <c r="AK499" s="120"/>
      <c r="AL499" s="120"/>
      <c r="AM499" s="120"/>
      <c r="AN499" s="120"/>
      <c r="AO499" s="120"/>
      <c r="AP499" s="120"/>
      <c r="AQ499" s="120"/>
      <c r="AR499" s="120"/>
      <c r="AS499" s="120"/>
      <c r="AT499" s="120"/>
      <c r="AU499" s="120"/>
      <c r="AV499" s="120"/>
      <c r="AW499" s="120"/>
      <c r="AX499" s="120"/>
      <c r="AY499" s="120"/>
      <c r="AZ499" s="120"/>
    </row>
    <row r="500">
      <c r="A500" s="11"/>
      <c r="B500" s="11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  <c r="W500" s="120"/>
      <c r="X500" s="120"/>
      <c r="Y500" s="120"/>
      <c r="Z500" s="120"/>
      <c r="AA500" s="120"/>
      <c r="AB500" s="120"/>
      <c r="AC500" s="120"/>
      <c r="AD500" s="120"/>
      <c r="AE500" s="120"/>
      <c r="AF500" s="120"/>
      <c r="AG500" s="120"/>
      <c r="AH500" s="120"/>
      <c r="AI500" s="120"/>
      <c r="AJ500" s="120"/>
      <c r="AK500" s="120"/>
      <c r="AL500" s="120"/>
      <c r="AM500" s="120"/>
      <c r="AN500" s="120"/>
      <c r="AO500" s="120"/>
      <c r="AP500" s="120"/>
      <c r="AQ500" s="120"/>
      <c r="AR500" s="120"/>
      <c r="AS500" s="120"/>
      <c r="AT500" s="120"/>
      <c r="AU500" s="120"/>
      <c r="AV500" s="120"/>
      <c r="AW500" s="120"/>
      <c r="AX500" s="120"/>
      <c r="AY500" s="120"/>
      <c r="AZ500" s="120"/>
    </row>
    <row r="501">
      <c r="A501" s="11"/>
      <c r="B501" s="11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  <c r="W501" s="120"/>
      <c r="X501" s="120"/>
      <c r="Y501" s="120"/>
      <c r="Z501" s="120"/>
      <c r="AA501" s="120"/>
      <c r="AB501" s="120"/>
      <c r="AC501" s="120"/>
      <c r="AD501" s="120"/>
      <c r="AE501" s="120"/>
      <c r="AF501" s="120"/>
      <c r="AG501" s="120"/>
      <c r="AH501" s="120"/>
      <c r="AI501" s="120"/>
      <c r="AJ501" s="120"/>
      <c r="AK501" s="120"/>
      <c r="AL501" s="120"/>
      <c r="AM501" s="120"/>
      <c r="AN501" s="120"/>
      <c r="AO501" s="120"/>
      <c r="AP501" s="120"/>
      <c r="AQ501" s="120"/>
      <c r="AR501" s="120"/>
      <c r="AS501" s="120"/>
      <c r="AT501" s="120"/>
      <c r="AU501" s="120"/>
      <c r="AV501" s="120"/>
      <c r="AW501" s="120"/>
      <c r="AX501" s="120"/>
      <c r="AY501" s="120"/>
      <c r="AZ501" s="120"/>
    </row>
    <row r="502">
      <c r="A502" s="11"/>
      <c r="B502" s="11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  <c r="W502" s="120"/>
      <c r="X502" s="120"/>
      <c r="Y502" s="120"/>
      <c r="Z502" s="120"/>
      <c r="AA502" s="120"/>
      <c r="AB502" s="120"/>
      <c r="AC502" s="120"/>
      <c r="AD502" s="120"/>
      <c r="AE502" s="120"/>
      <c r="AF502" s="120"/>
      <c r="AG502" s="120"/>
      <c r="AH502" s="120"/>
      <c r="AI502" s="120"/>
      <c r="AJ502" s="120"/>
      <c r="AK502" s="120"/>
      <c r="AL502" s="120"/>
      <c r="AM502" s="120"/>
      <c r="AN502" s="120"/>
      <c r="AO502" s="120"/>
      <c r="AP502" s="120"/>
      <c r="AQ502" s="120"/>
      <c r="AR502" s="120"/>
      <c r="AS502" s="120"/>
      <c r="AT502" s="120"/>
      <c r="AU502" s="120"/>
      <c r="AV502" s="120"/>
      <c r="AW502" s="120"/>
      <c r="AX502" s="120"/>
      <c r="AY502" s="120"/>
      <c r="AZ502" s="120"/>
    </row>
    <row r="503">
      <c r="A503" s="11"/>
      <c r="B503" s="11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  <c r="W503" s="120"/>
      <c r="X503" s="120"/>
      <c r="Y503" s="120"/>
      <c r="Z503" s="120"/>
      <c r="AA503" s="120"/>
      <c r="AB503" s="120"/>
      <c r="AC503" s="120"/>
      <c r="AD503" s="120"/>
      <c r="AE503" s="120"/>
      <c r="AF503" s="120"/>
      <c r="AG503" s="120"/>
      <c r="AH503" s="120"/>
      <c r="AI503" s="120"/>
      <c r="AJ503" s="120"/>
      <c r="AK503" s="120"/>
      <c r="AL503" s="120"/>
      <c r="AM503" s="120"/>
      <c r="AN503" s="120"/>
      <c r="AO503" s="120"/>
      <c r="AP503" s="120"/>
      <c r="AQ503" s="120"/>
      <c r="AR503" s="120"/>
      <c r="AS503" s="120"/>
      <c r="AT503" s="120"/>
      <c r="AU503" s="120"/>
      <c r="AV503" s="120"/>
      <c r="AW503" s="120"/>
      <c r="AX503" s="120"/>
      <c r="AY503" s="120"/>
      <c r="AZ503" s="120"/>
    </row>
    <row r="504">
      <c r="A504" s="11"/>
      <c r="B504" s="11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  <c r="W504" s="120"/>
      <c r="X504" s="120"/>
      <c r="Y504" s="120"/>
      <c r="Z504" s="120"/>
      <c r="AA504" s="120"/>
      <c r="AB504" s="120"/>
      <c r="AC504" s="120"/>
      <c r="AD504" s="120"/>
      <c r="AE504" s="120"/>
      <c r="AF504" s="120"/>
      <c r="AG504" s="120"/>
      <c r="AH504" s="120"/>
      <c r="AI504" s="120"/>
      <c r="AJ504" s="120"/>
      <c r="AK504" s="120"/>
      <c r="AL504" s="120"/>
      <c r="AM504" s="120"/>
      <c r="AN504" s="120"/>
      <c r="AO504" s="120"/>
      <c r="AP504" s="120"/>
      <c r="AQ504" s="120"/>
      <c r="AR504" s="120"/>
      <c r="AS504" s="120"/>
      <c r="AT504" s="120"/>
      <c r="AU504" s="120"/>
      <c r="AV504" s="120"/>
      <c r="AW504" s="120"/>
      <c r="AX504" s="120"/>
      <c r="AY504" s="120"/>
      <c r="AZ504" s="120"/>
    </row>
    <row r="505">
      <c r="A505" s="11"/>
      <c r="B505" s="11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  <c r="W505" s="120"/>
      <c r="X505" s="120"/>
      <c r="Y505" s="120"/>
      <c r="Z505" s="120"/>
      <c r="AA505" s="120"/>
      <c r="AB505" s="120"/>
      <c r="AC505" s="120"/>
      <c r="AD505" s="120"/>
      <c r="AE505" s="120"/>
      <c r="AF505" s="120"/>
      <c r="AG505" s="120"/>
      <c r="AH505" s="120"/>
      <c r="AI505" s="120"/>
      <c r="AJ505" s="120"/>
      <c r="AK505" s="120"/>
      <c r="AL505" s="120"/>
      <c r="AM505" s="120"/>
      <c r="AN505" s="120"/>
      <c r="AO505" s="120"/>
      <c r="AP505" s="120"/>
      <c r="AQ505" s="120"/>
      <c r="AR505" s="120"/>
      <c r="AS505" s="120"/>
      <c r="AT505" s="120"/>
      <c r="AU505" s="120"/>
      <c r="AV505" s="120"/>
      <c r="AW505" s="120"/>
      <c r="AX505" s="120"/>
      <c r="AY505" s="120"/>
      <c r="AZ505" s="120"/>
    </row>
    <row r="506">
      <c r="A506" s="11"/>
      <c r="B506" s="11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  <c r="W506" s="120"/>
      <c r="X506" s="120"/>
      <c r="Y506" s="120"/>
      <c r="Z506" s="120"/>
      <c r="AA506" s="120"/>
      <c r="AB506" s="120"/>
      <c r="AC506" s="120"/>
      <c r="AD506" s="120"/>
      <c r="AE506" s="120"/>
      <c r="AF506" s="120"/>
      <c r="AG506" s="120"/>
      <c r="AH506" s="120"/>
      <c r="AI506" s="120"/>
      <c r="AJ506" s="120"/>
      <c r="AK506" s="120"/>
      <c r="AL506" s="120"/>
      <c r="AM506" s="120"/>
      <c r="AN506" s="120"/>
      <c r="AO506" s="120"/>
      <c r="AP506" s="120"/>
      <c r="AQ506" s="120"/>
      <c r="AR506" s="120"/>
      <c r="AS506" s="120"/>
      <c r="AT506" s="120"/>
      <c r="AU506" s="120"/>
      <c r="AV506" s="120"/>
      <c r="AW506" s="120"/>
      <c r="AX506" s="120"/>
      <c r="AY506" s="120"/>
      <c r="AZ506" s="120"/>
    </row>
    <row r="507">
      <c r="A507" s="11"/>
      <c r="B507" s="11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  <c r="W507" s="120"/>
      <c r="X507" s="120"/>
      <c r="Y507" s="120"/>
      <c r="Z507" s="120"/>
      <c r="AA507" s="120"/>
      <c r="AB507" s="120"/>
      <c r="AC507" s="120"/>
      <c r="AD507" s="120"/>
      <c r="AE507" s="120"/>
      <c r="AF507" s="120"/>
      <c r="AG507" s="120"/>
      <c r="AH507" s="120"/>
      <c r="AI507" s="120"/>
      <c r="AJ507" s="120"/>
      <c r="AK507" s="120"/>
      <c r="AL507" s="120"/>
      <c r="AM507" s="120"/>
      <c r="AN507" s="120"/>
      <c r="AO507" s="120"/>
      <c r="AP507" s="120"/>
      <c r="AQ507" s="120"/>
      <c r="AR507" s="120"/>
      <c r="AS507" s="120"/>
      <c r="AT507" s="120"/>
      <c r="AU507" s="120"/>
      <c r="AV507" s="120"/>
      <c r="AW507" s="120"/>
      <c r="AX507" s="120"/>
      <c r="AY507" s="120"/>
      <c r="AZ507" s="120"/>
    </row>
    <row r="508">
      <c r="A508" s="11"/>
      <c r="B508" s="11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  <c r="W508" s="120"/>
      <c r="X508" s="120"/>
      <c r="Y508" s="120"/>
      <c r="Z508" s="120"/>
      <c r="AA508" s="120"/>
      <c r="AB508" s="120"/>
      <c r="AC508" s="120"/>
      <c r="AD508" s="120"/>
      <c r="AE508" s="120"/>
      <c r="AF508" s="120"/>
      <c r="AG508" s="120"/>
      <c r="AH508" s="120"/>
      <c r="AI508" s="120"/>
      <c r="AJ508" s="120"/>
      <c r="AK508" s="120"/>
      <c r="AL508" s="120"/>
      <c r="AM508" s="120"/>
      <c r="AN508" s="120"/>
      <c r="AO508" s="120"/>
      <c r="AP508" s="120"/>
      <c r="AQ508" s="120"/>
      <c r="AR508" s="120"/>
      <c r="AS508" s="120"/>
      <c r="AT508" s="120"/>
      <c r="AU508" s="120"/>
      <c r="AV508" s="120"/>
      <c r="AW508" s="120"/>
      <c r="AX508" s="120"/>
      <c r="AY508" s="120"/>
      <c r="AZ508" s="120"/>
    </row>
    <row r="509">
      <c r="A509" s="11"/>
      <c r="B509" s="11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  <c r="W509" s="120"/>
      <c r="X509" s="120"/>
      <c r="Y509" s="120"/>
      <c r="Z509" s="120"/>
      <c r="AA509" s="120"/>
      <c r="AB509" s="120"/>
      <c r="AC509" s="120"/>
      <c r="AD509" s="120"/>
      <c r="AE509" s="120"/>
      <c r="AF509" s="120"/>
      <c r="AG509" s="120"/>
      <c r="AH509" s="120"/>
      <c r="AI509" s="120"/>
      <c r="AJ509" s="120"/>
      <c r="AK509" s="120"/>
      <c r="AL509" s="120"/>
      <c r="AM509" s="120"/>
      <c r="AN509" s="120"/>
      <c r="AO509" s="120"/>
      <c r="AP509" s="120"/>
      <c r="AQ509" s="120"/>
      <c r="AR509" s="120"/>
      <c r="AS509" s="120"/>
      <c r="AT509" s="120"/>
      <c r="AU509" s="120"/>
      <c r="AV509" s="120"/>
      <c r="AW509" s="120"/>
      <c r="AX509" s="120"/>
      <c r="AY509" s="120"/>
      <c r="AZ509" s="120"/>
    </row>
    <row r="510">
      <c r="A510" s="11"/>
      <c r="B510" s="11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  <c r="W510" s="120"/>
      <c r="X510" s="120"/>
      <c r="Y510" s="120"/>
      <c r="Z510" s="120"/>
      <c r="AA510" s="120"/>
      <c r="AB510" s="120"/>
      <c r="AC510" s="120"/>
      <c r="AD510" s="120"/>
      <c r="AE510" s="120"/>
      <c r="AF510" s="120"/>
      <c r="AG510" s="120"/>
      <c r="AH510" s="120"/>
      <c r="AI510" s="120"/>
      <c r="AJ510" s="120"/>
      <c r="AK510" s="120"/>
      <c r="AL510" s="120"/>
      <c r="AM510" s="120"/>
      <c r="AN510" s="120"/>
      <c r="AO510" s="120"/>
      <c r="AP510" s="120"/>
      <c r="AQ510" s="120"/>
      <c r="AR510" s="120"/>
      <c r="AS510" s="120"/>
      <c r="AT510" s="120"/>
      <c r="AU510" s="120"/>
      <c r="AV510" s="120"/>
      <c r="AW510" s="120"/>
      <c r="AX510" s="120"/>
      <c r="AY510" s="120"/>
      <c r="AZ510" s="120"/>
    </row>
    <row r="511">
      <c r="A511" s="11"/>
      <c r="B511" s="11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  <c r="W511" s="120"/>
      <c r="X511" s="120"/>
      <c r="Y511" s="120"/>
      <c r="Z511" s="120"/>
      <c r="AA511" s="120"/>
      <c r="AB511" s="120"/>
      <c r="AC511" s="120"/>
      <c r="AD511" s="120"/>
      <c r="AE511" s="120"/>
      <c r="AF511" s="120"/>
      <c r="AG511" s="120"/>
      <c r="AH511" s="120"/>
      <c r="AI511" s="120"/>
      <c r="AJ511" s="120"/>
      <c r="AK511" s="120"/>
      <c r="AL511" s="120"/>
      <c r="AM511" s="120"/>
      <c r="AN511" s="120"/>
      <c r="AO511" s="120"/>
      <c r="AP511" s="120"/>
      <c r="AQ511" s="120"/>
      <c r="AR511" s="120"/>
      <c r="AS511" s="120"/>
      <c r="AT511" s="120"/>
      <c r="AU511" s="120"/>
      <c r="AV511" s="120"/>
      <c r="AW511" s="120"/>
      <c r="AX511" s="120"/>
      <c r="AY511" s="120"/>
      <c r="AZ511" s="120"/>
    </row>
    <row r="512">
      <c r="A512" s="11"/>
      <c r="B512" s="11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  <c r="W512" s="120"/>
      <c r="X512" s="120"/>
      <c r="Y512" s="120"/>
      <c r="Z512" s="120"/>
      <c r="AA512" s="120"/>
      <c r="AB512" s="120"/>
      <c r="AC512" s="120"/>
      <c r="AD512" s="120"/>
      <c r="AE512" s="120"/>
      <c r="AF512" s="120"/>
      <c r="AG512" s="120"/>
      <c r="AH512" s="120"/>
      <c r="AI512" s="120"/>
      <c r="AJ512" s="120"/>
      <c r="AK512" s="120"/>
      <c r="AL512" s="120"/>
      <c r="AM512" s="120"/>
      <c r="AN512" s="120"/>
      <c r="AO512" s="120"/>
      <c r="AP512" s="120"/>
      <c r="AQ512" s="120"/>
      <c r="AR512" s="120"/>
      <c r="AS512" s="120"/>
      <c r="AT512" s="120"/>
      <c r="AU512" s="120"/>
      <c r="AV512" s="120"/>
      <c r="AW512" s="120"/>
      <c r="AX512" s="120"/>
      <c r="AY512" s="120"/>
      <c r="AZ512" s="120"/>
    </row>
    <row r="513">
      <c r="A513" s="11"/>
      <c r="B513" s="11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  <c r="W513" s="120"/>
      <c r="X513" s="120"/>
      <c r="Y513" s="120"/>
      <c r="Z513" s="120"/>
      <c r="AA513" s="120"/>
      <c r="AB513" s="120"/>
      <c r="AC513" s="120"/>
      <c r="AD513" s="120"/>
      <c r="AE513" s="120"/>
      <c r="AF513" s="120"/>
      <c r="AG513" s="120"/>
      <c r="AH513" s="120"/>
      <c r="AI513" s="120"/>
      <c r="AJ513" s="120"/>
      <c r="AK513" s="120"/>
      <c r="AL513" s="120"/>
      <c r="AM513" s="120"/>
      <c r="AN513" s="120"/>
      <c r="AO513" s="120"/>
      <c r="AP513" s="120"/>
      <c r="AQ513" s="120"/>
      <c r="AR513" s="120"/>
      <c r="AS513" s="120"/>
      <c r="AT513" s="120"/>
      <c r="AU513" s="120"/>
      <c r="AV513" s="120"/>
      <c r="AW513" s="120"/>
      <c r="AX513" s="120"/>
      <c r="AY513" s="120"/>
      <c r="AZ513" s="120"/>
    </row>
    <row r="514">
      <c r="A514" s="11"/>
      <c r="B514" s="11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  <c r="W514" s="120"/>
      <c r="X514" s="120"/>
      <c r="Y514" s="120"/>
      <c r="Z514" s="120"/>
      <c r="AA514" s="120"/>
      <c r="AB514" s="120"/>
      <c r="AC514" s="120"/>
      <c r="AD514" s="120"/>
      <c r="AE514" s="120"/>
      <c r="AF514" s="120"/>
      <c r="AG514" s="120"/>
      <c r="AH514" s="120"/>
      <c r="AI514" s="120"/>
      <c r="AJ514" s="120"/>
      <c r="AK514" s="120"/>
      <c r="AL514" s="120"/>
      <c r="AM514" s="120"/>
      <c r="AN514" s="120"/>
      <c r="AO514" s="120"/>
      <c r="AP514" s="120"/>
      <c r="AQ514" s="120"/>
      <c r="AR514" s="120"/>
      <c r="AS514" s="120"/>
      <c r="AT514" s="120"/>
      <c r="AU514" s="120"/>
      <c r="AV514" s="120"/>
      <c r="AW514" s="120"/>
      <c r="AX514" s="120"/>
      <c r="AY514" s="120"/>
      <c r="AZ514" s="120"/>
    </row>
    <row r="515">
      <c r="A515" s="11"/>
      <c r="B515" s="11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  <c r="W515" s="120"/>
      <c r="X515" s="120"/>
      <c r="Y515" s="120"/>
      <c r="Z515" s="120"/>
      <c r="AA515" s="120"/>
      <c r="AB515" s="120"/>
      <c r="AC515" s="120"/>
      <c r="AD515" s="120"/>
      <c r="AE515" s="120"/>
      <c r="AF515" s="120"/>
      <c r="AG515" s="120"/>
      <c r="AH515" s="120"/>
      <c r="AI515" s="120"/>
      <c r="AJ515" s="120"/>
      <c r="AK515" s="120"/>
      <c r="AL515" s="120"/>
      <c r="AM515" s="120"/>
      <c r="AN515" s="120"/>
      <c r="AO515" s="120"/>
      <c r="AP515" s="120"/>
      <c r="AQ515" s="120"/>
      <c r="AR515" s="120"/>
      <c r="AS515" s="120"/>
      <c r="AT515" s="120"/>
      <c r="AU515" s="120"/>
      <c r="AV515" s="120"/>
      <c r="AW515" s="120"/>
      <c r="AX515" s="120"/>
      <c r="AY515" s="120"/>
      <c r="AZ515" s="120"/>
    </row>
    <row r="516">
      <c r="A516" s="11"/>
      <c r="B516" s="11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  <c r="W516" s="120"/>
      <c r="X516" s="120"/>
      <c r="Y516" s="120"/>
      <c r="Z516" s="120"/>
      <c r="AA516" s="120"/>
      <c r="AB516" s="120"/>
      <c r="AC516" s="120"/>
      <c r="AD516" s="120"/>
      <c r="AE516" s="120"/>
      <c r="AF516" s="120"/>
      <c r="AG516" s="120"/>
      <c r="AH516" s="120"/>
      <c r="AI516" s="120"/>
      <c r="AJ516" s="120"/>
      <c r="AK516" s="120"/>
      <c r="AL516" s="120"/>
      <c r="AM516" s="120"/>
      <c r="AN516" s="120"/>
      <c r="AO516" s="120"/>
      <c r="AP516" s="120"/>
      <c r="AQ516" s="120"/>
      <c r="AR516" s="120"/>
      <c r="AS516" s="120"/>
      <c r="AT516" s="120"/>
      <c r="AU516" s="120"/>
      <c r="AV516" s="120"/>
      <c r="AW516" s="120"/>
      <c r="AX516" s="120"/>
      <c r="AY516" s="120"/>
      <c r="AZ516" s="120"/>
    </row>
    <row r="517">
      <c r="A517" s="11"/>
      <c r="B517" s="11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  <c r="W517" s="120"/>
      <c r="X517" s="120"/>
      <c r="Y517" s="120"/>
      <c r="Z517" s="120"/>
      <c r="AA517" s="120"/>
      <c r="AB517" s="120"/>
      <c r="AC517" s="120"/>
      <c r="AD517" s="120"/>
      <c r="AE517" s="120"/>
      <c r="AF517" s="120"/>
      <c r="AG517" s="120"/>
      <c r="AH517" s="120"/>
      <c r="AI517" s="120"/>
      <c r="AJ517" s="120"/>
      <c r="AK517" s="120"/>
      <c r="AL517" s="120"/>
      <c r="AM517" s="120"/>
      <c r="AN517" s="120"/>
      <c r="AO517" s="120"/>
      <c r="AP517" s="120"/>
      <c r="AQ517" s="120"/>
      <c r="AR517" s="120"/>
      <c r="AS517" s="120"/>
      <c r="AT517" s="120"/>
      <c r="AU517" s="120"/>
      <c r="AV517" s="120"/>
      <c r="AW517" s="120"/>
      <c r="AX517" s="120"/>
      <c r="AY517" s="120"/>
      <c r="AZ517" s="120"/>
    </row>
    <row r="518">
      <c r="A518" s="11"/>
      <c r="B518" s="11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  <c r="W518" s="120"/>
      <c r="X518" s="120"/>
      <c r="Y518" s="120"/>
      <c r="Z518" s="120"/>
      <c r="AA518" s="120"/>
      <c r="AB518" s="120"/>
      <c r="AC518" s="120"/>
      <c r="AD518" s="120"/>
      <c r="AE518" s="120"/>
      <c r="AF518" s="120"/>
      <c r="AG518" s="120"/>
      <c r="AH518" s="120"/>
      <c r="AI518" s="120"/>
      <c r="AJ518" s="120"/>
      <c r="AK518" s="120"/>
      <c r="AL518" s="120"/>
      <c r="AM518" s="120"/>
      <c r="AN518" s="120"/>
      <c r="AO518" s="120"/>
      <c r="AP518" s="120"/>
      <c r="AQ518" s="120"/>
      <c r="AR518" s="120"/>
      <c r="AS518" s="120"/>
      <c r="AT518" s="120"/>
      <c r="AU518" s="120"/>
      <c r="AV518" s="120"/>
      <c r="AW518" s="120"/>
      <c r="AX518" s="120"/>
      <c r="AY518" s="120"/>
      <c r="AZ518" s="120"/>
    </row>
    <row r="519">
      <c r="A519" s="11"/>
      <c r="B519" s="11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  <c r="W519" s="120"/>
      <c r="X519" s="120"/>
      <c r="Y519" s="120"/>
      <c r="Z519" s="120"/>
      <c r="AA519" s="120"/>
      <c r="AB519" s="120"/>
      <c r="AC519" s="120"/>
      <c r="AD519" s="120"/>
      <c r="AE519" s="120"/>
      <c r="AF519" s="120"/>
      <c r="AG519" s="120"/>
      <c r="AH519" s="120"/>
      <c r="AI519" s="120"/>
      <c r="AJ519" s="120"/>
      <c r="AK519" s="120"/>
      <c r="AL519" s="120"/>
      <c r="AM519" s="120"/>
      <c r="AN519" s="120"/>
      <c r="AO519" s="120"/>
      <c r="AP519" s="120"/>
      <c r="AQ519" s="120"/>
      <c r="AR519" s="120"/>
      <c r="AS519" s="120"/>
      <c r="AT519" s="120"/>
      <c r="AU519" s="120"/>
      <c r="AV519" s="120"/>
      <c r="AW519" s="120"/>
      <c r="AX519" s="120"/>
      <c r="AY519" s="120"/>
      <c r="AZ519" s="120"/>
    </row>
    <row r="520">
      <c r="A520" s="11"/>
      <c r="B520" s="11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  <c r="W520" s="120"/>
      <c r="X520" s="120"/>
      <c r="Y520" s="120"/>
      <c r="Z520" s="120"/>
      <c r="AA520" s="120"/>
      <c r="AB520" s="120"/>
      <c r="AC520" s="120"/>
      <c r="AD520" s="120"/>
      <c r="AE520" s="120"/>
      <c r="AF520" s="120"/>
      <c r="AG520" s="120"/>
      <c r="AH520" s="120"/>
      <c r="AI520" s="120"/>
      <c r="AJ520" s="120"/>
      <c r="AK520" s="120"/>
      <c r="AL520" s="120"/>
      <c r="AM520" s="120"/>
      <c r="AN520" s="120"/>
      <c r="AO520" s="120"/>
      <c r="AP520" s="120"/>
      <c r="AQ520" s="120"/>
      <c r="AR520" s="120"/>
      <c r="AS520" s="120"/>
      <c r="AT520" s="120"/>
      <c r="AU520" s="120"/>
      <c r="AV520" s="120"/>
      <c r="AW520" s="120"/>
      <c r="AX520" s="120"/>
      <c r="AY520" s="120"/>
      <c r="AZ520" s="120"/>
    </row>
    <row r="521">
      <c r="A521" s="11"/>
      <c r="B521" s="11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  <c r="W521" s="120"/>
      <c r="X521" s="120"/>
      <c r="Y521" s="120"/>
      <c r="Z521" s="120"/>
      <c r="AA521" s="120"/>
      <c r="AB521" s="120"/>
      <c r="AC521" s="120"/>
      <c r="AD521" s="120"/>
      <c r="AE521" s="120"/>
      <c r="AF521" s="120"/>
      <c r="AG521" s="120"/>
      <c r="AH521" s="120"/>
      <c r="AI521" s="120"/>
      <c r="AJ521" s="120"/>
      <c r="AK521" s="120"/>
      <c r="AL521" s="120"/>
      <c r="AM521" s="120"/>
      <c r="AN521" s="120"/>
      <c r="AO521" s="120"/>
      <c r="AP521" s="120"/>
      <c r="AQ521" s="120"/>
      <c r="AR521" s="120"/>
      <c r="AS521" s="120"/>
      <c r="AT521" s="120"/>
      <c r="AU521" s="120"/>
      <c r="AV521" s="120"/>
      <c r="AW521" s="120"/>
      <c r="AX521" s="120"/>
      <c r="AY521" s="120"/>
      <c r="AZ521" s="120"/>
    </row>
    <row r="522">
      <c r="A522" s="11"/>
      <c r="B522" s="11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  <c r="W522" s="120"/>
      <c r="X522" s="120"/>
      <c r="Y522" s="120"/>
      <c r="Z522" s="120"/>
      <c r="AA522" s="120"/>
      <c r="AB522" s="120"/>
      <c r="AC522" s="120"/>
      <c r="AD522" s="120"/>
      <c r="AE522" s="120"/>
      <c r="AF522" s="120"/>
      <c r="AG522" s="120"/>
      <c r="AH522" s="120"/>
      <c r="AI522" s="120"/>
      <c r="AJ522" s="120"/>
      <c r="AK522" s="120"/>
      <c r="AL522" s="120"/>
      <c r="AM522" s="120"/>
      <c r="AN522" s="120"/>
      <c r="AO522" s="120"/>
      <c r="AP522" s="120"/>
      <c r="AQ522" s="120"/>
      <c r="AR522" s="120"/>
      <c r="AS522" s="120"/>
      <c r="AT522" s="120"/>
      <c r="AU522" s="120"/>
      <c r="AV522" s="120"/>
      <c r="AW522" s="120"/>
      <c r="AX522" s="120"/>
      <c r="AY522" s="120"/>
      <c r="AZ522" s="120"/>
    </row>
    <row r="523">
      <c r="A523" s="11"/>
      <c r="B523" s="11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  <c r="W523" s="120"/>
      <c r="X523" s="120"/>
      <c r="Y523" s="120"/>
      <c r="Z523" s="120"/>
      <c r="AA523" s="120"/>
      <c r="AB523" s="120"/>
      <c r="AC523" s="120"/>
      <c r="AD523" s="120"/>
      <c r="AE523" s="120"/>
      <c r="AF523" s="120"/>
      <c r="AG523" s="120"/>
      <c r="AH523" s="120"/>
      <c r="AI523" s="120"/>
      <c r="AJ523" s="120"/>
      <c r="AK523" s="120"/>
      <c r="AL523" s="120"/>
      <c r="AM523" s="120"/>
      <c r="AN523" s="120"/>
      <c r="AO523" s="120"/>
      <c r="AP523" s="120"/>
      <c r="AQ523" s="120"/>
      <c r="AR523" s="120"/>
      <c r="AS523" s="120"/>
      <c r="AT523" s="120"/>
      <c r="AU523" s="120"/>
      <c r="AV523" s="120"/>
      <c r="AW523" s="120"/>
      <c r="AX523" s="120"/>
      <c r="AY523" s="120"/>
      <c r="AZ523" s="120"/>
    </row>
    <row r="524">
      <c r="A524" s="11"/>
      <c r="B524" s="11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  <c r="W524" s="120"/>
      <c r="X524" s="120"/>
      <c r="Y524" s="120"/>
      <c r="Z524" s="120"/>
      <c r="AA524" s="120"/>
      <c r="AB524" s="120"/>
      <c r="AC524" s="120"/>
      <c r="AD524" s="120"/>
      <c r="AE524" s="120"/>
      <c r="AF524" s="120"/>
      <c r="AG524" s="120"/>
      <c r="AH524" s="120"/>
      <c r="AI524" s="120"/>
      <c r="AJ524" s="120"/>
      <c r="AK524" s="120"/>
      <c r="AL524" s="120"/>
      <c r="AM524" s="120"/>
      <c r="AN524" s="120"/>
      <c r="AO524" s="120"/>
      <c r="AP524" s="120"/>
      <c r="AQ524" s="120"/>
      <c r="AR524" s="120"/>
      <c r="AS524" s="120"/>
      <c r="AT524" s="120"/>
      <c r="AU524" s="120"/>
      <c r="AV524" s="120"/>
      <c r="AW524" s="120"/>
      <c r="AX524" s="120"/>
      <c r="AY524" s="120"/>
      <c r="AZ524" s="120"/>
    </row>
    <row r="525">
      <c r="A525" s="11"/>
      <c r="B525" s="11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  <c r="W525" s="120"/>
      <c r="X525" s="120"/>
      <c r="Y525" s="120"/>
      <c r="Z525" s="120"/>
      <c r="AA525" s="120"/>
      <c r="AB525" s="120"/>
      <c r="AC525" s="120"/>
      <c r="AD525" s="120"/>
      <c r="AE525" s="120"/>
      <c r="AF525" s="120"/>
      <c r="AG525" s="120"/>
      <c r="AH525" s="120"/>
      <c r="AI525" s="120"/>
      <c r="AJ525" s="120"/>
      <c r="AK525" s="120"/>
      <c r="AL525" s="120"/>
      <c r="AM525" s="120"/>
      <c r="AN525" s="120"/>
      <c r="AO525" s="120"/>
      <c r="AP525" s="120"/>
      <c r="AQ525" s="120"/>
      <c r="AR525" s="120"/>
      <c r="AS525" s="120"/>
      <c r="AT525" s="120"/>
      <c r="AU525" s="120"/>
      <c r="AV525" s="120"/>
      <c r="AW525" s="120"/>
      <c r="AX525" s="120"/>
      <c r="AY525" s="120"/>
      <c r="AZ525" s="120"/>
    </row>
    <row r="526">
      <c r="A526" s="11"/>
      <c r="B526" s="11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  <c r="W526" s="120"/>
      <c r="X526" s="120"/>
      <c r="Y526" s="120"/>
      <c r="Z526" s="120"/>
      <c r="AA526" s="120"/>
      <c r="AB526" s="120"/>
      <c r="AC526" s="120"/>
      <c r="AD526" s="120"/>
      <c r="AE526" s="120"/>
      <c r="AF526" s="120"/>
      <c r="AG526" s="120"/>
      <c r="AH526" s="120"/>
      <c r="AI526" s="120"/>
      <c r="AJ526" s="120"/>
      <c r="AK526" s="120"/>
      <c r="AL526" s="120"/>
      <c r="AM526" s="120"/>
      <c r="AN526" s="120"/>
      <c r="AO526" s="120"/>
      <c r="AP526" s="120"/>
      <c r="AQ526" s="120"/>
      <c r="AR526" s="120"/>
      <c r="AS526" s="120"/>
      <c r="AT526" s="120"/>
      <c r="AU526" s="120"/>
      <c r="AV526" s="120"/>
      <c r="AW526" s="120"/>
      <c r="AX526" s="120"/>
      <c r="AY526" s="120"/>
      <c r="AZ526" s="120"/>
    </row>
    <row r="527">
      <c r="A527" s="11"/>
      <c r="B527" s="11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  <c r="W527" s="120"/>
      <c r="X527" s="120"/>
      <c r="Y527" s="120"/>
      <c r="Z527" s="120"/>
      <c r="AA527" s="120"/>
      <c r="AB527" s="120"/>
      <c r="AC527" s="120"/>
      <c r="AD527" s="120"/>
      <c r="AE527" s="120"/>
      <c r="AF527" s="120"/>
      <c r="AG527" s="120"/>
      <c r="AH527" s="120"/>
      <c r="AI527" s="120"/>
      <c r="AJ527" s="120"/>
      <c r="AK527" s="120"/>
      <c r="AL527" s="120"/>
      <c r="AM527" s="120"/>
      <c r="AN527" s="120"/>
      <c r="AO527" s="120"/>
      <c r="AP527" s="120"/>
      <c r="AQ527" s="120"/>
      <c r="AR527" s="120"/>
      <c r="AS527" s="120"/>
      <c r="AT527" s="120"/>
      <c r="AU527" s="120"/>
      <c r="AV527" s="120"/>
      <c r="AW527" s="120"/>
      <c r="AX527" s="120"/>
      <c r="AY527" s="120"/>
      <c r="AZ527" s="120"/>
    </row>
    <row r="528">
      <c r="A528" s="11"/>
      <c r="B528" s="11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  <c r="W528" s="120"/>
      <c r="X528" s="120"/>
      <c r="Y528" s="120"/>
      <c r="Z528" s="120"/>
      <c r="AA528" s="120"/>
      <c r="AB528" s="120"/>
      <c r="AC528" s="120"/>
      <c r="AD528" s="120"/>
      <c r="AE528" s="120"/>
      <c r="AF528" s="120"/>
      <c r="AG528" s="120"/>
      <c r="AH528" s="120"/>
      <c r="AI528" s="120"/>
      <c r="AJ528" s="120"/>
      <c r="AK528" s="120"/>
      <c r="AL528" s="120"/>
      <c r="AM528" s="120"/>
      <c r="AN528" s="120"/>
      <c r="AO528" s="120"/>
      <c r="AP528" s="120"/>
      <c r="AQ528" s="120"/>
      <c r="AR528" s="120"/>
      <c r="AS528" s="120"/>
      <c r="AT528" s="120"/>
      <c r="AU528" s="120"/>
      <c r="AV528" s="120"/>
      <c r="AW528" s="120"/>
      <c r="AX528" s="120"/>
      <c r="AY528" s="120"/>
      <c r="AZ528" s="120"/>
    </row>
    <row r="529">
      <c r="A529" s="11"/>
      <c r="B529" s="11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  <c r="W529" s="120"/>
      <c r="X529" s="120"/>
      <c r="Y529" s="120"/>
      <c r="Z529" s="120"/>
      <c r="AA529" s="120"/>
      <c r="AB529" s="120"/>
      <c r="AC529" s="120"/>
      <c r="AD529" s="120"/>
      <c r="AE529" s="120"/>
      <c r="AF529" s="120"/>
      <c r="AG529" s="120"/>
      <c r="AH529" s="120"/>
      <c r="AI529" s="120"/>
      <c r="AJ529" s="120"/>
      <c r="AK529" s="120"/>
      <c r="AL529" s="120"/>
      <c r="AM529" s="120"/>
      <c r="AN529" s="120"/>
      <c r="AO529" s="120"/>
      <c r="AP529" s="120"/>
      <c r="AQ529" s="120"/>
      <c r="AR529" s="120"/>
      <c r="AS529" s="120"/>
      <c r="AT529" s="120"/>
      <c r="AU529" s="120"/>
      <c r="AV529" s="120"/>
      <c r="AW529" s="120"/>
      <c r="AX529" s="120"/>
      <c r="AY529" s="120"/>
      <c r="AZ529" s="120"/>
    </row>
    <row r="530">
      <c r="A530" s="11"/>
      <c r="B530" s="11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  <c r="W530" s="120"/>
      <c r="X530" s="120"/>
      <c r="Y530" s="120"/>
      <c r="Z530" s="120"/>
      <c r="AA530" s="120"/>
      <c r="AB530" s="120"/>
      <c r="AC530" s="120"/>
      <c r="AD530" s="120"/>
      <c r="AE530" s="120"/>
      <c r="AF530" s="120"/>
      <c r="AG530" s="120"/>
      <c r="AH530" s="120"/>
      <c r="AI530" s="120"/>
      <c r="AJ530" s="120"/>
      <c r="AK530" s="120"/>
      <c r="AL530" s="120"/>
      <c r="AM530" s="120"/>
      <c r="AN530" s="120"/>
      <c r="AO530" s="120"/>
      <c r="AP530" s="120"/>
      <c r="AQ530" s="120"/>
      <c r="AR530" s="120"/>
      <c r="AS530" s="120"/>
      <c r="AT530" s="120"/>
      <c r="AU530" s="120"/>
      <c r="AV530" s="120"/>
      <c r="AW530" s="120"/>
      <c r="AX530" s="120"/>
      <c r="AY530" s="120"/>
      <c r="AZ530" s="120"/>
    </row>
    <row r="531">
      <c r="A531" s="11"/>
      <c r="B531" s="11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  <c r="W531" s="120"/>
      <c r="X531" s="120"/>
      <c r="Y531" s="120"/>
      <c r="Z531" s="120"/>
      <c r="AA531" s="120"/>
      <c r="AB531" s="120"/>
      <c r="AC531" s="120"/>
      <c r="AD531" s="120"/>
      <c r="AE531" s="120"/>
      <c r="AF531" s="120"/>
      <c r="AG531" s="120"/>
      <c r="AH531" s="120"/>
      <c r="AI531" s="120"/>
      <c r="AJ531" s="120"/>
      <c r="AK531" s="120"/>
      <c r="AL531" s="120"/>
      <c r="AM531" s="120"/>
      <c r="AN531" s="120"/>
      <c r="AO531" s="120"/>
      <c r="AP531" s="120"/>
      <c r="AQ531" s="120"/>
      <c r="AR531" s="120"/>
      <c r="AS531" s="120"/>
      <c r="AT531" s="120"/>
      <c r="AU531" s="120"/>
      <c r="AV531" s="120"/>
      <c r="AW531" s="120"/>
      <c r="AX531" s="120"/>
      <c r="AY531" s="120"/>
      <c r="AZ531" s="120"/>
    </row>
    <row r="532">
      <c r="A532" s="11"/>
      <c r="B532" s="11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  <c r="W532" s="120"/>
      <c r="X532" s="120"/>
      <c r="Y532" s="120"/>
      <c r="Z532" s="120"/>
      <c r="AA532" s="120"/>
      <c r="AB532" s="120"/>
      <c r="AC532" s="120"/>
      <c r="AD532" s="120"/>
      <c r="AE532" s="120"/>
      <c r="AF532" s="120"/>
      <c r="AG532" s="120"/>
      <c r="AH532" s="120"/>
      <c r="AI532" s="120"/>
      <c r="AJ532" s="120"/>
      <c r="AK532" s="120"/>
      <c r="AL532" s="120"/>
      <c r="AM532" s="120"/>
      <c r="AN532" s="120"/>
      <c r="AO532" s="120"/>
      <c r="AP532" s="120"/>
      <c r="AQ532" s="120"/>
      <c r="AR532" s="120"/>
      <c r="AS532" s="120"/>
      <c r="AT532" s="120"/>
      <c r="AU532" s="120"/>
      <c r="AV532" s="120"/>
      <c r="AW532" s="120"/>
      <c r="AX532" s="120"/>
      <c r="AY532" s="120"/>
      <c r="AZ532" s="120"/>
    </row>
    <row r="533">
      <c r="A533" s="11"/>
      <c r="B533" s="11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  <c r="W533" s="120"/>
      <c r="X533" s="120"/>
      <c r="Y533" s="120"/>
      <c r="Z533" s="120"/>
      <c r="AA533" s="120"/>
      <c r="AB533" s="120"/>
      <c r="AC533" s="120"/>
      <c r="AD533" s="120"/>
      <c r="AE533" s="120"/>
      <c r="AF533" s="120"/>
      <c r="AG533" s="120"/>
      <c r="AH533" s="120"/>
      <c r="AI533" s="120"/>
      <c r="AJ533" s="120"/>
      <c r="AK533" s="120"/>
      <c r="AL533" s="120"/>
      <c r="AM533" s="120"/>
      <c r="AN533" s="120"/>
      <c r="AO533" s="120"/>
      <c r="AP533" s="120"/>
      <c r="AQ533" s="120"/>
      <c r="AR533" s="120"/>
      <c r="AS533" s="120"/>
      <c r="AT533" s="120"/>
      <c r="AU533" s="120"/>
      <c r="AV533" s="120"/>
      <c r="AW533" s="120"/>
      <c r="AX533" s="120"/>
      <c r="AY533" s="120"/>
      <c r="AZ533" s="120"/>
    </row>
    <row r="534">
      <c r="A534" s="11"/>
      <c r="B534" s="11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  <c r="W534" s="120"/>
      <c r="X534" s="120"/>
      <c r="Y534" s="120"/>
      <c r="Z534" s="120"/>
      <c r="AA534" s="120"/>
      <c r="AB534" s="120"/>
      <c r="AC534" s="120"/>
      <c r="AD534" s="120"/>
      <c r="AE534" s="120"/>
      <c r="AF534" s="120"/>
      <c r="AG534" s="120"/>
      <c r="AH534" s="120"/>
      <c r="AI534" s="120"/>
      <c r="AJ534" s="120"/>
      <c r="AK534" s="120"/>
      <c r="AL534" s="120"/>
      <c r="AM534" s="120"/>
      <c r="AN534" s="120"/>
      <c r="AO534" s="120"/>
      <c r="AP534" s="120"/>
      <c r="AQ534" s="120"/>
      <c r="AR534" s="120"/>
      <c r="AS534" s="120"/>
      <c r="AT534" s="120"/>
      <c r="AU534" s="120"/>
      <c r="AV534" s="120"/>
      <c r="AW534" s="120"/>
      <c r="AX534" s="120"/>
      <c r="AY534" s="120"/>
      <c r="AZ534" s="120"/>
    </row>
    <row r="535">
      <c r="A535" s="11"/>
      <c r="B535" s="11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  <c r="W535" s="120"/>
      <c r="X535" s="120"/>
      <c r="Y535" s="120"/>
      <c r="Z535" s="120"/>
      <c r="AA535" s="120"/>
      <c r="AB535" s="120"/>
      <c r="AC535" s="120"/>
      <c r="AD535" s="120"/>
      <c r="AE535" s="120"/>
      <c r="AF535" s="120"/>
      <c r="AG535" s="120"/>
      <c r="AH535" s="120"/>
      <c r="AI535" s="120"/>
      <c r="AJ535" s="120"/>
      <c r="AK535" s="120"/>
      <c r="AL535" s="120"/>
      <c r="AM535" s="120"/>
      <c r="AN535" s="120"/>
      <c r="AO535" s="120"/>
      <c r="AP535" s="120"/>
      <c r="AQ535" s="120"/>
      <c r="AR535" s="120"/>
      <c r="AS535" s="120"/>
      <c r="AT535" s="120"/>
      <c r="AU535" s="120"/>
      <c r="AV535" s="120"/>
      <c r="AW535" s="120"/>
      <c r="AX535" s="120"/>
      <c r="AY535" s="120"/>
      <c r="AZ535" s="120"/>
    </row>
    <row r="536">
      <c r="A536" s="11"/>
      <c r="B536" s="11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  <c r="W536" s="120"/>
      <c r="X536" s="120"/>
      <c r="Y536" s="120"/>
      <c r="Z536" s="120"/>
      <c r="AA536" s="120"/>
      <c r="AB536" s="120"/>
      <c r="AC536" s="120"/>
      <c r="AD536" s="120"/>
      <c r="AE536" s="120"/>
      <c r="AF536" s="120"/>
      <c r="AG536" s="120"/>
      <c r="AH536" s="120"/>
      <c r="AI536" s="120"/>
      <c r="AJ536" s="120"/>
      <c r="AK536" s="120"/>
      <c r="AL536" s="120"/>
      <c r="AM536" s="120"/>
      <c r="AN536" s="120"/>
      <c r="AO536" s="120"/>
      <c r="AP536" s="120"/>
      <c r="AQ536" s="120"/>
      <c r="AR536" s="120"/>
      <c r="AS536" s="120"/>
      <c r="AT536" s="120"/>
      <c r="AU536" s="120"/>
      <c r="AV536" s="120"/>
      <c r="AW536" s="120"/>
      <c r="AX536" s="120"/>
      <c r="AY536" s="120"/>
      <c r="AZ536" s="120"/>
    </row>
    <row r="537">
      <c r="A537" s="11"/>
      <c r="B537" s="11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  <c r="W537" s="120"/>
      <c r="X537" s="120"/>
      <c r="Y537" s="120"/>
      <c r="Z537" s="120"/>
      <c r="AA537" s="120"/>
      <c r="AB537" s="120"/>
      <c r="AC537" s="120"/>
      <c r="AD537" s="120"/>
      <c r="AE537" s="120"/>
      <c r="AF537" s="120"/>
      <c r="AG537" s="120"/>
      <c r="AH537" s="120"/>
      <c r="AI537" s="120"/>
      <c r="AJ537" s="120"/>
      <c r="AK537" s="120"/>
      <c r="AL537" s="120"/>
      <c r="AM537" s="120"/>
      <c r="AN537" s="120"/>
      <c r="AO537" s="120"/>
      <c r="AP537" s="120"/>
      <c r="AQ537" s="120"/>
      <c r="AR537" s="120"/>
      <c r="AS537" s="120"/>
      <c r="AT537" s="120"/>
      <c r="AU537" s="120"/>
      <c r="AV537" s="120"/>
      <c r="AW537" s="120"/>
      <c r="AX537" s="120"/>
      <c r="AY537" s="120"/>
      <c r="AZ537" s="120"/>
    </row>
    <row r="538">
      <c r="A538" s="11"/>
      <c r="B538" s="11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  <c r="W538" s="120"/>
      <c r="X538" s="120"/>
      <c r="Y538" s="120"/>
      <c r="Z538" s="120"/>
      <c r="AA538" s="120"/>
      <c r="AB538" s="120"/>
      <c r="AC538" s="120"/>
      <c r="AD538" s="120"/>
      <c r="AE538" s="120"/>
      <c r="AF538" s="120"/>
      <c r="AG538" s="120"/>
      <c r="AH538" s="120"/>
      <c r="AI538" s="120"/>
      <c r="AJ538" s="120"/>
      <c r="AK538" s="120"/>
      <c r="AL538" s="120"/>
      <c r="AM538" s="120"/>
      <c r="AN538" s="120"/>
      <c r="AO538" s="120"/>
      <c r="AP538" s="120"/>
      <c r="AQ538" s="120"/>
      <c r="AR538" s="120"/>
      <c r="AS538" s="120"/>
      <c r="AT538" s="120"/>
      <c r="AU538" s="120"/>
      <c r="AV538" s="120"/>
      <c r="AW538" s="120"/>
      <c r="AX538" s="120"/>
      <c r="AY538" s="120"/>
      <c r="AZ538" s="120"/>
    </row>
    <row r="539">
      <c r="A539" s="11"/>
      <c r="B539" s="11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  <c r="W539" s="120"/>
      <c r="X539" s="120"/>
      <c r="Y539" s="120"/>
      <c r="Z539" s="120"/>
      <c r="AA539" s="120"/>
      <c r="AB539" s="120"/>
      <c r="AC539" s="120"/>
      <c r="AD539" s="120"/>
      <c r="AE539" s="120"/>
      <c r="AF539" s="120"/>
      <c r="AG539" s="120"/>
      <c r="AH539" s="120"/>
      <c r="AI539" s="120"/>
      <c r="AJ539" s="120"/>
      <c r="AK539" s="120"/>
      <c r="AL539" s="120"/>
      <c r="AM539" s="120"/>
      <c r="AN539" s="120"/>
      <c r="AO539" s="120"/>
      <c r="AP539" s="120"/>
      <c r="AQ539" s="120"/>
      <c r="AR539" s="120"/>
      <c r="AS539" s="120"/>
      <c r="AT539" s="120"/>
      <c r="AU539" s="120"/>
      <c r="AV539" s="120"/>
      <c r="AW539" s="120"/>
      <c r="AX539" s="120"/>
      <c r="AY539" s="120"/>
      <c r="AZ539" s="120"/>
    </row>
    <row r="540">
      <c r="A540" s="11"/>
      <c r="B540" s="11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  <c r="W540" s="120"/>
      <c r="X540" s="120"/>
      <c r="Y540" s="120"/>
      <c r="Z540" s="120"/>
      <c r="AA540" s="120"/>
      <c r="AB540" s="120"/>
      <c r="AC540" s="120"/>
      <c r="AD540" s="120"/>
      <c r="AE540" s="120"/>
      <c r="AF540" s="120"/>
      <c r="AG540" s="120"/>
      <c r="AH540" s="120"/>
      <c r="AI540" s="120"/>
      <c r="AJ540" s="120"/>
      <c r="AK540" s="120"/>
      <c r="AL540" s="120"/>
      <c r="AM540" s="120"/>
      <c r="AN540" s="120"/>
      <c r="AO540" s="120"/>
      <c r="AP540" s="120"/>
      <c r="AQ540" s="120"/>
      <c r="AR540" s="120"/>
      <c r="AS540" s="120"/>
      <c r="AT540" s="120"/>
      <c r="AU540" s="120"/>
      <c r="AV540" s="120"/>
      <c r="AW540" s="120"/>
      <c r="AX540" s="120"/>
      <c r="AY540" s="120"/>
      <c r="AZ540" s="120"/>
    </row>
  </sheetData>
  <mergeCells count="2">
    <mergeCell ref="C2:D2"/>
    <mergeCell ref="C3:D3"/>
  </mergeCells>
  <dataValidations>
    <dataValidation type="custom" allowBlank="1" showDropDown="1" showErrorMessage="1" sqref="C2:C3">
      <formula1>OR(NOT(ISERROR(DATEVALUE(C2))), AND(ISNUMBER(C2), LEFT(CELL("format", C2))="D"))</formula1>
    </dataValidation>
  </dataValidations>
  <printOptions gridLines="1"/>
  <pageMargins bottom="0.75" footer="0.0" header="0.0" left="0.7" right="0.7" top="0.75"/>
  <pageSetup paperSize="14" orientation="landscape" pageOrder="overThenDown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0"/>
    <col customWidth="1" hidden="1" min="2" max="2" width="13.0"/>
    <col customWidth="1" min="3" max="3" width="27.88"/>
    <col customWidth="1" min="4" max="4" width="9.13"/>
    <col customWidth="1" min="5" max="5" width="21.13"/>
    <col customWidth="1" min="6" max="6" width="20.38"/>
    <col customWidth="1" min="7" max="7" width="20.25"/>
    <col customWidth="1" min="10" max="10" width="25.13"/>
    <col customWidth="1" min="11" max="12" width="2.63"/>
    <col customWidth="1" min="19" max="20" width="2.63"/>
    <col customWidth="1" min="26" max="27" width="2.63"/>
    <col customWidth="1" min="28" max="34" width="12.63"/>
  </cols>
  <sheetData>
    <row r="1" hidden="1">
      <c r="A1" s="121"/>
      <c r="B1" s="121"/>
      <c r="C1" s="121"/>
      <c r="D1" s="121"/>
      <c r="E1" s="121"/>
      <c r="F1" s="121"/>
      <c r="G1" s="121"/>
      <c r="H1" s="121"/>
      <c r="I1" s="121"/>
      <c r="J1" s="12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ht="22.5" customHeight="1">
      <c r="A2" s="139" t="s">
        <v>3</v>
      </c>
      <c r="B2" s="140" t="s">
        <v>644</v>
      </c>
      <c r="C2" s="139" t="s">
        <v>8</v>
      </c>
      <c r="D2" s="140" t="s">
        <v>645</v>
      </c>
      <c r="E2" s="139" t="s">
        <v>646</v>
      </c>
      <c r="F2" s="139" t="s">
        <v>647</v>
      </c>
      <c r="G2" s="139" t="s">
        <v>555</v>
      </c>
      <c r="H2" s="139" t="s">
        <v>648</v>
      </c>
      <c r="I2" s="140" t="s">
        <v>2</v>
      </c>
      <c r="J2" s="139" t="s">
        <v>554</v>
      </c>
      <c r="K2" s="108"/>
      <c r="L2" s="108"/>
      <c r="M2" s="141" t="s">
        <v>648</v>
      </c>
      <c r="N2" s="142" t="s">
        <v>649</v>
      </c>
      <c r="O2" s="143" t="s">
        <v>650</v>
      </c>
      <c r="P2" s="142" t="s">
        <v>651</v>
      </c>
      <c r="Q2" s="142" t="s">
        <v>652</v>
      </c>
      <c r="R2" s="142" t="s">
        <v>653</v>
      </c>
      <c r="S2" s="108"/>
      <c r="T2" s="108"/>
      <c r="U2" s="141" t="s">
        <v>648</v>
      </c>
      <c r="V2" s="143" t="s">
        <v>650</v>
      </c>
      <c r="W2" s="142" t="s">
        <v>651</v>
      </c>
      <c r="X2" s="142" t="s">
        <v>652</v>
      </c>
      <c r="Y2" s="142" t="s">
        <v>653</v>
      </c>
      <c r="Z2" s="108"/>
      <c r="AA2" s="108"/>
      <c r="AB2" s="108"/>
      <c r="AC2" s="108"/>
      <c r="AD2" s="108"/>
      <c r="AE2" s="108"/>
      <c r="AF2" s="108"/>
      <c r="AG2" s="108"/>
      <c r="AH2" s="108"/>
    </row>
    <row r="3" ht="22.5" customHeight="1">
      <c r="A3" s="144">
        <f>IFERROR(__xludf.DUMMYFUNCTION("FILTER('⬇️ PEMASUKAN'!$D$5:$D1181,'⬇️ PEMASUKAN'!$K$5:$K1181=""K.TA - TERAPI AWAL"")"),46025.0)</f>
        <v>46025</v>
      </c>
      <c r="B3" s="145" t="str">
        <f t="shared" ref="B3:B1181" si="1">if(A3="","", text(A3,"mm")&amp;text(A3,"mmm"))</f>
        <v>01Jan</v>
      </c>
      <c r="C3" s="145" t="str">
        <f>IFERROR(__xludf.DUMMYFUNCTION("FILTER('⬇️ PEMASUKAN'!$I$5:$I1181,'⬇️ PEMASUKAN'!$K$5:$K1181=""K.TA - TERAPI AWAL"")"),"ANDIANA MARJAYANTI")</f>
        <v>ANDIANA MARJAYANTI</v>
      </c>
      <c r="D3" s="145">
        <f t="array" ref="D3">IFNA(XLOOKUP(C3,'👥 Daftar Nama Pasien'!$B$6:$B1181,'👥 Daftar Nama Pasien'!$D$6:$D1181),"")</f>
        <v>29</v>
      </c>
      <c r="E3" s="145" t="str">
        <f t="array" ref="E3">XLOOKUP(C3,'⬇️ PEMASUKAN'!$I$5:$I1181,'⬇️ PEMASUKAN'!$K$5:$K1181,,0,-1)</f>
        <v>K.ST - SESI TERAPI</v>
      </c>
      <c r="F3" s="145" t="str">
        <f t="shared" ref="F3:F1181" si="2">IF(E3="K.TA - TERAPI AWAL","TIDAK CLOSING",E3)</f>
        <v>K.ST - SESI TERAPI</v>
      </c>
      <c r="G3" s="145" t="str">
        <f t="shared" ref="G3:G1181" si="3">IF(C3="","",IF(ISNUMBER(SEARCH("*K.PT*",F3)),"CLOSING PAKET",IF(ISNUMBER(SEARCH("*K.ST*",F3)),"CLOSING SESI","TIDAK CLOSING")))</f>
        <v>CLOSING SESI</v>
      </c>
      <c r="H3" s="145" t="str">
        <f>IFERROR(__xludf.DUMMYFUNCTION("FILTER('⬇️ PEMASUKAN'!$H$5:$H1181,'⬇️ PEMASUKAN'!$K$5:$K1181=""K.TA - TERAPI AWAL"")"),"OKTA")</f>
        <v>OKTA</v>
      </c>
      <c r="I3" s="145" t="str">
        <f>IFERROR(__xludf.DUMMYFUNCTION("FILTER('⬇️ PEMASUKAN'!$C$5:$C1181,'⬇️ PEMASUKAN'!$K$5:$K1181=""K.TA - TERAPI AWAL"")"),"SUCI")</f>
        <v>SUCI</v>
      </c>
      <c r="J3" s="145"/>
      <c r="K3" s="11"/>
      <c r="L3" s="11"/>
      <c r="M3" s="146" t="s">
        <v>68</v>
      </c>
      <c r="N3" s="147">
        <f t="shared" ref="N3:N13" si="4">COUNTIF($H$2:$H1181,M3)</f>
        <v>28</v>
      </c>
      <c r="O3" s="148">
        <f t="shared" ref="O3:O13" si="5">COUNTIFS($H$2:$H1181,M3,$G$2:$G1181,"*PAKET*")</f>
        <v>11</v>
      </c>
      <c r="P3" s="148">
        <f t="shared" ref="P3:P13" si="6">COUNTIFS($H$2:$H1181,M3,$G$2:$G1181,"*SESI*")</f>
        <v>9</v>
      </c>
      <c r="Q3" s="148">
        <f t="shared" ref="Q3:Q13" si="7">COUNTIFS($H$2:$H1181,M3,$G$2:$G1181,"*TIDAK*")</f>
        <v>8</v>
      </c>
      <c r="R3" s="148">
        <f t="shared" ref="R3:R13" si="8">SUM(O3:P3)</f>
        <v>20</v>
      </c>
      <c r="S3" s="11"/>
      <c r="T3" s="11"/>
      <c r="U3" s="146" t="s">
        <v>68</v>
      </c>
      <c r="V3" s="149">
        <f t="shared" ref="V3:V13" si="9">IFERROR(O3/N3,0)</f>
        <v>0.3928571429</v>
      </c>
      <c r="W3" s="149">
        <f t="shared" ref="W3:W13" si="10">IFERROR(P3/N3,0)</f>
        <v>0.3214285714</v>
      </c>
      <c r="X3" s="149">
        <f t="shared" ref="X3:X13" si="11">IFERROR(Q3/N3,0)</f>
        <v>0.2857142857</v>
      </c>
      <c r="Y3" s="149">
        <f t="shared" ref="Y3:Y13" si="12">IFERROR(R3/N3,0)</f>
        <v>0.7142857143</v>
      </c>
      <c r="Z3" s="11"/>
      <c r="AA3" s="11"/>
      <c r="AB3" s="11"/>
      <c r="AC3" s="11"/>
      <c r="AD3" s="11"/>
      <c r="AE3" s="11"/>
      <c r="AF3" s="11"/>
      <c r="AG3" s="11"/>
      <c r="AH3" s="11"/>
    </row>
    <row r="4" ht="22.5" customHeight="1">
      <c r="A4" s="144">
        <f>IFERROR(__xludf.DUMMYFUNCTION("""COMPUTED_VALUE"""),46025.0)</f>
        <v>46025</v>
      </c>
      <c r="B4" s="145" t="str">
        <f t="shared" si="1"/>
        <v>01Jan</v>
      </c>
      <c r="C4" s="145" t="str">
        <f>IFERROR(__xludf.DUMMYFUNCTION("""COMPUTED_VALUE"""),"IVONNY")</f>
        <v>IVONNY</v>
      </c>
      <c r="D4" s="145">
        <f t="array" ref="D4">IFNA(XLOOKUP(C4,'👥 Daftar Nama Pasien'!$B$6:$B1181,'👥 Daftar Nama Pasien'!$D$6:$D1181),"")</f>
        <v>37</v>
      </c>
      <c r="E4" s="145" t="str">
        <f t="array" ref="E4">XLOOKUP(C4,'⬇️ PEMASUKAN'!$I$5:$I1181,'⬇️ PEMASUKAN'!$K$5:$K1181,,0,-1)</f>
        <v>K.TA - TERAPI AWAL</v>
      </c>
      <c r="F4" s="145" t="str">
        <f t="shared" si="2"/>
        <v>TIDAK CLOSING</v>
      </c>
      <c r="G4" s="145" t="str">
        <f t="shared" si="3"/>
        <v>TIDAK CLOSING</v>
      </c>
      <c r="H4" s="145" t="str">
        <f>IFERROR(__xludf.DUMMYFUNCTION("""COMPUTED_VALUE"""),"DANI")</f>
        <v>DANI</v>
      </c>
      <c r="I4" s="145" t="str">
        <f>IFERROR(__xludf.DUMMYFUNCTION("""COMPUTED_VALUE"""),"SUCI")</f>
        <v>SUCI</v>
      </c>
      <c r="J4" s="145"/>
      <c r="K4" s="11"/>
      <c r="L4" s="11"/>
      <c r="M4" s="146" t="s">
        <v>654</v>
      </c>
      <c r="N4" s="147">
        <f t="shared" si="4"/>
        <v>0</v>
      </c>
      <c r="O4" s="148">
        <f t="shared" si="5"/>
        <v>0</v>
      </c>
      <c r="P4" s="148">
        <f t="shared" si="6"/>
        <v>0</v>
      </c>
      <c r="Q4" s="148">
        <f t="shared" si="7"/>
        <v>0</v>
      </c>
      <c r="R4" s="148">
        <f t="shared" si="8"/>
        <v>0</v>
      </c>
      <c r="S4" s="11"/>
      <c r="T4" s="11"/>
      <c r="U4" s="146" t="s">
        <v>654</v>
      </c>
      <c r="V4" s="149">
        <f t="shared" si="9"/>
        <v>0</v>
      </c>
      <c r="W4" s="149">
        <f t="shared" si="10"/>
        <v>0</v>
      </c>
      <c r="X4" s="149">
        <f t="shared" si="11"/>
        <v>0</v>
      </c>
      <c r="Y4" s="149">
        <f t="shared" si="12"/>
        <v>0</v>
      </c>
      <c r="Z4" s="11"/>
      <c r="AA4" s="11"/>
      <c r="AB4" s="11"/>
      <c r="AC4" s="11"/>
      <c r="AD4" s="11"/>
      <c r="AE4" s="11"/>
      <c r="AF4" s="11"/>
      <c r="AG4" s="11"/>
      <c r="AH4" s="11"/>
    </row>
    <row r="5" ht="22.5" customHeight="1">
      <c r="A5" s="144">
        <f>IFERROR(__xludf.DUMMYFUNCTION("""COMPUTED_VALUE"""),46025.0)</f>
        <v>46025</v>
      </c>
      <c r="B5" s="145" t="str">
        <f t="shared" si="1"/>
        <v>01Jan</v>
      </c>
      <c r="C5" s="145" t="str">
        <f>IFERROR(__xludf.DUMMYFUNCTION("""COMPUTED_VALUE"""),"PUTERA ANUGRAH PRATAMA")</f>
        <v>PUTERA ANUGRAH PRATAMA</v>
      </c>
      <c r="D5" s="145">
        <f t="array" ref="D5">IFNA(XLOOKUP(C5,'👥 Daftar Nama Pasien'!$B$6:$B1181,'👥 Daftar Nama Pasien'!$D$6:$D1181),"")</f>
        <v>25</v>
      </c>
      <c r="E5" s="145" t="str">
        <f t="array" ref="E5">XLOOKUP(C5,'⬇️ PEMASUKAN'!$I$5:$I1181,'⬇️ PEMASUKAN'!$K$5:$K1181,,0,-1)</f>
        <v>K.TA - TERAPI AWAL</v>
      </c>
      <c r="F5" s="145" t="str">
        <f t="shared" si="2"/>
        <v>TIDAK CLOSING</v>
      </c>
      <c r="G5" s="145" t="str">
        <f t="shared" si="3"/>
        <v>TIDAK CLOSING</v>
      </c>
      <c r="H5" s="145" t="str">
        <f>IFERROR(__xludf.DUMMYFUNCTION("""COMPUTED_VALUE"""),"PRITY")</f>
        <v>PRITY</v>
      </c>
      <c r="I5" s="145" t="str">
        <f>IFERROR(__xludf.DUMMYFUNCTION("""COMPUTED_VALUE"""),"NOPI")</f>
        <v>NOPI</v>
      </c>
      <c r="J5" s="145"/>
      <c r="K5" s="11"/>
      <c r="L5" s="11"/>
      <c r="M5" s="146" t="s">
        <v>655</v>
      </c>
      <c r="N5" s="147">
        <f t="shared" si="4"/>
        <v>0</v>
      </c>
      <c r="O5" s="148">
        <f t="shared" si="5"/>
        <v>0</v>
      </c>
      <c r="P5" s="148">
        <f t="shared" si="6"/>
        <v>0</v>
      </c>
      <c r="Q5" s="148">
        <f t="shared" si="7"/>
        <v>0</v>
      </c>
      <c r="R5" s="148">
        <f t="shared" si="8"/>
        <v>0</v>
      </c>
      <c r="S5" s="11"/>
      <c r="T5" s="11"/>
      <c r="U5" s="146" t="s">
        <v>655</v>
      </c>
      <c r="V5" s="149">
        <f t="shared" si="9"/>
        <v>0</v>
      </c>
      <c r="W5" s="149">
        <f t="shared" si="10"/>
        <v>0</v>
      </c>
      <c r="X5" s="149">
        <f t="shared" si="11"/>
        <v>0</v>
      </c>
      <c r="Y5" s="149">
        <f t="shared" si="12"/>
        <v>0</v>
      </c>
      <c r="Z5" s="11"/>
      <c r="AA5" s="11"/>
      <c r="AB5" s="11"/>
      <c r="AC5" s="11"/>
      <c r="AD5" s="11"/>
      <c r="AE5" s="11"/>
      <c r="AF5" s="11"/>
      <c r="AG5" s="11"/>
      <c r="AH5" s="11"/>
    </row>
    <row r="6" ht="22.5" customHeight="1">
      <c r="A6" s="144">
        <f>IFERROR(__xludf.DUMMYFUNCTION("""COMPUTED_VALUE"""),46025.0)</f>
        <v>46025</v>
      </c>
      <c r="B6" s="145" t="str">
        <f t="shared" si="1"/>
        <v>01Jan</v>
      </c>
      <c r="C6" s="145" t="str">
        <f>IFERROR(__xludf.DUMMYFUNCTION("""COMPUTED_VALUE"""),"SUGIH WIRAMANTRI")</f>
        <v>SUGIH WIRAMANTRI</v>
      </c>
      <c r="D6" s="145" t="str">
        <f t="array" ref="D6">IFNA(XLOOKUP(C6,'👥 Daftar Nama Pasien'!$B$6:$B1181,'👥 Daftar Nama Pasien'!$D$6:$D1181),"")</f>
        <v/>
      </c>
      <c r="E6" s="145" t="str">
        <f t="array" ref="E6">XLOOKUP(C6,'⬇️ PEMASUKAN'!$I$5:$I1181,'⬇️ PEMASUKAN'!$K$5:$K1181,,0,-1)</f>
        <v>K.ST - SESI TERAPI</v>
      </c>
      <c r="F6" s="145" t="str">
        <f t="shared" si="2"/>
        <v>K.ST - SESI TERAPI</v>
      </c>
      <c r="G6" s="145" t="str">
        <f t="shared" si="3"/>
        <v>CLOSING SESI</v>
      </c>
      <c r="H6" s="145" t="str">
        <f>IFERROR(__xludf.DUMMYFUNCTION("""COMPUTED_VALUE"""),"DESTY")</f>
        <v>DESTY</v>
      </c>
      <c r="I6" s="145" t="str">
        <f>IFERROR(__xludf.DUMMYFUNCTION("""COMPUTED_VALUE"""),"NOPI")</f>
        <v>NOPI</v>
      </c>
      <c r="J6" s="145"/>
      <c r="K6" s="11"/>
      <c r="L6" s="11"/>
      <c r="M6" s="146" t="s">
        <v>48</v>
      </c>
      <c r="N6" s="147">
        <f t="shared" si="4"/>
        <v>37</v>
      </c>
      <c r="O6" s="148">
        <f t="shared" si="5"/>
        <v>9</v>
      </c>
      <c r="P6" s="148">
        <f t="shared" si="6"/>
        <v>11</v>
      </c>
      <c r="Q6" s="148">
        <f t="shared" si="7"/>
        <v>17</v>
      </c>
      <c r="R6" s="148">
        <f t="shared" si="8"/>
        <v>20</v>
      </c>
      <c r="S6" s="11"/>
      <c r="T6" s="11"/>
      <c r="U6" s="146" t="s">
        <v>48</v>
      </c>
      <c r="V6" s="149">
        <f t="shared" si="9"/>
        <v>0.2432432432</v>
      </c>
      <c r="W6" s="149">
        <f t="shared" si="10"/>
        <v>0.2972972973</v>
      </c>
      <c r="X6" s="149">
        <f t="shared" si="11"/>
        <v>0.4594594595</v>
      </c>
      <c r="Y6" s="149">
        <f t="shared" si="12"/>
        <v>0.5405405405</v>
      </c>
      <c r="Z6" s="11"/>
      <c r="AA6" s="11"/>
      <c r="AB6" s="11"/>
      <c r="AC6" s="11"/>
      <c r="AD6" s="11"/>
      <c r="AE6" s="11"/>
      <c r="AF6" s="11"/>
      <c r="AG6" s="11"/>
      <c r="AH6" s="11"/>
    </row>
    <row r="7" ht="22.5" customHeight="1">
      <c r="A7" s="144">
        <f>IFERROR(__xludf.DUMMYFUNCTION("""COMPUTED_VALUE"""),46025.0)</f>
        <v>46025</v>
      </c>
      <c r="B7" s="145" t="str">
        <f t="shared" si="1"/>
        <v>01Jan</v>
      </c>
      <c r="C7" s="145" t="str">
        <f>IFERROR(__xludf.DUMMYFUNCTION("""COMPUTED_VALUE"""),"K. E. ANANTA UTAMI")</f>
        <v>K. E. ANANTA UTAMI</v>
      </c>
      <c r="D7" s="145">
        <f t="array" ref="D7">IFNA(XLOOKUP(C7,'👥 Daftar Nama Pasien'!$B$6:$B1181,'👥 Daftar Nama Pasien'!$D$6:$D1181),"")</f>
        <v>56</v>
      </c>
      <c r="E7" s="145" t="str">
        <f t="array" ref="E7">XLOOKUP(C7,'⬇️ PEMASUKAN'!$I$5:$I1181,'⬇️ PEMASUKAN'!$K$5:$K1181,,0,-1)</f>
        <v>K.PT - PAKET SILVER</v>
      </c>
      <c r="F7" s="145" t="str">
        <f t="shared" si="2"/>
        <v>K.PT - PAKET SILVER</v>
      </c>
      <c r="G7" s="145" t="str">
        <f t="shared" si="3"/>
        <v>CLOSING PAKET</v>
      </c>
      <c r="H7" s="145" t="str">
        <f>IFERROR(__xludf.DUMMYFUNCTION("""COMPUTED_VALUE"""),"DESTY")</f>
        <v>DESTY</v>
      </c>
      <c r="I7" s="145" t="str">
        <f>IFERROR(__xludf.DUMMYFUNCTION("""COMPUTED_VALUE"""),"NOPI")</f>
        <v>NOPI</v>
      </c>
      <c r="J7" s="145"/>
      <c r="K7" s="11"/>
      <c r="L7" s="11"/>
      <c r="M7" s="146" t="s">
        <v>42</v>
      </c>
      <c r="N7" s="147">
        <f t="shared" si="4"/>
        <v>29</v>
      </c>
      <c r="O7" s="148">
        <f t="shared" si="5"/>
        <v>7</v>
      </c>
      <c r="P7" s="148">
        <f t="shared" si="6"/>
        <v>10</v>
      </c>
      <c r="Q7" s="148">
        <f t="shared" si="7"/>
        <v>12</v>
      </c>
      <c r="R7" s="148">
        <f t="shared" si="8"/>
        <v>17</v>
      </c>
      <c r="S7" s="11"/>
      <c r="T7" s="11"/>
      <c r="U7" s="146" t="s">
        <v>42</v>
      </c>
      <c r="V7" s="149">
        <f t="shared" si="9"/>
        <v>0.2413793103</v>
      </c>
      <c r="W7" s="149">
        <f t="shared" si="10"/>
        <v>0.3448275862</v>
      </c>
      <c r="X7" s="149">
        <f t="shared" si="11"/>
        <v>0.4137931034</v>
      </c>
      <c r="Y7" s="149">
        <f t="shared" si="12"/>
        <v>0.5862068966</v>
      </c>
      <c r="Z7" s="11"/>
      <c r="AA7" s="11"/>
      <c r="AB7" s="11"/>
      <c r="AC7" s="11"/>
      <c r="AD7" s="11"/>
      <c r="AE7" s="11"/>
      <c r="AF7" s="11"/>
      <c r="AG7" s="11"/>
      <c r="AH7" s="11"/>
    </row>
    <row r="8" ht="22.5" customHeight="1">
      <c r="A8" s="144">
        <f>IFERROR(__xludf.DUMMYFUNCTION("""COMPUTED_VALUE"""),46025.0)</f>
        <v>46025</v>
      </c>
      <c r="B8" s="145" t="str">
        <f t="shared" si="1"/>
        <v>01Jan</v>
      </c>
      <c r="C8" s="145" t="str">
        <f>IFERROR(__xludf.DUMMYFUNCTION("""COMPUTED_VALUE"""),"KOLENIUS KOLAI")</f>
        <v>KOLENIUS KOLAI</v>
      </c>
      <c r="D8" s="145">
        <f t="array" ref="D8">IFNA(XLOOKUP(C8,'👥 Daftar Nama Pasien'!$B$6:$B1181,'👥 Daftar Nama Pasien'!$D$6:$D1181),"")</f>
        <v>64</v>
      </c>
      <c r="E8" s="145" t="str">
        <f t="array" ref="E8">XLOOKUP(C8,'⬇️ PEMASUKAN'!$I$5:$I1181,'⬇️ PEMASUKAN'!$K$5:$K1181,,0,-1)</f>
        <v>K.ST - SESI TERAPI</v>
      </c>
      <c r="F8" s="145" t="str">
        <f t="shared" si="2"/>
        <v>K.ST - SESI TERAPI</v>
      </c>
      <c r="G8" s="145" t="str">
        <f t="shared" si="3"/>
        <v>CLOSING SESI</v>
      </c>
      <c r="H8" s="145" t="str">
        <f>IFERROR(__xludf.DUMMYFUNCTION("""COMPUTED_VALUE"""),"DESTY")</f>
        <v>DESTY</v>
      </c>
      <c r="I8" s="145" t="str">
        <f>IFERROR(__xludf.DUMMYFUNCTION("""COMPUTED_VALUE"""),"NOPI")</f>
        <v>NOPI</v>
      </c>
      <c r="J8" s="145"/>
      <c r="K8" s="11"/>
      <c r="L8" s="11"/>
      <c r="M8" s="146" t="s">
        <v>30</v>
      </c>
      <c r="N8" s="147">
        <f t="shared" si="4"/>
        <v>32</v>
      </c>
      <c r="O8" s="148">
        <f t="shared" si="5"/>
        <v>7</v>
      </c>
      <c r="P8" s="148">
        <f t="shared" si="6"/>
        <v>11</v>
      </c>
      <c r="Q8" s="148">
        <f t="shared" si="7"/>
        <v>14</v>
      </c>
      <c r="R8" s="148">
        <f t="shared" si="8"/>
        <v>18</v>
      </c>
      <c r="S8" s="11"/>
      <c r="T8" s="11"/>
      <c r="U8" s="146" t="s">
        <v>30</v>
      </c>
      <c r="V8" s="149">
        <f t="shared" si="9"/>
        <v>0.21875</v>
      </c>
      <c r="W8" s="149">
        <f t="shared" si="10"/>
        <v>0.34375</v>
      </c>
      <c r="X8" s="149">
        <f t="shared" si="11"/>
        <v>0.4375</v>
      </c>
      <c r="Y8" s="149">
        <f t="shared" si="12"/>
        <v>0.5625</v>
      </c>
      <c r="Z8" s="11"/>
      <c r="AA8" s="11"/>
      <c r="AB8" s="11"/>
      <c r="AC8" s="11"/>
      <c r="AD8" s="11"/>
      <c r="AE8" s="11"/>
      <c r="AF8" s="11"/>
      <c r="AG8" s="11"/>
      <c r="AH8" s="11"/>
    </row>
    <row r="9" ht="22.5" customHeight="1">
      <c r="A9" s="144">
        <f>IFERROR(__xludf.DUMMYFUNCTION("""COMPUTED_VALUE"""),46025.0)</f>
        <v>46025</v>
      </c>
      <c r="B9" s="145" t="str">
        <f t="shared" si="1"/>
        <v>01Jan</v>
      </c>
      <c r="C9" s="145" t="str">
        <f>IFERROR(__xludf.DUMMYFUNCTION("""COMPUTED_VALUE"""),"EMMA")</f>
        <v>EMMA</v>
      </c>
      <c r="D9" s="145">
        <f t="array" ref="D9">IFNA(XLOOKUP(C9,'👥 Daftar Nama Pasien'!$B$6:$B1181,'👥 Daftar Nama Pasien'!$D$6:$D1181),"")</f>
        <v>60</v>
      </c>
      <c r="E9" s="145" t="str">
        <f t="array" ref="E9">XLOOKUP(C9,'⬇️ PEMASUKAN'!$I$5:$I1181,'⬇️ PEMASUKAN'!$K$5:$K1181,,0,-1)</f>
        <v>K.ST - SESI TERAPI</v>
      </c>
      <c r="F9" s="145" t="str">
        <f t="shared" si="2"/>
        <v>K.ST - SESI TERAPI</v>
      </c>
      <c r="G9" s="145" t="str">
        <f t="shared" si="3"/>
        <v>CLOSING SESI</v>
      </c>
      <c r="H9" s="145" t="str">
        <f>IFERROR(__xludf.DUMMYFUNCTION("""COMPUTED_VALUE"""),"PRITY")</f>
        <v>PRITY</v>
      </c>
      <c r="I9" s="145" t="str">
        <f>IFERROR(__xludf.DUMMYFUNCTION("""COMPUTED_VALUE"""),"NOPI")</f>
        <v>NOPI</v>
      </c>
      <c r="J9" s="145"/>
      <c r="K9" s="11"/>
      <c r="L9" s="11"/>
      <c r="M9" s="146" t="s">
        <v>51</v>
      </c>
      <c r="N9" s="147">
        <f t="shared" si="4"/>
        <v>45</v>
      </c>
      <c r="O9" s="148">
        <f t="shared" si="5"/>
        <v>11</v>
      </c>
      <c r="P9" s="148">
        <f t="shared" si="6"/>
        <v>7</v>
      </c>
      <c r="Q9" s="148">
        <f t="shared" si="7"/>
        <v>27</v>
      </c>
      <c r="R9" s="148">
        <f t="shared" si="8"/>
        <v>18</v>
      </c>
      <c r="S9" s="11"/>
      <c r="T9" s="11"/>
      <c r="U9" s="146" t="s">
        <v>51</v>
      </c>
      <c r="V9" s="149">
        <f t="shared" si="9"/>
        <v>0.2444444444</v>
      </c>
      <c r="W9" s="149">
        <f t="shared" si="10"/>
        <v>0.1555555556</v>
      </c>
      <c r="X9" s="149">
        <f t="shared" si="11"/>
        <v>0.6</v>
      </c>
      <c r="Y9" s="149">
        <f t="shared" si="12"/>
        <v>0.4</v>
      </c>
      <c r="Z9" s="11"/>
      <c r="AA9" s="11"/>
      <c r="AB9" s="11"/>
      <c r="AC9" s="11"/>
      <c r="AD9" s="11"/>
      <c r="AE9" s="11"/>
      <c r="AF9" s="11"/>
      <c r="AG9" s="11"/>
      <c r="AH9" s="11"/>
    </row>
    <row r="10" ht="22.5" customHeight="1">
      <c r="A10" s="144">
        <f>IFERROR(__xludf.DUMMYFUNCTION("""COMPUTED_VALUE"""),46025.0)</f>
        <v>46025</v>
      </c>
      <c r="B10" s="145" t="str">
        <f t="shared" si="1"/>
        <v>01Jan</v>
      </c>
      <c r="C10" s="145" t="str">
        <f>IFERROR(__xludf.DUMMYFUNCTION("""COMPUTED_VALUE"""),"YA MUHAMMAD IKHSANDI")</f>
        <v>YA MUHAMMAD IKHSANDI</v>
      </c>
      <c r="D10" s="145">
        <f t="array" ref="D10">IFNA(XLOOKUP(C10,'👥 Daftar Nama Pasien'!$B$6:$B1181,'👥 Daftar Nama Pasien'!$D$6:$D1181),"")</f>
        <v>46</v>
      </c>
      <c r="E10" s="145" t="str">
        <f t="array" ref="E10">XLOOKUP(C10,'⬇️ PEMASUKAN'!$I$5:$I1181,'⬇️ PEMASUKAN'!$K$5:$K1181,,0,-1)</f>
        <v>K.TA - TERAPI AWAL</v>
      </c>
      <c r="F10" s="145" t="str">
        <f t="shared" si="2"/>
        <v>TIDAK CLOSING</v>
      </c>
      <c r="G10" s="145" t="str">
        <f t="shared" si="3"/>
        <v>TIDAK CLOSING</v>
      </c>
      <c r="H10" s="145" t="str">
        <f>IFERROR(__xludf.DUMMYFUNCTION("""COMPUTED_VALUE"""),"DESTY")</f>
        <v>DESTY</v>
      </c>
      <c r="I10" s="145" t="str">
        <f>IFERROR(__xludf.DUMMYFUNCTION("""COMPUTED_VALUE"""),"NOPI")</f>
        <v>NOPI</v>
      </c>
      <c r="J10" s="145"/>
      <c r="K10" s="11"/>
      <c r="L10" s="11"/>
      <c r="M10" s="146" t="s">
        <v>70</v>
      </c>
      <c r="N10" s="147">
        <f t="shared" si="4"/>
        <v>27</v>
      </c>
      <c r="O10" s="148">
        <f t="shared" si="5"/>
        <v>6</v>
      </c>
      <c r="P10" s="148">
        <f t="shared" si="6"/>
        <v>11</v>
      </c>
      <c r="Q10" s="148">
        <f t="shared" si="7"/>
        <v>10</v>
      </c>
      <c r="R10" s="148">
        <f t="shared" si="8"/>
        <v>17</v>
      </c>
      <c r="S10" s="11"/>
      <c r="T10" s="11"/>
      <c r="U10" s="146" t="s">
        <v>70</v>
      </c>
      <c r="V10" s="149">
        <f t="shared" si="9"/>
        <v>0.2222222222</v>
      </c>
      <c r="W10" s="149">
        <f t="shared" si="10"/>
        <v>0.4074074074</v>
      </c>
      <c r="X10" s="149">
        <f t="shared" si="11"/>
        <v>0.3703703704</v>
      </c>
      <c r="Y10" s="149">
        <f t="shared" si="12"/>
        <v>0.6296296296</v>
      </c>
      <c r="Z10" s="11"/>
      <c r="AA10" s="11"/>
      <c r="AB10" s="11"/>
      <c r="AC10" s="11"/>
      <c r="AD10" s="11"/>
      <c r="AE10" s="11"/>
      <c r="AF10" s="11"/>
      <c r="AG10" s="11"/>
      <c r="AH10" s="11"/>
    </row>
    <row r="11" ht="22.5" customHeight="1">
      <c r="A11" s="144">
        <f>IFERROR(__xludf.DUMMYFUNCTION("""COMPUTED_VALUE"""),46025.0)</f>
        <v>46025</v>
      </c>
      <c r="B11" s="145" t="str">
        <f t="shared" si="1"/>
        <v>01Jan</v>
      </c>
      <c r="C11" s="145" t="str">
        <f>IFERROR(__xludf.DUMMYFUNCTION("""COMPUTED_VALUE"""),"TAUFIK")</f>
        <v>TAUFIK</v>
      </c>
      <c r="D11" s="145">
        <f t="array" ref="D11">IFNA(XLOOKUP(C11,'👥 Daftar Nama Pasien'!$B$6:$B1181,'👥 Daftar Nama Pasien'!$D$6:$D1181),"")</f>
        <v>30</v>
      </c>
      <c r="E11" s="145" t="str">
        <f t="array" ref="E11">XLOOKUP(C11,'⬇️ PEMASUKAN'!$I$5:$I1181,'⬇️ PEMASUKAN'!$K$5:$K1181,,0,-1)</f>
        <v>K.ST - SESI TERAPI NEW</v>
      </c>
      <c r="F11" s="145" t="str">
        <f t="shared" si="2"/>
        <v>K.ST - SESI TERAPI NEW</v>
      </c>
      <c r="G11" s="145" t="str">
        <f t="shared" si="3"/>
        <v>CLOSING SESI</v>
      </c>
      <c r="H11" s="145" t="str">
        <f>IFERROR(__xludf.DUMMYFUNCTION("""COMPUTED_VALUE"""),"AUL")</f>
        <v>AUL</v>
      </c>
      <c r="I11" s="145" t="str">
        <f>IFERROR(__xludf.DUMMYFUNCTION("""COMPUTED_VALUE"""),"NOPI")</f>
        <v>NOPI</v>
      </c>
      <c r="J11" s="145"/>
      <c r="K11" s="11"/>
      <c r="L11" s="11"/>
      <c r="M11" s="146" t="s">
        <v>23</v>
      </c>
      <c r="N11" s="147">
        <f t="shared" si="4"/>
        <v>42</v>
      </c>
      <c r="O11" s="148">
        <f t="shared" si="5"/>
        <v>12</v>
      </c>
      <c r="P11" s="148">
        <f t="shared" si="6"/>
        <v>9</v>
      </c>
      <c r="Q11" s="148">
        <f t="shared" si="7"/>
        <v>21</v>
      </c>
      <c r="R11" s="148">
        <f t="shared" si="8"/>
        <v>21</v>
      </c>
      <c r="S11" s="11"/>
      <c r="T11" s="11"/>
      <c r="U11" s="146" t="s">
        <v>23</v>
      </c>
      <c r="V11" s="149">
        <f t="shared" si="9"/>
        <v>0.2857142857</v>
      </c>
      <c r="W11" s="149">
        <f t="shared" si="10"/>
        <v>0.2142857143</v>
      </c>
      <c r="X11" s="149">
        <f t="shared" si="11"/>
        <v>0.5</v>
      </c>
      <c r="Y11" s="149">
        <f t="shared" si="12"/>
        <v>0.5</v>
      </c>
      <c r="Z11" s="11"/>
      <c r="AA11" s="11"/>
      <c r="AB11" s="11"/>
      <c r="AC11" s="11"/>
      <c r="AD11" s="11"/>
      <c r="AE11" s="11"/>
      <c r="AF11" s="11"/>
      <c r="AG11" s="11"/>
      <c r="AH11" s="11"/>
    </row>
    <row r="12" ht="22.5" customHeight="1">
      <c r="A12" s="144">
        <f>IFERROR(__xludf.DUMMYFUNCTION("""COMPUTED_VALUE"""),46025.0)</f>
        <v>46025</v>
      </c>
      <c r="B12" s="145" t="str">
        <f t="shared" si="1"/>
        <v>01Jan</v>
      </c>
      <c r="C12" s="145" t="str">
        <f>IFERROR(__xludf.DUMMYFUNCTION("""COMPUTED_VALUE"""),"SHELSY MELANY")</f>
        <v>SHELSY MELANY</v>
      </c>
      <c r="D12" s="145">
        <f t="array" ref="D12">IFNA(XLOOKUP(C12,'👥 Daftar Nama Pasien'!$B$6:$B1181,'👥 Daftar Nama Pasien'!$D$6:$D1181),"")</f>
        <v>18</v>
      </c>
      <c r="E12" s="145" t="str">
        <f t="array" ref="E12">XLOOKUP(C12,'⬇️ PEMASUKAN'!$I$5:$I1181,'⬇️ PEMASUKAN'!$K$5:$K1181,,0,-1)</f>
        <v>K.PT - PAKET 2</v>
      </c>
      <c r="F12" s="145" t="str">
        <f t="shared" si="2"/>
        <v>K.PT - PAKET 2</v>
      </c>
      <c r="G12" s="145" t="str">
        <f t="shared" si="3"/>
        <v>CLOSING PAKET</v>
      </c>
      <c r="H12" s="145" t="str">
        <f>IFERROR(__xludf.DUMMYFUNCTION("""COMPUTED_VALUE"""),"PRITY")</f>
        <v>PRITY</v>
      </c>
      <c r="I12" s="145" t="str">
        <f>IFERROR(__xludf.DUMMYFUNCTION("""COMPUTED_VALUE"""),"NOPI")</f>
        <v>NOPI</v>
      </c>
      <c r="J12" s="145"/>
      <c r="K12" s="11"/>
      <c r="L12" s="11"/>
      <c r="M12" s="146" t="s">
        <v>58</v>
      </c>
      <c r="N12" s="147">
        <f t="shared" si="4"/>
        <v>30</v>
      </c>
      <c r="O12" s="148">
        <f t="shared" si="5"/>
        <v>9</v>
      </c>
      <c r="P12" s="148">
        <f t="shared" si="6"/>
        <v>8</v>
      </c>
      <c r="Q12" s="148">
        <f t="shared" si="7"/>
        <v>13</v>
      </c>
      <c r="R12" s="148">
        <f t="shared" si="8"/>
        <v>17</v>
      </c>
      <c r="S12" s="11"/>
      <c r="T12" s="11"/>
      <c r="U12" s="146" t="s">
        <v>58</v>
      </c>
      <c r="V12" s="149">
        <f t="shared" si="9"/>
        <v>0.3</v>
      </c>
      <c r="W12" s="149">
        <f t="shared" si="10"/>
        <v>0.2666666667</v>
      </c>
      <c r="X12" s="149">
        <f t="shared" si="11"/>
        <v>0.4333333333</v>
      </c>
      <c r="Y12" s="149">
        <f t="shared" si="12"/>
        <v>0.5666666667</v>
      </c>
      <c r="Z12" s="11"/>
      <c r="AA12" s="11"/>
      <c r="AB12" s="11"/>
      <c r="AC12" s="11"/>
      <c r="AD12" s="11"/>
      <c r="AE12" s="11"/>
      <c r="AF12" s="11"/>
      <c r="AG12" s="11"/>
      <c r="AH12" s="11"/>
    </row>
    <row r="13" ht="22.5" customHeight="1">
      <c r="A13" s="144">
        <f>IFERROR(__xludf.DUMMYFUNCTION("""COMPUTED_VALUE"""),46025.0)</f>
        <v>46025</v>
      </c>
      <c r="B13" s="145" t="str">
        <f t="shared" si="1"/>
        <v>01Jan</v>
      </c>
      <c r="C13" s="145" t="str">
        <f>IFERROR(__xludf.DUMMYFUNCTION("""COMPUTED_VALUE"""),"PUTRI ATIKAH")</f>
        <v>PUTRI ATIKAH</v>
      </c>
      <c r="D13" s="145" t="str">
        <f t="array" ref="D13">IFNA(XLOOKUP(C13,'👥 Daftar Nama Pasien'!$B$6:$B1181,'👥 Daftar Nama Pasien'!$D$6:$D1181),"")</f>
        <v/>
      </c>
      <c r="E13" s="145" t="str">
        <f t="array" ref="E13">XLOOKUP(C13,'⬇️ PEMASUKAN'!$I$5:$I1181,'⬇️ PEMASUKAN'!$K$5:$K1181,,0,-1)</f>
        <v>V.ST - SESI VISIT</v>
      </c>
      <c r="F13" s="145" t="str">
        <f t="shared" si="2"/>
        <v>V.ST - SESI VISIT</v>
      </c>
      <c r="G13" s="145" t="str">
        <f t="shared" si="3"/>
        <v>TIDAK CLOSING</v>
      </c>
      <c r="H13" s="145" t="str">
        <f>IFERROR(__xludf.DUMMYFUNCTION("""COMPUTED_VALUE"""),"PRITY")</f>
        <v>PRITY</v>
      </c>
      <c r="I13" s="145" t="str">
        <f>IFERROR(__xludf.DUMMYFUNCTION("""COMPUTED_VALUE"""),"NOPI")</f>
        <v>NOPI</v>
      </c>
      <c r="J13" s="145"/>
      <c r="K13" s="11"/>
      <c r="L13" s="11"/>
      <c r="M13" s="146" t="s">
        <v>345</v>
      </c>
      <c r="N13" s="147">
        <f t="shared" si="4"/>
        <v>29</v>
      </c>
      <c r="O13" s="148">
        <f t="shared" si="5"/>
        <v>7</v>
      </c>
      <c r="P13" s="148">
        <f t="shared" si="6"/>
        <v>8</v>
      </c>
      <c r="Q13" s="148">
        <f t="shared" si="7"/>
        <v>14</v>
      </c>
      <c r="R13" s="148">
        <f t="shared" si="8"/>
        <v>15</v>
      </c>
      <c r="S13" s="11"/>
      <c r="T13" s="11"/>
      <c r="U13" s="146" t="s">
        <v>345</v>
      </c>
      <c r="V13" s="149">
        <f t="shared" si="9"/>
        <v>0.2413793103</v>
      </c>
      <c r="W13" s="149">
        <f t="shared" si="10"/>
        <v>0.275862069</v>
      </c>
      <c r="X13" s="149">
        <f t="shared" si="11"/>
        <v>0.4827586207</v>
      </c>
      <c r="Y13" s="149">
        <f t="shared" si="12"/>
        <v>0.5172413793</v>
      </c>
      <c r="Z13" s="11"/>
      <c r="AA13" s="11"/>
      <c r="AB13" s="11"/>
      <c r="AC13" s="11"/>
      <c r="AD13" s="11"/>
      <c r="AE13" s="11"/>
      <c r="AF13" s="11"/>
      <c r="AG13" s="11"/>
      <c r="AH13" s="11"/>
    </row>
    <row r="14" ht="22.5" customHeight="1">
      <c r="A14" s="144">
        <f>IFERROR(__xludf.DUMMYFUNCTION("""COMPUTED_VALUE"""),46025.0)</f>
        <v>46025</v>
      </c>
      <c r="B14" s="145" t="str">
        <f t="shared" si="1"/>
        <v>01Jan</v>
      </c>
      <c r="C14" s="145" t="str">
        <f>IFERROR(__xludf.DUMMYFUNCTION("""COMPUTED_VALUE"""),"ATHA HANIF PRADIPTA")</f>
        <v>ATHA HANIF PRADIPTA</v>
      </c>
      <c r="D14" s="145">
        <f t="array" ref="D14">IFNA(XLOOKUP(C14,'👥 Daftar Nama Pasien'!$B$6:$B1181,'👥 Daftar Nama Pasien'!$D$6:$D1181),"")</f>
        <v>6</v>
      </c>
      <c r="E14" s="145" t="str">
        <f t="array" ref="E14">XLOOKUP(C14,'⬇️ PEMASUKAN'!$I$5:$I1181,'⬇️ PEMASUKAN'!$K$5:$K1181,,0,-1)</f>
        <v>K.PT - PAKET 1</v>
      </c>
      <c r="F14" s="145" t="str">
        <f t="shared" si="2"/>
        <v>K.PT - PAKET 1</v>
      </c>
      <c r="G14" s="145" t="str">
        <f t="shared" si="3"/>
        <v>CLOSING PAKET</v>
      </c>
      <c r="H14" s="145" t="str">
        <f>IFERROR(__xludf.DUMMYFUNCTION("""COMPUTED_VALUE"""),"HENA")</f>
        <v>HENA</v>
      </c>
      <c r="I14" s="145" t="str">
        <f>IFERROR(__xludf.DUMMYFUNCTION("""COMPUTED_VALUE"""),"NOPI")</f>
        <v>NOPI</v>
      </c>
      <c r="J14" s="14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ht="22.5" customHeight="1">
      <c r="A15" s="144">
        <f>IFERROR(__xludf.DUMMYFUNCTION("""COMPUTED_VALUE"""),46026.0)</f>
        <v>46026</v>
      </c>
      <c r="B15" s="145" t="str">
        <f t="shared" si="1"/>
        <v>01Jan</v>
      </c>
      <c r="C15" s="145" t="str">
        <f>IFERROR(__xludf.DUMMYFUNCTION("""COMPUTED_VALUE"""),"WIWIK HARTATI")</f>
        <v>WIWIK HARTATI</v>
      </c>
      <c r="D15" s="145">
        <f t="array" ref="D15">IFNA(XLOOKUP(C15,'👥 Daftar Nama Pasien'!$B$6:$B1181,'👥 Daftar Nama Pasien'!$D$6:$D1181),"")</f>
        <v>61</v>
      </c>
      <c r="E15" s="145" t="str">
        <f t="array" ref="E15">XLOOKUP(C15,'⬇️ PEMASUKAN'!$I$5:$I1181,'⬇️ PEMASUKAN'!$K$5:$K1181,,0,-1)</f>
        <v>K.TA - TERAPI AWAL</v>
      </c>
      <c r="F15" s="145" t="str">
        <f t="shared" si="2"/>
        <v>TIDAK CLOSING</v>
      </c>
      <c r="G15" s="145" t="str">
        <f t="shared" si="3"/>
        <v>TIDAK CLOSING</v>
      </c>
      <c r="H15" s="145" t="str">
        <f>IFERROR(__xludf.DUMMYFUNCTION("""COMPUTED_VALUE"""),"HESTI")</f>
        <v>HESTI</v>
      </c>
      <c r="I15" s="145" t="str">
        <f>IFERROR(__xludf.DUMMYFUNCTION("""COMPUTED_VALUE"""),"SUCI")</f>
        <v>SUCI</v>
      </c>
      <c r="J15" s="145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ht="22.5" customHeight="1">
      <c r="A16" s="144">
        <f>IFERROR(__xludf.DUMMYFUNCTION("""COMPUTED_VALUE"""),46026.0)</f>
        <v>46026</v>
      </c>
      <c r="B16" s="145" t="str">
        <f t="shared" si="1"/>
        <v>01Jan</v>
      </c>
      <c r="C16" s="145" t="str">
        <f>IFERROR(__xludf.DUMMYFUNCTION("""COMPUTED_VALUE"""),"CHOTIBUL UMAMI")</f>
        <v>CHOTIBUL UMAMI</v>
      </c>
      <c r="D16" s="145">
        <f t="array" ref="D16">IFNA(XLOOKUP(C16,'👥 Daftar Nama Pasien'!$B$6:$B1181,'👥 Daftar Nama Pasien'!$D$6:$D1181),"")</f>
        <v>64</v>
      </c>
      <c r="E16" s="145" t="str">
        <f t="array" ref="E16">XLOOKUP(C16,'⬇️ PEMASUKAN'!$I$5:$I1181,'⬇️ PEMASUKAN'!$K$5:$K1181,,0,-1)</f>
        <v>K.TA - TERAPI AWAL</v>
      </c>
      <c r="F16" s="145" t="str">
        <f t="shared" si="2"/>
        <v>TIDAK CLOSING</v>
      </c>
      <c r="G16" s="145" t="str">
        <f t="shared" si="3"/>
        <v>TIDAK CLOSING</v>
      </c>
      <c r="H16" s="145" t="str">
        <f>IFERROR(__xludf.DUMMYFUNCTION("""COMPUTED_VALUE"""),"AUL")</f>
        <v>AUL</v>
      </c>
      <c r="I16" s="145" t="str">
        <f>IFERROR(__xludf.DUMMYFUNCTION("""COMPUTED_VALUE"""),"NOPI")</f>
        <v>NOPI</v>
      </c>
      <c r="J16" s="145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ht="22.5" customHeight="1">
      <c r="A17" s="144">
        <f>IFERROR(__xludf.DUMMYFUNCTION("""COMPUTED_VALUE"""),46026.0)</f>
        <v>46026</v>
      </c>
      <c r="B17" s="145" t="str">
        <f t="shared" si="1"/>
        <v>01Jan</v>
      </c>
      <c r="C17" s="145" t="str">
        <f>IFERROR(__xludf.DUMMYFUNCTION("""COMPUTED_VALUE"""),"MUHAMMAD FADHIL RAMADHANI")</f>
        <v>MUHAMMAD FADHIL RAMADHANI</v>
      </c>
      <c r="D17" s="145">
        <f t="array" ref="D17">IFNA(XLOOKUP(C17,'👥 Daftar Nama Pasien'!$B$6:$B1181,'👥 Daftar Nama Pasien'!$D$6:$D1181),"")</f>
        <v>25</v>
      </c>
      <c r="E17" s="145" t="str">
        <f t="array" ref="E17">XLOOKUP(C17,'⬇️ PEMASUKAN'!$I$5:$I1181,'⬇️ PEMASUKAN'!$K$5:$K1181,,0,-1)</f>
        <v>K.TA - TERAPI AWAL</v>
      </c>
      <c r="F17" s="145" t="str">
        <f t="shared" si="2"/>
        <v>TIDAK CLOSING</v>
      </c>
      <c r="G17" s="145" t="str">
        <f t="shared" si="3"/>
        <v>TIDAK CLOSING</v>
      </c>
      <c r="H17" s="145" t="str">
        <f>IFERROR(__xludf.DUMMYFUNCTION("""COMPUTED_VALUE"""),"ORY")</f>
        <v>ORY</v>
      </c>
      <c r="I17" s="145" t="str">
        <f>IFERROR(__xludf.DUMMYFUNCTION("""COMPUTED_VALUE"""),"NOPI")</f>
        <v>NOPI</v>
      </c>
      <c r="J17" s="145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ht="22.5" customHeight="1">
      <c r="A18" s="144">
        <f>IFERROR(__xludf.DUMMYFUNCTION("""COMPUTED_VALUE"""),46026.0)</f>
        <v>46026</v>
      </c>
      <c r="B18" s="145" t="str">
        <f t="shared" si="1"/>
        <v>01Jan</v>
      </c>
      <c r="C18" s="145" t="str">
        <f>IFERROR(__xludf.DUMMYFUNCTION("""COMPUTED_VALUE"""),"ELISABETH SUTINI")</f>
        <v>ELISABETH SUTINI</v>
      </c>
      <c r="D18" s="145">
        <f t="array" ref="D18">IFNA(XLOOKUP(C18,'👥 Daftar Nama Pasien'!$B$6:$B1181,'👥 Daftar Nama Pasien'!$D$6:$D1181),"")</f>
        <v>51</v>
      </c>
      <c r="E18" s="145" t="str">
        <f t="array" ref="E18">XLOOKUP(C18,'⬇️ PEMASUKAN'!$I$5:$I1181,'⬇️ PEMASUKAN'!$K$5:$K1181,,0,-1)</f>
        <v>K.PT - PAKET 1</v>
      </c>
      <c r="F18" s="145" t="str">
        <f t="shared" si="2"/>
        <v>K.PT - PAKET 1</v>
      </c>
      <c r="G18" s="145" t="str">
        <f t="shared" si="3"/>
        <v>CLOSING PAKET</v>
      </c>
      <c r="H18" s="145" t="str">
        <f>IFERROR(__xludf.DUMMYFUNCTION("""COMPUTED_VALUE"""),"HENA")</f>
        <v>HENA</v>
      </c>
      <c r="I18" s="145" t="str">
        <f>IFERROR(__xludf.DUMMYFUNCTION("""COMPUTED_VALUE"""),"SUCI")</f>
        <v>SUCI</v>
      </c>
      <c r="J18" s="145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ht="22.5" customHeight="1">
      <c r="A19" s="144">
        <f>IFERROR(__xludf.DUMMYFUNCTION("""COMPUTED_VALUE"""),46027.0)</f>
        <v>46027</v>
      </c>
      <c r="B19" s="145" t="str">
        <f t="shared" si="1"/>
        <v>01Jan</v>
      </c>
      <c r="C19" s="145" t="str">
        <f>IFERROR(__xludf.DUMMYFUNCTION("""COMPUTED_VALUE"""),"DARMANSYAH")</f>
        <v>DARMANSYAH</v>
      </c>
      <c r="D19" s="145">
        <f t="array" ref="D19">IFNA(XLOOKUP(C19,'👥 Daftar Nama Pasien'!$B$6:$B1181,'👥 Daftar Nama Pasien'!$D$6:$D1181),"")</f>
        <v>70</v>
      </c>
      <c r="E19" s="145" t="str">
        <f t="array" ref="E19">XLOOKUP(C19,'⬇️ PEMASUKAN'!$I$5:$I1181,'⬇️ PEMASUKAN'!$K$5:$K1181,,0,-1)</f>
        <v>K.TA - TERAPI AWAL</v>
      </c>
      <c r="F19" s="145" t="str">
        <f t="shared" si="2"/>
        <v>TIDAK CLOSING</v>
      </c>
      <c r="G19" s="145" t="str">
        <f t="shared" si="3"/>
        <v>TIDAK CLOSING</v>
      </c>
      <c r="H19" s="145" t="str">
        <f>IFERROR(__xludf.DUMMYFUNCTION("""COMPUTED_VALUE"""),"ORY")</f>
        <v>ORY</v>
      </c>
      <c r="I19" s="145" t="str">
        <f>IFERROR(__xludf.DUMMYFUNCTION("""COMPUTED_VALUE"""),"SUCI")</f>
        <v>SUCI</v>
      </c>
      <c r="J19" s="14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ht="22.5" customHeight="1">
      <c r="A20" s="144">
        <f>IFERROR(__xludf.DUMMYFUNCTION("""COMPUTED_VALUE"""),46027.0)</f>
        <v>46027</v>
      </c>
      <c r="B20" s="145" t="str">
        <f t="shared" si="1"/>
        <v>01Jan</v>
      </c>
      <c r="C20" s="145" t="str">
        <f>IFERROR(__xludf.DUMMYFUNCTION("""COMPUTED_VALUE"""),"JUVENTYA")</f>
        <v>JUVENTYA</v>
      </c>
      <c r="D20" s="145">
        <f t="array" ref="D20">IFNA(XLOOKUP(C20,'👥 Daftar Nama Pasien'!$B$6:$B1181,'👥 Daftar Nama Pasien'!$D$6:$D1181),"")</f>
        <v>31</v>
      </c>
      <c r="E20" s="145" t="str">
        <f t="array" ref="E20">XLOOKUP(C20,'⬇️ PEMASUKAN'!$I$5:$I1181,'⬇️ PEMASUKAN'!$K$5:$K1181,,0,-1)</f>
        <v>K.ST - SESI TERAPI</v>
      </c>
      <c r="F20" s="145" t="str">
        <f t="shared" si="2"/>
        <v>K.ST - SESI TERAPI</v>
      </c>
      <c r="G20" s="145" t="str">
        <f t="shared" si="3"/>
        <v>CLOSING SESI</v>
      </c>
      <c r="H20" s="145" t="str">
        <f>IFERROR(__xludf.DUMMYFUNCTION("""COMPUTED_VALUE"""),"DANI")</f>
        <v>DANI</v>
      </c>
      <c r="I20" s="145" t="str">
        <f>IFERROR(__xludf.DUMMYFUNCTION("""COMPUTED_VALUE"""),"SUCI")</f>
        <v>SUCI</v>
      </c>
      <c r="J20" s="145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ht="22.5" customHeight="1">
      <c r="A21" s="144">
        <f>IFERROR(__xludf.DUMMYFUNCTION("""COMPUTED_VALUE"""),46027.0)</f>
        <v>46027</v>
      </c>
      <c r="B21" s="145" t="str">
        <f t="shared" si="1"/>
        <v>01Jan</v>
      </c>
      <c r="C21" s="145" t="str">
        <f>IFERROR(__xludf.DUMMYFUNCTION("""COMPUTED_VALUE"""),"FEDRICK JONATAN")</f>
        <v>FEDRICK JONATAN</v>
      </c>
      <c r="D21" s="145" t="str">
        <f t="array" ref="D21">IFNA(XLOOKUP(C21,'👥 Daftar Nama Pasien'!$B$6:$B1181,'👥 Daftar Nama Pasien'!$D$6:$D1181),"")</f>
        <v/>
      </c>
      <c r="E21" s="145" t="str">
        <f t="array" ref="E21">XLOOKUP(C21,'⬇️ PEMASUKAN'!$I$5:$I1181,'⬇️ PEMASUKAN'!$K$5:$K1181,,0,-1)</f>
        <v>K.TA - TERAPI AWAL</v>
      </c>
      <c r="F21" s="145" t="str">
        <f t="shared" si="2"/>
        <v>TIDAK CLOSING</v>
      </c>
      <c r="G21" s="145" t="str">
        <f t="shared" si="3"/>
        <v>TIDAK CLOSING</v>
      </c>
      <c r="H21" s="145" t="str">
        <f>IFERROR(__xludf.DUMMYFUNCTION("""COMPUTED_VALUE"""),"HESTI")</f>
        <v>HESTI</v>
      </c>
      <c r="I21" s="145" t="str">
        <f>IFERROR(__xludf.DUMMYFUNCTION("""COMPUTED_VALUE"""),"NOPI")</f>
        <v>NOPI</v>
      </c>
      <c r="J21" s="145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ht="22.5" customHeight="1">
      <c r="A22" s="144">
        <f>IFERROR(__xludf.DUMMYFUNCTION("""COMPUTED_VALUE"""),46027.0)</f>
        <v>46027</v>
      </c>
      <c r="B22" s="145" t="str">
        <f t="shared" si="1"/>
        <v>01Jan</v>
      </c>
      <c r="C22" s="145" t="str">
        <f>IFERROR(__xludf.DUMMYFUNCTION("""COMPUTED_VALUE"""),"LIM OI KHIUN ALS RIANA")</f>
        <v>LIM OI KHIUN ALS RIANA</v>
      </c>
      <c r="D22" s="145">
        <f t="array" ref="D22">IFNA(XLOOKUP(C22,'👥 Daftar Nama Pasien'!$B$6:$B1181,'👥 Daftar Nama Pasien'!$D$6:$D1181),"")</f>
        <v>67</v>
      </c>
      <c r="E22" s="145" t="str">
        <f t="array" ref="E22">XLOOKUP(C22,'⬇️ PEMASUKAN'!$I$5:$I1181,'⬇️ PEMASUKAN'!$K$5:$K1181,,0,-1)</f>
        <v>K.PT - PAKET 1</v>
      </c>
      <c r="F22" s="145" t="str">
        <f t="shared" si="2"/>
        <v>K.PT - PAKET 1</v>
      </c>
      <c r="G22" s="145" t="str">
        <f t="shared" si="3"/>
        <v>CLOSING PAKET</v>
      </c>
      <c r="H22" s="145" t="str">
        <f>IFERROR(__xludf.DUMMYFUNCTION("""COMPUTED_VALUE"""),"HENA")</f>
        <v>HENA</v>
      </c>
      <c r="I22" s="145" t="str">
        <f>IFERROR(__xludf.DUMMYFUNCTION("""COMPUTED_VALUE"""),"NOPI")</f>
        <v>NOPI</v>
      </c>
      <c r="J22" s="145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ht="22.5" customHeight="1">
      <c r="A23" s="144">
        <f>IFERROR(__xludf.DUMMYFUNCTION("""COMPUTED_VALUE"""),46028.0)</f>
        <v>46028</v>
      </c>
      <c r="B23" s="145" t="str">
        <f t="shared" si="1"/>
        <v>01Jan</v>
      </c>
      <c r="C23" s="145" t="str">
        <f>IFERROR(__xludf.DUMMYFUNCTION("""COMPUTED_VALUE"""),"BENI SETIYANTO")</f>
        <v>BENI SETIYANTO</v>
      </c>
      <c r="D23" s="145">
        <f t="array" ref="D23">IFNA(XLOOKUP(C23,'👥 Daftar Nama Pasien'!$B$6:$B1181,'👥 Daftar Nama Pasien'!$D$6:$D1181),"")</f>
        <v>34</v>
      </c>
      <c r="E23" s="145" t="str">
        <f t="array" ref="E23">XLOOKUP(C23,'⬇️ PEMASUKAN'!$I$5:$I1181,'⬇️ PEMASUKAN'!$K$5:$K1181,,0,-1)</f>
        <v>K.PT - PAKET 2</v>
      </c>
      <c r="F23" s="145" t="str">
        <f t="shared" si="2"/>
        <v>K.PT - PAKET 2</v>
      </c>
      <c r="G23" s="145" t="str">
        <f t="shared" si="3"/>
        <v>CLOSING PAKET</v>
      </c>
      <c r="H23" s="145" t="str">
        <f>IFERROR(__xludf.DUMMYFUNCTION("""COMPUTED_VALUE"""),"WAHYU")</f>
        <v>WAHYU</v>
      </c>
      <c r="I23" s="145" t="str">
        <f>IFERROR(__xludf.DUMMYFUNCTION("""COMPUTED_VALUE"""),"NOPI")</f>
        <v>NOPI</v>
      </c>
      <c r="J23" s="145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ht="22.5" customHeight="1">
      <c r="A24" s="144">
        <f>IFERROR(__xludf.DUMMYFUNCTION("""COMPUTED_VALUE"""),46028.0)</f>
        <v>46028</v>
      </c>
      <c r="B24" s="145" t="str">
        <f t="shared" si="1"/>
        <v>01Jan</v>
      </c>
      <c r="C24" s="145" t="str">
        <f>IFERROR(__xludf.DUMMYFUNCTION("""COMPUTED_VALUE"""),"EDI LAZUARDI")</f>
        <v>EDI LAZUARDI</v>
      </c>
      <c r="D24" s="145">
        <f t="array" ref="D24">IFNA(XLOOKUP(C24,'👥 Daftar Nama Pasien'!$B$6:$B1181,'👥 Daftar Nama Pasien'!$D$6:$D1181),"")</f>
        <v>65</v>
      </c>
      <c r="E24" s="145" t="str">
        <f t="array" ref="E24">XLOOKUP(C24,'⬇️ PEMASUKAN'!$I$5:$I1181,'⬇️ PEMASUKAN'!$K$5:$K1181,,0,-1)</f>
        <v>K.TA - TERAPI AWAL</v>
      </c>
      <c r="F24" s="145" t="str">
        <f t="shared" si="2"/>
        <v>TIDAK CLOSING</v>
      </c>
      <c r="G24" s="145" t="str">
        <f t="shared" si="3"/>
        <v>TIDAK CLOSING</v>
      </c>
      <c r="H24" s="145" t="str">
        <f>IFERROR(__xludf.DUMMYFUNCTION("""COMPUTED_VALUE"""),"WAHYU")</f>
        <v>WAHYU</v>
      </c>
      <c r="I24" s="145" t="str">
        <f>IFERROR(__xludf.DUMMYFUNCTION("""COMPUTED_VALUE"""),"NOPI")</f>
        <v>NOPI</v>
      </c>
      <c r="J24" s="145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ht="22.5" customHeight="1">
      <c r="A25" s="144">
        <f>IFERROR(__xludf.DUMMYFUNCTION("""COMPUTED_VALUE"""),46028.0)</f>
        <v>46028</v>
      </c>
      <c r="B25" s="145" t="str">
        <f t="shared" si="1"/>
        <v>01Jan</v>
      </c>
      <c r="C25" s="145" t="str">
        <f>IFERROR(__xludf.DUMMYFUNCTION("""COMPUTED_VALUE"""),"MUSNAINI")</f>
        <v>MUSNAINI</v>
      </c>
      <c r="D25" s="145">
        <f t="array" ref="D25">IFNA(XLOOKUP(C25,'👥 Daftar Nama Pasien'!$B$6:$B1181,'👥 Daftar Nama Pasien'!$D$6:$D1181),"")</f>
        <v>60</v>
      </c>
      <c r="E25" s="145" t="str">
        <f t="array" ref="E25">XLOOKUP(C25,'⬇️ PEMASUKAN'!$I$5:$I1181,'⬇️ PEMASUKAN'!$K$5:$K1181,,0,-1)</f>
        <v>K.PT - PAKET 1</v>
      </c>
      <c r="F25" s="145" t="str">
        <f t="shared" si="2"/>
        <v>K.PT - PAKET 1</v>
      </c>
      <c r="G25" s="145" t="str">
        <f t="shared" si="3"/>
        <v>CLOSING PAKET</v>
      </c>
      <c r="H25" s="145" t="str">
        <f>IFERROR(__xludf.DUMMYFUNCTION("""COMPUTED_VALUE"""),"HESTI")</f>
        <v>HESTI</v>
      </c>
      <c r="I25" s="145" t="str">
        <f>IFERROR(__xludf.DUMMYFUNCTION("""COMPUTED_VALUE"""),"NOPI")</f>
        <v>NOPI</v>
      </c>
      <c r="J25" s="145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ht="22.5" customHeight="1">
      <c r="A26" s="144">
        <f>IFERROR(__xludf.DUMMYFUNCTION("""COMPUTED_VALUE"""),46028.0)</f>
        <v>46028</v>
      </c>
      <c r="B26" s="145" t="str">
        <f t="shared" si="1"/>
        <v>01Jan</v>
      </c>
      <c r="C26" s="145" t="str">
        <f>IFERROR(__xludf.DUMMYFUNCTION("""COMPUTED_VALUE"""),"TRIATIE CHALIDYAH")</f>
        <v>TRIATIE CHALIDYAH</v>
      </c>
      <c r="D26" s="145">
        <f t="array" ref="D26">IFNA(XLOOKUP(C26,'👥 Daftar Nama Pasien'!$B$6:$B1181,'👥 Daftar Nama Pasien'!$D$6:$D1181),"")</f>
        <v>26</v>
      </c>
      <c r="E26" s="145" t="str">
        <f t="array" ref="E26">XLOOKUP(C26,'⬇️ PEMASUKAN'!$I$5:$I1181,'⬇️ PEMASUKAN'!$K$5:$K1181,,0,-1)</f>
        <v>K.TA - TERAPI AWAL</v>
      </c>
      <c r="F26" s="145" t="str">
        <f t="shared" si="2"/>
        <v>TIDAK CLOSING</v>
      </c>
      <c r="G26" s="145" t="str">
        <f t="shared" si="3"/>
        <v>TIDAK CLOSING</v>
      </c>
      <c r="H26" s="145" t="str">
        <f>IFERROR(__xludf.DUMMYFUNCTION("""COMPUTED_VALUE"""),"OKTA")</f>
        <v>OKTA</v>
      </c>
      <c r="I26" s="145" t="str">
        <f>IFERROR(__xludf.DUMMYFUNCTION("""COMPUTED_VALUE"""),"NOPI")</f>
        <v>NOPI</v>
      </c>
      <c r="J26" s="145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ht="22.5" customHeight="1">
      <c r="A27" s="144">
        <f>IFERROR(__xludf.DUMMYFUNCTION("""COMPUTED_VALUE"""),46028.0)</f>
        <v>46028</v>
      </c>
      <c r="B27" s="145" t="str">
        <f t="shared" si="1"/>
        <v>01Jan</v>
      </c>
      <c r="C27" s="145" t="str">
        <f>IFERROR(__xludf.DUMMYFUNCTION("""COMPUTED_VALUE"""),"HJ. RUGAYAH")</f>
        <v>HJ. RUGAYAH</v>
      </c>
      <c r="D27" s="145">
        <f t="array" ref="D27">IFNA(XLOOKUP(C27,'👥 Daftar Nama Pasien'!$B$6:$B1181,'👥 Daftar Nama Pasien'!$D$6:$D1181),"")</f>
        <v>73</v>
      </c>
      <c r="E27" s="145" t="str">
        <f t="array" ref="E27">XLOOKUP(C27,'⬇️ PEMASUKAN'!$I$5:$I1181,'⬇️ PEMASUKAN'!$K$5:$K1181,,0,-1)</f>
        <v>K.ST - SESI TERAPI</v>
      </c>
      <c r="F27" s="145" t="str">
        <f t="shared" si="2"/>
        <v>K.ST - SESI TERAPI</v>
      </c>
      <c r="G27" s="145" t="str">
        <f t="shared" si="3"/>
        <v>CLOSING SESI</v>
      </c>
      <c r="H27" s="145" t="str">
        <f>IFERROR(__xludf.DUMMYFUNCTION("""COMPUTED_VALUE"""),"DESTY")</f>
        <v>DESTY</v>
      </c>
      <c r="I27" s="145" t="str">
        <f>IFERROR(__xludf.DUMMYFUNCTION("""COMPUTED_VALUE"""),"SUCI")</f>
        <v>SUCI</v>
      </c>
      <c r="J27" s="145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ht="22.5" customHeight="1">
      <c r="A28" s="144">
        <f>IFERROR(__xludf.DUMMYFUNCTION("""COMPUTED_VALUE"""),46028.0)</f>
        <v>46028</v>
      </c>
      <c r="B28" s="145" t="str">
        <f t="shared" si="1"/>
        <v>01Jan</v>
      </c>
      <c r="C28" s="145" t="str">
        <f>IFERROR(__xludf.DUMMYFUNCTION("""COMPUTED_VALUE"""),"MARTHIN SHARON NAPITUPULU")</f>
        <v>MARTHIN SHARON NAPITUPULU</v>
      </c>
      <c r="D28" s="145" t="str">
        <f t="array" ref="D28">IFNA(XLOOKUP(C28,'👥 Daftar Nama Pasien'!$B$6:$B1181,'👥 Daftar Nama Pasien'!$D$6:$D1181),"")</f>
        <v/>
      </c>
      <c r="E28" s="145" t="str">
        <f t="array" ref="E28">XLOOKUP(C28,'⬇️ PEMASUKAN'!$I$5:$I1181,'⬇️ PEMASUKAN'!$K$5:$K1181,,0,-1)</f>
        <v>K.TA - TERAPI AWAL</v>
      </c>
      <c r="F28" s="145" t="str">
        <f t="shared" si="2"/>
        <v>TIDAK CLOSING</v>
      </c>
      <c r="G28" s="145" t="str">
        <f t="shared" si="3"/>
        <v>TIDAK CLOSING</v>
      </c>
      <c r="H28" s="145" t="str">
        <f>IFERROR(__xludf.DUMMYFUNCTION("""COMPUTED_VALUE"""),"ORY")</f>
        <v>ORY</v>
      </c>
      <c r="I28" s="145" t="str">
        <f>IFERROR(__xludf.DUMMYFUNCTION("""COMPUTED_VALUE"""),"SUCI")</f>
        <v>SUCI</v>
      </c>
      <c r="J28" s="145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ht="22.5" customHeight="1">
      <c r="A29" s="144">
        <f>IFERROR(__xludf.DUMMYFUNCTION("""COMPUTED_VALUE"""),46028.0)</f>
        <v>46028</v>
      </c>
      <c r="B29" s="145" t="str">
        <f t="shared" si="1"/>
        <v>01Jan</v>
      </c>
      <c r="C29" s="145" t="str">
        <f>IFERROR(__xludf.DUMMYFUNCTION("""COMPUTED_VALUE"""),"NOPEARIANI, AMD.KEB")</f>
        <v>NOPEARIANI, AMD.KEB</v>
      </c>
      <c r="D29" s="145">
        <f t="array" ref="D29">IFNA(XLOOKUP(C29,'👥 Daftar Nama Pasien'!$B$6:$B1181,'👥 Daftar Nama Pasien'!$D$6:$D1181),"")</f>
        <v>39</v>
      </c>
      <c r="E29" s="145" t="str">
        <f t="array" ref="E29">XLOOKUP(C29,'⬇️ PEMASUKAN'!$I$5:$I1181,'⬇️ PEMASUKAN'!$K$5:$K1181,,0,-1)</f>
        <v>K.ST - SESI TERAPI</v>
      </c>
      <c r="F29" s="145" t="str">
        <f t="shared" si="2"/>
        <v>K.ST - SESI TERAPI</v>
      </c>
      <c r="G29" s="145" t="str">
        <f t="shared" si="3"/>
        <v>CLOSING SESI</v>
      </c>
      <c r="H29" s="145" t="str">
        <f>IFERROR(__xludf.DUMMYFUNCTION("""COMPUTED_VALUE"""),"AUL")</f>
        <v>AUL</v>
      </c>
      <c r="I29" s="145" t="str">
        <f>IFERROR(__xludf.DUMMYFUNCTION("""COMPUTED_VALUE"""),"SUCI")</f>
        <v>SUCI</v>
      </c>
      <c r="J29" s="145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ht="22.5" customHeight="1">
      <c r="A30" s="144">
        <f>IFERROR(__xludf.DUMMYFUNCTION("""COMPUTED_VALUE"""),46028.0)</f>
        <v>46028</v>
      </c>
      <c r="B30" s="145" t="str">
        <f t="shared" si="1"/>
        <v>01Jan</v>
      </c>
      <c r="C30" s="145" t="str">
        <f>IFERROR(__xludf.DUMMYFUNCTION("""COMPUTED_VALUE"""),"SUSANTI")</f>
        <v>SUSANTI</v>
      </c>
      <c r="D30" s="145" t="str">
        <f t="array" ref="D30">IFNA(XLOOKUP(C30,'👥 Daftar Nama Pasien'!$B$6:$B1181,'👥 Daftar Nama Pasien'!$D$6:$D1181),"")</f>
        <v/>
      </c>
      <c r="E30" s="145" t="str">
        <f t="array" ref="E30">XLOOKUP(C30,'⬇️ PEMASUKAN'!$I$5:$I1181,'⬇️ PEMASUKAN'!$K$5:$K1181,,0,-1)</f>
        <v>K.TA - TERAPI AWAL</v>
      </c>
      <c r="F30" s="145" t="str">
        <f t="shared" si="2"/>
        <v>TIDAK CLOSING</v>
      </c>
      <c r="G30" s="145" t="str">
        <f t="shared" si="3"/>
        <v>TIDAK CLOSING</v>
      </c>
      <c r="H30" s="145" t="str">
        <f>IFERROR(__xludf.DUMMYFUNCTION("""COMPUTED_VALUE"""),"DESTY")</f>
        <v>DESTY</v>
      </c>
      <c r="I30" s="145" t="str">
        <f>IFERROR(__xludf.DUMMYFUNCTION("""COMPUTED_VALUE"""),"SUCI")</f>
        <v>SUCI</v>
      </c>
      <c r="J30" s="145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ht="22.5" customHeight="1">
      <c r="A31" s="144">
        <f>IFERROR(__xludf.DUMMYFUNCTION("""COMPUTED_VALUE"""),46029.0)</f>
        <v>46029</v>
      </c>
      <c r="B31" s="145" t="str">
        <f t="shared" si="1"/>
        <v>01Jan</v>
      </c>
      <c r="C31" s="145" t="str">
        <f>IFERROR(__xludf.DUMMYFUNCTION("""COMPUTED_VALUE"""),"CHRIS MULIO JOHANES")</f>
        <v>CHRIS MULIO JOHANES</v>
      </c>
      <c r="D31" s="145">
        <f t="array" ref="D31">IFNA(XLOOKUP(C31,'👥 Daftar Nama Pasien'!$B$6:$B1181,'👥 Daftar Nama Pasien'!$D$6:$D1181),"")</f>
        <v>39</v>
      </c>
      <c r="E31" s="145" t="str">
        <f t="array" ref="E31">XLOOKUP(C31,'⬇️ PEMASUKAN'!$I$5:$I1181,'⬇️ PEMASUKAN'!$K$5:$K1181,,0,-1)</f>
        <v>K.ST - SESI TERAPI</v>
      </c>
      <c r="F31" s="145" t="str">
        <f t="shared" si="2"/>
        <v>K.ST - SESI TERAPI</v>
      </c>
      <c r="G31" s="145" t="str">
        <f t="shared" si="3"/>
        <v>CLOSING SESI</v>
      </c>
      <c r="H31" s="145" t="str">
        <f>IFERROR(__xludf.DUMMYFUNCTION("""COMPUTED_VALUE"""),"HENA")</f>
        <v>HENA</v>
      </c>
      <c r="I31" s="145" t="str">
        <f>IFERROR(__xludf.DUMMYFUNCTION("""COMPUTED_VALUE"""),"SUCI")</f>
        <v>SUCI</v>
      </c>
      <c r="J31" s="145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ht="22.5" customHeight="1">
      <c r="A32" s="144">
        <f>IFERROR(__xludf.DUMMYFUNCTION("""COMPUTED_VALUE"""),46029.0)</f>
        <v>46029</v>
      </c>
      <c r="B32" s="145" t="str">
        <f t="shared" si="1"/>
        <v>01Jan</v>
      </c>
      <c r="C32" s="145" t="str">
        <f>IFERROR(__xludf.DUMMYFUNCTION("""COMPUTED_VALUE"""),"CINDY MONALISA ANDDIE")</f>
        <v>CINDY MONALISA ANDDIE</v>
      </c>
      <c r="D32" s="145">
        <f t="array" ref="D32">IFNA(XLOOKUP(C32,'👥 Daftar Nama Pasien'!$B$6:$B1181,'👥 Daftar Nama Pasien'!$D$6:$D1181),"")</f>
        <v>39</v>
      </c>
      <c r="E32" s="145" t="str">
        <f t="array" ref="E32">XLOOKUP(C32,'⬇️ PEMASUKAN'!$I$5:$I1181,'⬇️ PEMASUKAN'!$K$5:$K1181,,0,-1)</f>
        <v>K.ST - SESI TERAPI NEW</v>
      </c>
      <c r="F32" s="145" t="str">
        <f t="shared" si="2"/>
        <v>K.ST - SESI TERAPI NEW</v>
      </c>
      <c r="G32" s="145" t="str">
        <f t="shared" si="3"/>
        <v>CLOSING SESI</v>
      </c>
      <c r="H32" s="145" t="str">
        <f>IFERROR(__xludf.DUMMYFUNCTION("""COMPUTED_VALUE"""),"HESTI")</f>
        <v>HESTI</v>
      </c>
      <c r="I32" s="145" t="str">
        <f>IFERROR(__xludf.DUMMYFUNCTION("""COMPUTED_VALUE"""),"NOPI")</f>
        <v>NOPI</v>
      </c>
      <c r="J32" s="145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ht="22.5" customHeight="1">
      <c r="A33" s="144">
        <f>IFERROR(__xludf.DUMMYFUNCTION("""COMPUTED_VALUE"""),46029.0)</f>
        <v>46029</v>
      </c>
      <c r="B33" s="145" t="str">
        <f t="shared" si="1"/>
        <v>01Jan</v>
      </c>
      <c r="C33" s="145" t="str">
        <f>IFERROR(__xludf.DUMMYFUNCTION("""COMPUTED_VALUE"""),"TJHOA KHA TJE")</f>
        <v>TJHOA KHA TJE</v>
      </c>
      <c r="D33" s="145">
        <f t="array" ref="D33">IFNA(XLOOKUP(C33,'👥 Daftar Nama Pasien'!$B$6:$B1181,'👥 Daftar Nama Pasien'!$D$6:$D1181),"")</f>
        <v>62</v>
      </c>
      <c r="E33" s="145" t="str">
        <f t="array" ref="E33">XLOOKUP(C33,'⬇️ PEMASUKAN'!$I$5:$I1181,'⬇️ PEMASUKAN'!$K$5:$K1181,,0,-1)</f>
        <v>K.TA - TERAPI AWAL</v>
      </c>
      <c r="F33" s="145" t="str">
        <f t="shared" si="2"/>
        <v>TIDAK CLOSING</v>
      </c>
      <c r="G33" s="145" t="str">
        <f t="shared" si="3"/>
        <v>TIDAK CLOSING</v>
      </c>
      <c r="H33" s="145" t="str">
        <f>IFERROR(__xludf.DUMMYFUNCTION("""COMPUTED_VALUE"""),"OKTA")</f>
        <v>OKTA</v>
      </c>
      <c r="I33" s="145" t="str">
        <f>IFERROR(__xludf.DUMMYFUNCTION("""COMPUTED_VALUE"""),"NOPI")</f>
        <v>NOPI</v>
      </c>
      <c r="J33" s="145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ht="22.5" customHeight="1">
      <c r="A34" s="144">
        <f>IFERROR(__xludf.DUMMYFUNCTION("""COMPUTED_VALUE"""),46029.0)</f>
        <v>46029</v>
      </c>
      <c r="B34" s="145" t="str">
        <f t="shared" si="1"/>
        <v>01Jan</v>
      </c>
      <c r="C34" s="145" t="str">
        <f>IFERROR(__xludf.DUMMYFUNCTION("""COMPUTED_VALUE"""),"DAMHUDI")</f>
        <v>DAMHUDI</v>
      </c>
      <c r="D34" s="145">
        <f t="array" ref="D34">IFNA(XLOOKUP(C34,'👥 Daftar Nama Pasien'!$B$6:$B1181,'👥 Daftar Nama Pasien'!$D$6:$D1181),"")</f>
        <v>50</v>
      </c>
      <c r="E34" s="145" t="str">
        <f t="array" ref="E34">XLOOKUP(C34,'⬇️ PEMASUKAN'!$I$5:$I1181,'⬇️ PEMASUKAN'!$K$5:$K1181,,0,-1)</f>
        <v>K.ST - SESI TERAPI</v>
      </c>
      <c r="F34" s="145" t="str">
        <f t="shared" si="2"/>
        <v>K.ST - SESI TERAPI</v>
      </c>
      <c r="G34" s="145" t="str">
        <f t="shared" si="3"/>
        <v>CLOSING SESI</v>
      </c>
      <c r="H34" s="145" t="str">
        <f>IFERROR(__xludf.DUMMYFUNCTION("""COMPUTED_VALUE"""),"DANI")</f>
        <v>DANI</v>
      </c>
      <c r="I34" s="145" t="str">
        <f>IFERROR(__xludf.DUMMYFUNCTION("""COMPUTED_VALUE"""),"NOPI")</f>
        <v>NOPI</v>
      </c>
      <c r="J34" s="145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ht="22.5" customHeight="1">
      <c r="A35" s="144">
        <f>IFERROR(__xludf.DUMMYFUNCTION("""COMPUTED_VALUE"""),46029.0)</f>
        <v>46029</v>
      </c>
      <c r="B35" s="145" t="str">
        <f t="shared" si="1"/>
        <v>01Jan</v>
      </c>
      <c r="C35" s="145" t="str">
        <f>IFERROR(__xludf.DUMMYFUNCTION("""COMPUTED_VALUE"""),"ICHSAN KAMIL")</f>
        <v>ICHSAN KAMIL</v>
      </c>
      <c r="D35" s="145">
        <f t="array" ref="D35">IFNA(XLOOKUP(C35,'👥 Daftar Nama Pasien'!$B$6:$B1181,'👥 Daftar Nama Pasien'!$D$6:$D1181),"")</f>
        <v>54</v>
      </c>
      <c r="E35" s="145" t="str">
        <f t="array" ref="E35">XLOOKUP(C35,'⬇️ PEMASUKAN'!$I$5:$I1181,'⬇️ PEMASUKAN'!$K$5:$K1181,,0,-1)</f>
        <v>K.PT - PAKET 1</v>
      </c>
      <c r="F35" s="145" t="str">
        <f t="shared" si="2"/>
        <v>K.PT - PAKET 1</v>
      </c>
      <c r="G35" s="145" t="str">
        <f t="shared" si="3"/>
        <v>CLOSING PAKET</v>
      </c>
      <c r="H35" s="145" t="str">
        <f>IFERROR(__xludf.DUMMYFUNCTION("""COMPUTED_VALUE"""),"DESTY")</f>
        <v>DESTY</v>
      </c>
      <c r="I35" s="145" t="str">
        <f>IFERROR(__xludf.DUMMYFUNCTION("""COMPUTED_VALUE"""),"NOPI")</f>
        <v>NOPI</v>
      </c>
      <c r="J35" s="145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ht="22.5" customHeight="1">
      <c r="A36" s="144">
        <f>IFERROR(__xludf.DUMMYFUNCTION("""COMPUTED_VALUE"""),46029.0)</f>
        <v>46029</v>
      </c>
      <c r="B36" s="145" t="str">
        <f t="shared" si="1"/>
        <v>01Jan</v>
      </c>
      <c r="C36" s="145" t="str">
        <f>IFERROR(__xludf.DUMMYFUNCTION("""COMPUTED_VALUE"""),"MARTIN")</f>
        <v>MARTIN</v>
      </c>
      <c r="D36" s="145">
        <f t="array" ref="D36">IFNA(XLOOKUP(C36,'👥 Daftar Nama Pasien'!$B$6:$B1181,'👥 Daftar Nama Pasien'!$D$6:$D1181),"")</f>
        <v>24</v>
      </c>
      <c r="E36" s="145" t="str">
        <f t="array" ref="E36">XLOOKUP(C36,'⬇️ PEMASUKAN'!$I$5:$I1181,'⬇️ PEMASUKAN'!$K$5:$K1181,,0,-1)</f>
        <v>K.TA - TERAPI AWAL</v>
      </c>
      <c r="F36" s="145" t="str">
        <f t="shared" si="2"/>
        <v>TIDAK CLOSING</v>
      </c>
      <c r="G36" s="145" t="str">
        <f t="shared" si="3"/>
        <v>TIDAK CLOSING</v>
      </c>
      <c r="H36" s="145" t="str">
        <f>IFERROR(__xludf.DUMMYFUNCTION("""COMPUTED_VALUE"""),"AUL")</f>
        <v>AUL</v>
      </c>
      <c r="I36" s="145" t="str">
        <f>IFERROR(__xludf.DUMMYFUNCTION("""COMPUTED_VALUE"""),"NOPI")</f>
        <v>NOPI</v>
      </c>
      <c r="J36" s="145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ht="22.5" customHeight="1">
      <c r="A37" s="144">
        <f>IFERROR(__xludf.DUMMYFUNCTION("""COMPUTED_VALUE"""),46029.0)</f>
        <v>46029</v>
      </c>
      <c r="B37" s="145" t="str">
        <f t="shared" si="1"/>
        <v>01Jan</v>
      </c>
      <c r="C37" s="145" t="str">
        <f>IFERROR(__xludf.DUMMYFUNCTION("""COMPUTED_VALUE"""),"SAMIJO")</f>
        <v>SAMIJO</v>
      </c>
      <c r="D37" s="145">
        <f t="array" ref="D37">IFNA(XLOOKUP(C37,'👥 Daftar Nama Pasien'!$B$6:$B1181,'👥 Daftar Nama Pasien'!$D$6:$D1181),"")</f>
        <v>56</v>
      </c>
      <c r="E37" s="145" t="str">
        <f t="array" ref="E37">XLOOKUP(C37,'⬇️ PEMASUKAN'!$I$5:$I1181,'⬇️ PEMASUKAN'!$K$5:$K1181,,0,-1)</f>
        <v>K.PT - PAKET 1</v>
      </c>
      <c r="F37" s="145" t="str">
        <f t="shared" si="2"/>
        <v>K.PT - PAKET 1</v>
      </c>
      <c r="G37" s="145" t="str">
        <f t="shared" si="3"/>
        <v>CLOSING PAKET</v>
      </c>
      <c r="H37" s="145" t="str">
        <f>IFERROR(__xludf.DUMMYFUNCTION("""COMPUTED_VALUE"""),"DANI")</f>
        <v>DANI</v>
      </c>
      <c r="I37" s="145" t="str">
        <f>IFERROR(__xludf.DUMMYFUNCTION("""COMPUTED_VALUE"""),"NOPI")</f>
        <v>NOPI</v>
      </c>
      <c r="J37" s="145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ht="22.5" customHeight="1">
      <c r="A38" s="144">
        <f>IFERROR(__xludf.DUMMYFUNCTION("""COMPUTED_VALUE"""),46029.0)</f>
        <v>46029</v>
      </c>
      <c r="B38" s="145" t="str">
        <f t="shared" si="1"/>
        <v>01Jan</v>
      </c>
      <c r="C38" s="145" t="str">
        <f>IFERROR(__xludf.DUMMYFUNCTION("""COMPUTED_VALUE"""),"M FAIZ AL BARA")</f>
        <v>M FAIZ AL BARA</v>
      </c>
      <c r="D38" s="145">
        <f t="array" ref="D38">IFNA(XLOOKUP(C38,'👥 Daftar Nama Pasien'!$B$6:$B1181,'👥 Daftar Nama Pasien'!$D$6:$D1181),"")</f>
        <v>16</v>
      </c>
      <c r="E38" s="145" t="str">
        <f t="array" ref="E38">XLOOKUP(C38,'⬇️ PEMASUKAN'!$I$5:$I1181,'⬇️ PEMASUKAN'!$K$5:$K1181,,0,-1)</f>
        <v>K.PT - PAKET 1</v>
      </c>
      <c r="F38" s="145" t="str">
        <f t="shared" si="2"/>
        <v>K.PT - PAKET 1</v>
      </c>
      <c r="G38" s="145" t="str">
        <f t="shared" si="3"/>
        <v>CLOSING PAKET</v>
      </c>
      <c r="H38" s="145" t="str">
        <f>IFERROR(__xludf.DUMMYFUNCTION("""COMPUTED_VALUE"""),"PRITY")</f>
        <v>PRITY</v>
      </c>
      <c r="I38" s="145" t="str">
        <f>IFERROR(__xludf.DUMMYFUNCTION("""COMPUTED_VALUE"""),"NOPI")</f>
        <v>NOPI</v>
      </c>
      <c r="J38" s="145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ht="22.5" customHeight="1">
      <c r="A39" s="144">
        <f>IFERROR(__xludf.DUMMYFUNCTION("""COMPUTED_VALUE"""),46030.0)</f>
        <v>46030</v>
      </c>
      <c r="B39" s="145" t="str">
        <f t="shared" si="1"/>
        <v>01Jan</v>
      </c>
      <c r="C39" s="145" t="str">
        <f>IFERROR(__xludf.DUMMYFUNCTION("""COMPUTED_VALUE"""),"DRS JAROT SUTRISNO M.SI")</f>
        <v>DRS JAROT SUTRISNO M.SI</v>
      </c>
      <c r="D39" s="145">
        <f t="array" ref="D39">IFNA(XLOOKUP(C39,'👥 Daftar Nama Pasien'!$B$6:$B1181,'👥 Daftar Nama Pasien'!$D$6:$D1181),"")</f>
        <v>58</v>
      </c>
      <c r="E39" s="145" t="str">
        <f t="array" ref="E39">XLOOKUP(C39,'⬇️ PEMASUKAN'!$I$5:$I1181,'⬇️ PEMASUKAN'!$K$5:$K1181,,0,-1)</f>
        <v>K.TA - TERAPI AWAL</v>
      </c>
      <c r="F39" s="145" t="str">
        <f t="shared" si="2"/>
        <v>TIDAK CLOSING</v>
      </c>
      <c r="G39" s="145" t="str">
        <f t="shared" si="3"/>
        <v>TIDAK CLOSING</v>
      </c>
      <c r="H39" s="145" t="str">
        <f>IFERROR(__xludf.DUMMYFUNCTION("""COMPUTED_VALUE"""),"ORY")</f>
        <v>ORY</v>
      </c>
      <c r="I39" s="145" t="str">
        <f>IFERROR(__xludf.DUMMYFUNCTION("""COMPUTED_VALUE"""),"SUCI")</f>
        <v>SUCI</v>
      </c>
      <c r="J39" s="145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ht="22.5" customHeight="1">
      <c r="A40" s="144">
        <f>IFERROR(__xludf.DUMMYFUNCTION("""COMPUTED_VALUE"""),46030.0)</f>
        <v>46030</v>
      </c>
      <c r="B40" s="145" t="str">
        <f t="shared" si="1"/>
        <v>01Jan</v>
      </c>
      <c r="C40" s="145" t="str">
        <f>IFERROR(__xludf.DUMMYFUNCTION("""COMPUTED_VALUE"""),"AULIA SUCI NURFADILA")</f>
        <v>AULIA SUCI NURFADILA</v>
      </c>
      <c r="D40" s="145">
        <f t="array" ref="D40">IFNA(XLOOKUP(C40,'👥 Daftar Nama Pasien'!$B$6:$B1181,'👥 Daftar Nama Pasien'!$D$6:$D1181),"")</f>
        <v>22</v>
      </c>
      <c r="E40" s="145" t="str">
        <f t="array" ref="E40">XLOOKUP(C40,'⬇️ PEMASUKAN'!$I$5:$I1181,'⬇️ PEMASUKAN'!$K$5:$K1181,,0,-1)</f>
        <v>K.PT - PAKET 1</v>
      </c>
      <c r="F40" s="145" t="str">
        <f t="shared" si="2"/>
        <v>K.PT - PAKET 1</v>
      </c>
      <c r="G40" s="145" t="str">
        <f t="shared" si="3"/>
        <v>CLOSING PAKET</v>
      </c>
      <c r="H40" s="145" t="str">
        <f>IFERROR(__xludf.DUMMYFUNCTION("""COMPUTED_VALUE"""),"DESTY")</f>
        <v>DESTY</v>
      </c>
      <c r="I40" s="145" t="str">
        <f>IFERROR(__xludf.DUMMYFUNCTION("""COMPUTED_VALUE"""),"SUCI")</f>
        <v>SUCI</v>
      </c>
      <c r="J40" s="145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ht="22.5" customHeight="1">
      <c r="A41" s="144">
        <f>IFERROR(__xludf.DUMMYFUNCTION("""COMPUTED_VALUE"""),46030.0)</f>
        <v>46030</v>
      </c>
      <c r="B41" s="145" t="str">
        <f t="shared" si="1"/>
        <v>01Jan</v>
      </c>
      <c r="C41" s="145" t="str">
        <f>IFERROR(__xludf.DUMMYFUNCTION("""COMPUTED_VALUE"""),"NG TJOEI FONG ALS SILVIA")</f>
        <v>NG TJOEI FONG ALS SILVIA</v>
      </c>
      <c r="D41" s="145">
        <f t="array" ref="D41">IFNA(XLOOKUP(C41,'👥 Daftar Nama Pasien'!$B$6:$B1181,'👥 Daftar Nama Pasien'!$D$6:$D1181),"")</f>
        <v>71</v>
      </c>
      <c r="E41" s="145" t="str">
        <f t="array" ref="E41">XLOOKUP(C41,'⬇️ PEMASUKAN'!$I$5:$I1181,'⬇️ PEMASUKAN'!$K$5:$K1181,,0,-1)</f>
        <v>K.PT - PAKET 1</v>
      </c>
      <c r="F41" s="145" t="str">
        <f t="shared" si="2"/>
        <v>K.PT - PAKET 1</v>
      </c>
      <c r="G41" s="145" t="str">
        <f t="shared" si="3"/>
        <v>CLOSING PAKET</v>
      </c>
      <c r="H41" s="145" t="str">
        <f>IFERROR(__xludf.DUMMYFUNCTION("""COMPUTED_VALUE"""),"HENA")</f>
        <v>HENA</v>
      </c>
      <c r="I41" s="145" t="str">
        <f>IFERROR(__xludf.DUMMYFUNCTION("""COMPUTED_VALUE"""),"NOPI")</f>
        <v>NOPI</v>
      </c>
      <c r="J41" s="145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ht="22.5" customHeight="1">
      <c r="A42" s="144">
        <f>IFERROR(__xludf.DUMMYFUNCTION("""COMPUTED_VALUE"""),46031.0)</f>
        <v>46031</v>
      </c>
      <c r="B42" s="145" t="str">
        <f t="shared" si="1"/>
        <v>01Jan</v>
      </c>
      <c r="C42" s="145" t="str">
        <f>IFERROR(__xludf.DUMMYFUNCTION("""COMPUTED_VALUE"""),"SUWINDA KUSRINI")</f>
        <v>SUWINDA KUSRINI</v>
      </c>
      <c r="D42" s="145">
        <f t="array" ref="D42">IFNA(XLOOKUP(C42,'👥 Daftar Nama Pasien'!$B$6:$B1181,'👥 Daftar Nama Pasien'!$D$6:$D1181),"")</f>
        <v>44</v>
      </c>
      <c r="E42" s="145" t="str">
        <f t="array" ref="E42">XLOOKUP(C42,'⬇️ PEMASUKAN'!$I$5:$I1181,'⬇️ PEMASUKAN'!$K$5:$K1181,,0,-1)</f>
        <v>K.PT - PAKET 1</v>
      </c>
      <c r="F42" s="145" t="str">
        <f t="shared" si="2"/>
        <v>K.PT - PAKET 1</v>
      </c>
      <c r="G42" s="145" t="str">
        <f t="shared" si="3"/>
        <v>CLOSING PAKET</v>
      </c>
      <c r="H42" s="145" t="str">
        <f>IFERROR(__xludf.DUMMYFUNCTION("""COMPUTED_VALUE"""),"HESTI")</f>
        <v>HESTI</v>
      </c>
      <c r="I42" s="145" t="str">
        <f>IFERROR(__xludf.DUMMYFUNCTION("""COMPUTED_VALUE"""),"LAINNYA")</f>
        <v>LAINNYA</v>
      </c>
      <c r="J42" s="145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ht="22.5" customHeight="1">
      <c r="A43" s="144">
        <f>IFERROR(__xludf.DUMMYFUNCTION("""COMPUTED_VALUE"""),46032.0)</f>
        <v>46032</v>
      </c>
      <c r="B43" s="145" t="str">
        <f t="shared" si="1"/>
        <v>01Jan</v>
      </c>
      <c r="C43" s="145" t="str">
        <f>IFERROR(__xludf.DUMMYFUNCTION("""COMPUTED_VALUE"""),"WILDAN ANKY PUTRA")</f>
        <v>WILDAN ANKY PUTRA</v>
      </c>
      <c r="D43" s="145">
        <f t="array" ref="D43">IFNA(XLOOKUP(C43,'👥 Daftar Nama Pasien'!$B$6:$B1181,'👥 Daftar Nama Pasien'!$D$6:$D1181),"")</f>
        <v>33</v>
      </c>
      <c r="E43" s="145" t="str">
        <f t="array" ref="E43">XLOOKUP(C43,'⬇️ PEMASUKAN'!$I$5:$I1181,'⬇️ PEMASUKAN'!$K$5:$K1181,,0,-1)</f>
        <v>K.TA - TERAPI AWAL</v>
      </c>
      <c r="F43" s="145" t="str">
        <f t="shared" si="2"/>
        <v>TIDAK CLOSING</v>
      </c>
      <c r="G43" s="145" t="str">
        <f t="shared" si="3"/>
        <v>TIDAK CLOSING</v>
      </c>
      <c r="H43" s="145" t="str">
        <f>IFERROR(__xludf.DUMMYFUNCTION("""COMPUTED_VALUE"""),"HESTI")</f>
        <v>HESTI</v>
      </c>
      <c r="I43" s="145" t="str">
        <f>IFERROR(__xludf.DUMMYFUNCTION("""COMPUTED_VALUE"""),"SUCI")</f>
        <v>SUCI</v>
      </c>
      <c r="J43" s="145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ht="22.5" customHeight="1">
      <c r="A44" s="144">
        <f>IFERROR(__xludf.DUMMYFUNCTION("""COMPUTED_VALUE"""),46032.0)</f>
        <v>46032</v>
      </c>
      <c r="B44" s="145" t="str">
        <f t="shared" si="1"/>
        <v>01Jan</v>
      </c>
      <c r="C44" s="145" t="str">
        <f>IFERROR(__xludf.DUMMYFUNCTION("""COMPUTED_VALUE"""),"SYARIFAH FADILLAH")</f>
        <v>SYARIFAH FADILLAH</v>
      </c>
      <c r="D44" s="145">
        <f t="array" ref="D44">IFNA(XLOOKUP(C44,'👥 Daftar Nama Pasien'!$B$6:$B1181,'👥 Daftar Nama Pasien'!$D$6:$D1181),"")</f>
        <v>52</v>
      </c>
      <c r="E44" s="145" t="str">
        <f t="array" ref="E44">XLOOKUP(C44,'⬇️ PEMASUKAN'!$I$5:$I1181,'⬇️ PEMASUKAN'!$K$5:$K1181,,0,-1)</f>
        <v>K.PT - PAKET 1</v>
      </c>
      <c r="F44" s="145" t="str">
        <f t="shared" si="2"/>
        <v>K.PT - PAKET 1</v>
      </c>
      <c r="G44" s="145" t="str">
        <f t="shared" si="3"/>
        <v>CLOSING PAKET</v>
      </c>
      <c r="H44" s="145" t="str">
        <f>IFERROR(__xludf.DUMMYFUNCTION("""COMPUTED_VALUE"""),"HESTI")</f>
        <v>HESTI</v>
      </c>
      <c r="I44" s="145" t="str">
        <f>IFERROR(__xludf.DUMMYFUNCTION("""COMPUTED_VALUE"""),"SUCI")</f>
        <v>SUCI</v>
      </c>
      <c r="J44" s="145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ht="22.5" customHeight="1">
      <c r="A45" s="144">
        <f>IFERROR(__xludf.DUMMYFUNCTION("""COMPUTED_VALUE"""),46032.0)</f>
        <v>46032</v>
      </c>
      <c r="B45" s="145" t="str">
        <f t="shared" si="1"/>
        <v>01Jan</v>
      </c>
      <c r="C45" s="145" t="str">
        <f>IFERROR(__xludf.DUMMYFUNCTION("""COMPUTED_VALUE"""),"KHANZA PUTRI HUMAIRAH")</f>
        <v>KHANZA PUTRI HUMAIRAH</v>
      </c>
      <c r="D45" s="145">
        <f t="array" ref="D45">IFNA(XLOOKUP(C45,'👥 Daftar Nama Pasien'!$B$6:$B1181,'👥 Daftar Nama Pasien'!$D$6:$D1181),"")</f>
        <v>11</v>
      </c>
      <c r="E45" s="145" t="str">
        <f t="array" ref="E45">XLOOKUP(C45,'⬇️ PEMASUKAN'!$I$5:$I1181,'⬇️ PEMASUKAN'!$K$5:$K1181,,0,-1)</f>
        <v>K.PT - PAKET 2</v>
      </c>
      <c r="F45" s="145" t="str">
        <f t="shared" si="2"/>
        <v>K.PT - PAKET 2</v>
      </c>
      <c r="G45" s="145" t="str">
        <f t="shared" si="3"/>
        <v>CLOSING PAKET</v>
      </c>
      <c r="H45" s="145" t="str">
        <f>IFERROR(__xludf.DUMMYFUNCTION("""COMPUTED_VALUE"""),"OKTA")</f>
        <v>OKTA</v>
      </c>
      <c r="I45" s="145" t="str">
        <f>IFERROR(__xludf.DUMMYFUNCTION("""COMPUTED_VALUE"""),"SUCI")</f>
        <v>SUCI</v>
      </c>
      <c r="J45" s="145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ht="22.5" customHeight="1">
      <c r="A46" s="144">
        <f>IFERROR(__xludf.DUMMYFUNCTION("""COMPUTED_VALUE"""),46032.0)</f>
        <v>46032</v>
      </c>
      <c r="B46" s="145" t="str">
        <f t="shared" si="1"/>
        <v>01Jan</v>
      </c>
      <c r="C46" s="145" t="str">
        <f>IFERROR(__xludf.DUMMYFUNCTION("""COMPUTED_VALUE"""),"FITA")</f>
        <v>FITA</v>
      </c>
      <c r="D46" s="145">
        <f t="array" ref="D46">IFNA(XLOOKUP(C46,'👥 Daftar Nama Pasien'!$B$6:$B1181,'👥 Daftar Nama Pasien'!$D$6:$D1181),"")</f>
        <v>49</v>
      </c>
      <c r="E46" s="145" t="str">
        <f t="array" ref="E46">XLOOKUP(C46,'⬇️ PEMASUKAN'!$I$5:$I1181,'⬇️ PEMASUKAN'!$K$5:$K1181,,0,-1)</f>
        <v>K.TA - TERAPI AWAL</v>
      </c>
      <c r="F46" s="145" t="str">
        <f t="shared" si="2"/>
        <v>TIDAK CLOSING</v>
      </c>
      <c r="G46" s="145" t="str">
        <f t="shared" si="3"/>
        <v>TIDAK CLOSING</v>
      </c>
      <c r="H46" s="145" t="str">
        <f>IFERROR(__xludf.DUMMYFUNCTION("""COMPUTED_VALUE"""),"HENA")</f>
        <v>HENA</v>
      </c>
      <c r="I46" s="145" t="str">
        <f>IFERROR(__xludf.DUMMYFUNCTION("""COMPUTED_VALUE"""),"SUCI")</f>
        <v>SUCI</v>
      </c>
      <c r="J46" s="145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ht="22.5" customHeight="1">
      <c r="A47" s="144">
        <f>IFERROR(__xludf.DUMMYFUNCTION("""COMPUTED_VALUE"""),46032.0)</f>
        <v>46032</v>
      </c>
      <c r="B47" s="145" t="str">
        <f t="shared" si="1"/>
        <v>01Jan</v>
      </c>
      <c r="C47" s="145" t="str">
        <f>IFERROR(__xludf.DUMMYFUNCTION("""COMPUTED_VALUE"""),"FAHRIZAL RAMADHAN")</f>
        <v>FAHRIZAL RAMADHAN</v>
      </c>
      <c r="D47" s="145">
        <f t="array" ref="D47">IFNA(XLOOKUP(C47,'👥 Daftar Nama Pasien'!$B$6:$B1181,'👥 Daftar Nama Pasien'!$D$6:$D1181),"")</f>
        <v>34</v>
      </c>
      <c r="E47" s="145" t="str">
        <f t="array" ref="E47">XLOOKUP(C47,'⬇️ PEMASUKAN'!$I$5:$I1181,'⬇️ PEMASUKAN'!$K$5:$K1181,,0,-1)</f>
        <v>K.PT - PAKET 2</v>
      </c>
      <c r="F47" s="145" t="str">
        <f t="shared" si="2"/>
        <v>K.PT - PAKET 2</v>
      </c>
      <c r="G47" s="145" t="str">
        <f t="shared" si="3"/>
        <v>CLOSING PAKET</v>
      </c>
      <c r="H47" s="145" t="str">
        <f>IFERROR(__xludf.DUMMYFUNCTION("""COMPUTED_VALUE"""),"WAHYU")</f>
        <v>WAHYU</v>
      </c>
      <c r="I47" s="145" t="str">
        <f>IFERROR(__xludf.DUMMYFUNCTION("""COMPUTED_VALUE"""),"NOPI")</f>
        <v>NOPI</v>
      </c>
      <c r="J47" s="145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ht="22.5" customHeight="1">
      <c r="A48" s="144">
        <f>IFERROR(__xludf.DUMMYFUNCTION("""COMPUTED_VALUE"""),46032.0)</f>
        <v>46032</v>
      </c>
      <c r="B48" s="145" t="str">
        <f t="shared" si="1"/>
        <v>01Jan</v>
      </c>
      <c r="C48" s="145" t="str">
        <f>IFERROR(__xludf.DUMMYFUNCTION("""COMPUTED_VALUE"""),"WIDODO 7512")</f>
        <v>WIDODO 7512</v>
      </c>
      <c r="D48" s="145">
        <f t="array" ref="D48">IFNA(XLOOKUP(C48,'👥 Daftar Nama Pasien'!$B$6:$B1181,'👥 Daftar Nama Pasien'!$D$6:$D1181),"")</f>
        <v>50</v>
      </c>
      <c r="E48" s="145" t="str">
        <f t="array" ref="E48">XLOOKUP(C48,'⬇️ PEMASUKAN'!$I$5:$I1181,'⬇️ PEMASUKAN'!$K$5:$K1181,,0,-1)</f>
        <v>K.ST - SESI TERAPI</v>
      </c>
      <c r="F48" s="145" t="str">
        <f t="shared" si="2"/>
        <v>K.ST - SESI TERAPI</v>
      </c>
      <c r="G48" s="145" t="str">
        <f t="shared" si="3"/>
        <v>CLOSING SESI</v>
      </c>
      <c r="H48" s="145" t="str">
        <f>IFERROR(__xludf.DUMMYFUNCTION("""COMPUTED_VALUE"""),"WAHYU")</f>
        <v>WAHYU</v>
      </c>
      <c r="I48" s="145" t="str">
        <f>IFERROR(__xludf.DUMMYFUNCTION("""COMPUTED_VALUE"""),"NOPI")</f>
        <v>NOPI</v>
      </c>
      <c r="J48" s="145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ht="22.5" customHeight="1">
      <c r="A49" s="144">
        <f>IFERROR(__xludf.DUMMYFUNCTION("""COMPUTED_VALUE"""),46032.0)</f>
        <v>46032</v>
      </c>
      <c r="B49" s="145" t="str">
        <f t="shared" si="1"/>
        <v>01Jan</v>
      </c>
      <c r="C49" s="145" t="str">
        <f>IFERROR(__xludf.DUMMYFUNCTION("""COMPUTED_VALUE"""),"SARWINTO")</f>
        <v>SARWINTO</v>
      </c>
      <c r="D49" s="145">
        <f t="array" ref="D49">IFNA(XLOOKUP(C49,'👥 Daftar Nama Pasien'!$B$6:$B1181,'👥 Daftar Nama Pasien'!$D$6:$D1181),"")</f>
        <v>33</v>
      </c>
      <c r="E49" s="145" t="str">
        <f t="array" ref="E49">XLOOKUP(C49,'⬇️ PEMASUKAN'!$I$5:$I1181,'⬇️ PEMASUKAN'!$K$5:$K1181,,0,-1)</f>
        <v>K.ST - SESI TERAPI</v>
      </c>
      <c r="F49" s="145" t="str">
        <f t="shared" si="2"/>
        <v>K.ST - SESI TERAPI</v>
      </c>
      <c r="G49" s="145" t="str">
        <f t="shared" si="3"/>
        <v>CLOSING SESI</v>
      </c>
      <c r="H49" s="145" t="str">
        <f>IFERROR(__xludf.DUMMYFUNCTION("""COMPUTED_VALUE"""),"PRITY")</f>
        <v>PRITY</v>
      </c>
      <c r="I49" s="145" t="str">
        <f>IFERROR(__xludf.DUMMYFUNCTION("""COMPUTED_VALUE"""),"NOPI")</f>
        <v>NOPI</v>
      </c>
      <c r="J49" s="145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</row>
    <row r="50" ht="22.5" customHeight="1">
      <c r="A50" s="144">
        <f>IFERROR(__xludf.DUMMYFUNCTION("""COMPUTED_VALUE"""),46033.0)</f>
        <v>46033</v>
      </c>
      <c r="B50" s="145" t="str">
        <f t="shared" si="1"/>
        <v>01Jan</v>
      </c>
      <c r="C50" s="145" t="str">
        <f>IFERROR(__xludf.DUMMYFUNCTION("""COMPUTED_VALUE"""),"JEMMY")</f>
        <v>JEMMY</v>
      </c>
      <c r="D50" s="145">
        <f t="array" ref="D50">IFNA(XLOOKUP(C50,'👥 Daftar Nama Pasien'!$B$6:$B1181,'👥 Daftar Nama Pasien'!$D$6:$D1181),"")</f>
        <v>49</v>
      </c>
      <c r="E50" s="145" t="str">
        <f t="array" ref="E50">XLOOKUP(C50,'⬇️ PEMASUKAN'!$I$5:$I1181,'⬇️ PEMASUKAN'!$K$5:$K1181,,0,-1)</f>
        <v>K.TA - TERAPI AWAL</v>
      </c>
      <c r="F50" s="145" t="str">
        <f t="shared" si="2"/>
        <v>TIDAK CLOSING</v>
      </c>
      <c r="G50" s="145" t="str">
        <f t="shared" si="3"/>
        <v>TIDAK CLOSING</v>
      </c>
      <c r="H50" s="145" t="str">
        <f>IFERROR(__xludf.DUMMYFUNCTION("""COMPUTED_VALUE"""),"EDO")</f>
        <v>EDO</v>
      </c>
      <c r="I50" s="145" t="str">
        <f>IFERROR(__xludf.DUMMYFUNCTION("""COMPUTED_VALUE"""),"SUCI")</f>
        <v>SUCI</v>
      </c>
      <c r="J50" s="145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ht="22.5" customHeight="1">
      <c r="A51" s="144">
        <f>IFERROR(__xludf.DUMMYFUNCTION("""COMPUTED_VALUE"""),46033.0)</f>
        <v>46033</v>
      </c>
      <c r="B51" s="145" t="str">
        <f t="shared" si="1"/>
        <v>01Jan</v>
      </c>
      <c r="C51" s="145" t="str">
        <f>IFERROR(__xludf.DUMMYFUNCTION("""COMPUTED_VALUE"""),"NIKEN ATIKA PUSPA NINGRUM")</f>
        <v>NIKEN ATIKA PUSPA NINGRUM</v>
      </c>
      <c r="D51" s="145">
        <f t="array" ref="D51">IFNA(XLOOKUP(C51,'👥 Daftar Nama Pasien'!$B$6:$B1181,'👥 Daftar Nama Pasien'!$D$6:$D1181),"")</f>
        <v>32</v>
      </c>
      <c r="E51" s="145" t="str">
        <f t="array" ref="E51">XLOOKUP(C51,'⬇️ PEMASUKAN'!$I$5:$I1181,'⬇️ PEMASUKAN'!$K$5:$K1181,,0,-1)</f>
        <v>K.TA - TERAPI AWAL</v>
      </c>
      <c r="F51" s="145" t="str">
        <f t="shared" si="2"/>
        <v>TIDAK CLOSING</v>
      </c>
      <c r="G51" s="145" t="str">
        <f t="shared" si="3"/>
        <v>TIDAK CLOSING</v>
      </c>
      <c r="H51" s="145" t="str">
        <f>IFERROR(__xludf.DUMMYFUNCTION("""COMPUTED_VALUE"""),"OKTA")</f>
        <v>OKTA</v>
      </c>
      <c r="I51" s="145" t="str">
        <f>IFERROR(__xludf.DUMMYFUNCTION("""COMPUTED_VALUE"""),"SUCI")</f>
        <v>SUCI</v>
      </c>
      <c r="J51" s="145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ht="22.5" customHeight="1">
      <c r="A52" s="144">
        <f>IFERROR(__xludf.DUMMYFUNCTION("""COMPUTED_VALUE"""),46033.0)</f>
        <v>46033</v>
      </c>
      <c r="B52" s="145" t="str">
        <f t="shared" si="1"/>
        <v>01Jan</v>
      </c>
      <c r="C52" s="145" t="str">
        <f>IFERROR(__xludf.DUMMYFUNCTION("""COMPUTED_VALUE"""),"M FAHRIZA RAHMAN")</f>
        <v>M FAHRIZA RAHMAN</v>
      </c>
      <c r="D52" s="145">
        <f t="array" ref="D52">IFNA(XLOOKUP(C52,'👥 Daftar Nama Pasien'!$B$6:$B1181,'👥 Daftar Nama Pasien'!$D$6:$D1181),"")</f>
        <v>20</v>
      </c>
      <c r="E52" s="145" t="str">
        <f t="array" ref="E52">XLOOKUP(C52,'⬇️ PEMASUKAN'!$I$5:$I1181,'⬇️ PEMASUKAN'!$K$5:$K1181,,0,-1)</f>
        <v>K.ST - SESI TERAPI</v>
      </c>
      <c r="F52" s="145" t="str">
        <f t="shared" si="2"/>
        <v>K.ST - SESI TERAPI</v>
      </c>
      <c r="G52" s="145" t="str">
        <f t="shared" si="3"/>
        <v>CLOSING SESI</v>
      </c>
      <c r="H52" s="145" t="str">
        <f>IFERROR(__xludf.DUMMYFUNCTION("""COMPUTED_VALUE"""),"HENA")</f>
        <v>HENA</v>
      </c>
      <c r="I52" s="145" t="str">
        <f>IFERROR(__xludf.DUMMYFUNCTION("""COMPUTED_VALUE"""),"SUCI")</f>
        <v>SUCI</v>
      </c>
      <c r="J52" s="145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ht="22.5" customHeight="1">
      <c r="A53" s="144">
        <f>IFERROR(__xludf.DUMMYFUNCTION("""COMPUTED_VALUE"""),46033.0)</f>
        <v>46033</v>
      </c>
      <c r="B53" s="145" t="str">
        <f t="shared" si="1"/>
        <v>01Jan</v>
      </c>
      <c r="C53" s="145" t="str">
        <f>IFERROR(__xludf.DUMMYFUNCTION("""COMPUTED_VALUE"""),"M FAHRIZA RAHMAN")</f>
        <v>M FAHRIZA RAHMAN</v>
      </c>
      <c r="D53" s="145">
        <f t="array" ref="D53">IFNA(XLOOKUP(C53,'👥 Daftar Nama Pasien'!$B$6:$B1181,'👥 Daftar Nama Pasien'!$D$6:$D1181),"")</f>
        <v>20</v>
      </c>
      <c r="E53" s="145" t="str">
        <f t="array" ref="E53">XLOOKUP(C53,'⬇️ PEMASUKAN'!$I$5:$I1181,'⬇️ PEMASUKAN'!$K$5:$K1181,,0,-1)</f>
        <v>K.ST - SESI TERAPI</v>
      </c>
      <c r="F53" s="145" t="str">
        <f t="shared" si="2"/>
        <v>K.ST - SESI TERAPI</v>
      </c>
      <c r="G53" s="145" t="str">
        <f t="shared" si="3"/>
        <v>CLOSING SESI</v>
      </c>
      <c r="H53" s="145" t="str">
        <f>IFERROR(__xludf.DUMMYFUNCTION("""COMPUTED_VALUE"""),"HENA")</f>
        <v>HENA</v>
      </c>
      <c r="I53" s="145" t="str">
        <f>IFERROR(__xludf.DUMMYFUNCTION("""COMPUTED_VALUE"""),"SUCI")</f>
        <v>SUCI</v>
      </c>
      <c r="J53" s="145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</row>
    <row r="54" ht="22.5" customHeight="1">
      <c r="A54" s="144">
        <f>IFERROR(__xludf.DUMMYFUNCTION("""COMPUTED_VALUE"""),46033.0)</f>
        <v>46033</v>
      </c>
      <c r="B54" s="145" t="str">
        <f t="shared" si="1"/>
        <v>01Jan</v>
      </c>
      <c r="C54" s="145" t="str">
        <f>IFERROR(__xludf.DUMMYFUNCTION("""COMPUTED_VALUE"""),"NADYA SAFIRA")</f>
        <v>NADYA SAFIRA</v>
      </c>
      <c r="D54" s="145">
        <f t="array" ref="D54">IFNA(XLOOKUP(C54,'👥 Daftar Nama Pasien'!$B$6:$B1181,'👥 Daftar Nama Pasien'!$D$6:$D1181),"")</f>
        <v>19</v>
      </c>
      <c r="E54" s="145" t="str">
        <f t="array" ref="E54">XLOOKUP(C54,'⬇️ PEMASUKAN'!$I$5:$I1181,'⬇️ PEMASUKAN'!$K$5:$K1181,,0,-1)</f>
        <v>K.ST - SESI TERAPI</v>
      </c>
      <c r="F54" s="145" t="str">
        <f t="shared" si="2"/>
        <v>K.ST - SESI TERAPI</v>
      </c>
      <c r="G54" s="145" t="str">
        <f t="shared" si="3"/>
        <v>CLOSING SESI</v>
      </c>
      <c r="H54" s="145" t="str">
        <f>IFERROR(__xludf.DUMMYFUNCTION("""COMPUTED_VALUE"""),"PRITY")</f>
        <v>PRITY</v>
      </c>
      <c r="I54" s="145" t="str">
        <f>IFERROR(__xludf.DUMMYFUNCTION("""COMPUTED_VALUE"""),"NOPI")</f>
        <v>NOPI</v>
      </c>
      <c r="J54" s="145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 ht="22.5" customHeight="1">
      <c r="A55" s="144">
        <f>IFERROR(__xludf.DUMMYFUNCTION("""COMPUTED_VALUE"""),46033.0)</f>
        <v>46033</v>
      </c>
      <c r="B55" s="145" t="str">
        <f t="shared" si="1"/>
        <v>01Jan</v>
      </c>
      <c r="C55" s="145" t="str">
        <f>IFERROR(__xludf.DUMMYFUNCTION("""COMPUTED_VALUE"""),"CHALID OBED")</f>
        <v>CHALID OBED</v>
      </c>
      <c r="D55" s="145">
        <f t="array" ref="D55">IFNA(XLOOKUP(C55,'👥 Daftar Nama Pasien'!$B$6:$B1181,'👥 Daftar Nama Pasien'!$D$6:$D1181),"")</f>
        <v>75</v>
      </c>
      <c r="E55" s="145" t="str">
        <f t="array" ref="E55">XLOOKUP(C55,'⬇️ PEMASUKAN'!$I$5:$I1181,'⬇️ PEMASUKAN'!$K$5:$K1181,,0,-1)</f>
        <v>K.ST - SESI TERAPI</v>
      </c>
      <c r="F55" s="145" t="str">
        <f t="shared" si="2"/>
        <v>K.ST - SESI TERAPI</v>
      </c>
      <c r="G55" s="145" t="str">
        <f t="shared" si="3"/>
        <v>CLOSING SESI</v>
      </c>
      <c r="H55" s="145" t="str">
        <f>IFERROR(__xludf.DUMMYFUNCTION("""COMPUTED_VALUE"""),"ORY")</f>
        <v>ORY</v>
      </c>
      <c r="I55" s="145" t="str">
        <f>IFERROR(__xludf.DUMMYFUNCTION("""COMPUTED_VALUE"""),"NOPI")</f>
        <v>NOPI</v>
      </c>
      <c r="J55" s="145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</row>
    <row r="56" ht="22.5" customHeight="1">
      <c r="A56" s="144">
        <f>IFERROR(__xludf.DUMMYFUNCTION("""COMPUTED_VALUE"""),46034.0)</f>
        <v>46034</v>
      </c>
      <c r="B56" s="145" t="str">
        <f t="shared" si="1"/>
        <v>01Jan</v>
      </c>
      <c r="C56" s="145" t="str">
        <f>IFERROR(__xludf.DUMMYFUNCTION("""COMPUTED_VALUE"""),"MIRNA APRIANTY")</f>
        <v>MIRNA APRIANTY</v>
      </c>
      <c r="D56" s="145">
        <f t="array" ref="D56">IFNA(XLOOKUP(C56,'👥 Daftar Nama Pasien'!$B$6:$B1181,'👥 Daftar Nama Pasien'!$D$6:$D1181),"")</f>
        <v>61</v>
      </c>
      <c r="E56" s="145" t="str">
        <f t="array" ref="E56">XLOOKUP(C56,'⬇️ PEMASUKAN'!$I$5:$I1181,'⬇️ PEMASUKAN'!$K$5:$K1181,,0,-1)</f>
        <v>K.ST - SESI TERAPI</v>
      </c>
      <c r="F56" s="145" t="str">
        <f t="shared" si="2"/>
        <v>K.ST - SESI TERAPI</v>
      </c>
      <c r="G56" s="145" t="str">
        <f t="shared" si="3"/>
        <v>CLOSING SESI</v>
      </c>
      <c r="H56" s="145" t="str">
        <f>IFERROR(__xludf.DUMMYFUNCTION("""COMPUTED_VALUE"""),"AUL")</f>
        <v>AUL</v>
      </c>
      <c r="I56" s="145" t="str">
        <f>IFERROR(__xludf.DUMMYFUNCTION("""COMPUTED_VALUE"""),"SUCI")</f>
        <v>SUCI</v>
      </c>
      <c r="J56" s="145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 ht="22.5" customHeight="1">
      <c r="A57" s="144">
        <f>IFERROR(__xludf.DUMMYFUNCTION("""COMPUTED_VALUE"""),46034.0)</f>
        <v>46034</v>
      </c>
      <c r="B57" s="145" t="str">
        <f t="shared" si="1"/>
        <v>01Jan</v>
      </c>
      <c r="C57" s="145" t="str">
        <f>IFERROR(__xludf.DUMMYFUNCTION("""COMPUTED_VALUE"""),"JONG SULI")</f>
        <v>JONG SULI</v>
      </c>
      <c r="D57" s="145">
        <f t="array" ref="D57">IFNA(XLOOKUP(C57,'👥 Daftar Nama Pasien'!$B$6:$B1181,'👥 Daftar Nama Pasien'!$D$6:$D1181),"")</f>
        <v>22</v>
      </c>
      <c r="E57" s="145" t="str">
        <f t="array" ref="E57">XLOOKUP(C57,'⬇️ PEMASUKAN'!$I$5:$I1181,'⬇️ PEMASUKAN'!$K$5:$K1181,,0,-1)</f>
        <v>K.PT - PAKET 2</v>
      </c>
      <c r="F57" s="145" t="str">
        <f t="shared" si="2"/>
        <v>K.PT - PAKET 2</v>
      </c>
      <c r="G57" s="145" t="str">
        <f t="shared" si="3"/>
        <v>CLOSING PAKET</v>
      </c>
      <c r="H57" s="145" t="str">
        <f>IFERROR(__xludf.DUMMYFUNCTION("""COMPUTED_VALUE"""),"DESTY")</f>
        <v>DESTY</v>
      </c>
      <c r="I57" s="145" t="str">
        <f>IFERROR(__xludf.DUMMYFUNCTION("""COMPUTED_VALUE"""),"SUCI")</f>
        <v>SUCI</v>
      </c>
      <c r="J57" s="145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</row>
    <row r="58" ht="22.5" customHeight="1">
      <c r="A58" s="144">
        <f>IFERROR(__xludf.DUMMYFUNCTION("""COMPUTED_VALUE"""),46034.0)</f>
        <v>46034</v>
      </c>
      <c r="B58" s="145" t="str">
        <f t="shared" si="1"/>
        <v>01Jan</v>
      </c>
      <c r="C58" s="145" t="str">
        <f>IFERROR(__xludf.DUMMYFUNCTION("""COMPUTED_VALUE"""),"WARSINO")</f>
        <v>WARSINO</v>
      </c>
      <c r="D58" s="145">
        <f t="array" ref="D58">IFNA(XLOOKUP(C58,'👥 Daftar Nama Pasien'!$B$6:$B1181,'👥 Daftar Nama Pasien'!$D$6:$D1181),"")</f>
        <v>53</v>
      </c>
      <c r="E58" s="145" t="str">
        <f t="array" ref="E58">XLOOKUP(C58,'⬇️ PEMASUKAN'!$I$5:$I1181,'⬇️ PEMASUKAN'!$K$5:$K1181,,0,-1)</f>
        <v>K.PT - PAKET 1</v>
      </c>
      <c r="F58" s="145" t="str">
        <f t="shared" si="2"/>
        <v>K.PT - PAKET 1</v>
      </c>
      <c r="G58" s="145" t="str">
        <f t="shared" si="3"/>
        <v>CLOSING PAKET</v>
      </c>
      <c r="H58" s="145" t="str">
        <f>IFERROR(__xludf.DUMMYFUNCTION("""COMPUTED_VALUE"""),"ORY")</f>
        <v>ORY</v>
      </c>
      <c r="I58" s="145" t="str">
        <f>IFERROR(__xludf.DUMMYFUNCTION("""COMPUTED_VALUE"""),"SUCI")</f>
        <v>SUCI</v>
      </c>
      <c r="J58" s="145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</row>
    <row r="59" ht="22.5" customHeight="1">
      <c r="A59" s="144">
        <f>IFERROR(__xludf.DUMMYFUNCTION("""COMPUTED_VALUE"""),46034.0)</f>
        <v>46034</v>
      </c>
      <c r="B59" s="145" t="str">
        <f t="shared" si="1"/>
        <v>01Jan</v>
      </c>
      <c r="C59" s="145" t="str">
        <f>IFERROR(__xludf.DUMMYFUNCTION("""COMPUTED_VALUE"""),"ANUSAPATI")</f>
        <v>ANUSAPATI</v>
      </c>
      <c r="D59" s="145">
        <f t="array" ref="D59">IFNA(XLOOKUP(C59,'👥 Daftar Nama Pasien'!$B$6:$B1181,'👥 Daftar Nama Pasien'!$D$6:$D1181),"")</f>
        <v>60</v>
      </c>
      <c r="E59" s="145" t="str">
        <f t="array" ref="E59">XLOOKUP(C59,'⬇️ PEMASUKAN'!$I$5:$I1181,'⬇️ PEMASUKAN'!$K$5:$K1181,,0,-1)</f>
        <v>K.TA - TERAPI AWAL</v>
      </c>
      <c r="F59" s="145" t="str">
        <f t="shared" si="2"/>
        <v>TIDAK CLOSING</v>
      </c>
      <c r="G59" s="145" t="str">
        <f t="shared" si="3"/>
        <v>TIDAK CLOSING</v>
      </c>
      <c r="H59" s="145" t="str">
        <f>IFERROR(__xludf.DUMMYFUNCTION("""COMPUTED_VALUE"""),"ORY")</f>
        <v>ORY</v>
      </c>
      <c r="I59" s="145" t="str">
        <f>IFERROR(__xludf.DUMMYFUNCTION("""COMPUTED_VALUE"""),"SUCI")</f>
        <v>SUCI</v>
      </c>
      <c r="J59" s="145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</row>
    <row r="60" ht="22.5" customHeight="1">
      <c r="A60" s="144">
        <f>IFERROR(__xludf.DUMMYFUNCTION("""COMPUTED_VALUE"""),46034.0)</f>
        <v>46034</v>
      </c>
      <c r="B60" s="145" t="str">
        <f t="shared" si="1"/>
        <v>01Jan</v>
      </c>
      <c r="C60" s="145" t="str">
        <f>IFERROR(__xludf.DUMMYFUNCTION("""COMPUTED_VALUE"""),"MUCHLIS")</f>
        <v>MUCHLIS</v>
      </c>
      <c r="D60" s="145">
        <f t="array" ref="D60">IFNA(XLOOKUP(C60,'👥 Daftar Nama Pasien'!$B$6:$B1181,'👥 Daftar Nama Pasien'!$D$6:$D1181),"")</f>
        <v>59</v>
      </c>
      <c r="E60" s="145" t="str">
        <f t="array" ref="E60">XLOOKUP(C60,'⬇️ PEMASUKAN'!$I$5:$I1181,'⬇️ PEMASUKAN'!$K$5:$K1181,,0,-1)</f>
        <v>K.ST - SESI TERAPI</v>
      </c>
      <c r="F60" s="145" t="str">
        <f t="shared" si="2"/>
        <v>K.ST - SESI TERAPI</v>
      </c>
      <c r="G60" s="145" t="str">
        <f t="shared" si="3"/>
        <v>CLOSING SESI</v>
      </c>
      <c r="H60" s="145" t="str">
        <f>IFERROR(__xludf.DUMMYFUNCTION("""COMPUTED_VALUE"""),"DESTY")</f>
        <v>DESTY</v>
      </c>
      <c r="I60" s="145" t="str">
        <f>IFERROR(__xludf.DUMMYFUNCTION("""COMPUTED_VALUE"""),"SUCI")</f>
        <v>SUCI</v>
      </c>
      <c r="J60" s="145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 ht="22.5" customHeight="1">
      <c r="A61" s="144">
        <f>IFERROR(__xludf.DUMMYFUNCTION("""COMPUTED_VALUE"""),46034.0)</f>
        <v>46034</v>
      </c>
      <c r="B61" s="145" t="str">
        <f t="shared" si="1"/>
        <v>01Jan</v>
      </c>
      <c r="C61" s="145" t="str">
        <f>IFERROR(__xludf.DUMMYFUNCTION("""COMPUTED_VALUE"""),"SUDIYANTI HO")</f>
        <v>SUDIYANTI HO</v>
      </c>
      <c r="D61" s="145">
        <f t="array" ref="D61">IFNA(XLOOKUP(C61,'👥 Daftar Nama Pasien'!$B$6:$B1181,'👥 Daftar Nama Pasien'!$D$6:$D1181),"")</f>
        <v>72</v>
      </c>
      <c r="E61" s="145" t="str">
        <f t="array" ref="E61">XLOOKUP(C61,'⬇️ PEMASUKAN'!$I$5:$I1181,'⬇️ PEMASUKAN'!$K$5:$K1181,,0,-1)</f>
        <v>K.PT - PAKET 2</v>
      </c>
      <c r="F61" s="145" t="str">
        <f t="shared" si="2"/>
        <v>K.PT - PAKET 2</v>
      </c>
      <c r="G61" s="145" t="str">
        <f t="shared" si="3"/>
        <v>CLOSING PAKET</v>
      </c>
      <c r="H61" s="145" t="str">
        <f>IFERROR(__xludf.DUMMYFUNCTION("""COMPUTED_VALUE"""),"ORY")</f>
        <v>ORY</v>
      </c>
      <c r="I61" s="145" t="str">
        <f>IFERROR(__xludf.DUMMYFUNCTION("""COMPUTED_VALUE"""),"SUCI")</f>
        <v>SUCI</v>
      </c>
      <c r="J61" s="145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</row>
    <row r="62" ht="22.5" customHeight="1">
      <c r="A62" s="144">
        <f>IFERROR(__xludf.DUMMYFUNCTION("""COMPUTED_VALUE"""),46034.0)</f>
        <v>46034</v>
      </c>
      <c r="B62" s="145" t="str">
        <f t="shared" si="1"/>
        <v>01Jan</v>
      </c>
      <c r="C62" s="145" t="str">
        <f>IFERROR(__xludf.DUMMYFUNCTION("""COMPUTED_VALUE"""),"RIDHO YUDI PRABAWA")</f>
        <v>RIDHO YUDI PRABAWA</v>
      </c>
      <c r="D62" s="145">
        <f t="array" ref="D62">IFNA(XLOOKUP(C62,'👥 Daftar Nama Pasien'!$B$6:$B1181,'👥 Daftar Nama Pasien'!$D$6:$D1181),"")</f>
        <v>44</v>
      </c>
      <c r="E62" s="145" t="str">
        <f t="array" ref="E62">XLOOKUP(C62,'⬇️ PEMASUKAN'!$I$5:$I1181,'⬇️ PEMASUKAN'!$K$5:$K1181,,0,-1)</f>
        <v>K.TA - TERAPI AWAL</v>
      </c>
      <c r="F62" s="145" t="str">
        <f t="shared" si="2"/>
        <v>TIDAK CLOSING</v>
      </c>
      <c r="G62" s="145" t="str">
        <f t="shared" si="3"/>
        <v>TIDAK CLOSING</v>
      </c>
      <c r="H62" s="145" t="str">
        <f>IFERROR(__xludf.DUMMYFUNCTION("""COMPUTED_VALUE"""),"AUL")</f>
        <v>AUL</v>
      </c>
      <c r="I62" s="145" t="str">
        <f>IFERROR(__xludf.DUMMYFUNCTION("""COMPUTED_VALUE"""),"SUCI")</f>
        <v>SUCI</v>
      </c>
      <c r="J62" s="145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 ht="22.5" customHeight="1">
      <c r="A63" s="144">
        <f>IFERROR(__xludf.DUMMYFUNCTION("""COMPUTED_VALUE"""),46034.0)</f>
        <v>46034</v>
      </c>
      <c r="B63" s="145" t="str">
        <f t="shared" si="1"/>
        <v>01Jan</v>
      </c>
      <c r="C63" s="145" t="str">
        <f>IFERROR(__xludf.DUMMYFUNCTION("""COMPUTED_VALUE"""),"HENDRAWATI SAM")</f>
        <v>HENDRAWATI SAM</v>
      </c>
      <c r="D63" s="145">
        <f t="array" ref="D63">IFNA(XLOOKUP(C63,'👥 Daftar Nama Pasien'!$B$6:$B1181,'👥 Daftar Nama Pasien'!$D$6:$D1181),"")</f>
        <v>54</v>
      </c>
      <c r="E63" s="145" t="str">
        <f t="array" ref="E63">XLOOKUP(C63,'⬇️ PEMASUKAN'!$I$5:$I1181,'⬇️ PEMASUKAN'!$K$5:$K1181,,0,-1)</f>
        <v>K.TA - TERAPI AWAL</v>
      </c>
      <c r="F63" s="145" t="str">
        <f t="shared" si="2"/>
        <v>TIDAK CLOSING</v>
      </c>
      <c r="G63" s="145" t="str">
        <f t="shared" si="3"/>
        <v>TIDAK CLOSING</v>
      </c>
      <c r="H63" s="145" t="str">
        <f>IFERROR(__xludf.DUMMYFUNCTION("""COMPUTED_VALUE"""),"OKTA")</f>
        <v>OKTA</v>
      </c>
      <c r="I63" s="145" t="str">
        <f>IFERROR(__xludf.DUMMYFUNCTION("""COMPUTED_VALUE"""),"NOPI")</f>
        <v>NOPI</v>
      </c>
      <c r="J63" s="145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</row>
    <row r="64" ht="22.5" customHeight="1">
      <c r="A64" s="144">
        <f>IFERROR(__xludf.DUMMYFUNCTION("""COMPUTED_VALUE"""),46034.0)</f>
        <v>46034</v>
      </c>
      <c r="B64" s="145" t="str">
        <f t="shared" si="1"/>
        <v>01Jan</v>
      </c>
      <c r="C64" s="145" t="str">
        <f>IFERROR(__xludf.DUMMYFUNCTION("""COMPUTED_VALUE"""),"DESI MARGASIA")</f>
        <v>DESI MARGASIA</v>
      </c>
      <c r="D64" s="145">
        <f t="array" ref="D64">IFNA(XLOOKUP(C64,'👥 Daftar Nama Pasien'!$B$6:$B1181,'👥 Daftar Nama Pasien'!$D$6:$D1181),"")</f>
        <v>33</v>
      </c>
      <c r="E64" s="145" t="str">
        <f t="array" ref="E64">XLOOKUP(C64,'⬇️ PEMASUKAN'!$I$5:$I1181,'⬇️ PEMASUKAN'!$K$5:$K1181,,0,-1)</f>
        <v>K.TA - TERAPI AWAL</v>
      </c>
      <c r="F64" s="145" t="str">
        <f t="shared" si="2"/>
        <v>TIDAK CLOSING</v>
      </c>
      <c r="G64" s="145" t="str">
        <f t="shared" si="3"/>
        <v>TIDAK CLOSING</v>
      </c>
      <c r="H64" s="145" t="str">
        <f>IFERROR(__xludf.DUMMYFUNCTION("""COMPUTED_VALUE"""),"OKTA")</f>
        <v>OKTA</v>
      </c>
      <c r="I64" s="145" t="str">
        <f>IFERROR(__xludf.DUMMYFUNCTION("""COMPUTED_VALUE"""),"NOPI")</f>
        <v>NOPI</v>
      </c>
      <c r="J64" s="145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</row>
    <row r="65" ht="22.5" customHeight="1">
      <c r="A65" s="144">
        <f>IFERROR(__xludf.DUMMYFUNCTION("""COMPUTED_VALUE"""),46035.0)</f>
        <v>46035</v>
      </c>
      <c r="B65" s="145" t="str">
        <f t="shared" si="1"/>
        <v>01Jan</v>
      </c>
      <c r="C65" s="145" t="str">
        <f>IFERROR(__xludf.DUMMYFUNCTION("""COMPUTED_VALUE"""),"HENDI")</f>
        <v>HENDI</v>
      </c>
      <c r="D65" s="145">
        <f t="array" ref="D65">IFNA(XLOOKUP(C65,'👥 Daftar Nama Pasien'!$B$6:$B1181,'👥 Daftar Nama Pasien'!$D$6:$D1181),"")</f>
        <v>32</v>
      </c>
      <c r="E65" s="145" t="str">
        <f t="array" ref="E65">XLOOKUP(C65,'⬇️ PEMASUKAN'!$I$5:$I1181,'⬇️ PEMASUKAN'!$K$5:$K1181,,0,-1)</f>
        <v>K.ST - SESI TERAPI</v>
      </c>
      <c r="F65" s="145" t="str">
        <f t="shared" si="2"/>
        <v>K.ST - SESI TERAPI</v>
      </c>
      <c r="G65" s="145" t="str">
        <f t="shared" si="3"/>
        <v>CLOSING SESI</v>
      </c>
      <c r="H65" s="145" t="str">
        <f>IFERROR(__xludf.DUMMYFUNCTION("""COMPUTED_VALUE"""),"WAHYU")</f>
        <v>WAHYU</v>
      </c>
      <c r="I65" s="145" t="str">
        <f>IFERROR(__xludf.DUMMYFUNCTION("""COMPUTED_VALUE"""),"NOPI")</f>
        <v>NOPI</v>
      </c>
      <c r="J65" s="145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ht="22.5" customHeight="1">
      <c r="A66" s="144">
        <f>IFERROR(__xludf.DUMMYFUNCTION("""COMPUTED_VALUE"""),46035.0)</f>
        <v>46035</v>
      </c>
      <c r="B66" s="145" t="str">
        <f t="shared" si="1"/>
        <v>01Jan</v>
      </c>
      <c r="C66" s="145" t="str">
        <f>IFERROR(__xludf.DUMMYFUNCTION("""COMPUTED_VALUE"""),"MAULIZA DESIANA")</f>
        <v>MAULIZA DESIANA</v>
      </c>
      <c r="D66" s="145">
        <f t="array" ref="D66">IFNA(XLOOKUP(C66,'👥 Daftar Nama Pasien'!$B$6:$B1181,'👥 Daftar Nama Pasien'!$D$6:$D1181),"")</f>
        <v>38</v>
      </c>
      <c r="E66" s="145" t="str">
        <f t="array" ref="E66">XLOOKUP(C66,'⬇️ PEMASUKAN'!$I$5:$I1181,'⬇️ PEMASUKAN'!$K$5:$K1181,,0,-1)</f>
        <v>K.ST - SESI TERAPI</v>
      </c>
      <c r="F66" s="145" t="str">
        <f t="shared" si="2"/>
        <v>K.ST - SESI TERAPI</v>
      </c>
      <c r="G66" s="145" t="str">
        <f t="shared" si="3"/>
        <v>CLOSING SESI</v>
      </c>
      <c r="H66" s="145" t="str">
        <f>IFERROR(__xludf.DUMMYFUNCTION("""COMPUTED_VALUE"""),"DESTY")</f>
        <v>DESTY</v>
      </c>
      <c r="I66" s="145" t="str">
        <f>IFERROR(__xludf.DUMMYFUNCTION("""COMPUTED_VALUE"""),"SUCI")</f>
        <v>SUCI</v>
      </c>
      <c r="J66" s="145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</row>
    <row r="67" ht="22.5" customHeight="1">
      <c r="A67" s="144">
        <f>IFERROR(__xludf.DUMMYFUNCTION("""COMPUTED_VALUE"""),46035.0)</f>
        <v>46035</v>
      </c>
      <c r="B67" s="145" t="str">
        <f t="shared" si="1"/>
        <v>01Jan</v>
      </c>
      <c r="C67" s="145" t="str">
        <f>IFERROR(__xludf.DUMMYFUNCTION("""COMPUTED_VALUE"""),"YAZID MISHBAH KHOIRI ")</f>
        <v>YAZID MISHBAH KHOIRI </v>
      </c>
      <c r="D67" s="145">
        <f t="array" ref="D67">IFNA(XLOOKUP(C67,'👥 Daftar Nama Pasien'!$B$6:$B1181,'👥 Daftar Nama Pasien'!$D$6:$D1181),"")</f>
        <v>20</v>
      </c>
      <c r="E67" s="145" t="str">
        <f t="array" ref="E67">XLOOKUP(C67,'⬇️ PEMASUKAN'!$I$5:$I1181,'⬇️ PEMASUKAN'!$K$5:$K1181,,0,-1)</f>
        <v>K.PT - PAKET 1</v>
      </c>
      <c r="F67" s="145" t="str">
        <f t="shared" si="2"/>
        <v>K.PT - PAKET 1</v>
      </c>
      <c r="G67" s="145" t="str">
        <f t="shared" si="3"/>
        <v>CLOSING PAKET</v>
      </c>
      <c r="H67" s="145" t="str">
        <f>IFERROR(__xludf.DUMMYFUNCTION("""COMPUTED_VALUE"""),"ORY")</f>
        <v>ORY</v>
      </c>
      <c r="I67" s="145" t="str">
        <f>IFERROR(__xludf.DUMMYFUNCTION("""COMPUTED_VALUE"""),"SUCI")</f>
        <v>SUCI</v>
      </c>
      <c r="J67" s="145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</row>
    <row r="68" ht="22.5" customHeight="1">
      <c r="A68" s="144">
        <f>IFERROR(__xludf.DUMMYFUNCTION("""COMPUTED_VALUE"""),46035.0)</f>
        <v>46035</v>
      </c>
      <c r="B68" s="145" t="str">
        <f t="shared" si="1"/>
        <v>01Jan</v>
      </c>
      <c r="C68" s="145" t="str">
        <f>IFERROR(__xludf.DUMMYFUNCTION("""COMPUTED_VALUE"""),"MUHAMMAD VIKI SYURIANSAH")</f>
        <v>MUHAMMAD VIKI SYURIANSAH</v>
      </c>
      <c r="D68" s="145">
        <f t="array" ref="D68">IFNA(XLOOKUP(C68,'👥 Daftar Nama Pasien'!$B$6:$B1181,'👥 Daftar Nama Pasien'!$D$6:$D1181),"")</f>
        <v>39</v>
      </c>
      <c r="E68" s="145" t="str">
        <f t="array" ref="E68">XLOOKUP(C68,'⬇️ PEMASUKAN'!$I$5:$I1181,'⬇️ PEMASUKAN'!$K$5:$K1181,,0,-1)</f>
        <v>K.PT - PAKET 1</v>
      </c>
      <c r="F68" s="145" t="str">
        <f t="shared" si="2"/>
        <v>K.PT - PAKET 1</v>
      </c>
      <c r="G68" s="145" t="str">
        <f t="shared" si="3"/>
        <v>CLOSING PAKET</v>
      </c>
      <c r="H68" s="145" t="str">
        <f>IFERROR(__xludf.DUMMYFUNCTION("""COMPUTED_VALUE"""),"PRITY")</f>
        <v>PRITY</v>
      </c>
      <c r="I68" s="145" t="str">
        <f>IFERROR(__xludf.DUMMYFUNCTION("""COMPUTED_VALUE"""),"SUCI")</f>
        <v>SUCI</v>
      </c>
      <c r="J68" s="145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</row>
    <row r="69" ht="22.5" customHeight="1">
      <c r="A69" s="144">
        <f>IFERROR(__xludf.DUMMYFUNCTION("""COMPUTED_VALUE"""),46035.0)</f>
        <v>46035</v>
      </c>
      <c r="B69" s="145" t="str">
        <f t="shared" si="1"/>
        <v>01Jan</v>
      </c>
      <c r="C69" s="145" t="str">
        <f>IFERROR(__xludf.DUMMYFUNCTION("""COMPUTED_VALUE"""),"HENDRA GUNAWAN 8801")</f>
        <v>HENDRA GUNAWAN 8801</v>
      </c>
      <c r="D69" s="145">
        <f t="array" ref="D69">IFNA(XLOOKUP(C69,'👥 Daftar Nama Pasien'!$B$6:$B1181,'👥 Daftar Nama Pasien'!$D$6:$D1181),"")</f>
        <v>38</v>
      </c>
      <c r="E69" s="145" t="str">
        <f t="array" ref="E69">XLOOKUP(C69,'⬇️ PEMASUKAN'!$I$5:$I1181,'⬇️ PEMASUKAN'!$K$5:$K1181,,0,-1)</f>
        <v>K.ST - SESI TERAPI</v>
      </c>
      <c r="F69" s="145" t="str">
        <f t="shared" si="2"/>
        <v>K.ST - SESI TERAPI</v>
      </c>
      <c r="G69" s="145" t="str">
        <f t="shared" si="3"/>
        <v>CLOSING SESI</v>
      </c>
      <c r="H69" s="145" t="str">
        <f>IFERROR(__xludf.DUMMYFUNCTION("""COMPUTED_VALUE"""),"ORY")</f>
        <v>ORY</v>
      </c>
      <c r="I69" s="145" t="str">
        <f>IFERROR(__xludf.DUMMYFUNCTION("""COMPUTED_VALUE"""),"SUCI")</f>
        <v>SUCI</v>
      </c>
      <c r="J69" s="145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</row>
    <row r="70" ht="22.5" customHeight="1">
      <c r="A70" s="144">
        <f>IFERROR(__xludf.DUMMYFUNCTION("""COMPUTED_VALUE"""),46035.0)</f>
        <v>46035</v>
      </c>
      <c r="B70" s="145" t="str">
        <f t="shared" si="1"/>
        <v>01Jan</v>
      </c>
      <c r="C70" s="145" t="str">
        <f>IFERROR(__xludf.DUMMYFUNCTION("""COMPUTED_VALUE"""),"YANTO")</f>
        <v>YANTO</v>
      </c>
      <c r="D70" s="145">
        <f t="array" ref="D70">IFNA(XLOOKUP(C70,'👥 Daftar Nama Pasien'!$B$6:$B1181,'👥 Daftar Nama Pasien'!$D$6:$D1181),"")</f>
        <v>55</v>
      </c>
      <c r="E70" s="145" t="str">
        <f t="array" ref="E70">XLOOKUP(C70,'⬇️ PEMASUKAN'!$I$5:$I1181,'⬇️ PEMASUKAN'!$K$5:$K1181,,0,-1)</f>
        <v>K.TA - TERAPI AWAL</v>
      </c>
      <c r="F70" s="145" t="str">
        <f t="shared" si="2"/>
        <v>TIDAK CLOSING</v>
      </c>
      <c r="G70" s="145" t="str">
        <f t="shared" si="3"/>
        <v>TIDAK CLOSING</v>
      </c>
      <c r="H70" s="145" t="str">
        <f>IFERROR(__xludf.DUMMYFUNCTION("""COMPUTED_VALUE"""),"AUL")</f>
        <v>AUL</v>
      </c>
      <c r="I70" s="145" t="str">
        <f>IFERROR(__xludf.DUMMYFUNCTION("""COMPUTED_VALUE"""),"SUCI")</f>
        <v>SUCI</v>
      </c>
      <c r="J70" s="145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ht="22.5" customHeight="1">
      <c r="A71" s="144">
        <f>IFERROR(__xludf.DUMMYFUNCTION("""COMPUTED_VALUE"""),46036.0)</f>
        <v>46036</v>
      </c>
      <c r="B71" s="145" t="str">
        <f t="shared" si="1"/>
        <v>01Jan</v>
      </c>
      <c r="C71" s="145" t="str">
        <f>IFERROR(__xludf.DUMMYFUNCTION("""COMPUTED_VALUE"""),"ALVIN DIYANDRA")</f>
        <v>ALVIN DIYANDRA</v>
      </c>
      <c r="D71" s="145">
        <f t="array" ref="D71">IFNA(XLOOKUP(C71,'👥 Daftar Nama Pasien'!$B$6:$B1181,'👥 Daftar Nama Pasien'!$D$6:$D1181),"")</f>
        <v>29</v>
      </c>
      <c r="E71" s="145" t="str">
        <f t="array" ref="E71">XLOOKUP(C71,'⬇️ PEMASUKAN'!$I$5:$I1181,'⬇️ PEMASUKAN'!$K$5:$K1181,,0,-1)</f>
        <v>K.ST - SESI TERAPI</v>
      </c>
      <c r="F71" s="145" t="str">
        <f t="shared" si="2"/>
        <v>K.ST - SESI TERAPI</v>
      </c>
      <c r="G71" s="145" t="str">
        <f t="shared" si="3"/>
        <v>CLOSING SESI</v>
      </c>
      <c r="H71" s="145" t="str">
        <f>IFERROR(__xludf.DUMMYFUNCTION("""COMPUTED_VALUE"""),"WAHYU")</f>
        <v>WAHYU</v>
      </c>
      <c r="I71" s="145" t="str">
        <f>IFERROR(__xludf.DUMMYFUNCTION("""COMPUTED_VALUE"""),"SUCI")</f>
        <v>SUCI</v>
      </c>
      <c r="J71" s="145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</row>
    <row r="72" ht="22.5" customHeight="1">
      <c r="A72" s="144">
        <f>IFERROR(__xludf.DUMMYFUNCTION("""COMPUTED_VALUE"""),46036.0)</f>
        <v>46036</v>
      </c>
      <c r="B72" s="145" t="str">
        <f t="shared" si="1"/>
        <v>01Jan</v>
      </c>
      <c r="C72" s="145" t="str">
        <f>IFERROR(__xludf.DUMMYFUNCTION("""COMPUTED_VALUE"""),"EVI ")</f>
        <v>EVI </v>
      </c>
      <c r="D72" s="145">
        <f t="array" ref="D72">IFNA(XLOOKUP(C72,'👥 Daftar Nama Pasien'!$B$6:$B1181,'👥 Daftar Nama Pasien'!$D$6:$D1181),"")</f>
        <v>40</v>
      </c>
      <c r="E72" s="145" t="str">
        <f t="array" ref="E72">XLOOKUP(C72,'⬇️ PEMASUKAN'!$I$5:$I1181,'⬇️ PEMASUKAN'!$K$5:$K1181,,0,-1)</f>
        <v>K.TA - TERAPI AWAL</v>
      </c>
      <c r="F72" s="145" t="str">
        <f t="shared" si="2"/>
        <v>TIDAK CLOSING</v>
      </c>
      <c r="G72" s="145" t="str">
        <f t="shared" si="3"/>
        <v>TIDAK CLOSING</v>
      </c>
      <c r="H72" s="145" t="str">
        <f>IFERROR(__xludf.DUMMYFUNCTION("""COMPUTED_VALUE"""),"OKTA")</f>
        <v>OKTA</v>
      </c>
      <c r="I72" s="145" t="str">
        <f>IFERROR(__xludf.DUMMYFUNCTION("""COMPUTED_VALUE"""),"SUCI")</f>
        <v>SUCI</v>
      </c>
      <c r="J72" s="145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ht="22.5" customHeight="1">
      <c r="A73" s="144">
        <f>IFERROR(__xludf.DUMMYFUNCTION("""COMPUTED_VALUE"""),46036.0)</f>
        <v>46036</v>
      </c>
      <c r="B73" s="145" t="str">
        <f t="shared" si="1"/>
        <v>01Jan</v>
      </c>
      <c r="C73" s="145" t="str">
        <f>IFERROR(__xludf.DUMMYFUNCTION("""COMPUTED_VALUE"""),"ACHMAD RADAMA RINARDI")</f>
        <v>ACHMAD RADAMA RINARDI</v>
      </c>
      <c r="D73" s="145">
        <f t="array" ref="D73">IFNA(XLOOKUP(C73,'👥 Daftar Nama Pasien'!$B$6:$B1181,'👥 Daftar Nama Pasien'!$D$6:$D1181),"")</f>
        <v>33</v>
      </c>
      <c r="E73" s="145" t="str">
        <f t="array" ref="E73">XLOOKUP(C73,'⬇️ PEMASUKAN'!$I$5:$I1181,'⬇️ PEMASUKAN'!$K$5:$K1181,,0,-1)</f>
        <v>K.ST - SESI TERAPI</v>
      </c>
      <c r="F73" s="145" t="str">
        <f t="shared" si="2"/>
        <v>K.ST - SESI TERAPI</v>
      </c>
      <c r="G73" s="145" t="str">
        <f t="shared" si="3"/>
        <v>CLOSING SESI</v>
      </c>
      <c r="H73" s="145" t="str">
        <f>IFERROR(__xludf.DUMMYFUNCTION("""COMPUTED_VALUE"""),"WAHYU")</f>
        <v>WAHYU</v>
      </c>
      <c r="I73" s="145" t="str">
        <f>IFERROR(__xludf.DUMMYFUNCTION("""COMPUTED_VALUE"""),"SUCI")</f>
        <v>SUCI</v>
      </c>
      <c r="J73" s="145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</row>
    <row r="74" ht="22.5" customHeight="1">
      <c r="A74" s="144">
        <f>IFERROR(__xludf.DUMMYFUNCTION("""COMPUTED_VALUE"""),46036.0)</f>
        <v>46036</v>
      </c>
      <c r="B74" s="145" t="str">
        <f t="shared" si="1"/>
        <v>01Jan</v>
      </c>
      <c r="C74" s="145" t="str">
        <f>IFERROR(__xludf.DUMMYFUNCTION("""COMPUTED_VALUE"""),"VIONA PRICILA")</f>
        <v>VIONA PRICILA</v>
      </c>
      <c r="D74" s="145">
        <f t="array" ref="D74">IFNA(XLOOKUP(C74,'👥 Daftar Nama Pasien'!$B$6:$B1181,'👥 Daftar Nama Pasien'!$D$6:$D1181),"")</f>
        <v>31</v>
      </c>
      <c r="E74" s="145" t="str">
        <f t="array" ref="E74">XLOOKUP(C74,'⬇️ PEMASUKAN'!$I$5:$I1181,'⬇️ PEMASUKAN'!$K$5:$K1181,,0,-1)</f>
        <v>K.TA - TERAPI AWAL</v>
      </c>
      <c r="F74" s="145" t="str">
        <f t="shared" si="2"/>
        <v>TIDAK CLOSING</v>
      </c>
      <c r="G74" s="145" t="str">
        <f t="shared" si="3"/>
        <v>TIDAK CLOSING</v>
      </c>
      <c r="H74" s="145" t="str">
        <f>IFERROR(__xludf.DUMMYFUNCTION("""COMPUTED_VALUE"""),"DESTY")</f>
        <v>DESTY</v>
      </c>
      <c r="I74" s="145" t="str">
        <f>IFERROR(__xludf.DUMMYFUNCTION("""COMPUTED_VALUE"""),"NOPI")</f>
        <v>NOPI</v>
      </c>
      <c r="J74" s="145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 ht="22.5" customHeight="1">
      <c r="A75" s="144">
        <f>IFERROR(__xludf.DUMMYFUNCTION("""COMPUTED_VALUE"""),46036.0)</f>
        <v>46036</v>
      </c>
      <c r="B75" s="145" t="str">
        <f t="shared" si="1"/>
        <v>01Jan</v>
      </c>
      <c r="C75" s="145" t="str">
        <f>IFERROR(__xludf.DUMMYFUNCTION("""COMPUTED_VALUE"""),"ALIF BAINAL KHAFI")</f>
        <v>ALIF BAINAL KHAFI</v>
      </c>
      <c r="D75" s="145">
        <f t="array" ref="D75">IFNA(XLOOKUP(C75,'👥 Daftar Nama Pasien'!$B$6:$B1181,'👥 Daftar Nama Pasien'!$D$6:$D1181),"")</f>
        <v>21</v>
      </c>
      <c r="E75" s="145" t="str">
        <f t="array" ref="E75">XLOOKUP(C75,'⬇️ PEMASUKAN'!$I$5:$I1181,'⬇️ PEMASUKAN'!$K$5:$K1181,,0,-1)</f>
        <v>K.PT - PAKET 1</v>
      </c>
      <c r="F75" s="145" t="str">
        <f t="shared" si="2"/>
        <v>K.PT - PAKET 1</v>
      </c>
      <c r="G75" s="145" t="str">
        <f t="shared" si="3"/>
        <v>CLOSING PAKET</v>
      </c>
      <c r="H75" s="145" t="str">
        <f>IFERROR(__xludf.DUMMYFUNCTION("""COMPUTED_VALUE"""),"AUL")</f>
        <v>AUL</v>
      </c>
      <c r="I75" s="145" t="str">
        <f>IFERROR(__xludf.DUMMYFUNCTION("""COMPUTED_VALUE"""),"NOPI")</f>
        <v>NOPI</v>
      </c>
      <c r="J75" s="145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 ht="22.5" customHeight="1">
      <c r="A76" s="144">
        <f>IFERROR(__xludf.DUMMYFUNCTION("""COMPUTED_VALUE"""),46037.0)</f>
        <v>46037</v>
      </c>
      <c r="B76" s="145" t="str">
        <f t="shared" si="1"/>
        <v>01Jan</v>
      </c>
      <c r="C76" s="145" t="str">
        <f>IFERROR(__xludf.DUMMYFUNCTION("""COMPUTED_VALUE"""),"ASNIWATI")</f>
        <v>ASNIWATI</v>
      </c>
      <c r="D76" s="145">
        <f t="array" ref="D76">IFNA(XLOOKUP(C76,'👥 Daftar Nama Pasien'!$B$6:$B1181,'👥 Daftar Nama Pasien'!$D$6:$D1181),"")</f>
        <v>67</v>
      </c>
      <c r="E76" s="145" t="str">
        <f t="array" ref="E76">XLOOKUP(C76,'⬇️ PEMASUKAN'!$I$5:$I1181,'⬇️ PEMASUKAN'!$K$5:$K1181,,0,-1)</f>
        <v>V.ST - SESI VISIT</v>
      </c>
      <c r="F76" s="145" t="str">
        <f t="shared" si="2"/>
        <v>V.ST - SESI VISIT</v>
      </c>
      <c r="G76" s="145" t="str">
        <f t="shared" si="3"/>
        <v>TIDAK CLOSING</v>
      </c>
      <c r="H76" s="145" t="str">
        <f>IFERROR(__xludf.DUMMYFUNCTION("""COMPUTED_VALUE"""),"DESTY")</f>
        <v>DESTY</v>
      </c>
      <c r="I76" s="145" t="str">
        <f>IFERROR(__xludf.DUMMYFUNCTION("""COMPUTED_VALUE"""),"SUCI")</f>
        <v>SUCI</v>
      </c>
      <c r="J76" s="145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 ht="22.5" customHeight="1">
      <c r="A77" s="144">
        <f>IFERROR(__xludf.DUMMYFUNCTION("""COMPUTED_VALUE"""),46037.0)</f>
        <v>46037</v>
      </c>
      <c r="B77" s="145" t="str">
        <f t="shared" si="1"/>
        <v>01Jan</v>
      </c>
      <c r="C77" s="145" t="str">
        <f>IFERROR(__xludf.DUMMYFUNCTION("""COMPUTED_VALUE"""),"FATHUR RAHMAN")</f>
        <v>FATHUR RAHMAN</v>
      </c>
      <c r="D77" s="145">
        <f t="array" ref="D77">IFNA(XLOOKUP(C77,'👥 Daftar Nama Pasien'!$B$6:$B1181,'👥 Daftar Nama Pasien'!$D$6:$D1181),"")</f>
        <v>21</v>
      </c>
      <c r="E77" s="145" t="str">
        <f t="array" ref="E77">XLOOKUP(C77,'⬇️ PEMASUKAN'!$I$5:$I1181,'⬇️ PEMASUKAN'!$K$5:$K1181,,0,-1)</f>
        <v>K.ST - SESI TERAPI</v>
      </c>
      <c r="F77" s="145" t="str">
        <f t="shared" si="2"/>
        <v>K.ST - SESI TERAPI</v>
      </c>
      <c r="G77" s="145" t="str">
        <f t="shared" si="3"/>
        <v>CLOSING SESI</v>
      </c>
      <c r="H77" s="145" t="str">
        <f>IFERROR(__xludf.DUMMYFUNCTION("""COMPUTED_VALUE"""),"ORY")</f>
        <v>ORY</v>
      </c>
      <c r="I77" s="145" t="str">
        <f>IFERROR(__xludf.DUMMYFUNCTION("""COMPUTED_VALUE"""),"SUCI")</f>
        <v>SUCI</v>
      </c>
      <c r="J77" s="145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 ht="22.5" customHeight="1">
      <c r="A78" s="144">
        <f>IFERROR(__xludf.DUMMYFUNCTION("""COMPUTED_VALUE"""),46037.0)</f>
        <v>46037</v>
      </c>
      <c r="B78" s="145" t="str">
        <f t="shared" si="1"/>
        <v>01Jan</v>
      </c>
      <c r="C78" s="145" t="str">
        <f>IFERROR(__xludf.DUMMYFUNCTION("""COMPUTED_VALUE"""),"DELLY MARINA")</f>
        <v>DELLY MARINA</v>
      </c>
      <c r="D78" s="145">
        <f t="array" ref="D78">IFNA(XLOOKUP(C78,'👥 Daftar Nama Pasien'!$B$6:$B1181,'👥 Daftar Nama Pasien'!$D$6:$D1181),"")</f>
        <v>43</v>
      </c>
      <c r="E78" s="145" t="str">
        <f t="array" ref="E78">XLOOKUP(C78,'⬇️ PEMASUKAN'!$I$5:$I1181,'⬇️ PEMASUKAN'!$K$5:$K1181,,0,-1)</f>
        <v>K.PT - PAKET 1</v>
      </c>
      <c r="F78" s="145" t="str">
        <f t="shared" si="2"/>
        <v>K.PT - PAKET 1</v>
      </c>
      <c r="G78" s="145" t="str">
        <f t="shared" si="3"/>
        <v>CLOSING PAKET</v>
      </c>
      <c r="H78" s="145" t="str">
        <f>IFERROR(__xludf.DUMMYFUNCTION("""COMPUTED_VALUE"""),"DESTY")</f>
        <v>DESTY</v>
      </c>
      <c r="I78" s="145" t="str">
        <f>IFERROR(__xludf.DUMMYFUNCTION("""COMPUTED_VALUE"""),"SUCI")</f>
        <v>SUCI</v>
      </c>
      <c r="J78" s="145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 ht="22.5" customHeight="1">
      <c r="A79" s="144">
        <f>IFERROR(__xludf.DUMMYFUNCTION("""COMPUTED_VALUE"""),46037.0)</f>
        <v>46037</v>
      </c>
      <c r="B79" s="145" t="str">
        <f t="shared" si="1"/>
        <v>01Jan</v>
      </c>
      <c r="C79" s="145" t="str">
        <f>IFERROR(__xludf.DUMMYFUNCTION("""COMPUTED_VALUE"""),"YAYUK")</f>
        <v>YAYUK</v>
      </c>
      <c r="D79" s="145" t="str">
        <f t="array" ref="D79">IFNA(XLOOKUP(C79,'👥 Daftar Nama Pasien'!$B$6:$B1181,'👥 Daftar Nama Pasien'!$D$6:$D1181),"")</f>
        <v/>
      </c>
      <c r="E79" s="145" t="str">
        <f t="array" ref="E79">XLOOKUP(C79,'⬇️ PEMASUKAN'!$I$5:$I1181,'⬇️ PEMASUKAN'!$K$5:$K1181,,0,-1)</f>
        <v>K.TA - TERAPI AWAL</v>
      </c>
      <c r="F79" s="145" t="str">
        <f t="shared" si="2"/>
        <v>TIDAK CLOSING</v>
      </c>
      <c r="G79" s="145" t="str">
        <f t="shared" si="3"/>
        <v>TIDAK CLOSING</v>
      </c>
      <c r="H79" s="145" t="str">
        <f>IFERROR(__xludf.DUMMYFUNCTION("""COMPUTED_VALUE"""),"DESTY")</f>
        <v>DESTY</v>
      </c>
      <c r="I79" s="145" t="str">
        <f>IFERROR(__xludf.DUMMYFUNCTION("""COMPUTED_VALUE"""),"SUCI")</f>
        <v>SUCI</v>
      </c>
      <c r="J79" s="145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</row>
    <row r="80" ht="22.5" customHeight="1">
      <c r="A80" s="144">
        <f>IFERROR(__xludf.DUMMYFUNCTION("""COMPUTED_VALUE"""),46037.0)</f>
        <v>46037</v>
      </c>
      <c r="B80" s="145" t="str">
        <f t="shared" si="1"/>
        <v>01Jan</v>
      </c>
      <c r="C80" s="145" t="str">
        <f>IFERROR(__xludf.DUMMYFUNCTION("""COMPUTED_VALUE"""),"FITRA ALHANI")</f>
        <v>FITRA ALHANI</v>
      </c>
      <c r="D80" s="145">
        <f t="array" ref="D80">IFNA(XLOOKUP(C80,'👥 Daftar Nama Pasien'!$B$6:$B1181,'👥 Daftar Nama Pasien'!$D$6:$D1181),"")</f>
        <v>38</v>
      </c>
      <c r="E80" s="145" t="str">
        <f t="array" ref="E80">XLOOKUP(C80,'⬇️ PEMASUKAN'!$I$5:$I1181,'⬇️ PEMASUKAN'!$K$5:$K1181,,0,-1)</f>
        <v>K.TA - TERAPI AWAL</v>
      </c>
      <c r="F80" s="145" t="str">
        <f t="shared" si="2"/>
        <v>TIDAK CLOSING</v>
      </c>
      <c r="G80" s="145" t="str">
        <f t="shared" si="3"/>
        <v>TIDAK CLOSING</v>
      </c>
      <c r="H80" s="145" t="str">
        <f>IFERROR(__xludf.DUMMYFUNCTION("""COMPUTED_VALUE"""),"AUL")</f>
        <v>AUL</v>
      </c>
      <c r="I80" s="145" t="str">
        <f>IFERROR(__xludf.DUMMYFUNCTION("""COMPUTED_VALUE"""),"SUCI")</f>
        <v>SUCI</v>
      </c>
      <c r="J80" s="145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</row>
    <row r="81" ht="22.5" customHeight="1">
      <c r="A81" s="144">
        <f>IFERROR(__xludf.DUMMYFUNCTION("""COMPUTED_VALUE"""),46037.0)</f>
        <v>46037</v>
      </c>
      <c r="B81" s="145" t="str">
        <f t="shared" si="1"/>
        <v>01Jan</v>
      </c>
      <c r="C81" s="145" t="str">
        <f>IFERROR(__xludf.DUMMYFUNCTION("""COMPUTED_VALUE"""),"NAJLA NURHALIZA")</f>
        <v>NAJLA NURHALIZA</v>
      </c>
      <c r="D81" s="145">
        <f t="array" ref="D81">IFNA(XLOOKUP(C81,'👥 Daftar Nama Pasien'!$B$6:$B1181,'👥 Daftar Nama Pasien'!$D$6:$D1181),"")</f>
        <v>22</v>
      </c>
      <c r="E81" s="145" t="str">
        <f t="array" ref="E81">XLOOKUP(C81,'⬇️ PEMASUKAN'!$I$5:$I1181,'⬇️ PEMASUKAN'!$K$5:$K1181,,0,-1)</f>
        <v>K.TA - TERAPI AWAL</v>
      </c>
      <c r="F81" s="145" t="str">
        <f t="shared" si="2"/>
        <v>TIDAK CLOSING</v>
      </c>
      <c r="G81" s="145" t="str">
        <f t="shared" si="3"/>
        <v>TIDAK CLOSING</v>
      </c>
      <c r="H81" s="145" t="str">
        <f>IFERROR(__xludf.DUMMYFUNCTION("""COMPUTED_VALUE"""),"OKTA")</f>
        <v>OKTA</v>
      </c>
      <c r="I81" s="145" t="str">
        <f>IFERROR(__xludf.DUMMYFUNCTION("""COMPUTED_VALUE"""),"NOPI")</f>
        <v>NOPI</v>
      </c>
      <c r="J81" s="145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</row>
    <row r="82" ht="22.5" customHeight="1">
      <c r="A82" s="144">
        <f>IFERROR(__xludf.DUMMYFUNCTION("""COMPUTED_VALUE"""),46037.0)</f>
        <v>46037</v>
      </c>
      <c r="B82" s="145" t="str">
        <f t="shared" si="1"/>
        <v>01Jan</v>
      </c>
      <c r="C82" s="145" t="str">
        <f>IFERROR(__xludf.DUMMYFUNCTION("""COMPUTED_VALUE"""),"FELIKS ARMANTO")</f>
        <v>FELIKS ARMANTO</v>
      </c>
      <c r="D82" s="145">
        <f t="array" ref="D82">IFNA(XLOOKUP(C82,'👥 Daftar Nama Pasien'!$B$6:$B1181,'👥 Daftar Nama Pasien'!$D$6:$D1181),"")</f>
        <v>27</v>
      </c>
      <c r="E82" s="145" t="str">
        <f t="array" ref="E82">XLOOKUP(C82,'⬇️ PEMASUKAN'!$I$5:$I1181,'⬇️ PEMASUKAN'!$K$5:$K1181,,0,-1)</f>
        <v>K.ST - SESI TERAPI</v>
      </c>
      <c r="F82" s="145" t="str">
        <f t="shared" si="2"/>
        <v>K.ST - SESI TERAPI</v>
      </c>
      <c r="G82" s="145" t="str">
        <f t="shared" si="3"/>
        <v>CLOSING SESI</v>
      </c>
      <c r="H82" s="145" t="str">
        <f>IFERROR(__xludf.DUMMYFUNCTION("""COMPUTED_VALUE"""),"HESTI")</f>
        <v>HESTI</v>
      </c>
      <c r="I82" s="145" t="str">
        <f>IFERROR(__xludf.DUMMYFUNCTION("""COMPUTED_VALUE"""),"NOPI")</f>
        <v>NOPI</v>
      </c>
      <c r="J82" s="145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</row>
    <row r="83" ht="22.5" customHeight="1">
      <c r="A83" s="144">
        <f>IFERROR(__xludf.DUMMYFUNCTION("""COMPUTED_VALUE"""),46037.0)</f>
        <v>46037</v>
      </c>
      <c r="B83" s="145" t="str">
        <f t="shared" si="1"/>
        <v>01Jan</v>
      </c>
      <c r="C83" s="145" t="str">
        <f>IFERROR(__xludf.DUMMYFUNCTION("""COMPUTED_VALUE"""),"ZULIANA")</f>
        <v>ZULIANA</v>
      </c>
      <c r="D83" s="145">
        <f t="array" ref="D83">IFNA(XLOOKUP(C83,'👥 Daftar Nama Pasien'!$B$6:$B1181,'👥 Daftar Nama Pasien'!$D$6:$D1181),"")</f>
        <v>42</v>
      </c>
      <c r="E83" s="145" t="str">
        <f t="array" ref="E83">XLOOKUP(C83,'⬇️ PEMASUKAN'!$I$5:$I1181,'⬇️ PEMASUKAN'!$K$5:$K1181,,0,-1)</f>
        <v>K.TA - TERAPI AWAL</v>
      </c>
      <c r="F83" s="145" t="str">
        <f t="shared" si="2"/>
        <v>TIDAK CLOSING</v>
      </c>
      <c r="G83" s="145" t="str">
        <f t="shared" si="3"/>
        <v>TIDAK CLOSING</v>
      </c>
      <c r="H83" s="145" t="str">
        <f>IFERROR(__xludf.DUMMYFUNCTION("""COMPUTED_VALUE"""),"OKTA")</f>
        <v>OKTA</v>
      </c>
      <c r="I83" s="145" t="str">
        <f>IFERROR(__xludf.DUMMYFUNCTION("""COMPUTED_VALUE"""),"NOPI")</f>
        <v>NOPI</v>
      </c>
      <c r="J83" s="145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</row>
    <row r="84" ht="22.5" customHeight="1">
      <c r="A84" s="144">
        <f>IFERROR(__xludf.DUMMYFUNCTION("""COMPUTED_VALUE"""),46037.0)</f>
        <v>46037</v>
      </c>
      <c r="B84" s="145" t="str">
        <f t="shared" si="1"/>
        <v>01Jan</v>
      </c>
      <c r="C84" s="145" t="str">
        <f>IFERROR(__xludf.DUMMYFUNCTION("""COMPUTED_VALUE"""),"DRS. H. SARDI. S")</f>
        <v>DRS. H. SARDI. S</v>
      </c>
      <c r="D84" s="145">
        <f t="array" ref="D84">IFNA(XLOOKUP(C84,'👥 Daftar Nama Pasien'!$B$6:$B1181,'👥 Daftar Nama Pasien'!$D$6:$D1181),"")</f>
        <v>72</v>
      </c>
      <c r="E84" s="145" t="str">
        <f t="array" ref="E84">XLOOKUP(C84,'⬇️ PEMASUKAN'!$I$5:$I1181,'⬇️ PEMASUKAN'!$K$5:$K1181,,0,-1)</f>
        <v>K.TA - TERAPI AWAL</v>
      </c>
      <c r="F84" s="145" t="str">
        <f t="shared" si="2"/>
        <v>TIDAK CLOSING</v>
      </c>
      <c r="G84" s="145" t="str">
        <f t="shared" si="3"/>
        <v>TIDAK CLOSING</v>
      </c>
      <c r="H84" s="145" t="str">
        <f>IFERROR(__xludf.DUMMYFUNCTION("""COMPUTED_VALUE"""),"PRITY")</f>
        <v>PRITY</v>
      </c>
      <c r="I84" s="145" t="str">
        <f>IFERROR(__xludf.DUMMYFUNCTION("""COMPUTED_VALUE"""),"NOPI")</f>
        <v>NOPI</v>
      </c>
      <c r="J84" s="145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</row>
    <row r="85" ht="22.5" customHeight="1">
      <c r="A85" s="144">
        <f>IFERROR(__xludf.DUMMYFUNCTION("""COMPUTED_VALUE"""),46039.0)</f>
        <v>46039</v>
      </c>
      <c r="B85" s="145" t="str">
        <f t="shared" si="1"/>
        <v>01Jan</v>
      </c>
      <c r="C85" s="145" t="str">
        <f>IFERROR(__xludf.DUMMYFUNCTION("""COMPUTED_VALUE"""),"SUWARNI")</f>
        <v>SUWARNI</v>
      </c>
      <c r="D85" s="145">
        <f t="array" ref="D85">IFNA(XLOOKUP(C85,'👥 Daftar Nama Pasien'!$B$6:$B1181,'👥 Daftar Nama Pasien'!$D$6:$D1181),"")</f>
        <v>64</v>
      </c>
      <c r="E85" s="145" t="str">
        <f t="array" ref="E85">XLOOKUP(C85,'⬇️ PEMASUKAN'!$I$5:$I1181,'⬇️ PEMASUKAN'!$K$5:$K1181,,0,-1)</f>
        <v>K.ST - SESI TERAPI</v>
      </c>
      <c r="F85" s="145" t="str">
        <f t="shared" si="2"/>
        <v>K.ST - SESI TERAPI</v>
      </c>
      <c r="G85" s="145" t="str">
        <f t="shared" si="3"/>
        <v>CLOSING SESI</v>
      </c>
      <c r="H85" s="145" t="str">
        <f>IFERROR(__xludf.DUMMYFUNCTION("""COMPUTED_VALUE"""),"HESTI")</f>
        <v>HESTI</v>
      </c>
      <c r="I85" s="145" t="str">
        <f>IFERROR(__xludf.DUMMYFUNCTION("""COMPUTED_VALUE"""),"SUCI")</f>
        <v>SUCI</v>
      </c>
      <c r="J85" s="145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</row>
    <row r="86" ht="22.5" customHeight="1">
      <c r="A86" s="144">
        <f>IFERROR(__xludf.DUMMYFUNCTION("""COMPUTED_VALUE"""),46039.0)</f>
        <v>46039</v>
      </c>
      <c r="B86" s="145" t="str">
        <f t="shared" si="1"/>
        <v>01Jan</v>
      </c>
      <c r="C86" s="145" t="str">
        <f>IFERROR(__xludf.DUMMYFUNCTION("""COMPUTED_VALUE"""),"SHAFA NUR INTAN FAJRIAH")</f>
        <v>SHAFA NUR INTAN FAJRIAH</v>
      </c>
      <c r="D86" s="145">
        <f t="array" ref="D86">IFNA(XLOOKUP(C86,'👥 Daftar Nama Pasien'!$B$6:$B1181,'👥 Daftar Nama Pasien'!$D$6:$D1181),"")</f>
        <v>21</v>
      </c>
      <c r="E86" s="145" t="str">
        <f t="array" ref="E86">XLOOKUP(C86,'⬇️ PEMASUKAN'!$I$5:$I1181,'⬇️ PEMASUKAN'!$K$5:$K1181,,0,-1)</f>
        <v>K.TA - TERAPI AWAL</v>
      </c>
      <c r="F86" s="145" t="str">
        <f t="shared" si="2"/>
        <v>TIDAK CLOSING</v>
      </c>
      <c r="G86" s="145" t="str">
        <f t="shared" si="3"/>
        <v>TIDAK CLOSING</v>
      </c>
      <c r="H86" s="145" t="str">
        <f>IFERROR(__xludf.DUMMYFUNCTION("""COMPUTED_VALUE"""),"HESTI")</f>
        <v>HESTI</v>
      </c>
      <c r="I86" s="145" t="str">
        <f>IFERROR(__xludf.DUMMYFUNCTION("""COMPUTED_VALUE"""),"SUCI")</f>
        <v>SUCI</v>
      </c>
      <c r="J86" s="145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</row>
    <row r="87" ht="22.5" customHeight="1">
      <c r="A87" s="144">
        <f>IFERROR(__xludf.DUMMYFUNCTION("""COMPUTED_VALUE"""),46039.0)</f>
        <v>46039</v>
      </c>
      <c r="B87" s="145" t="str">
        <f t="shared" si="1"/>
        <v>01Jan</v>
      </c>
      <c r="C87" s="145" t="str">
        <f>IFERROR(__xludf.DUMMYFUNCTION("""COMPUTED_VALUE"""),"PERMATA DEWI ANDINI")</f>
        <v>PERMATA DEWI ANDINI</v>
      </c>
      <c r="D87" s="145">
        <f t="array" ref="D87">IFNA(XLOOKUP(C87,'👥 Daftar Nama Pasien'!$B$6:$B1181,'👥 Daftar Nama Pasien'!$D$6:$D1181),"")</f>
        <v>24</v>
      </c>
      <c r="E87" s="145" t="str">
        <f t="array" ref="E87">XLOOKUP(C87,'⬇️ PEMASUKAN'!$I$5:$I1181,'⬇️ PEMASUKAN'!$K$5:$K1181,,0,-1)</f>
        <v>K.PT - PAKET 1</v>
      </c>
      <c r="F87" s="145" t="str">
        <f t="shared" si="2"/>
        <v>K.PT - PAKET 1</v>
      </c>
      <c r="G87" s="145" t="str">
        <f t="shared" si="3"/>
        <v>CLOSING PAKET</v>
      </c>
      <c r="H87" s="145" t="str">
        <f>IFERROR(__xludf.DUMMYFUNCTION("""COMPUTED_VALUE"""),"PRITY")</f>
        <v>PRITY</v>
      </c>
      <c r="I87" s="145" t="str">
        <f>IFERROR(__xludf.DUMMYFUNCTION("""COMPUTED_VALUE"""),"SUCI")</f>
        <v>SUCI</v>
      </c>
      <c r="J87" s="145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ht="22.5" customHeight="1">
      <c r="A88" s="144">
        <f>IFERROR(__xludf.DUMMYFUNCTION("""COMPUTED_VALUE"""),46039.0)</f>
        <v>46039</v>
      </c>
      <c r="B88" s="145" t="str">
        <f t="shared" si="1"/>
        <v>01Jan</v>
      </c>
      <c r="C88" s="145" t="str">
        <f>IFERROR(__xludf.DUMMYFUNCTION("""COMPUTED_VALUE"""),"MUHAMMAD REZKY NUGRAHA")</f>
        <v>MUHAMMAD REZKY NUGRAHA</v>
      </c>
      <c r="D88" s="145">
        <f t="array" ref="D88">IFNA(XLOOKUP(C88,'👥 Daftar Nama Pasien'!$B$6:$B1181,'👥 Daftar Nama Pasien'!$D$6:$D1181),"")</f>
        <v>28</v>
      </c>
      <c r="E88" s="145" t="str">
        <f t="array" ref="E88">XLOOKUP(C88,'⬇️ PEMASUKAN'!$I$5:$I1181,'⬇️ PEMASUKAN'!$K$5:$K1181,,0,-1)</f>
        <v>K.ST - SESI TERAPI</v>
      </c>
      <c r="F88" s="145" t="str">
        <f t="shared" si="2"/>
        <v>K.ST - SESI TERAPI</v>
      </c>
      <c r="G88" s="145" t="str">
        <f t="shared" si="3"/>
        <v>CLOSING SESI</v>
      </c>
      <c r="H88" s="145" t="str">
        <f>IFERROR(__xludf.DUMMYFUNCTION("""COMPUTED_VALUE"""),"DANI")</f>
        <v>DANI</v>
      </c>
      <c r="I88" s="145" t="str">
        <f>IFERROR(__xludf.DUMMYFUNCTION("""COMPUTED_VALUE"""),"SUCI")</f>
        <v>SUCI</v>
      </c>
      <c r="J88" s="145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 ht="22.5" customHeight="1">
      <c r="A89" s="144">
        <f>IFERROR(__xludf.DUMMYFUNCTION("""COMPUTED_VALUE"""),46039.0)</f>
        <v>46039</v>
      </c>
      <c r="B89" s="145" t="str">
        <f t="shared" si="1"/>
        <v>01Jan</v>
      </c>
      <c r="C89" s="145" t="str">
        <f>IFERROR(__xludf.DUMMYFUNCTION("""COMPUTED_VALUE"""),"MAWAR AURELYSCA IRAWAN")</f>
        <v>MAWAR AURELYSCA IRAWAN</v>
      </c>
      <c r="D89" s="145">
        <f t="array" ref="D89">IFNA(XLOOKUP(C89,'👥 Daftar Nama Pasien'!$B$6:$B1181,'👥 Daftar Nama Pasien'!$D$6:$D1181),"")</f>
        <v>15</v>
      </c>
      <c r="E89" s="145" t="str">
        <f t="array" ref="E89">XLOOKUP(C89,'⬇️ PEMASUKAN'!$I$5:$I1181,'⬇️ PEMASUKAN'!$K$5:$K1181,,0,-1)</f>
        <v>K.TA - TERAPI AWAL</v>
      </c>
      <c r="F89" s="145" t="str">
        <f t="shared" si="2"/>
        <v>TIDAK CLOSING</v>
      </c>
      <c r="G89" s="145" t="str">
        <f t="shared" si="3"/>
        <v>TIDAK CLOSING</v>
      </c>
      <c r="H89" s="145" t="str">
        <f>IFERROR(__xludf.DUMMYFUNCTION("""COMPUTED_VALUE"""),"HENA")</f>
        <v>HENA</v>
      </c>
      <c r="I89" s="145" t="str">
        <f>IFERROR(__xludf.DUMMYFUNCTION("""COMPUTED_VALUE"""),"SUCI")</f>
        <v>SUCI</v>
      </c>
      <c r="J89" s="145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 ht="22.5" customHeight="1">
      <c r="A90" s="144">
        <f>IFERROR(__xludf.DUMMYFUNCTION("""COMPUTED_VALUE"""),46039.0)</f>
        <v>46039</v>
      </c>
      <c r="B90" s="145" t="str">
        <f t="shared" si="1"/>
        <v>01Jan</v>
      </c>
      <c r="C90" s="145" t="str">
        <f>IFERROR(__xludf.DUMMYFUNCTION("""COMPUTED_VALUE"""),"ANDIKA PRATAMA PUTRA")</f>
        <v>ANDIKA PRATAMA PUTRA</v>
      </c>
      <c r="D90" s="145">
        <f t="array" ref="D90">IFNA(XLOOKUP(C90,'👥 Daftar Nama Pasien'!$B$6:$B1181,'👥 Daftar Nama Pasien'!$D$6:$D1181),"")</f>
        <v>30</v>
      </c>
      <c r="E90" s="145" t="str">
        <f t="array" ref="E90">XLOOKUP(C90,'⬇️ PEMASUKAN'!$I$5:$I1181,'⬇️ PEMASUKAN'!$K$5:$K1181,,0,-1)</f>
        <v>K.PT - PAKET 2</v>
      </c>
      <c r="F90" s="145" t="str">
        <f t="shared" si="2"/>
        <v>K.PT - PAKET 2</v>
      </c>
      <c r="G90" s="145" t="str">
        <f t="shared" si="3"/>
        <v>CLOSING PAKET</v>
      </c>
      <c r="H90" s="145" t="str">
        <f>IFERROR(__xludf.DUMMYFUNCTION("""COMPUTED_VALUE"""),"AUL")</f>
        <v>AUL</v>
      </c>
      <c r="I90" s="145" t="str">
        <f>IFERROR(__xludf.DUMMYFUNCTION("""COMPUTED_VALUE"""),"NOPI")</f>
        <v>NOPI</v>
      </c>
      <c r="J90" s="145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ht="22.5" customHeight="1">
      <c r="A91" s="144">
        <f>IFERROR(__xludf.DUMMYFUNCTION("""COMPUTED_VALUE"""),46039.0)</f>
        <v>46039</v>
      </c>
      <c r="B91" s="145" t="str">
        <f t="shared" si="1"/>
        <v>01Jan</v>
      </c>
      <c r="C91" s="145" t="str">
        <f>IFERROR(__xludf.DUMMYFUNCTION("""COMPUTED_VALUE"""),"HAMBALI")</f>
        <v>HAMBALI</v>
      </c>
      <c r="D91" s="145">
        <f t="array" ref="D91">IFNA(XLOOKUP(C91,'👥 Daftar Nama Pasien'!$B$6:$B1181,'👥 Daftar Nama Pasien'!$D$6:$D1181),"")</f>
        <v>25</v>
      </c>
      <c r="E91" s="145" t="str">
        <f t="array" ref="E91">XLOOKUP(C91,'⬇️ PEMASUKAN'!$I$5:$I1181,'⬇️ PEMASUKAN'!$K$5:$K1181,,0,-1)</f>
        <v>K.ST - SESI TERAPI</v>
      </c>
      <c r="F91" s="145" t="str">
        <f t="shared" si="2"/>
        <v>K.ST - SESI TERAPI</v>
      </c>
      <c r="G91" s="145" t="str">
        <f t="shared" si="3"/>
        <v>CLOSING SESI</v>
      </c>
      <c r="H91" s="145" t="str">
        <f>IFERROR(__xludf.DUMMYFUNCTION("""COMPUTED_VALUE"""),"OKTA")</f>
        <v>OKTA</v>
      </c>
      <c r="I91" s="145" t="str">
        <f>IFERROR(__xludf.DUMMYFUNCTION("""COMPUTED_VALUE"""),"NOPI")</f>
        <v>NOPI</v>
      </c>
      <c r="J91" s="145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</row>
    <row r="92" ht="22.5" customHeight="1">
      <c r="A92" s="144">
        <f>IFERROR(__xludf.DUMMYFUNCTION("""COMPUTED_VALUE"""),46039.0)</f>
        <v>46039</v>
      </c>
      <c r="B92" s="145" t="str">
        <f t="shared" si="1"/>
        <v>01Jan</v>
      </c>
      <c r="C92" s="145" t="str">
        <f>IFERROR(__xludf.DUMMYFUNCTION("""COMPUTED_VALUE"""),"ARIF KURNIAWAN")</f>
        <v>ARIF KURNIAWAN</v>
      </c>
      <c r="D92" s="145">
        <f t="array" ref="D92">IFNA(XLOOKUP(C92,'👥 Daftar Nama Pasien'!$B$6:$B1181,'👥 Daftar Nama Pasien'!$D$6:$D1181),"")</f>
        <v>52</v>
      </c>
      <c r="E92" s="145" t="str">
        <f t="array" ref="E92">XLOOKUP(C92,'⬇️ PEMASUKAN'!$I$5:$I1181,'⬇️ PEMASUKAN'!$K$5:$K1181,,0,-1)</f>
        <v>K.TA - TERAPI AWAL</v>
      </c>
      <c r="F92" s="145" t="str">
        <f t="shared" si="2"/>
        <v>TIDAK CLOSING</v>
      </c>
      <c r="G92" s="145" t="str">
        <f t="shared" si="3"/>
        <v>TIDAK CLOSING</v>
      </c>
      <c r="H92" s="145" t="str">
        <f>IFERROR(__xludf.DUMMYFUNCTION("""COMPUTED_VALUE"""),"OKTA")</f>
        <v>OKTA</v>
      </c>
      <c r="I92" s="145" t="str">
        <f>IFERROR(__xludf.DUMMYFUNCTION("""COMPUTED_VALUE"""),"NOPI")</f>
        <v>NOPI</v>
      </c>
      <c r="J92" s="145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</row>
    <row r="93" ht="22.5" customHeight="1">
      <c r="A93" s="144">
        <f>IFERROR(__xludf.DUMMYFUNCTION("""COMPUTED_VALUE"""),46039.0)</f>
        <v>46039</v>
      </c>
      <c r="B93" s="145" t="str">
        <f t="shared" si="1"/>
        <v>01Jan</v>
      </c>
      <c r="C93" s="145" t="str">
        <f>IFERROR(__xludf.DUMMYFUNCTION("""COMPUTED_VALUE"""),"HENNY")</f>
        <v>HENNY</v>
      </c>
      <c r="D93" s="145">
        <f t="array" ref="D93">IFNA(XLOOKUP(C93,'👥 Daftar Nama Pasien'!$B$6:$B1181,'👥 Daftar Nama Pasien'!$D$6:$D1181),"")</f>
        <v>68</v>
      </c>
      <c r="E93" s="145" t="str">
        <f t="array" ref="E93">XLOOKUP(C93,'⬇️ PEMASUKAN'!$I$5:$I1181,'⬇️ PEMASUKAN'!$K$5:$K1181,,0,-1)</f>
        <v>K.ST - SESI TERAPI</v>
      </c>
      <c r="F93" s="145" t="str">
        <f t="shared" si="2"/>
        <v>K.ST - SESI TERAPI</v>
      </c>
      <c r="G93" s="145" t="str">
        <f t="shared" si="3"/>
        <v>CLOSING SESI</v>
      </c>
      <c r="H93" s="145" t="str">
        <f>IFERROR(__xludf.DUMMYFUNCTION("""COMPUTED_VALUE"""),"DESTY")</f>
        <v>DESTY</v>
      </c>
      <c r="I93" s="145" t="str">
        <f>IFERROR(__xludf.DUMMYFUNCTION("""COMPUTED_VALUE"""),"NOPI")</f>
        <v>NOPI</v>
      </c>
      <c r="J93" s="145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</row>
    <row r="94" ht="22.5" customHeight="1">
      <c r="A94" s="144">
        <f>IFERROR(__xludf.DUMMYFUNCTION("""COMPUTED_VALUE"""),46040.0)</f>
        <v>46040</v>
      </c>
      <c r="B94" s="145" t="str">
        <f t="shared" si="1"/>
        <v>01Jan</v>
      </c>
      <c r="C94" s="145" t="str">
        <f>IFERROR(__xludf.DUMMYFUNCTION("""COMPUTED_VALUE"""),"RIZQY FACHRIA")</f>
        <v>RIZQY FACHRIA</v>
      </c>
      <c r="D94" s="145">
        <f t="array" ref="D94">IFNA(XLOOKUP(C94,'👥 Daftar Nama Pasien'!$B$6:$B1181,'👥 Daftar Nama Pasien'!$D$6:$D1181),"")</f>
        <v>30</v>
      </c>
      <c r="E94" s="145" t="str">
        <f t="array" ref="E94">XLOOKUP(C94,'⬇️ PEMASUKAN'!$I$5:$I1181,'⬇️ PEMASUKAN'!$K$5:$K1181,,0,-1)</f>
        <v>K.PT - PAKET 1</v>
      </c>
      <c r="F94" s="145" t="str">
        <f t="shared" si="2"/>
        <v>K.PT - PAKET 1</v>
      </c>
      <c r="G94" s="145" t="str">
        <f t="shared" si="3"/>
        <v>CLOSING PAKET</v>
      </c>
      <c r="H94" s="145" t="str">
        <f>IFERROR(__xludf.DUMMYFUNCTION("""COMPUTED_VALUE"""),"OKTA")</f>
        <v>OKTA</v>
      </c>
      <c r="I94" s="145" t="str">
        <f>IFERROR(__xludf.DUMMYFUNCTION("""COMPUTED_VALUE"""),"SUCI")</f>
        <v>SUCI</v>
      </c>
      <c r="J94" s="145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</row>
    <row r="95" ht="22.5" customHeight="1">
      <c r="A95" s="144">
        <f>IFERROR(__xludf.DUMMYFUNCTION("""COMPUTED_VALUE"""),46040.0)</f>
        <v>46040</v>
      </c>
      <c r="B95" s="145" t="str">
        <f t="shared" si="1"/>
        <v>01Jan</v>
      </c>
      <c r="C95" s="145" t="str">
        <f>IFERROR(__xludf.DUMMYFUNCTION("""COMPUTED_VALUE"""),"MUHAMMAD AFZANI NUR ")</f>
        <v>MUHAMMAD AFZANI NUR </v>
      </c>
      <c r="D95" s="145">
        <f t="array" ref="D95">IFNA(XLOOKUP(C95,'👥 Daftar Nama Pasien'!$B$6:$B1181,'👥 Daftar Nama Pasien'!$D$6:$D1181),"")</f>
        <v>19</v>
      </c>
      <c r="E95" s="145" t="str">
        <f t="array" ref="E95">XLOOKUP(C95,'⬇️ PEMASUKAN'!$I$5:$I1181,'⬇️ PEMASUKAN'!$K$5:$K1181,,0,-1)</f>
        <v>K.ST - SESI TERAPI</v>
      </c>
      <c r="F95" s="145" t="str">
        <f t="shared" si="2"/>
        <v>K.ST - SESI TERAPI</v>
      </c>
      <c r="G95" s="145" t="str">
        <f t="shared" si="3"/>
        <v>CLOSING SESI</v>
      </c>
      <c r="H95" s="145" t="str">
        <f>IFERROR(__xludf.DUMMYFUNCTION("""COMPUTED_VALUE"""),"WAHYU")</f>
        <v>WAHYU</v>
      </c>
      <c r="I95" s="145" t="str">
        <f>IFERROR(__xludf.DUMMYFUNCTION("""COMPUTED_VALUE"""),"SUCI")</f>
        <v>SUCI</v>
      </c>
      <c r="J95" s="145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</row>
    <row r="96" ht="22.5" customHeight="1">
      <c r="A96" s="144">
        <f>IFERROR(__xludf.DUMMYFUNCTION("""COMPUTED_VALUE"""),46040.0)</f>
        <v>46040</v>
      </c>
      <c r="B96" s="145" t="str">
        <f t="shared" si="1"/>
        <v>01Jan</v>
      </c>
      <c r="C96" s="145" t="str">
        <f>IFERROR(__xludf.DUMMYFUNCTION("""COMPUTED_VALUE"""),"WIONA SILASHINTA WAHYUDI")</f>
        <v>WIONA SILASHINTA WAHYUDI</v>
      </c>
      <c r="D96" s="145">
        <f t="array" ref="D96">IFNA(XLOOKUP(C96,'👥 Daftar Nama Pasien'!$B$6:$B1181,'👥 Daftar Nama Pasien'!$D$6:$D1181),"")</f>
        <v>15</v>
      </c>
      <c r="E96" s="145" t="str">
        <f t="array" ref="E96">XLOOKUP(C96,'⬇️ PEMASUKAN'!$I$5:$I1181,'⬇️ PEMASUKAN'!$K$5:$K1181,,0,-1)</f>
        <v>K.PT - PAKET 1</v>
      </c>
      <c r="F96" s="145" t="str">
        <f t="shared" si="2"/>
        <v>K.PT - PAKET 1</v>
      </c>
      <c r="G96" s="145" t="str">
        <f t="shared" si="3"/>
        <v>CLOSING PAKET</v>
      </c>
      <c r="H96" s="145" t="str">
        <f>IFERROR(__xludf.DUMMYFUNCTION("""COMPUTED_VALUE"""),"HESTI")</f>
        <v>HESTI</v>
      </c>
      <c r="I96" s="145" t="str">
        <f>IFERROR(__xludf.DUMMYFUNCTION("""COMPUTED_VALUE"""),"SUCI")</f>
        <v>SUCI</v>
      </c>
      <c r="J96" s="145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</row>
    <row r="97" ht="22.5" customHeight="1">
      <c r="A97" s="144">
        <f>IFERROR(__xludf.DUMMYFUNCTION("""COMPUTED_VALUE"""),46040.0)</f>
        <v>46040</v>
      </c>
      <c r="B97" s="145" t="str">
        <f t="shared" si="1"/>
        <v>01Jan</v>
      </c>
      <c r="C97" s="145" t="str">
        <f>IFERROR(__xludf.DUMMYFUNCTION("""COMPUTED_VALUE"""),"GUSTI AZLAN KHALID AYYUBI")</f>
        <v>GUSTI AZLAN KHALID AYYUBI</v>
      </c>
      <c r="D97" s="145">
        <f t="array" ref="D97">IFNA(XLOOKUP(C97,'👥 Daftar Nama Pasien'!$B$6:$B1181,'👥 Daftar Nama Pasien'!$D$6:$D1181),"")</f>
        <v>11</v>
      </c>
      <c r="E97" s="145" t="str">
        <f t="array" ref="E97">XLOOKUP(C97,'⬇️ PEMASUKAN'!$I$5:$I1181,'⬇️ PEMASUKAN'!$K$5:$K1181,,0,-1)</f>
        <v>K.ST - SESI TERAPI</v>
      </c>
      <c r="F97" s="145" t="str">
        <f t="shared" si="2"/>
        <v>K.ST - SESI TERAPI</v>
      </c>
      <c r="G97" s="145" t="str">
        <f t="shared" si="3"/>
        <v>CLOSING SESI</v>
      </c>
      <c r="H97" s="145" t="str">
        <f>IFERROR(__xludf.DUMMYFUNCTION("""COMPUTED_VALUE"""),"WAHYU")</f>
        <v>WAHYU</v>
      </c>
      <c r="I97" s="145" t="str">
        <f>IFERROR(__xludf.DUMMYFUNCTION("""COMPUTED_VALUE"""),"SUCI")</f>
        <v>SUCI</v>
      </c>
      <c r="J97" s="145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</row>
    <row r="98" ht="22.5" customHeight="1">
      <c r="A98" s="144">
        <f>IFERROR(__xludf.DUMMYFUNCTION("""COMPUTED_VALUE"""),46040.0)</f>
        <v>46040</v>
      </c>
      <c r="B98" s="145" t="str">
        <f t="shared" si="1"/>
        <v>01Jan</v>
      </c>
      <c r="C98" s="145" t="str">
        <f>IFERROR(__xludf.DUMMYFUNCTION("""COMPUTED_VALUE"""),"FRENKY FERIYANTO")</f>
        <v>FRENKY FERIYANTO</v>
      </c>
      <c r="D98" s="145">
        <f t="array" ref="D98">IFNA(XLOOKUP(C98,'👥 Daftar Nama Pasien'!$B$6:$B1181,'👥 Daftar Nama Pasien'!$D$6:$D1181),"")</f>
        <v>33</v>
      </c>
      <c r="E98" s="145" t="str">
        <f t="array" ref="E98">XLOOKUP(C98,'⬇️ PEMASUKAN'!$I$5:$I1181,'⬇️ PEMASUKAN'!$K$5:$K1181,,0,-1)</f>
        <v>K.TA - TERAPI AWAL</v>
      </c>
      <c r="F98" s="145" t="str">
        <f t="shared" si="2"/>
        <v>TIDAK CLOSING</v>
      </c>
      <c r="G98" s="145" t="str">
        <f t="shared" si="3"/>
        <v>TIDAK CLOSING</v>
      </c>
      <c r="H98" s="145" t="str">
        <f>IFERROR(__xludf.DUMMYFUNCTION("""COMPUTED_VALUE"""),"PRITY")</f>
        <v>PRITY</v>
      </c>
      <c r="I98" s="145" t="str">
        <f>IFERROR(__xludf.DUMMYFUNCTION("""COMPUTED_VALUE"""),"NOPI")</f>
        <v>NOPI</v>
      </c>
      <c r="J98" s="145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</row>
    <row r="99" ht="22.5" customHeight="1">
      <c r="A99" s="144">
        <f>IFERROR(__xludf.DUMMYFUNCTION("""COMPUTED_VALUE"""),46040.0)</f>
        <v>46040</v>
      </c>
      <c r="B99" s="145" t="str">
        <f t="shared" si="1"/>
        <v>01Jan</v>
      </c>
      <c r="C99" s="145" t="str">
        <f>IFERROR(__xludf.DUMMYFUNCTION("""COMPUTED_VALUE"""),"ANGELIA IVANA")</f>
        <v>ANGELIA IVANA</v>
      </c>
      <c r="D99" s="145">
        <f t="array" ref="D99">IFNA(XLOOKUP(C99,'👥 Daftar Nama Pasien'!$B$6:$B1181,'👥 Daftar Nama Pasien'!$D$6:$D1181),"")</f>
        <v>25</v>
      </c>
      <c r="E99" s="145" t="str">
        <f t="array" ref="E99">XLOOKUP(C99,'⬇️ PEMASUKAN'!$I$5:$I1181,'⬇️ PEMASUKAN'!$K$5:$K1181,,0,-1)</f>
        <v>K.TA - TERAPI AWAL</v>
      </c>
      <c r="F99" s="145" t="str">
        <f t="shared" si="2"/>
        <v>TIDAK CLOSING</v>
      </c>
      <c r="G99" s="145" t="str">
        <f t="shared" si="3"/>
        <v>TIDAK CLOSING</v>
      </c>
      <c r="H99" s="145" t="str">
        <f>IFERROR(__xludf.DUMMYFUNCTION("""COMPUTED_VALUE"""),"DESTY")</f>
        <v>DESTY</v>
      </c>
      <c r="I99" s="145" t="str">
        <f>IFERROR(__xludf.DUMMYFUNCTION("""COMPUTED_VALUE"""),"NOPI")</f>
        <v>NOPI</v>
      </c>
      <c r="J99" s="145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ht="22.5" customHeight="1">
      <c r="A100" s="144">
        <f>IFERROR(__xludf.DUMMYFUNCTION("""COMPUTED_VALUE"""),46040.0)</f>
        <v>46040</v>
      </c>
      <c r="B100" s="145" t="str">
        <f t="shared" si="1"/>
        <v>01Jan</v>
      </c>
      <c r="C100" s="145" t="str">
        <f>IFERROR(__xludf.DUMMYFUNCTION("""COMPUTED_VALUE"""),"SUCI TRIHANTINI")</f>
        <v>SUCI TRIHANTINI</v>
      </c>
      <c r="D100" s="145">
        <f t="array" ref="D100">IFNA(XLOOKUP(C100,'👥 Daftar Nama Pasien'!$B$6:$B1181,'👥 Daftar Nama Pasien'!$D$6:$D1181),"")</f>
        <v>41</v>
      </c>
      <c r="E100" s="145" t="str">
        <f t="array" ref="E100">XLOOKUP(C100,'⬇️ PEMASUKAN'!$I$5:$I1181,'⬇️ PEMASUKAN'!$K$5:$K1181,,0,-1)</f>
        <v>K.PT - PAKET 1</v>
      </c>
      <c r="F100" s="145" t="str">
        <f t="shared" si="2"/>
        <v>K.PT - PAKET 1</v>
      </c>
      <c r="G100" s="145" t="str">
        <f t="shared" si="3"/>
        <v>CLOSING PAKET</v>
      </c>
      <c r="H100" s="145" t="str">
        <f>IFERROR(__xludf.DUMMYFUNCTION("""COMPUTED_VALUE"""),"AUL")</f>
        <v>AUL</v>
      </c>
      <c r="I100" s="145" t="str">
        <f>IFERROR(__xludf.DUMMYFUNCTION("""COMPUTED_VALUE"""),"NOPI")</f>
        <v>NOPI</v>
      </c>
      <c r="J100" s="145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  <row r="101" ht="22.5" customHeight="1">
      <c r="A101" s="144">
        <f>IFERROR(__xludf.DUMMYFUNCTION("""COMPUTED_VALUE"""),46040.0)</f>
        <v>46040</v>
      </c>
      <c r="B101" s="145" t="str">
        <f t="shared" si="1"/>
        <v>01Jan</v>
      </c>
      <c r="C101" s="145" t="str">
        <f>IFERROR(__xludf.DUMMYFUNCTION("""COMPUTED_VALUE"""),"AZKA RAFIF ARYA")</f>
        <v>AZKA RAFIF ARYA</v>
      </c>
      <c r="D101" s="145">
        <f t="array" ref="D101">IFNA(XLOOKUP(C101,'👥 Daftar Nama Pasien'!$B$6:$B1181,'👥 Daftar Nama Pasien'!$D$6:$D1181),"")</f>
        <v>13</v>
      </c>
      <c r="E101" s="145" t="str">
        <f t="array" ref="E101">XLOOKUP(C101,'⬇️ PEMASUKAN'!$I$5:$I1181,'⬇️ PEMASUKAN'!$K$5:$K1181,,0,-1)</f>
        <v>K.TA - TERAPI AWAL</v>
      </c>
      <c r="F101" s="145" t="str">
        <f t="shared" si="2"/>
        <v>TIDAK CLOSING</v>
      </c>
      <c r="G101" s="145" t="str">
        <f t="shared" si="3"/>
        <v>TIDAK CLOSING</v>
      </c>
      <c r="H101" s="145" t="str">
        <f>IFERROR(__xludf.DUMMYFUNCTION("""COMPUTED_VALUE"""),"DESTY")</f>
        <v>DESTY</v>
      </c>
      <c r="I101" s="145" t="str">
        <f>IFERROR(__xludf.DUMMYFUNCTION("""COMPUTED_VALUE"""),"NOPI")</f>
        <v>NOPI</v>
      </c>
      <c r="J101" s="145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</row>
    <row r="102" ht="22.5" customHeight="1">
      <c r="A102" s="144">
        <f>IFERROR(__xludf.DUMMYFUNCTION("""COMPUTED_VALUE"""),46041.0)</f>
        <v>46041</v>
      </c>
      <c r="B102" s="145" t="str">
        <f t="shared" si="1"/>
        <v>01Jan</v>
      </c>
      <c r="C102" s="145" t="str">
        <f>IFERROR(__xludf.DUMMYFUNCTION("""COMPUTED_VALUE"""),"SUMAYAH")</f>
        <v>SUMAYAH</v>
      </c>
      <c r="D102" s="145">
        <f t="array" ref="D102">IFNA(XLOOKUP(C102,'👥 Daftar Nama Pasien'!$B$6:$B1181,'👥 Daftar Nama Pasien'!$D$6:$D1181),"")</f>
        <v>48</v>
      </c>
      <c r="E102" s="145" t="str">
        <f t="array" ref="E102">XLOOKUP(C102,'⬇️ PEMASUKAN'!$I$5:$I1181,'⬇️ PEMASUKAN'!$K$5:$K1181,,0,-1)</f>
        <v>K.TA - TERAPI AWAL</v>
      </c>
      <c r="F102" s="145" t="str">
        <f t="shared" si="2"/>
        <v>TIDAK CLOSING</v>
      </c>
      <c r="G102" s="145" t="str">
        <f t="shared" si="3"/>
        <v>TIDAK CLOSING</v>
      </c>
      <c r="H102" s="145" t="str">
        <f>IFERROR(__xludf.DUMMYFUNCTION("""COMPUTED_VALUE"""),"OKTA")</f>
        <v>OKTA</v>
      </c>
      <c r="I102" s="145" t="str">
        <f>IFERROR(__xludf.DUMMYFUNCTION("""COMPUTED_VALUE"""),"NOPI")</f>
        <v>NOPI</v>
      </c>
      <c r="J102" s="145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ht="22.5" customHeight="1">
      <c r="A103" s="144">
        <f>IFERROR(__xludf.DUMMYFUNCTION("""COMPUTED_VALUE"""),46042.0)</f>
        <v>46042</v>
      </c>
      <c r="B103" s="145" t="str">
        <f t="shared" si="1"/>
        <v>01Jan</v>
      </c>
      <c r="C103" s="145" t="str">
        <f>IFERROR(__xludf.DUMMYFUNCTION("""COMPUTED_VALUE"""),"SUMIATI")</f>
        <v>SUMIATI</v>
      </c>
      <c r="D103" s="145">
        <f t="array" ref="D103">IFNA(XLOOKUP(C103,'👥 Daftar Nama Pasien'!$B$6:$B1181,'👥 Daftar Nama Pasien'!$D$6:$D1181),"")</f>
        <v>41</v>
      </c>
      <c r="E103" s="145" t="str">
        <f t="array" ref="E103">XLOOKUP(C103,'⬇️ PEMASUKAN'!$I$5:$I1181,'⬇️ PEMASUKAN'!$K$5:$K1181,,0,-1)</f>
        <v>K.PT - PAKET 1</v>
      </c>
      <c r="F103" s="145" t="str">
        <f t="shared" si="2"/>
        <v>K.PT - PAKET 1</v>
      </c>
      <c r="G103" s="145" t="str">
        <f t="shared" si="3"/>
        <v>CLOSING PAKET</v>
      </c>
      <c r="H103" s="145" t="str">
        <f>IFERROR(__xludf.DUMMYFUNCTION("""COMPUTED_VALUE"""),"OKTA")</f>
        <v>OKTA</v>
      </c>
      <c r="I103" s="145" t="str">
        <f>IFERROR(__xludf.DUMMYFUNCTION("""COMPUTED_VALUE"""),"NOPI")</f>
        <v>NOPI</v>
      </c>
      <c r="J103" s="145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</row>
    <row r="104" ht="22.5" customHeight="1">
      <c r="A104" s="144">
        <f>IFERROR(__xludf.DUMMYFUNCTION("""COMPUTED_VALUE"""),46042.0)</f>
        <v>46042</v>
      </c>
      <c r="B104" s="145" t="str">
        <f t="shared" si="1"/>
        <v>01Jan</v>
      </c>
      <c r="C104" s="145" t="str">
        <f>IFERROR(__xludf.DUMMYFUNCTION("""COMPUTED_VALUE"""),"NOVI ASMARANI")</f>
        <v>NOVI ASMARANI</v>
      </c>
      <c r="D104" s="145">
        <f t="array" ref="D104">IFNA(XLOOKUP(C104,'👥 Daftar Nama Pasien'!$B$6:$B1181,'👥 Daftar Nama Pasien'!$D$6:$D1181),"")</f>
        <v>38</v>
      </c>
      <c r="E104" s="145" t="str">
        <f t="array" ref="E104">XLOOKUP(C104,'⬇️ PEMASUKAN'!$I$5:$I1181,'⬇️ PEMASUKAN'!$K$5:$K1181,,0,-1)</f>
        <v>K.ST - SESI TERAPI</v>
      </c>
      <c r="F104" s="145" t="str">
        <f t="shared" si="2"/>
        <v>K.ST - SESI TERAPI</v>
      </c>
      <c r="G104" s="145" t="str">
        <f t="shared" si="3"/>
        <v>CLOSING SESI</v>
      </c>
      <c r="H104" s="145" t="str">
        <f>IFERROR(__xludf.DUMMYFUNCTION("""COMPUTED_VALUE"""),"HESTI")</f>
        <v>HESTI</v>
      </c>
      <c r="I104" s="145" t="str">
        <f>IFERROR(__xludf.DUMMYFUNCTION("""COMPUTED_VALUE"""),"NOPI")</f>
        <v>NOPI</v>
      </c>
      <c r="J104" s="145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</row>
    <row r="105" ht="22.5" customHeight="1">
      <c r="A105" s="144">
        <f>IFERROR(__xludf.DUMMYFUNCTION("""COMPUTED_VALUE"""),46042.0)</f>
        <v>46042</v>
      </c>
      <c r="B105" s="145" t="str">
        <f t="shared" si="1"/>
        <v>01Jan</v>
      </c>
      <c r="C105" s="145" t="str">
        <f>IFERROR(__xludf.DUMMYFUNCTION("""COMPUTED_VALUE"""),"ARIS BUDIMAN")</f>
        <v>ARIS BUDIMAN</v>
      </c>
      <c r="D105" s="145">
        <f t="array" ref="D105">IFNA(XLOOKUP(C105,'👥 Daftar Nama Pasien'!$B$6:$B1181,'👥 Daftar Nama Pasien'!$D$6:$D1181),"")</f>
        <v>48</v>
      </c>
      <c r="E105" s="145" t="str">
        <f t="array" ref="E105">XLOOKUP(C105,'⬇️ PEMASUKAN'!$I$5:$I1181,'⬇️ PEMASUKAN'!$K$5:$K1181,,0,-1)</f>
        <v>K.PT - PAKET 1</v>
      </c>
      <c r="F105" s="145" t="str">
        <f t="shared" si="2"/>
        <v>K.PT - PAKET 1</v>
      </c>
      <c r="G105" s="145" t="str">
        <f t="shared" si="3"/>
        <v>CLOSING PAKET</v>
      </c>
      <c r="H105" s="145" t="str">
        <f>IFERROR(__xludf.DUMMYFUNCTION("""COMPUTED_VALUE"""),"OKTA")</f>
        <v>OKTA</v>
      </c>
      <c r="I105" s="145" t="str">
        <f>IFERROR(__xludf.DUMMYFUNCTION("""COMPUTED_VALUE"""),"NOPI")</f>
        <v>NOPI</v>
      </c>
      <c r="J105" s="145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</row>
    <row r="106" ht="22.5" customHeight="1">
      <c r="A106" s="144">
        <f>IFERROR(__xludf.DUMMYFUNCTION("""COMPUTED_VALUE"""),46042.0)</f>
        <v>46042</v>
      </c>
      <c r="B106" s="145" t="str">
        <f t="shared" si="1"/>
        <v>01Jan</v>
      </c>
      <c r="C106" s="145" t="str">
        <f>IFERROR(__xludf.DUMMYFUNCTION("""COMPUTED_VALUE"""),"IRAWATI")</f>
        <v>IRAWATI</v>
      </c>
      <c r="D106" s="145">
        <f t="array" ref="D106">IFNA(XLOOKUP(C106,'👥 Daftar Nama Pasien'!$B$6:$B1181,'👥 Daftar Nama Pasien'!$D$6:$D1181),"")</f>
        <v>44</v>
      </c>
      <c r="E106" s="145" t="str">
        <f t="array" ref="E106">XLOOKUP(C106,'⬇️ PEMASUKAN'!$I$5:$I1181,'⬇️ PEMASUKAN'!$K$5:$K1181,,0,-1)</f>
        <v>K.TA - TERAPI AWAL</v>
      </c>
      <c r="F106" s="145" t="str">
        <f t="shared" si="2"/>
        <v>TIDAK CLOSING</v>
      </c>
      <c r="G106" s="145" t="str">
        <f t="shared" si="3"/>
        <v>TIDAK CLOSING</v>
      </c>
      <c r="H106" s="145" t="str">
        <f>IFERROR(__xludf.DUMMYFUNCTION("""COMPUTED_VALUE"""),"OKTA")</f>
        <v>OKTA</v>
      </c>
      <c r="I106" s="145" t="str">
        <f>IFERROR(__xludf.DUMMYFUNCTION("""COMPUTED_VALUE"""),"NOPI")</f>
        <v>NOPI</v>
      </c>
      <c r="J106" s="145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</row>
    <row r="107" ht="22.5" customHeight="1">
      <c r="A107" s="144">
        <f>IFERROR(__xludf.DUMMYFUNCTION("""COMPUTED_VALUE"""),46042.0)</f>
        <v>46042</v>
      </c>
      <c r="B107" s="145" t="str">
        <f t="shared" si="1"/>
        <v>01Jan</v>
      </c>
      <c r="C107" s="145" t="str">
        <f>IFERROR(__xludf.DUMMYFUNCTION("""COMPUTED_VALUE"""),"MUHAMMAD ICHSAN AZEVI")</f>
        <v>MUHAMMAD ICHSAN AZEVI</v>
      </c>
      <c r="D107" s="145">
        <f t="array" ref="D107">IFNA(XLOOKUP(C107,'👥 Daftar Nama Pasien'!$B$6:$B1181,'👥 Daftar Nama Pasien'!$D$6:$D1181),"")</f>
        <v>31</v>
      </c>
      <c r="E107" s="145" t="str">
        <f t="array" ref="E107">XLOOKUP(C107,'⬇️ PEMASUKAN'!$I$5:$I1181,'⬇️ PEMASUKAN'!$K$5:$K1181,,0,-1)</f>
        <v>K.PT - PAKET 1</v>
      </c>
      <c r="F107" s="145" t="str">
        <f t="shared" si="2"/>
        <v>K.PT - PAKET 1</v>
      </c>
      <c r="G107" s="145" t="str">
        <f t="shared" si="3"/>
        <v>CLOSING PAKET</v>
      </c>
      <c r="H107" s="145" t="str">
        <f>IFERROR(__xludf.DUMMYFUNCTION("""COMPUTED_VALUE"""),"ORY")</f>
        <v>ORY</v>
      </c>
      <c r="I107" s="145" t="str">
        <f>IFERROR(__xludf.DUMMYFUNCTION("""COMPUTED_VALUE"""),"SUCI")</f>
        <v>SUCI</v>
      </c>
      <c r="J107" s="145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</row>
    <row r="108" ht="22.5" customHeight="1">
      <c r="A108" s="144">
        <f>IFERROR(__xludf.DUMMYFUNCTION("""COMPUTED_VALUE"""),46043.0)</f>
        <v>46043</v>
      </c>
      <c r="B108" s="145" t="str">
        <f t="shared" si="1"/>
        <v>01Jan</v>
      </c>
      <c r="C108" s="145" t="str">
        <f>IFERROR(__xludf.DUMMYFUNCTION("""COMPUTED_VALUE"""),"ASHRAF")</f>
        <v>ASHRAF</v>
      </c>
      <c r="D108" s="145">
        <f t="array" ref="D108">IFNA(XLOOKUP(C108,'👥 Daftar Nama Pasien'!$B$6:$B1181,'👥 Daftar Nama Pasien'!$D$6:$D1181),"")</f>
        <v>29</v>
      </c>
      <c r="E108" s="145" t="str">
        <f t="array" ref="E108">XLOOKUP(C108,'⬇️ PEMASUKAN'!$I$5:$I1181,'⬇️ PEMASUKAN'!$K$5:$K1181,,0,-1)</f>
        <v>K.PT - PAKET 1</v>
      </c>
      <c r="F108" s="145" t="str">
        <f t="shared" si="2"/>
        <v>K.PT - PAKET 1</v>
      </c>
      <c r="G108" s="145" t="str">
        <f t="shared" si="3"/>
        <v>CLOSING PAKET</v>
      </c>
      <c r="H108" s="145" t="str">
        <f>IFERROR(__xludf.DUMMYFUNCTION("""COMPUTED_VALUE"""),"DANI")</f>
        <v>DANI</v>
      </c>
      <c r="I108" s="145" t="str">
        <f>IFERROR(__xludf.DUMMYFUNCTION("""COMPUTED_VALUE"""),"SUCI")</f>
        <v>SUCI</v>
      </c>
      <c r="J108" s="145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</row>
    <row r="109" ht="22.5" customHeight="1">
      <c r="A109" s="144">
        <f>IFERROR(__xludf.DUMMYFUNCTION("""COMPUTED_VALUE"""),46043.0)</f>
        <v>46043</v>
      </c>
      <c r="B109" s="145" t="str">
        <f t="shared" si="1"/>
        <v>01Jan</v>
      </c>
      <c r="C109" s="145" t="str">
        <f>IFERROR(__xludf.DUMMYFUNCTION("""COMPUTED_VALUE"""),"TYARA HARDYANTI SUHARNO")</f>
        <v>TYARA HARDYANTI SUHARNO</v>
      </c>
      <c r="D109" s="145">
        <f t="array" ref="D109">IFNA(XLOOKUP(C109,'👥 Daftar Nama Pasien'!$B$6:$B1181,'👥 Daftar Nama Pasien'!$D$6:$D1181),"")</f>
        <v>30</v>
      </c>
      <c r="E109" s="145" t="str">
        <f t="array" ref="E109">XLOOKUP(C109,'⬇️ PEMASUKAN'!$I$5:$I1181,'⬇️ PEMASUKAN'!$K$5:$K1181,,0,-1)</f>
        <v>K.ST - SESI TERAPI</v>
      </c>
      <c r="F109" s="145" t="str">
        <f t="shared" si="2"/>
        <v>K.ST - SESI TERAPI</v>
      </c>
      <c r="G109" s="145" t="str">
        <f t="shared" si="3"/>
        <v>CLOSING SESI</v>
      </c>
      <c r="H109" s="145" t="str">
        <f>IFERROR(__xludf.DUMMYFUNCTION("""COMPUTED_VALUE"""),"HESTI")</f>
        <v>HESTI</v>
      </c>
      <c r="I109" s="145" t="str">
        <f>IFERROR(__xludf.DUMMYFUNCTION("""COMPUTED_VALUE"""),"SUCI")</f>
        <v>SUCI</v>
      </c>
      <c r="J109" s="145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ht="22.5" customHeight="1">
      <c r="A110" s="144">
        <f>IFERROR(__xludf.DUMMYFUNCTION("""COMPUTED_VALUE"""),46043.0)</f>
        <v>46043</v>
      </c>
      <c r="B110" s="145" t="str">
        <f t="shared" si="1"/>
        <v>01Jan</v>
      </c>
      <c r="C110" s="145" t="str">
        <f>IFERROR(__xludf.DUMMYFUNCTION("""COMPUTED_VALUE"""),"HALIJAH")</f>
        <v>HALIJAH</v>
      </c>
      <c r="D110" s="145" t="str">
        <f t="array" ref="D110">IFNA(XLOOKUP(C110,'👥 Daftar Nama Pasien'!$B$6:$B1181,'👥 Daftar Nama Pasien'!$D$6:$D1181),"")</f>
        <v/>
      </c>
      <c r="E110" s="145" t="str">
        <f t="array" ref="E110">XLOOKUP(C110,'⬇️ PEMASUKAN'!$I$5:$I1181,'⬇️ PEMASUKAN'!$K$5:$K1181,,0,-1)</f>
        <v>K.TA - TERAPI AWAL</v>
      </c>
      <c r="F110" s="145" t="str">
        <f t="shared" si="2"/>
        <v>TIDAK CLOSING</v>
      </c>
      <c r="G110" s="145" t="str">
        <f t="shared" si="3"/>
        <v>TIDAK CLOSING</v>
      </c>
      <c r="H110" s="145" t="str">
        <f>IFERROR(__xludf.DUMMYFUNCTION("""COMPUTED_VALUE"""),"HENA")</f>
        <v>HENA</v>
      </c>
      <c r="I110" s="145" t="str">
        <f>IFERROR(__xludf.DUMMYFUNCTION("""COMPUTED_VALUE"""),"SUCI")</f>
        <v>SUCI</v>
      </c>
      <c r="J110" s="145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</row>
    <row r="111" ht="22.5" customHeight="1">
      <c r="A111" s="144">
        <f>IFERROR(__xludf.DUMMYFUNCTION("""COMPUTED_VALUE"""),46043.0)</f>
        <v>46043</v>
      </c>
      <c r="B111" s="145" t="str">
        <f t="shared" si="1"/>
        <v>01Jan</v>
      </c>
      <c r="C111" s="145" t="str">
        <f>IFERROR(__xludf.DUMMYFUNCTION("""COMPUTED_VALUE"""),"EKA KURNIAWATI")</f>
        <v>EKA KURNIAWATI</v>
      </c>
      <c r="D111" s="145">
        <f t="array" ref="D111">IFNA(XLOOKUP(C111,'👥 Daftar Nama Pasien'!$B$6:$B1181,'👥 Daftar Nama Pasien'!$D$6:$D1181),"")</f>
        <v>38</v>
      </c>
      <c r="E111" s="145" t="str">
        <f t="array" ref="E111">XLOOKUP(C111,'⬇️ PEMASUKAN'!$I$5:$I1181,'⬇️ PEMASUKAN'!$K$5:$K1181,,0,-1)</f>
        <v>K.PT - PAKET 1</v>
      </c>
      <c r="F111" s="145" t="str">
        <f t="shared" si="2"/>
        <v>K.PT - PAKET 1</v>
      </c>
      <c r="G111" s="145" t="str">
        <f t="shared" si="3"/>
        <v>CLOSING PAKET</v>
      </c>
      <c r="H111" s="145" t="str">
        <f>IFERROR(__xludf.DUMMYFUNCTION("""COMPUTED_VALUE"""),"DESTY")</f>
        <v>DESTY</v>
      </c>
      <c r="I111" s="145" t="str">
        <f>IFERROR(__xludf.DUMMYFUNCTION("""COMPUTED_VALUE"""),"NOPI")</f>
        <v>NOPI</v>
      </c>
      <c r="J111" s="145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</row>
    <row r="112" ht="22.5" customHeight="1">
      <c r="A112" s="144">
        <f>IFERROR(__xludf.DUMMYFUNCTION("""COMPUTED_VALUE"""),46043.0)</f>
        <v>46043</v>
      </c>
      <c r="B112" s="145" t="str">
        <f t="shared" si="1"/>
        <v>01Jan</v>
      </c>
      <c r="C112" s="145" t="str">
        <f>IFERROR(__xludf.DUMMYFUNCTION("""COMPUTED_VALUE"""),"ANDRI WIJAYA KUSUMA")</f>
        <v>ANDRI WIJAYA KUSUMA</v>
      </c>
      <c r="D112" s="145">
        <f t="array" ref="D112">IFNA(XLOOKUP(C112,'👥 Daftar Nama Pasien'!$B$6:$B1181,'👥 Daftar Nama Pasien'!$D$6:$D1181),"")</f>
        <v>40</v>
      </c>
      <c r="E112" s="145" t="str">
        <f t="array" ref="E112">XLOOKUP(C112,'⬇️ PEMASUKAN'!$I$5:$I1181,'⬇️ PEMASUKAN'!$K$5:$K1181,,0,-1)</f>
        <v>K.TA - TERAPI AWAL</v>
      </c>
      <c r="F112" s="145" t="str">
        <f t="shared" si="2"/>
        <v>TIDAK CLOSING</v>
      </c>
      <c r="G112" s="145" t="str">
        <f t="shared" si="3"/>
        <v>TIDAK CLOSING</v>
      </c>
      <c r="H112" s="145" t="str">
        <f>IFERROR(__xludf.DUMMYFUNCTION("""COMPUTED_VALUE"""),"ORY")</f>
        <v>ORY</v>
      </c>
      <c r="I112" s="145" t="str">
        <f>IFERROR(__xludf.DUMMYFUNCTION("""COMPUTED_VALUE"""),"NOPI")</f>
        <v>NOPI</v>
      </c>
      <c r="J112" s="145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</row>
    <row r="113" ht="22.5" customHeight="1">
      <c r="A113" s="144">
        <f>IFERROR(__xludf.DUMMYFUNCTION("""COMPUTED_VALUE"""),46044.0)</f>
        <v>46044</v>
      </c>
      <c r="B113" s="145" t="str">
        <f t="shared" si="1"/>
        <v>01Jan</v>
      </c>
      <c r="C113" s="145" t="str">
        <f>IFERROR(__xludf.DUMMYFUNCTION("""COMPUTED_VALUE"""),"LEYLI NURLITA")</f>
        <v>LEYLI NURLITA</v>
      </c>
      <c r="D113" s="145">
        <f t="array" ref="D113">IFNA(XLOOKUP(C113,'👥 Daftar Nama Pasien'!$B$6:$B1181,'👥 Daftar Nama Pasien'!$D$6:$D1181),"")</f>
        <v>20</v>
      </c>
      <c r="E113" s="145" t="str">
        <f t="array" ref="E113">XLOOKUP(C113,'⬇️ PEMASUKAN'!$I$5:$I1181,'⬇️ PEMASUKAN'!$K$5:$K1181,,0,-1)</f>
        <v>K.PT - PAKET 1</v>
      </c>
      <c r="F113" s="145" t="str">
        <f t="shared" si="2"/>
        <v>K.PT - PAKET 1</v>
      </c>
      <c r="G113" s="145" t="str">
        <f t="shared" si="3"/>
        <v>CLOSING PAKET</v>
      </c>
      <c r="H113" s="145" t="str">
        <f>IFERROR(__xludf.DUMMYFUNCTION("""COMPUTED_VALUE"""),"AUL")</f>
        <v>AUL</v>
      </c>
      <c r="I113" s="145" t="str">
        <f>IFERROR(__xludf.DUMMYFUNCTION("""COMPUTED_VALUE"""),"SUCI")</f>
        <v>SUCI</v>
      </c>
      <c r="J113" s="145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</row>
    <row r="114" ht="22.5" customHeight="1">
      <c r="A114" s="144">
        <f>IFERROR(__xludf.DUMMYFUNCTION("""COMPUTED_VALUE"""),46044.0)</f>
        <v>46044</v>
      </c>
      <c r="B114" s="145" t="str">
        <f t="shared" si="1"/>
        <v>01Jan</v>
      </c>
      <c r="C114" s="145" t="str">
        <f>IFERROR(__xludf.DUMMYFUNCTION("""COMPUTED_VALUE"""),"SUKAMTO")</f>
        <v>SUKAMTO</v>
      </c>
      <c r="D114" s="145">
        <f t="array" ref="D114">IFNA(XLOOKUP(C114,'👥 Daftar Nama Pasien'!$B$6:$B1181,'👥 Daftar Nama Pasien'!$D$6:$D1181),"")</f>
        <v>36</v>
      </c>
      <c r="E114" s="145" t="str">
        <f t="array" ref="E114">XLOOKUP(C114,'⬇️ PEMASUKAN'!$I$5:$I1181,'⬇️ PEMASUKAN'!$K$5:$K1181,,0,-1)</f>
        <v>K.TA - TERAPI AWAL</v>
      </c>
      <c r="F114" s="145" t="str">
        <f t="shared" si="2"/>
        <v>TIDAK CLOSING</v>
      </c>
      <c r="G114" s="145" t="str">
        <f t="shared" si="3"/>
        <v>TIDAK CLOSING</v>
      </c>
      <c r="H114" s="145" t="str">
        <f>IFERROR(__xludf.DUMMYFUNCTION("""COMPUTED_VALUE"""),"ORY")</f>
        <v>ORY</v>
      </c>
      <c r="I114" s="145" t="str">
        <f>IFERROR(__xludf.DUMMYFUNCTION("""COMPUTED_VALUE"""),"SUCI")</f>
        <v>SUCI</v>
      </c>
      <c r="J114" s="145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</row>
    <row r="115" ht="22.5" customHeight="1">
      <c r="A115" s="144">
        <f>IFERROR(__xludf.DUMMYFUNCTION("""COMPUTED_VALUE"""),46044.0)</f>
        <v>46044</v>
      </c>
      <c r="B115" s="145" t="str">
        <f t="shared" si="1"/>
        <v>01Jan</v>
      </c>
      <c r="C115" s="145" t="str">
        <f>IFERROR(__xludf.DUMMYFUNCTION("""COMPUTED_VALUE"""),"JOESDI NGATIDJAN ")</f>
        <v>JOESDI NGATIDJAN </v>
      </c>
      <c r="D115" s="145">
        <f t="array" ref="D115">IFNA(XLOOKUP(C115,'👥 Daftar Nama Pasien'!$B$6:$B1181,'👥 Daftar Nama Pasien'!$D$6:$D1181),"")</f>
        <v>62</v>
      </c>
      <c r="E115" s="145" t="str">
        <f t="array" ref="E115">XLOOKUP(C115,'⬇️ PEMASUKAN'!$I$5:$I1181,'⬇️ PEMASUKAN'!$K$5:$K1181,,0,-1)</f>
        <v>K.PT - PAKET 1</v>
      </c>
      <c r="F115" s="145" t="str">
        <f t="shared" si="2"/>
        <v>K.PT - PAKET 1</v>
      </c>
      <c r="G115" s="145" t="str">
        <f t="shared" si="3"/>
        <v>CLOSING PAKET</v>
      </c>
      <c r="H115" s="145" t="str">
        <f>IFERROR(__xludf.DUMMYFUNCTION("""COMPUTED_VALUE"""),"AUL")</f>
        <v>AUL</v>
      </c>
      <c r="I115" s="145" t="str">
        <f>IFERROR(__xludf.DUMMYFUNCTION("""COMPUTED_VALUE"""),"SUCI")</f>
        <v>SUCI</v>
      </c>
      <c r="J115" s="145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</row>
    <row r="116" ht="22.5" customHeight="1">
      <c r="A116" s="144">
        <f>IFERROR(__xludf.DUMMYFUNCTION("""COMPUTED_VALUE"""),46044.0)</f>
        <v>46044</v>
      </c>
      <c r="B116" s="145" t="str">
        <f t="shared" si="1"/>
        <v>01Jan</v>
      </c>
      <c r="C116" s="145" t="str">
        <f>IFERROR(__xludf.DUMMYFUNCTION("""COMPUTED_VALUE"""),"IQBAL MAULANA")</f>
        <v>IQBAL MAULANA</v>
      </c>
      <c r="D116" s="145">
        <f t="array" ref="D116">IFNA(XLOOKUP(C116,'👥 Daftar Nama Pasien'!$B$6:$B1181,'👥 Daftar Nama Pasien'!$D$6:$D1181),"")</f>
        <v>36</v>
      </c>
      <c r="E116" s="145" t="str">
        <f t="array" ref="E116">XLOOKUP(C116,'⬇️ PEMASUKAN'!$I$5:$I1181,'⬇️ PEMASUKAN'!$K$5:$K1181,,0,-1)</f>
        <v>K.TA - TERAPI AWAL</v>
      </c>
      <c r="F116" s="145" t="str">
        <f t="shared" si="2"/>
        <v>TIDAK CLOSING</v>
      </c>
      <c r="G116" s="145" t="str">
        <f t="shared" si="3"/>
        <v>TIDAK CLOSING</v>
      </c>
      <c r="H116" s="145" t="str">
        <f>IFERROR(__xludf.DUMMYFUNCTION("""COMPUTED_VALUE"""),"OKTA")</f>
        <v>OKTA</v>
      </c>
      <c r="I116" s="145" t="str">
        <f>IFERROR(__xludf.DUMMYFUNCTION("""COMPUTED_VALUE"""),"NOPI")</f>
        <v>NOPI</v>
      </c>
      <c r="J116" s="145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</row>
    <row r="117" ht="22.5" customHeight="1">
      <c r="A117" s="144">
        <f>IFERROR(__xludf.DUMMYFUNCTION("""COMPUTED_VALUE"""),46044.0)</f>
        <v>46044</v>
      </c>
      <c r="B117" s="145" t="str">
        <f t="shared" si="1"/>
        <v>01Jan</v>
      </c>
      <c r="C117" s="145" t="str">
        <f>IFERROR(__xludf.DUMMYFUNCTION("""COMPUTED_VALUE"""),"RAHMAD")</f>
        <v>RAHMAD</v>
      </c>
      <c r="D117" s="145">
        <f t="array" ref="D117">IFNA(XLOOKUP(C117,'👥 Daftar Nama Pasien'!$B$6:$B1181,'👥 Daftar Nama Pasien'!$D$6:$D1181),"")</f>
        <v>57</v>
      </c>
      <c r="E117" s="145" t="str">
        <f t="array" ref="E117">XLOOKUP(C117,'⬇️ PEMASUKAN'!$I$5:$I1181,'⬇️ PEMASUKAN'!$K$5:$K1181,,0,-1)</f>
        <v>K.TA - TERAPI AWAL</v>
      </c>
      <c r="F117" s="145" t="str">
        <f t="shared" si="2"/>
        <v>TIDAK CLOSING</v>
      </c>
      <c r="G117" s="145" t="str">
        <f t="shared" si="3"/>
        <v>TIDAK CLOSING</v>
      </c>
      <c r="H117" s="145" t="str">
        <f>IFERROR(__xludf.DUMMYFUNCTION("""COMPUTED_VALUE"""),"HENA")</f>
        <v>HENA</v>
      </c>
      <c r="I117" s="145" t="str">
        <f>IFERROR(__xludf.DUMMYFUNCTION("""COMPUTED_VALUE"""),"NOPI")</f>
        <v>NOPI</v>
      </c>
      <c r="J117" s="145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</row>
    <row r="118" ht="22.5" customHeight="1">
      <c r="A118" s="144">
        <f>IFERROR(__xludf.DUMMYFUNCTION("""COMPUTED_VALUE"""),46044.0)</f>
        <v>46044</v>
      </c>
      <c r="B118" s="145" t="str">
        <f t="shared" si="1"/>
        <v>01Jan</v>
      </c>
      <c r="C118" s="145" t="str">
        <f>IFERROR(__xludf.DUMMYFUNCTION("""COMPUTED_VALUE"""),"FLORENSIUS LAYLIM")</f>
        <v>FLORENSIUS LAYLIM</v>
      </c>
      <c r="D118" s="145">
        <f t="array" ref="D118">IFNA(XLOOKUP(C118,'👥 Daftar Nama Pasien'!$B$6:$B1181,'👥 Daftar Nama Pasien'!$D$6:$D1181),"")</f>
        <v>30</v>
      </c>
      <c r="E118" s="145" t="str">
        <f t="array" ref="E118">XLOOKUP(C118,'⬇️ PEMASUKAN'!$I$5:$I1181,'⬇️ PEMASUKAN'!$K$5:$K1181,,0,-1)</f>
        <v>K.TA - TERAPI AWAL</v>
      </c>
      <c r="F118" s="145" t="str">
        <f t="shared" si="2"/>
        <v>TIDAK CLOSING</v>
      </c>
      <c r="G118" s="145" t="str">
        <f t="shared" si="3"/>
        <v>TIDAK CLOSING</v>
      </c>
      <c r="H118" s="145" t="str">
        <f>IFERROR(__xludf.DUMMYFUNCTION("""COMPUTED_VALUE"""),"HESTI")</f>
        <v>HESTI</v>
      </c>
      <c r="I118" s="145" t="str">
        <f>IFERROR(__xludf.DUMMYFUNCTION("""COMPUTED_VALUE"""),"NOPI")</f>
        <v>NOPI</v>
      </c>
      <c r="J118" s="145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</row>
    <row r="119" ht="22.5" customHeight="1">
      <c r="A119" s="144">
        <f>IFERROR(__xludf.DUMMYFUNCTION("""COMPUTED_VALUE"""),46045.0)</f>
        <v>46045</v>
      </c>
      <c r="B119" s="145" t="str">
        <f t="shared" si="1"/>
        <v>01Jan</v>
      </c>
      <c r="C119" s="145" t="str">
        <f>IFERROR(__xludf.DUMMYFUNCTION("""COMPUTED_VALUE"""),"ALBERT ALRILLIAN TALINO")</f>
        <v>ALBERT ALRILLIAN TALINO</v>
      </c>
      <c r="D119" s="145">
        <f t="array" ref="D119">IFNA(XLOOKUP(C119,'👥 Daftar Nama Pasien'!$B$6:$B1181,'👥 Daftar Nama Pasien'!$D$6:$D1181),"")</f>
        <v>18</v>
      </c>
      <c r="E119" s="145" t="str">
        <f t="array" ref="E119">XLOOKUP(C119,'⬇️ PEMASUKAN'!$I$5:$I1181,'⬇️ PEMASUKAN'!$K$5:$K1181,,0,-1)</f>
        <v>K.ST - SESI TERAPI</v>
      </c>
      <c r="F119" s="145" t="str">
        <f t="shared" si="2"/>
        <v>K.ST - SESI TERAPI</v>
      </c>
      <c r="G119" s="145" t="str">
        <f t="shared" si="3"/>
        <v>CLOSING SESI</v>
      </c>
      <c r="H119" s="145" t="str">
        <f>IFERROR(__xludf.DUMMYFUNCTION("""COMPUTED_VALUE"""),"DANI")</f>
        <v>DANI</v>
      </c>
      <c r="I119" s="145" t="str">
        <f>IFERROR(__xludf.DUMMYFUNCTION("""COMPUTED_VALUE"""),"LAINNYA")</f>
        <v>LAINNYA</v>
      </c>
      <c r="J119" s="145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</row>
    <row r="120" ht="22.5" customHeight="1">
      <c r="A120" s="144">
        <f>IFERROR(__xludf.DUMMYFUNCTION("""COMPUTED_VALUE"""),46045.0)</f>
        <v>46045</v>
      </c>
      <c r="B120" s="145" t="str">
        <f t="shared" si="1"/>
        <v>01Jan</v>
      </c>
      <c r="C120" s="145" t="str">
        <f>IFERROR(__xludf.DUMMYFUNCTION("""COMPUTED_VALUE"""),"RENDI ARDIAN")</f>
        <v>RENDI ARDIAN</v>
      </c>
      <c r="D120" s="145">
        <f t="array" ref="D120">IFNA(XLOOKUP(C120,'👥 Daftar Nama Pasien'!$B$6:$B1181,'👥 Daftar Nama Pasien'!$D$6:$D1181),"")</f>
        <v>41</v>
      </c>
      <c r="E120" s="145" t="str">
        <f t="array" ref="E120">XLOOKUP(C120,'⬇️ PEMASUKAN'!$I$5:$I1181,'⬇️ PEMASUKAN'!$K$5:$K1181,,0,-1)</f>
        <v>K.PT - PAKET 1</v>
      </c>
      <c r="F120" s="145" t="str">
        <f t="shared" si="2"/>
        <v>K.PT - PAKET 1</v>
      </c>
      <c r="G120" s="145" t="str">
        <f t="shared" si="3"/>
        <v>CLOSING PAKET</v>
      </c>
      <c r="H120" s="145" t="str">
        <f>IFERROR(__xludf.DUMMYFUNCTION("""COMPUTED_VALUE"""),"DANI")</f>
        <v>DANI</v>
      </c>
      <c r="I120" s="145" t="str">
        <f>IFERROR(__xludf.DUMMYFUNCTION("""COMPUTED_VALUE"""),"LAINNYA")</f>
        <v>LAINNYA</v>
      </c>
      <c r="J120" s="145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ht="22.5" customHeight="1">
      <c r="A121" s="144">
        <f>IFERROR(__xludf.DUMMYFUNCTION("""COMPUTED_VALUE"""),46046.0)</f>
        <v>46046</v>
      </c>
      <c r="B121" s="145" t="str">
        <f t="shared" si="1"/>
        <v>01Jan</v>
      </c>
      <c r="C121" s="145" t="str">
        <f>IFERROR(__xludf.DUMMYFUNCTION("""COMPUTED_VALUE"""),"YULITA RIANA")</f>
        <v>YULITA RIANA</v>
      </c>
      <c r="D121" s="145">
        <f t="array" ref="D121">IFNA(XLOOKUP(C121,'👥 Daftar Nama Pasien'!$B$6:$B1181,'👥 Daftar Nama Pasien'!$D$6:$D1181),"")</f>
        <v>51</v>
      </c>
      <c r="E121" s="145" t="str">
        <f t="array" ref="E121">XLOOKUP(C121,'⬇️ PEMASUKAN'!$I$5:$I1181,'⬇️ PEMASUKAN'!$K$5:$K1181,,0,-1)</f>
        <v>K.ST - SESI TERAPI</v>
      </c>
      <c r="F121" s="145" t="str">
        <f t="shared" si="2"/>
        <v>K.ST - SESI TERAPI</v>
      </c>
      <c r="G121" s="145" t="str">
        <f t="shared" si="3"/>
        <v>CLOSING SESI</v>
      </c>
      <c r="H121" s="145" t="str">
        <f>IFERROR(__xludf.DUMMYFUNCTION("""COMPUTED_VALUE"""),"PRITY")</f>
        <v>PRITY</v>
      </c>
      <c r="I121" s="145" t="str">
        <f>IFERROR(__xludf.DUMMYFUNCTION("""COMPUTED_VALUE"""),"SUCI")</f>
        <v>SUCI</v>
      </c>
      <c r="J121" s="145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</row>
    <row r="122" ht="22.5" customHeight="1">
      <c r="A122" s="144">
        <f>IFERROR(__xludf.DUMMYFUNCTION("""COMPUTED_VALUE"""),46046.0)</f>
        <v>46046</v>
      </c>
      <c r="B122" s="145" t="str">
        <f t="shared" si="1"/>
        <v>01Jan</v>
      </c>
      <c r="C122" s="145" t="str">
        <f>IFERROR(__xludf.DUMMYFUNCTION("""COMPUTED_VALUE"""),"RAYYANDRA GHUFRAN MARIOSHA")</f>
        <v>RAYYANDRA GHUFRAN MARIOSHA</v>
      </c>
      <c r="D122" s="145">
        <f t="array" ref="D122">IFNA(XLOOKUP(C122,'👥 Daftar Nama Pasien'!$B$6:$B1181,'👥 Daftar Nama Pasien'!$D$6:$D1181),"")</f>
        <v>10</v>
      </c>
      <c r="E122" s="145" t="str">
        <f t="array" ref="E122">XLOOKUP(C122,'⬇️ PEMASUKAN'!$I$5:$I1181,'⬇️ PEMASUKAN'!$K$5:$K1181,,0,-1)</f>
        <v>K.TA - TERAPI AWAL</v>
      </c>
      <c r="F122" s="145" t="str">
        <f t="shared" si="2"/>
        <v>TIDAK CLOSING</v>
      </c>
      <c r="G122" s="145" t="str">
        <f t="shared" si="3"/>
        <v>TIDAK CLOSING</v>
      </c>
      <c r="H122" s="145" t="str">
        <f>IFERROR(__xludf.DUMMYFUNCTION("""COMPUTED_VALUE"""),"AUL")</f>
        <v>AUL</v>
      </c>
      <c r="I122" s="145" t="str">
        <f>IFERROR(__xludf.DUMMYFUNCTION("""COMPUTED_VALUE"""),"SUCI")</f>
        <v>SUCI</v>
      </c>
      <c r="J122" s="145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</row>
    <row r="123" ht="22.5" customHeight="1">
      <c r="A123" s="144">
        <f>IFERROR(__xludf.DUMMYFUNCTION("""COMPUTED_VALUE"""),46046.0)</f>
        <v>46046</v>
      </c>
      <c r="B123" s="145" t="str">
        <f t="shared" si="1"/>
        <v>01Jan</v>
      </c>
      <c r="C123" s="145" t="str">
        <f>IFERROR(__xludf.DUMMYFUNCTION("""COMPUTED_VALUE"""),"SANDY KURNIA")</f>
        <v>SANDY KURNIA</v>
      </c>
      <c r="D123" s="145">
        <f t="array" ref="D123">IFNA(XLOOKUP(C123,'👥 Daftar Nama Pasien'!$B$6:$B1181,'👥 Daftar Nama Pasien'!$D$6:$D1181),"")</f>
        <v>30</v>
      </c>
      <c r="E123" s="145" t="str">
        <f t="array" ref="E123">XLOOKUP(C123,'⬇️ PEMASUKAN'!$I$5:$I1181,'⬇️ PEMASUKAN'!$K$5:$K1181,,0,-1)</f>
        <v>K.TA - TERAPI AWAL</v>
      </c>
      <c r="F123" s="145" t="str">
        <f t="shared" si="2"/>
        <v>TIDAK CLOSING</v>
      </c>
      <c r="G123" s="145" t="str">
        <f t="shared" si="3"/>
        <v>TIDAK CLOSING</v>
      </c>
      <c r="H123" s="145" t="str">
        <f>IFERROR(__xludf.DUMMYFUNCTION("""COMPUTED_VALUE"""),"ORY")</f>
        <v>ORY</v>
      </c>
      <c r="I123" s="145" t="str">
        <f>IFERROR(__xludf.DUMMYFUNCTION("""COMPUTED_VALUE"""),"SUCI")</f>
        <v>SUCI</v>
      </c>
      <c r="J123" s="145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</row>
    <row r="124" ht="22.5" customHeight="1">
      <c r="A124" s="144">
        <f>IFERROR(__xludf.DUMMYFUNCTION("""COMPUTED_VALUE"""),46046.0)</f>
        <v>46046</v>
      </c>
      <c r="B124" s="145" t="str">
        <f t="shared" si="1"/>
        <v>01Jan</v>
      </c>
      <c r="C124" s="145" t="str">
        <f>IFERROR(__xludf.DUMMYFUNCTION("""COMPUTED_VALUE"""),"SURIATI HALIM")</f>
        <v>SURIATI HALIM</v>
      </c>
      <c r="D124" s="145">
        <f t="array" ref="D124">IFNA(XLOOKUP(C124,'👥 Daftar Nama Pasien'!$B$6:$B1181,'👥 Daftar Nama Pasien'!$D$6:$D1181),"")</f>
        <v>62</v>
      </c>
      <c r="E124" s="145" t="str">
        <f t="array" ref="E124">XLOOKUP(C124,'⬇️ PEMASUKAN'!$I$5:$I1181,'⬇️ PEMASUKAN'!$K$5:$K1181,,0,-1)</f>
        <v>K.ST - SESI TERAPI</v>
      </c>
      <c r="F124" s="145" t="str">
        <f t="shared" si="2"/>
        <v>K.ST - SESI TERAPI</v>
      </c>
      <c r="G124" s="145" t="str">
        <f t="shared" si="3"/>
        <v>CLOSING SESI</v>
      </c>
      <c r="H124" s="145" t="str">
        <f>IFERROR(__xludf.DUMMYFUNCTION("""COMPUTED_VALUE"""),"OKTA")</f>
        <v>OKTA</v>
      </c>
      <c r="I124" s="145" t="str">
        <f>IFERROR(__xludf.DUMMYFUNCTION("""COMPUTED_VALUE"""),"NOPI")</f>
        <v>NOPI</v>
      </c>
      <c r="J124" s="145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</row>
    <row r="125" ht="22.5" customHeight="1">
      <c r="A125" s="144">
        <f>IFERROR(__xludf.DUMMYFUNCTION("""COMPUTED_VALUE"""),46046.0)</f>
        <v>46046</v>
      </c>
      <c r="B125" s="145" t="str">
        <f t="shared" si="1"/>
        <v>01Jan</v>
      </c>
      <c r="C125" s="145" t="str">
        <f>IFERROR(__xludf.DUMMYFUNCTION("""COMPUTED_VALUE"""),"NELLY FITRIANA")</f>
        <v>NELLY FITRIANA</v>
      </c>
      <c r="D125" s="145">
        <f t="array" ref="D125">IFNA(XLOOKUP(C125,'👥 Daftar Nama Pasien'!$B$6:$B1181,'👥 Daftar Nama Pasien'!$D$6:$D1181),"")</f>
        <v>44</v>
      </c>
      <c r="E125" s="145" t="str">
        <f t="array" ref="E125">XLOOKUP(C125,'⬇️ PEMASUKAN'!$I$5:$I1181,'⬇️ PEMASUKAN'!$K$5:$K1181,,0,-1)</f>
        <v>K.ST - SESI TERAPI</v>
      </c>
      <c r="F125" s="145" t="str">
        <f t="shared" si="2"/>
        <v>K.ST - SESI TERAPI</v>
      </c>
      <c r="G125" s="145" t="str">
        <f t="shared" si="3"/>
        <v>CLOSING SESI</v>
      </c>
      <c r="H125" s="145" t="str">
        <f>IFERROR(__xludf.DUMMYFUNCTION("""COMPUTED_VALUE"""),"OKTA")</f>
        <v>OKTA</v>
      </c>
      <c r="I125" s="145" t="str">
        <f>IFERROR(__xludf.DUMMYFUNCTION("""COMPUTED_VALUE"""),"NOPI")</f>
        <v>NOPI</v>
      </c>
      <c r="J125" s="145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</row>
    <row r="126" ht="22.5" customHeight="1">
      <c r="A126" s="144">
        <f>IFERROR(__xludf.DUMMYFUNCTION("""COMPUTED_VALUE"""),46046.0)</f>
        <v>46046</v>
      </c>
      <c r="B126" s="145" t="str">
        <f t="shared" si="1"/>
        <v>01Jan</v>
      </c>
      <c r="C126" s="145" t="str">
        <f>IFERROR(__xludf.DUMMYFUNCTION("""COMPUTED_VALUE"""),"RUKIAH AGUSTIAWATI")</f>
        <v>RUKIAH AGUSTIAWATI</v>
      </c>
      <c r="D126" s="145">
        <f t="array" ref="D126">IFNA(XLOOKUP(C126,'👥 Daftar Nama Pasien'!$B$6:$B1181,'👥 Daftar Nama Pasien'!$D$6:$D1181),"")</f>
        <v>53</v>
      </c>
      <c r="E126" s="145" t="str">
        <f t="array" ref="E126">XLOOKUP(C126,'⬇️ PEMASUKAN'!$I$5:$I1181,'⬇️ PEMASUKAN'!$K$5:$K1181,,0,-1)</f>
        <v>K.ST - SESI TERAPI NEW</v>
      </c>
      <c r="F126" s="145" t="str">
        <f t="shared" si="2"/>
        <v>K.ST - SESI TERAPI NEW</v>
      </c>
      <c r="G126" s="145" t="str">
        <f t="shared" si="3"/>
        <v>CLOSING SESI</v>
      </c>
      <c r="H126" s="145" t="str">
        <f>IFERROR(__xludf.DUMMYFUNCTION("""COMPUTED_VALUE"""),"OKTA")</f>
        <v>OKTA</v>
      </c>
      <c r="I126" s="145" t="str">
        <f>IFERROR(__xludf.DUMMYFUNCTION("""COMPUTED_VALUE"""),"NOPI")</f>
        <v>NOPI</v>
      </c>
      <c r="J126" s="145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ht="22.5" customHeight="1">
      <c r="A127" s="144">
        <f>IFERROR(__xludf.DUMMYFUNCTION("""COMPUTED_VALUE"""),46046.0)</f>
        <v>46046</v>
      </c>
      <c r="B127" s="145" t="str">
        <f t="shared" si="1"/>
        <v>01Jan</v>
      </c>
      <c r="C127" s="145" t="str">
        <f>IFERROR(__xludf.DUMMYFUNCTION("""COMPUTED_VALUE"""),"RAHMAT REZA FAHLEVI")</f>
        <v>RAHMAT REZA FAHLEVI</v>
      </c>
      <c r="D127" s="145">
        <f t="array" ref="D127">IFNA(XLOOKUP(C127,'👥 Daftar Nama Pasien'!$B$6:$B1181,'👥 Daftar Nama Pasien'!$D$6:$D1181),"")</f>
        <v>20</v>
      </c>
      <c r="E127" s="145" t="str">
        <f t="array" ref="E127">XLOOKUP(C127,'⬇️ PEMASUKAN'!$I$5:$I1181,'⬇️ PEMASUKAN'!$K$5:$K1181,,0,-1)</f>
        <v>K.ST - SESI TERAPI</v>
      </c>
      <c r="F127" s="145" t="str">
        <f t="shared" si="2"/>
        <v>K.ST - SESI TERAPI</v>
      </c>
      <c r="G127" s="145" t="str">
        <f t="shared" si="3"/>
        <v>CLOSING SESI</v>
      </c>
      <c r="H127" s="145" t="str">
        <f>IFERROR(__xludf.DUMMYFUNCTION("""COMPUTED_VALUE"""),"HESTI")</f>
        <v>HESTI</v>
      </c>
      <c r="I127" s="145" t="str">
        <f>IFERROR(__xludf.DUMMYFUNCTION("""COMPUTED_VALUE"""),"NOPI")</f>
        <v>NOPI</v>
      </c>
      <c r="J127" s="145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ht="22.5" customHeight="1">
      <c r="A128" s="144">
        <f>IFERROR(__xludf.DUMMYFUNCTION("""COMPUTED_VALUE"""),46047.0)</f>
        <v>46047</v>
      </c>
      <c r="B128" s="145" t="str">
        <f t="shared" si="1"/>
        <v>01Jan</v>
      </c>
      <c r="C128" s="145" t="str">
        <f>IFERROR(__xludf.DUMMYFUNCTION("""COMPUTED_VALUE"""),"ISTIKA INDAH NINGSIH")</f>
        <v>ISTIKA INDAH NINGSIH</v>
      </c>
      <c r="D128" s="145">
        <f t="array" ref="D128">IFNA(XLOOKUP(C128,'👥 Daftar Nama Pasien'!$B$6:$B1181,'👥 Daftar Nama Pasien'!$D$6:$D1181),"")</f>
        <v>31</v>
      </c>
      <c r="E128" s="145" t="str">
        <f t="array" ref="E128">XLOOKUP(C128,'⬇️ PEMASUKAN'!$I$5:$I1181,'⬇️ PEMASUKAN'!$K$5:$K1181,,0,-1)</f>
        <v>K.PT - PAKET 1</v>
      </c>
      <c r="F128" s="145" t="str">
        <f t="shared" si="2"/>
        <v>K.PT - PAKET 1</v>
      </c>
      <c r="G128" s="145" t="str">
        <f t="shared" si="3"/>
        <v>CLOSING PAKET</v>
      </c>
      <c r="H128" s="145" t="str">
        <f>IFERROR(__xludf.DUMMYFUNCTION("""COMPUTED_VALUE"""),"HENA")</f>
        <v>HENA</v>
      </c>
      <c r="I128" s="145" t="str">
        <f>IFERROR(__xludf.DUMMYFUNCTION("""COMPUTED_VALUE"""),"NOPI")</f>
        <v>NOPI</v>
      </c>
      <c r="J128" s="145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ht="22.5" customHeight="1">
      <c r="A129" s="144">
        <f>IFERROR(__xludf.DUMMYFUNCTION("""COMPUTED_VALUE"""),46047.0)</f>
        <v>46047</v>
      </c>
      <c r="B129" s="145" t="str">
        <f t="shared" si="1"/>
        <v>01Jan</v>
      </c>
      <c r="C129" s="145" t="str">
        <f>IFERROR(__xludf.DUMMYFUNCTION("""COMPUTED_VALUE"""),"EVA DESI S PARDEDE")</f>
        <v>EVA DESI S PARDEDE</v>
      </c>
      <c r="D129" s="145">
        <f t="array" ref="D129">IFNA(XLOOKUP(C129,'👥 Daftar Nama Pasien'!$B$6:$B1181,'👥 Daftar Nama Pasien'!$D$6:$D1181),"")</f>
        <v>51</v>
      </c>
      <c r="E129" s="145" t="str">
        <f t="array" ref="E129">XLOOKUP(C129,'⬇️ PEMASUKAN'!$I$5:$I1181,'⬇️ PEMASUKAN'!$K$5:$K1181,,0,-1)</f>
        <v>K.ST - SESI TERAPI</v>
      </c>
      <c r="F129" s="145" t="str">
        <f t="shared" si="2"/>
        <v>K.ST - SESI TERAPI</v>
      </c>
      <c r="G129" s="145" t="str">
        <f t="shared" si="3"/>
        <v>CLOSING SESI</v>
      </c>
      <c r="H129" s="145" t="str">
        <f>IFERROR(__xludf.DUMMYFUNCTION("""COMPUTED_VALUE"""),"HENA")</f>
        <v>HENA</v>
      </c>
      <c r="I129" s="145" t="str">
        <f>IFERROR(__xludf.DUMMYFUNCTION("""COMPUTED_VALUE"""),"NOPI")</f>
        <v>NOPI</v>
      </c>
      <c r="J129" s="145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ht="22.5" customHeight="1">
      <c r="A130" s="144">
        <f>IFERROR(__xludf.DUMMYFUNCTION("""COMPUTED_VALUE"""),46047.0)</f>
        <v>46047</v>
      </c>
      <c r="B130" s="145" t="str">
        <f t="shared" si="1"/>
        <v>01Jan</v>
      </c>
      <c r="C130" s="145" t="str">
        <f>IFERROR(__xludf.DUMMYFUNCTION("""COMPUTED_VALUE"""),"RIZKY PUSPASARI")</f>
        <v>RIZKY PUSPASARI</v>
      </c>
      <c r="D130" s="145">
        <f t="array" ref="D130">IFNA(XLOOKUP(C130,'👥 Daftar Nama Pasien'!$B$6:$B1181,'👥 Daftar Nama Pasien'!$D$6:$D1181),"")</f>
        <v>32</v>
      </c>
      <c r="E130" s="145" t="str">
        <f t="array" ref="E130">XLOOKUP(C130,'⬇️ PEMASUKAN'!$I$5:$I1181,'⬇️ PEMASUKAN'!$K$5:$K1181,,0,-1)</f>
        <v>K.PT - PAKET 1</v>
      </c>
      <c r="F130" s="145" t="str">
        <f t="shared" si="2"/>
        <v>K.PT - PAKET 1</v>
      </c>
      <c r="G130" s="145" t="str">
        <f t="shared" si="3"/>
        <v>CLOSING PAKET</v>
      </c>
      <c r="H130" s="145" t="str">
        <f>IFERROR(__xludf.DUMMYFUNCTION("""COMPUTED_VALUE"""),"HESTI")</f>
        <v>HESTI</v>
      </c>
      <c r="I130" s="145" t="str">
        <f>IFERROR(__xludf.DUMMYFUNCTION("""COMPUTED_VALUE"""),"NOPI")</f>
        <v>NOPI</v>
      </c>
      <c r="J130" s="145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ht="22.5" customHeight="1">
      <c r="A131" s="144">
        <f>IFERROR(__xludf.DUMMYFUNCTION("""COMPUTED_VALUE"""),46047.0)</f>
        <v>46047</v>
      </c>
      <c r="B131" s="145" t="str">
        <f t="shared" si="1"/>
        <v>01Jan</v>
      </c>
      <c r="C131" s="145" t="str">
        <f>IFERROR(__xludf.DUMMYFUNCTION("""COMPUTED_VALUE"""),"VERONIMUS VALENT FRANSISKUS")</f>
        <v>VERONIMUS VALENT FRANSISKUS</v>
      </c>
      <c r="D131" s="145">
        <f t="array" ref="D131">IFNA(XLOOKUP(C131,'👥 Daftar Nama Pasien'!$B$6:$B1181,'👥 Daftar Nama Pasien'!$D$6:$D1181),"")</f>
        <v>30</v>
      </c>
      <c r="E131" s="145" t="str">
        <f t="array" ref="E131">XLOOKUP(C131,'⬇️ PEMASUKAN'!$I$5:$I1181,'⬇️ PEMASUKAN'!$K$5:$K1181,,0,-1)</f>
        <v>K.PT - PAKET 2</v>
      </c>
      <c r="F131" s="145" t="str">
        <f t="shared" si="2"/>
        <v>K.PT - PAKET 2</v>
      </c>
      <c r="G131" s="145" t="str">
        <f t="shared" si="3"/>
        <v>CLOSING PAKET</v>
      </c>
      <c r="H131" s="145" t="str">
        <f>IFERROR(__xludf.DUMMYFUNCTION("""COMPUTED_VALUE"""),"WAHYU")</f>
        <v>WAHYU</v>
      </c>
      <c r="I131" s="145" t="str">
        <f>IFERROR(__xludf.DUMMYFUNCTION("""COMPUTED_VALUE"""),"NOPI")</f>
        <v>NOPI</v>
      </c>
      <c r="J131" s="145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</row>
    <row r="132" ht="22.5" customHeight="1">
      <c r="A132" s="144">
        <f>IFERROR(__xludf.DUMMYFUNCTION("""COMPUTED_VALUE"""),46047.0)</f>
        <v>46047</v>
      </c>
      <c r="B132" s="145" t="str">
        <f t="shared" si="1"/>
        <v>01Jan</v>
      </c>
      <c r="C132" s="145" t="str">
        <f>IFERROR(__xludf.DUMMYFUNCTION("""COMPUTED_VALUE"""),"ARY HIDAYATUL FAJRI")</f>
        <v>ARY HIDAYATUL FAJRI</v>
      </c>
      <c r="D132" s="145">
        <f t="array" ref="D132">IFNA(XLOOKUP(C132,'👥 Daftar Nama Pasien'!$B$6:$B1181,'👥 Daftar Nama Pasien'!$D$6:$D1181),"")</f>
        <v>30</v>
      </c>
      <c r="E132" s="145" t="str">
        <f t="array" ref="E132">XLOOKUP(C132,'⬇️ PEMASUKAN'!$I$5:$I1181,'⬇️ PEMASUKAN'!$K$5:$K1181,,0,-1)</f>
        <v>K.TA - TERAPI AWAL</v>
      </c>
      <c r="F132" s="145" t="str">
        <f t="shared" si="2"/>
        <v>TIDAK CLOSING</v>
      </c>
      <c r="G132" s="145" t="str">
        <f t="shared" si="3"/>
        <v>TIDAK CLOSING</v>
      </c>
      <c r="H132" s="145" t="str">
        <f>IFERROR(__xludf.DUMMYFUNCTION("""COMPUTED_VALUE"""),"DANI")</f>
        <v>DANI</v>
      </c>
      <c r="I132" s="145" t="str">
        <f>IFERROR(__xludf.DUMMYFUNCTION("""COMPUTED_VALUE"""),"NOPI")</f>
        <v>NOPI</v>
      </c>
      <c r="J132" s="145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</row>
    <row r="133" ht="22.5" customHeight="1">
      <c r="A133" s="144">
        <f>IFERROR(__xludf.DUMMYFUNCTION("""COMPUTED_VALUE"""),46047.0)</f>
        <v>46047</v>
      </c>
      <c r="B133" s="145" t="str">
        <f t="shared" si="1"/>
        <v>01Jan</v>
      </c>
      <c r="C133" s="145" t="str">
        <f>IFERROR(__xludf.DUMMYFUNCTION("""COMPUTED_VALUE"""),"MUHAMMAD ABDULLAH AL KAYIS")</f>
        <v>MUHAMMAD ABDULLAH AL KAYIS</v>
      </c>
      <c r="D133" s="145">
        <f t="array" ref="D133">IFNA(XLOOKUP(C133,'👥 Daftar Nama Pasien'!$B$6:$B1181,'👥 Daftar Nama Pasien'!$D$6:$D1181),"")</f>
        <v>12</v>
      </c>
      <c r="E133" s="145" t="str">
        <f t="array" ref="E133">XLOOKUP(C133,'⬇️ PEMASUKAN'!$I$5:$I1181,'⬇️ PEMASUKAN'!$K$5:$K1181,,0,-1)</f>
        <v>K.ST - SESI TERAPI</v>
      </c>
      <c r="F133" s="145" t="str">
        <f t="shared" si="2"/>
        <v>K.ST - SESI TERAPI</v>
      </c>
      <c r="G133" s="145" t="str">
        <f t="shared" si="3"/>
        <v>CLOSING SESI</v>
      </c>
      <c r="H133" s="145" t="str">
        <f>IFERROR(__xludf.DUMMYFUNCTION("""COMPUTED_VALUE"""),"HESTI")</f>
        <v>HESTI</v>
      </c>
      <c r="I133" s="145" t="str">
        <f>IFERROR(__xludf.DUMMYFUNCTION("""COMPUTED_VALUE"""),"NOPI")</f>
        <v>NOPI</v>
      </c>
      <c r="J133" s="145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</row>
    <row r="134" ht="22.5" customHeight="1">
      <c r="A134" s="144">
        <f>IFERROR(__xludf.DUMMYFUNCTION("""COMPUTED_VALUE"""),46047.0)</f>
        <v>46047</v>
      </c>
      <c r="B134" s="145" t="str">
        <f t="shared" si="1"/>
        <v>01Jan</v>
      </c>
      <c r="C134" s="145" t="str">
        <f>IFERROR(__xludf.DUMMYFUNCTION("""COMPUTED_VALUE"""),"WEHRY")</f>
        <v>WEHRY</v>
      </c>
      <c r="D134" s="145">
        <f t="array" ref="D134">IFNA(XLOOKUP(C134,'👥 Daftar Nama Pasien'!$B$6:$B1181,'👥 Daftar Nama Pasien'!$D$6:$D1181),"")</f>
        <v>28</v>
      </c>
      <c r="E134" s="145" t="str">
        <f t="array" ref="E134">XLOOKUP(C134,'⬇️ PEMASUKAN'!$I$5:$I1181,'⬇️ PEMASUKAN'!$K$5:$K1181,,0,-1)</f>
        <v>K.TA - TERAPI AWAL</v>
      </c>
      <c r="F134" s="145" t="str">
        <f t="shared" si="2"/>
        <v>TIDAK CLOSING</v>
      </c>
      <c r="G134" s="145" t="str">
        <f t="shared" si="3"/>
        <v>TIDAK CLOSING</v>
      </c>
      <c r="H134" s="145" t="str">
        <f>IFERROR(__xludf.DUMMYFUNCTION("""COMPUTED_VALUE"""),"WAHYU")</f>
        <v>WAHYU</v>
      </c>
      <c r="I134" s="145" t="str">
        <f>IFERROR(__xludf.DUMMYFUNCTION("""COMPUTED_VALUE"""),"NOPI")</f>
        <v>NOPI</v>
      </c>
      <c r="J134" s="145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</row>
    <row r="135" ht="22.5" customHeight="1">
      <c r="A135" s="144">
        <f>IFERROR(__xludf.DUMMYFUNCTION("""COMPUTED_VALUE"""),46047.0)</f>
        <v>46047</v>
      </c>
      <c r="B135" s="145" t="str">
        <f t="shared" si="1"/>
        <v>01Jan</v>
      </c>
      <c r="C135" s="145" t="str">
        <f>IFERROR(__xludf.DUMMYFUNCTION("""COMPUTED_VALUE"""),"NOPIANTO SAPTA BONG")</f>
        <v>NOPIANTO SAPTA BONG</v>
      </c>
      <c r="D135" s="145">
        <f t="array" ref="D135">IFNA(XLOOKUP(C135,'👥 Daftar Nama Pasien'!$B$6:$B1181,'👥 Daftar Nama Pasien'!$D$6:$D1181),"")</f>
        <v>26</v>
      </c>
      <c r="E135" s="145" t="str">
        <f t="array" ref="E135">XLOOKUP(C135,'⬇️ PEMASUKAN'!$I$5:$I1181,'⬇️ PEMASUKAN'!$K$5:$K1181,,0,-1)</f>
        <v>K.PT - PAKET 1</v>
      </c>
      <c r="F135" s="145" t="str">
        <f t="shared" si="2"/>
        <v>K.PT - PAKET 1</v>
      </c>
      <c r="G135" s="145" t="str">
        <f t="shared" si="3"/>
        <v>CLOSING PAKET</v>
      </c>
      <c r="H135" s="145" t="str">
        <f>IFERROR(__xludf.DUMMYFUNCTION("""COMPUTED_VALUE"""),"ORY")</f>
        <v>ORY</v>
      </c>
      <c r="I135" s="145" t="str">
        <f>IFERROR(__xludf.DUMMYFUNCTION("""COMPUTED_VALUE"""),"NOPI")</f>
        <v>NOPI</v>
      </c>
      <c r="J135" s="145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</row>
    <row r="136" ht="22.5" customHeight="1">
      <c r="A136" s="144">
        <f>IFERROR(__xludf.DUMMYFUNCTION("""COMPUTED_VALUE"""),46047.0)</f>
        <v>46047</v>
      </c>
      <c r="B136" s="145" t="str">
        <f t="shared" si="1"/>
        <v>01Jan</v>
      </c>
      <c r="C136" s="145" t="str">
        <f>IFERROR(__xludf.DUMMYFUNCTION("""COMPUTED_VALUE"""),"HEYLIE ARIELLE ANG")</f>
        <v>HEYLIE ARIELLE ANG</v>
      </c>
      <c r="D136" s="145">
        <f t="array" ref="D136">IFNA(XLOOKUP(C136,'👥 Daftar Nama Pasien'!$B$6:$B1181,'👥 Daftar Nama Pasien'!$D$6:$D1181),"")</f>
        <v>16</v>
      </c>
      <c r="E136" s="145" t="str">
        <f t="array" ref="E136">XLOOKUP(C136,'⬇️ PEMASUKAN'!$I$5:$I1181,'⬇️ PEMASUKAN'!$K$5:$K1181,,0,-1)</f>
        <v>S.TR - ICE BAG</v>
      </c>
      <c r="F136" s="145" t="str">
        <f t="shared" si="2"/>
        <v>S.TR - ICE BAG</v>
      </c>
      <c r="G136" s="145" t="str">
        <f t="shared" si="3"/>
        <v>TIDAK CLOSING</v>
      </c>
      <c r="H136" s="145" t="str">
        <f>IFERROR(__xludf.DUMMYFUNCTION("""COMPUTED_VALUE"""),"DESTY")</f>
        <v>DESTY</v>
      </c>
      <c r="I136" s="145" t="str">
        <f>IFERROR(__xludf.DUMMYFUNCTION("""COMPUTED_VALUE"""),"NOPI")</f>
        <v>NOPI</v>
      </c>
      <c r="J136" s="145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</row>
    <row r="137" ht="22.5" customHeight="1">
      <c r="A137" s="144">
        <f>IFERROR(__xludf.DUMMYFUNCTION("""COMPUTED_VALUE"""),46047.0)</f>
        <v>46047</v>
      </c>
      <c r="B137" s="145" t="str">
        <f t="shared" si="1"/>
        <v>01Jan</v>
      </c>
      <c r="C137" s="145" t="str">
        <f>IFERROR(__xludf.DUMMYFUNCTION("""COMPUTED_VALUE"""),"JULIANTO 9007")</f>
        <v>JULIANTO 9007</v>
      </c>
      <c r="D137" s="145">
        <f t="array" ref="D137">IFNA(XLOOKUP(C137,'👥 Daftar Nama Pasien'!$B$6:$B1181,'👥 Daftar Nama Pasien'!$D$6:$D1181),"")</f>
        <v>35</v>
      </c>
      <c r="E137" s="145" t="str">
        <f t="array" ref="E137">XLOOKUP(C137,'⬇️ PEMASUKAN'!$I$5:$I1181,'⬇️ PEMASUKAN'!$K$5:$K1181,,0,-1)</f>
        <v>K.TA - TERAPI AWAL</v>
      </c>
      <c r="F137" s="145" t="str">
        <f t="shared" si="2"/>
        <v>TIDAK CLOSING</v>
      </c>
      <c r="G137" s="145" t="str">
        <f t="shared" si="3"/>
        <v>TIDAK CLOSING</v>
      </c>
      <c r="H137" s="145" t="str">
        <f>IFERROR(__xludf.DUMMYFUNCTION("""COMPUTED_VALUE"""),"OKTA")</f>
        <v>OKTA</v>
      </c>
      <c r="I137" s="145" t="str">
        <f>IFERROR(__xludf.DUMMYFUNCTION("""COMPUTED_VALUE"""),"SUCI")</f>
        <v>SUCI</v>
      </c>
      <c r="J137" s="145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</row>
    <row r="138" ht="22.5" customHeight="1">
      <c r="A138" s="144">
        <f>IFERROR(__xludf.DUMMYFUNCTION("""COMPUTED_VALUE"""),46047.0)</f>
        <v>46047</v>
      </c>
      <c r="B138" s="145" t="str">
        <f t="shared" si="1"/>
        <v>01Jan</v>
      </c>
      <c r="C138" s="145" t="str">
        <f>IFERROR(__xludf.DUMMYFUNCTION("""COMPUTED_VALUE"""),"REZA ILHAM FAHRINO")</f>
        <v>REZA ILHAM FAHRINO</v>
      </c>
      <c r="D138" s="145">
        <f t="array" ref="D138">IFNA(XLOOKUP(C138,'👥 Daftar Nama Pasien'!$B$6:$B1181,'👥 Daftar Nama Pasien'!$D$6:$D1181),"")</f>
        <v>36</v>
      </c>
      <c r="E138" s="145" t="str">
        <f t="array" ref="E138">XLOOKUP(C138,'⬇️ PEMASUKAN'!$I$5:$I1181,'⬇️ PEMASUKAN'!$K$5:$K1181,,0,-1)</f>
        <v>K.TA - TERAPI AWAL</v>
      </c>
      <c r="F138" s="145" t="str">
        <f t="shared" si="2"/>
        <v>TIDAK CLOSING</v>
      </c>
      <c r="G138" s="145" t="str">
        <f t="shared" si="3"/>
        <v>TIDAK CLOSING</v>
      </c>
      <c r="H138" s="145" t="str">
        <f>IFERROR(__xludf.DUMMYFUNCTION("""COMPUTED_VALUE"""),"OKTA")</f>
        <v>OKTA</v>
      </c>
      <c r="I138" s="145" t="str">
        <f>IFERROR(__xludf.DUMMYFUNCTION("""COMPUTED_VALUE"""),"SUCI")</f>
        <v>SUCI</v>
      </c>
      <c r="J138" s="145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</row>
    <row r="139" ht="22.5" customHeight="1">
      <c r="A139" s="144">
        <f>IFERROR(__xludf.DUMMYFUNCTION("""COMPUTED_VALUE"""),46047.0)</f>
        <v>46047</v>
      </c>
      <c r="B139" s="145" t="str">
        <f t="shared" si="1"/>
        <v>01Jan</v>
      </c>
      <c r="C139" s="145" t="str">
        <f>IFERROR(__xludf.DUMMYFUNCTION("""COMPUTED_VALUE"""),"KENNETH CARMEN")</f>
        <v>KENNETH CARMEN</v>
      </c>
      <c r="D139" s="145">
        <f t="array" ref="D139">IFNA(XLOOKUP(C139,'👥 Daftar Nama Pasien'!$B$6:$B1181,'👥 Daftar Nama Pasien'!$D$6:$D1181),"")</f>
        <v>26</v>
      </c>
      <c r="E139" s="145" t="str">
        <f t="array" ref="E139">XLOOKUP(C139,'⬇️ PEMASUKAN'!$I$5:$I1181,'⬇️ PEMASUKAN'!$K$5:$K1181,,0,-1)</f>
        <v>K.TA - TERAPI AWAL</v>
      </c>
      <c r="F139" s="145" t="str">
        <f t="shared" si="2"/>
        <v>TIDAK CLOSING</v>
      </c>
      <c r="G139" s="145" t="str">
        <f t="shared" si="3"/>
        <v>TIDAK CLOSING</v>
      </c>
      <c r="H139" s="145" t="str">
        <f>IFERROR(__xludf.DUMMYFUNCTION("""COMPUTED_VALUE"""),"AUL")</f>
        <v>AUL</v>
      </c>
      <c r="I139" s="145" t="str">
        <f>IFERROR(__xludf.DUMMYFUNCTION("""COMPUTED_VALUE"""),"SUCI")</f>
        <v>SUCI</v>
      </c>
      <c r="J139" s="145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</row>
    <row r="140" ht="22.5" customHeight="1">
      <c r="A140" s="144">
        <f>IFERROR(__xludf.DUMMYFUNCTION("""COMPUTED_VALUE"""),46048.0)</f>
        <v>46048</v>
      </c>
      <c r="B140" s="145" t="str">
        <f t="shared" si="1"/>
        <v>01Jan</v>
      </c>
      <c r="C140" s="145" t="str">
        <f>IFERROR(__xludf.DUMMYFUNCTION("""COMPUTED_VALUE"""),"MICKEL JERRI KURNIAWAN RAY ")</f>
        <v>MICKEL JERRI KURNIAWAN RAY </v>
      </c>
      <c r="D140" s="145">
        <f t="array" ref="D140">IFNA(XLOOKUP(C140,'👥 Daftar Nama Pasien'!$B$6:$B1181,'👥 Daftar Nama Pasien'!$D$6:$D1181),"")</f>
        <v>28</v>
      </c>
      <c r="E140" s="145" t="str">
        <f t="array" ref="E140">XLOOKUP(C140,'⬇️ PEMASUKAN'!$I$5:$I1181,'⬇️ PEMASUKAN'!$K$5:$K1181,,0,-1)</f>
        <v>K.ST - SESI TERAPI</v>
      </c>
      <c r="F140" s="145" t="str">
        <f t="shared" si="2"/>
        <v>K.ST - SESI TERAPI</v>
      </c>
      <c r="G140" s="145" t="str">
        <f t="shared" si="3"/>
        <v>CLOSING SESI</v>
      </c>
      <c r="H140" s="145" t="str">
        <f>IFERROR(__xludf.DUMMYFUNCTION("""COMPUTED_VALUE"""),"ORY")</f>
        <v>ORY</v>
      </c>
      <c r="I140" s="145" t="str">
        <f>IFERROR(__xludf.DUMMYFUNCTION("""COMPUTED_VALUE"""),"SUCI")</f>
        <v>SUCI</v>
      </c>
      <c r="J140" s="145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</row>
    <row r="141" ht="22.5" customHeight="1">
      <c r="A141" s="144">
        <f>IFERROR(__xludf.DUMMYFUNCTION("""COMPUTED_VALUE"""),46048.0)</f>
        <v>46048</v>
      </c>
      <c r="B141" s="145" t="str">
        <f t="shared" si="1"/>
        <v>01Jan</v>
      </c>
      <c r="C141" s="145" t="str">
        <f>IFERROR(__xludf.DUMMYFUNCTION("""COMPUTED_VALUE"""),"MILINA")</f>
        <v>MILINA</v>
      </c>
      <c r="D141" s="145">
        <f t="array" ref="D141">IFNA(XLOOKUP(C141,'👥 Daftar Nama Pasien'!$B$6:$B1181,'👥 Daftar Nama Pasien'!$D$6:$D1181),"")</f>
        <v>35</v>
      </c>
      <c r="E141" s="145" t="str">
        <f t="array" ref="E141">XLOOKUP(C141,'⬇️ PEMASUKAN'!$I$5:$I1181,'⬇️ PEMASUKAN'!$K$5:$K1181,,0,-1)</f>
        <v>K.TA - TERAPI AWAL</v>
      </c>
      <c r="F141" s="145" t="str">
        <f t="shared" si="2"/>
        <v>TIDAK CLOSING</v>
      </c>
      <c r="G141" s="145" t="str">
        <f t="shared" si="3"/>
        <v>TIDAK CLOSING</v>
      </c>
      <c r="H141" s="145" t="str">
        <f>IFERROR(__xludf.DUMMYFUNCTION("""COMPUTED_VALUE"""),"AUL")</f>
        <v>AUL</v>
      </c>
      <c r="I141" s="145" t="str">
        <f>IFERROR(__xludf.DUMMYFUNCTION("""COMPUTED_VALUE"""),"SUCI")</f>
        <v>SUCI</v>
      </c>
      <c r="J141" s="145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</row>
    <row r="142" ht="22.5" customHeight="1">
      <c r="A142" s="144">
        <f>IFERROR(__xludf.DUMMYFUNCTION("""COMPUTED_VALUE"""),46048.0)</f>
        <v>46048</v>
      </c>
      <c r="B142" s="145" t="str">
        <f t="shared" si="1"/>
        <v>01Jan</v>
      </c>
      <c r="C142" s="145" t="str">
        <f>IFERROR(__xludf.DUMMYFUNCTION("""COMPUTED_VALUE"""),"ENRICO IVAN CHUA")</f>
        <v>ENRICO IVAN CHUA</v>
      </c>
      <c r="D142" s="145">
        <f t="array" ref="D142">IFNA(XLOOKUP(C142,'👥 Daftar Nama Pasien'!$B$6:$B1181,'👥 Daftar Nama Pasien'!$D$6:$D1181),"")</f>
        <v>25</v>
      </c>
      <c r="E142" s="145" t="str">
        <f t="array" ref="E142">XLOOKUP(C142,'⬇️ PEMASUKAN'!$I$5:$I1181,'⬇️ PEMASUKAN'!$K$5:$K1181,,0,-1)</f>
        <v>K.ST - SESI TERAPI</v>
      </c>
      <c r="F142" s="145" t="str">
        <f t="shared" si="2"/>
        <v>K.ST - SESI TERAPI</v>
      </c>
      <c r="G142" s="145" t="str">
        <f t="shared" si="3"/>
        <v>CLOSING SESI</v>
      </c>
      <c r="H142" s="145" t="str">
        <f>IFERROR(__xludf.DUMMYFUNCTION("""COMPUTED_VALUE"""),"AUL")</f>
        <v>AUL</v>
      </c>
      <c r="I142" s="145" t="str">
        <f>IFERROR(__xludf.DUMMYFUNCTION("""COMPUTED_VALUE"""),"SUCI")</f>
        <v>SUCI</v>
      </c>
      <c r="J142" s="145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</row>
    <row r="143" ht="22.5" customHeight="1">
      <c r="A143" s="144">
        <f>IFERROR(__xludf.DUMMYFUNCTION("""COMPUTED_VALUE"""),46048.0)</f>
        <v>46048</v>
      </c>
      <c r="B143" s="145" t="str">
        <f t="shared" si="1"/>
        <v>01Jan</v>
      </c>
      <c r="C143" s="145" t="str">
        <f>IFERROR(__xludf.DUMMYFUNCTION("""COMPUTED_VALUE"""),"JUNIANSYAH")</f>
        <v>JUNIANSYAH</v>
      </c>
      <c r="D143" s="145">
        <f t="array" ref="D143">IFNA(XLOOKUP(C143,'👥 Daftar Nama Pasien'!$B$6:$B1181,'👥 Daftar Nama Pasien'!$D$6:$D1181),"")</f>
        <v>28</v>
      </c>
      <c r="E143" s="145" t="str">
        <f t="array" ref="E143">XLOOKUP(C143,'⬇️ PEMASUKAN'!$I$5:$I1181,'⬇️ PEMASUKAN'!$K$5:$K1181,,0,-1)</f>
        <v>K.TA - TERAPI AWAL</v>
      </c>
      <c r="F143" s="145" t="str">
        <f t="shared" si="2"/>
        <v>TIDAK CLOSING</v>
      </c>
      <c r="G143" s="145" t="str">
        <f t="shared" si="3"/>
        <v>TIDAK CLOSING</v>
      </c>
      <c r="H143" s="145" t="str">
        <f>IFERROR(__xludf.DUMMYFUNCTION("""COMPUTED_VALUE"""),"ORY")</f>
        <v>ORY</v>
      </c>
      <c r="I143" s="145" t="str">
        <f>IFERROR(__xludf.DUMMYFUNCTION("""COMPUTED_VALUE"""),"SUCI")</f>
        <v>SUCI</v>
      </c>
      <c r="J143" s="145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</row>
    <row r="144" ht="22.5" customHeight="1">
      <c r="A144" s="144">
        <f>IFERROR(__xludf.DUMMYFUNCTION("""COMPUTED_VALUE"""),46048.0)</f>
        <v>46048</v>
      </c>
      <c r="B144" s="145" t="str">
        <f t="shared" si="1"/>
        <v>01Jan</v>
      </c>
      <c r="C144" s="145" t="str">
        <f>IFERROR(__xludf.DUMMYFUNCTION("""COMPUTED_VALUE"""),"SYARIFAH AINI")</f>
        <v>SYARIFAH AINI</v>
      </c>
      <c r="D144" s="145">
        <f t="array" ref="D144">IFNA(XLOOKUP(C144,'👥 Daftar Nama Pasien'!$B$6:$B1181,'👥 Daftar Nama Pasien'!$D$6:$D1181),"")</f>
        <v>42</v>
      </c>
      <c r="E144" s="145" t="str">
        <f t="array" ref="E144">XLOOKUP(C144,'⬇️ PEMASUKAN'!$I$5:$I1181,'⬇️ PEMASUKAN'!$K$5:$K1181,,0,-1)</f>
        <v>K.ST - SESI TERAPI</v>
      </c>
      <c r="F144" s="145" t="str">
        <f t="shared" si="2"/>
        <v>K.ST - SESI TERAPI</v>
      </c>
      <c r="G144" s="145" t="str">
        <f t="shared" si="3"/>
        <v>CLOSING SESI</v>
      </c>
      <c r="H144" s="145" t="str">
        <f>IFERROR(__xludf.DUMMYFUNCTION("""COMPUTED_VALUE"""),"HENA")</f>
        <v>HENA</v>
      </c>
      <c r="I144" s="145" t="str">
        <f>IFERROR(__xludf.DUMMYFUNCTION("""COMPUTED_VALUE"""),"NOPI")</f>
        <v>NOPI</v>
      </c>
      <c r="J144" s="145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</row>
    <row r="145" ht="22.5" customHeight="1">
      <c r="A145" s="144">
        <f>IFERROR(__xludf.DUMMYFUNCTION("""COMPUTED_VALUE"""),46048.0)</f>
        <v>46048</v>
      </c>
      <c r="B145" s="145" t="str">
        <f t="shared" si="1"/>
        <v>01Jan</v>
      </c>
      <c r="C145" s="145" t="str">
        <f>IFERROR(__xludf.DUMMYFUNCTION("""COMPUTED_VALUE"""),"TUKIJAN")</f>
        <v>TUKIJAN</v>
      </c>
      <c r="D145" s="145">
        <f t="array" ref="D145">IFNA(XLOOKUP(C145,'👥 Daftar Nama Pasien'!$B$6:$B1181,'👥 Daftar Nama Pasien'!$D$6:$D1181),"")</f>
        <v>68</v>
      </c>
      <c r="E145" s="145" t="str">
        <f t="array" ref="E145">XLOOKUP(C145,'⬇️ PEMASUKAN'!$I$5:$I1181,'⬇️ PEMASUKAN'!$K$5:$K1181,,0,-1)</f>
        <v>K.TA - TERAPI AWAL</v>
      </c>
      <c r="F145" s="145" t="str">
        <f t="shared" si="2"/>
        <v>TIDAK CLOSING</v>
      </c>
      <c r="G145" s="145" t="str">
        <f t="shared" si="3"/>
        <v>TIDAK CLOSING</v>
      </c>
      <c r="H145" s="145" t="str">
        <f>IFERROR(__xludf.DUMMYFUNCTION("""COMPUTED_VALUE"""),"WAHYU")</f>
        <v>WAHYU</v>
      </c>
      <c r="I145" s="145" t="str">
        <f>IFERROR(__xludf.DUMMYFUNCTION("""COMPUTED_VALUE"""),"NOPI")</f>
        <v>NOPI</v>
      </c>
      <c r="J145" s="145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</row>
    <row r="146" ht="22.5" customHeight="1">
      <c r="A146" s="144">
        <f>IFERROR(__xludf.DUMMYFUNCTION("""COMPUTED_VALUE"""),46048.0)</f>
        <v>46048</v>
      </c>
      <c r="B146" s="145" t="str">
        <f t="shared" si="1"/>
        <v>01Jan</v>
      </c>
      <c r="C146" s="145" t="str">
        <f>IFERROR(__xludf.DUMMYFUNCTION("""COMPUTED_VALUE"""),"LUSIANA MAENAH")</f>
        <v>LUSIANA MAENAH</v>
      </c>
      <c r="D146" s="145">
        <f t="array" ref="D146">IFNA(XLOOKUP(C146,'👥 Daftar Nama Pasien'!$B$6:$B1181,'👥 Daftar Nama Pasien'!$D$6:$D1181),"")</f>
        <v>57</v>
      </c>
      <c r="E146" s="145" t="str">
        <f t="array" ref="E146">XLOOKUP(C146,'⬇️ PEMASUKAN'!$I$5:$I1181,'⬇️ PEMASUKAN'!$K$5:$K1181,,0,-1)</f>
        <v>K.PT - PAKET 1</v>
      </c>
      <c r="F146" s="145" t="str">
        <f t="shared" si="2"/>
        <v>K.PT - PAKET 1</v>
      </c>
      <c r="G146" s="145" t="str">
        <f t="shared" si="3"/>
        <v>CLOSING PAKET</v>
      </c>
      <c r="H146" s="145" t="str">
        <f>IFERROR(__xludf.DUMMYFUNCTION("""COMPUTED_VALUE"""),"AUL")</f>
        <v>AUL</v>
      </c>
      <c r="I146" s="145" t="str">
        <f>IFERROR(__xludf.DUMMYFUNCTION("""COMPUTED_VALUE"""),"NOPI")</f>
        <v>NOPI</v>
      </c>
      <c r="J146" s="145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</row>
    <row r="147" ht="22.5" customHeight="1">
      <c r="A147" s="144">
        <f>IFERROR(__xludf.DUMMYFUNCTION("""COMPUTED_VALUE"""),46049.0)</f>
        <v>46049</v>
      </c>
      <c r="B147" s="145" t="str">
        <f t="shared" si="1"/>
        <v>01Jan</v>
      </c>
      <c r="C147" s="145" t="str">
        <f>IFERROR(__xludf.DUMMYFUNCTION("""COMPUTED_VALUE"""),"LIA MARISA")</f>
        <v>LIA MARISA</v>
      </c>
      <c r="D147" s="145">
        <f t="array" ref="D147">IFNA(XLOOKUP(C147,'👥 Daftar Nama Pasien'!$B$6:$B1181,'👥 Daftar Nama Pasien'!$D$6:$D1181),"")</f>
        <v>32</v>
      </c>
      <c r="E147" s="145" t="str">
        <f t="array" ref="E147">XLOOKUP(C147,'⬇️ PEMASUKAN'!$I$5:$I1181,'⬇️ PEMASUKAN'!$K$5:$K1181,,0,-1)</f>
        <v>K.PT - PAKET 2</v>
      </c>
      <c r="F147" s="145" t="str">
        <f t="shared" si="2"/>
        <v>K.PT - PAKET 2</v>
      </c>
      <c r="G147" s="145" t="str">
        <f t="shared" si="3"/>
        <v>CLOSING PAKET</v>
      </c>
      <c r="H147" s="145" t="str">
        <f>IFERROR(__xludf.DUMMYFUNCTION("""COMPUTED_VALUE"""),"HENA")</f>
        <v>HENA</v>
      </c>
      <c r="I147" s="145" t="str">
        <f>IFERROR(__xludf.DUMMYFUNCTION("""COMPUTED_VALUE"""),"SUCI")</f>
        <v>SUCI</v>
      </c>
      <c r="J147" s="145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</row>
    <row r="148" ht="22.5" customHeight="1">
      <c r="A148" s="144">
        <f>IFERROR(__xludf.DUMMYFUNCTION("""COMPUTED_VALUE"""),46049.0)</f>
        <v>46049</v>
      </c>
      <c r="B148" s="145" t="str">
        <f t="shared" si="1"/>
        <v>01Jan</v>
      </c>
      <c r="C148" s="145" t="str">
        <f>IFERROR(__xludf.DUMMYFUNCTION("""COMPUTED_VALUE"""),"GIGIH PURBO P")</f>
        <v>GIGIH PURBO P</v>
      </c>
      <c r="D148" s="145">
        <f t="array" ref="D148">IFNA(XLOOKUP(C148,'👥 Daftar Nama Pasien'!$B$6:$B1181,'👥 Daftar Nama Pasien'!$D$6:$D1181),"")</f>
        <v>32</v>
      </c>
      <c r="E148" s="145" t="str">
        <f t="array" ref="E148">XLOOKUP(C148,'⬇️ PEMASUKAN'!$I$5:$I1181,'⬇️ PEMASUKAN'!$K$5:$K1181,,0,-1)</f>
        <v>K.ST - SESI TERAPI</v>
      </c>
      <c r="F148" s="145" t="str">
        <f t="shared" si="2"/>
        <v>K.ST - SESI TERAPI</v>
      </c>
      <c r="G148" s="145" t="str">
        <f t="shared" si="3"/>
        <v>CLOSING SESI</v>
      </c>
      <c r="H148" s="145" t="str">
        <f>IFERROR(__xludf.DUMMYFUNCTION("""COMPUTED_VALUE"""),"OKTA")</f>
        <v>OKTA</v>
      </c>
      <c r="I148" s="145" t="str">
        <f>IFERROR(__xludf.DUMMYFUNCTION("""COMPUTED_VALUE"""),"SUCI")</f>
        <v>SUCI</v>
      </c>
      <c r="J148" s="145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</row>
    <row r="149" ht="22.5" customHeight="1">
      <c r="A149" s="144">
        <f>IFERROR(__xludf.DUMMYFUNCTION("""COMPUTED_VALUE"""),46049.0)</f>
        <v>46049</v>
      </c>
      <c r="B149" s="145" t="str">
        <f t="shared" si="1"/>
        <v>01Jan</v>
      </c>
      <c r="C149" s="145" t="str">
        <f>IFERROR(__xludf.DUMMYFUNCTION("""COMPUTED_VALUE"""),"LILY")</f>
        <v>LILY</v>
      </c>
      <c r="D149" s="145" t="str">
        <f t="array" ref="D149">IFNA(XLOOKUP(C149,'👥 Daftar Nama Pasien'!$B$6:$B1181,'👥 Daftar Nama Pasien'!$D$6:$D1181),"")</f>
        <v/>
      </c>
      <c r="E149" s="145" t="str">
        <f t="array" ref="E149">XLOOKUP(C149,'⬇️ PEMASUKAN'!$I$5:$I1181,'⬇️ PEMASUKAN'!$K$5:$K1181,,0,-1)</f>
        <v>K.TA - TERAPI AWAL</v>
      </c>
      <c r="F149" s="145" t="str">
        <f t="shared" si="2"/>
        <v>TIDAK CLOSING</v>
      </c>
      <c r="G149" s="145" t="str">
        <f t="shared" si="3"/>
        <v>TIDAK CLOSING</v>
      </c>
      <c r="H149" s="145" t="str">
        <f>IFERROR(__xludf.DUMMYFUNCTION("""COMPUTED_VALUE"""),"HESTI")</f>
        <v>HESTI</v>
      </c>
      <c r="I149" s="145" t="str">
        <f>IFERROR(__xludf.DUMMYFUNCTION("""COMPUTED_VALUE"""),"SUCI")</f>
        <v>SUCI</v>
      </c>
      <c r="J149" s="145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</row>
    <row r="150" ht="22.5" customHeight="1">
      <c r="A150" s="144">
        <f>IFERROR(__xludf.DUMMYFUNCTION("""COMPUTED_VALUE"""),46049.0)</f>
        <v>46049</v>
      </c>
      <c r="B150" s="145" t="str">
        <f t="shared" si="1"/>
        <v>01Jan</v>
      </c>
      <c r="C150" s="145" t="str">
        <f>IFERROR(__xludf.DUMMYFUNCTION("""COMPUTED_VALUE"""),"RAY DEDDY AZMI")</f>
        <v>RAY DEDDY AZMI</v>
      </c>
      <c r="D150" s="145">
        <f t="array" ref="D150">IFNA(XLOOKUP(C150,'👥 Daftar Nama Pasien'!$B$6:$B1181,'👥 Daftar Nama Pasien'!$D$6:$D1181),"")</f>
        <v>38</v>
      </c>
      <c r="E150" s="145" t="str">
        <f t="array" ref="E150">XLOOKUP(C150,'⬇️ PEMASUKAN'!$I$5:$I1181,'⬇️ PEMASUKAN'!$K$5:$K1181,,0,-1)</f>
        <v>K.TA - TERAPI AWAL</v>
      </c>
      <c r="F150" s="145" t="str">
        <f t="shared" si="2"/>
        <v>TIDAK CLOSING</v>
      </c>
      <c r="G150" s="145" t="str">
        <f t="shared" si="3"/>
        <v>TIDAK CLOSING</v>
      </c>
      <c r="H150" s="145" t="str">
        <f>IFERROR(__xludf.DUMMYFUNCTION("""COMPUTED_VALUE"""),"HENA")</f>
        <v>HENA</v>
      </c>
      <c r="I150" s="145" t="str">
        <f>IFERROR(__xludf.DUMMYFUNCTION("""COMPUTED_VALUE"""),"SUCI")</f>
        <v>SUCI</v>
      </c>
      <c r="J150" s="145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</row>
    <row r="151" ht="22.5" customHeight="1">
      <c r="A151" s="144">
        <f>IFERROR(__xludf.DUMMYFUNCTION("""COMPUTED_VALUE"""),46049.0)</f>
        <v>46049</v>
      </c>
      <c r="B151" s="145" t="str">
        <f t="shared" si="1"/>
        <v>01Jan</v>
      </c>
      <c r="C151" s="145" t="str">
        <f>IFERROR(__xludf.DUMMYFUNCTION("""COMPUTED_VALUE"""),"SULISTIYOWATI")</f>
        <v>SULISTIYOWATI</v>
      </c>
      <c r="D151" s="145">
        <f t="array" ref="D151">IFNA(XLOOKUP(C151,'👥 Daftar Nama Pasien'!$B$6:$B1181,'👥 Daftar Nama Pasien'!$D$6:$D1181),"")</f>
        <v>51</v>
      </c>
      <c r="E151" s="145" t="str">
        <f t="array" ref="E151">XLOOKUP(C151,'⬇️ PEMASUKAN'!$I$5:$I1181,'⬇️ PEMASUKAN'!$K$5:$K1181,,0,-1)</f>
        <v>K.PT - PAKET 1</v>
      </c>
      <c r="F151" s="145" t="str">
        <f t="shared" si="2"/>
        <v>K.PT - PAKET 1</v>
      </c>
      <c r="G151" s="145" t="str">
        <f t="shared" si="3"/>
        <v>CLOSING PAKET</v>
      </c>
      <c r="H151" s="145" t="str">
        <f>IFERROR(__xludf.DUMMYFUNCTION("""COMPUTED_VALUE"""),"HESTI")</f>
        <v>HESTI</v>
      </c>
      <c r="I151" s="145" t="str">
        <f>IFERROR(__xludf.DUMMYFUNCTION("""COMPUTED_VALUE"""),"NOPI")</f>
        <v>NOPI</v>
      </c>
      <c r="J151" s="145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</row>
    <row r="152" ht="22.5" customHeight="1">
      <c r="A152" s="144">
        <f>IFERROR(__xludf.DUMMYFUNCTION("""COMPUTED_VALUE"""),46049.0)</f>
        <v>46049</v>
      </c>
      <c r="B152" s="145" t="str">
        <f t="shared" si="1"/>
        <v>01Jan</v>
      </c>
      <c r="C152" s="145" t="str">
        <f>IFERROR(__xludf.DUMMYFUNCTION("""COMPUTED_VALUE"""),"VERONIKA")</f>
        <v>VERONIKA</v>
      </c>
      <c r="D152" s="145">
        <f t="array" ref="D152">IFNA(XLOOKUP(C152,'👥 Daftar Nama Pasien'!$B$6:$B1181,'👥 Daftar Nama Pasien'!$D$6:$D1181),"")</f>
        <v>41</v>
      </c>
      <c r="E152" s="145" t="str">
        <f t="array" ref="E152">XLOOKUP(C152,'⬇️ PEMASUKAN'!$I$5:$I1181,'⬇️ PEMASUKAN'!$K$5:$K1181,,0,-1)</f>
        <v>K.PT - PAKET 1</v>
      </c>
      <c r="F152" s="145" t="str">
        <f t="shared" si="2"/>
        <v>K.PT - PAKET 1</v>
      </c>
      <c r="G152" s="145" t="str">
        <f t="shared" si="3"/>
        <v>CLOSING PAKET</v>
      </c>
      <c r="H152" s="145" t="str">
        <f>IFERROR(__xludf.DUMMYFUNCTION("""COMPUTED_VALUE"""),"OKTA")</f>
        <v>OKTA</v>
      </c>
      <c r="I152" s="145" t="str">
        <f>IFERROR(__xludf.DUMMYFUNCTION("""COMPUTED_VALUE"""),"NOPI")</f>
        <v>NOPI</v>
      </c>
      <c r="J152" s="145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</row>
    <row r="153" ht="22.5" customHeight="1">
      <c r="A153" s="144">
        <f>IFERROR(__xludf.DUMMYFUNCTION("""COMPUTED_VALUE"""),46049.0)</f>
        <v>46049</v>
      </c>
      <c r="B153" s="145" t="str">
        <f t="shared" si="1"/>
        <v>01Jan</v>
      </c>
      <c r="C153" s="145" t="str">
        <f>IFERROR(__xludf.DUMMYFUNCTION("""COMPUTED_VALUE"""),"TITIN SUBAKTI S.SOS")</f>
        <v>TITIN SUBAKTI S.SOS</v>
      </c>
      <c r="D153" s="145">
        <f t="array" ref="D153">IFNA(XLOOKUP(C153,'👥 Daftar Nama Pasien'!$B$6:$B1181,'👥 Daftar Nama Pasien'!$D$6:$D1181),"")</f>
        <v>56</v>
      </c>
      <c r="E153" s="145" t="str">
        <f t="array" ref="E153">XLOOKUP(C153,'⬇️ PEMASUKAN'!$I$5:$I1181,'⬇️ PEMASUKAN'!$K$5:$K1181,,0,-1)</f>
        <v>K.ST - SESI TERAPI</v>
      </c>
      <c r="F153" s="145" t="str">
        <f t="shared" si="2"/>
        <v>K.ST - SESI TERAPI</v>
      </c>
      <c r="G153" s="145" t="str">
        <f t="shared" si="3"/>
        <v>CLOSING SESI</v>
      </c>
      <c r="H153" s="145" t="str">
        <f>IFERROR(__xludf.DUMMYFUNCTION("""COMPUTED_VALUE"""),"DESTY")</f>
        <v>DESTY</v>
      </c>
      <c r="I153" s="145" t="str">
        <f>IFERROR(__xludf.DUMMYFUNCTION("""COMPUTED_VALUE"""),"NOPI")</f>
        <v>NOPI</v>
      </c>
      <c r="J153" s="145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</row>
    <row r="154" ht="22.5" customHeight="1">
      <c r="A154" s="144">
        <f>IFERROR(__xludf.DUMMYFUNCTION("""COMPUTED_VALUE"""),46049.0)</f>
        <v>46049</v>
      </c>
      <c r="B154" s="145" t="str">
        <f t="shared" si="1"/>
        <v>01Jan</v>
      </c>
      <c r="C154" s="145" t="str">
        <f>IFERROR(__xludf.DUMMYFUNCTION("""COMPUTED_VALUE"""),"DRS BAGOES SOENHARLAN")</f>
        <v>DRS BAGOES SOENHARLAN</v>
      </c>
      <c r="D154" s="145">
        <f t="array" ref="D154">IFNA(XLOOKUP(C154,'👥 Daftar Nama Pasien'!$B$6:$B1181,'👥 Daftar Nama Pasien'!$D$6:$D1181),"")</f>
        <v>69</v>
      </c>
      <c r="E154" s="145" t="str">
        <f t="array" ref="E154">XLOOKUP(C154,'⬇️ PEMASUKAN'!$I$5:$I1181,'⬇️ PEMASUKAN'!$K$5:$K1181,,0,-1)</f>
        <v>K.TA - TERAPI AWAL</v>
      </c>
      <c r="F154" s="145" t="str">
        <f t="shared" si="2"/>
        <v>TIDAK CLOSING</v>
      </c>
      <c r="G154" s="145" t="str">
        <f t="shared" si="3"/>
        <v>TIDAK CLOSING</v>
      </c>
      <c r="H154" s="145" t="str">
        <f>IFERROR(__xludf.DUMMYFUNCTION("""COMPUTED_VALUE"""),"ORY")</f>
        <v>ORY</v>
      </c>
      <c r="I154" s="145" t="str">
        <f>IFERROR(__xludf.DUMMYFUNCTION("""COMPUTED_VALUE"""),"NOPI")</f>
        <v>NOPI</v>
      </c>
      <c r="J154" s="145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</row>
    <row r="155" ht="22.5" customHeight="1">
      <c r="A155" s="144">
        <f>IFERROR(__xludf.DUMMYFUNCTION("""COMPUTED_VALUE"""),46049.0)</f>
        <v>46049</v>
      </c>
      <c r="B155" s="145" t="str">
        <f t="shared" si="1"/>
        <v>01Jan</v>
      </c>
      <c r="C155" s="145" t="str">
        <f>IFERROR(__xludf.DUMMYFUNCTION("""COMPUTED_VALUE"""),"MERRY 7710")</f>
        <v>MERRY 7710</v>
      </c>
      <c r="D155" s="145">
        <f t="array" ref="D155">IFNA(XLOOKUP(C155,'👥 Daftar Nama Pasien'!$B$6:$B1181,'👥 Daftar Nama Pasien'!$D$6:$D1181),"")</f>
        <v>48</v>
      </c>
      <c r="E155" s="145" t="str">
        <f t="array" ref="E155">XLOOKUP(C155,'⬇️ PEMASUKAN'!$I$5:$I1181,'⬇️ PEMASUKAN'!$K$5:$K1181,,0,-1)</f>
        <v>K.TA - TERAPI AWAL</v>
      </c>
      <c r="F155" s="145" t="str">
        <f t="shared" si="2"/>
        <v>TIDAK CLOSING</v>
      </c>
      <c r="G155" s="145" t="str">
        <f t="shared" si="3"/>
        <v>TIDAK CLOSING</v>
      </c>
      <c r="H155" s="145" t="str">
        <f>IFERROR(__xludf.DUMMYFUNCTION("""COMPUTED_VALUE"""),"AUL")</f>
        <v>AUL</v>
      </c>
      <c r="I155" s="145" t="str">
        <f>IFERROR(__xludf.DUMMYFUNCTION("""COMPUTED_VALUE"""),"NOPI")</f>
        <v>NOPI</v>
      </c>
      <c r="J155" s="145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</row>
    <row r="156" ht="22.5" customHeight="1">
      <c r="A156" s="144">
        <f>IFERROR(__xludf.DUMMYFUNCTION("""COMPUTED_VALUE"""),46049.0)</f>
        <v>46049</v>
      </c>
      <c r="B156" s="145" t="str">
        <f t="shared" si="1"/>
        <v>01Jan</v>
      </c>
      <c r="C156" s="145" t="str">
        <f>IFERROR(__xludf.DUMMYFUNCTION("""COMPUTED_VALUE"""),"HERY PURYANTO")</f>
        <v>HERY PURYANTO</v>
      </c>
      <c r="D156" s="145">
        <f t="array" ref="D156">IFNA(XLOOKUP(C156,'👥 Daftar Nama Pasien'!$B$6:$B1181,'👥 Daftar Nama Pasien'!$D$6:$D1181),"")</f>
        <v>54</v>
      </c>
      <c r="E156" s="145" t="str">
        <f t="array" ref="E156">XLOOKUP(C156,'⬇️ PEMASUKAN'!$I$5:$I1181,'⬇️ PEMASUKAN'!$K$5:$K1181,,0,-1)</f>
        <v>K.TA - TERAPI AWAL</v>
      </c>
      <c r="F156" s="145" t="str">
        <f t="shared" si="2"/>
        <v>TIDAK CLOSING</v>
      </c>
      <c r="G156" s="145" t="str">
        <f t="shared" si="3"/>
        <v>TIDAK CLOSING</v>
      </c>
      <c r="H156" s="145" t="str">
        <f>IFERROR(__xludf.DUMMYFUNCTION("""COMPUTED_VALUE"""),"ORY")</f>
        <v>ORY</v>
      </c>
      <c r="I156" s="145" t="str">
        <f>IFERROR(__xludf.DUMMYFUNCTION("""COMPUTED_VALUE"""),"NOPI")</f>
        <v>NOPI</v>
      </c>
      <c r="J156" s="145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</row>
    <row r="157" ht="22.5" customHeight="1">
      <c r="A157" s="144">
        <f>IFERROR(__xludf.DUMMYFUNCTION("""COMPUTED_VALUE"""),46050.0)</f>
        <v>46050</v>
      </c>
      <c r="B157" s="145" t="str">
        <f t="shared" si="1"/>
        <v>01Jan</v>
      </c>
      <c r="C157" s="145" t="str">
        <f>IFERROR(__xludf.DUMMYFUNCTION("""COMPUTED_VALUE"""),"ANIS MUTIA")</f>
        <v>ANIS MUTIA</v>
      </c>
      <c r="D157" s="145">
        <f t="array" ref="D157">IFNA(XLOOKUP(C157,'👥 Daftar Nama Pasien'!$B$6:$B1181,'👥 Daftar Nama Pasien'!$D$6:$D1181),"")</f>
        <v>30</v>
      </c>
      <c r="E157" s="145" t="str">
        <f t="array" ref="E157">XLOOKUP(C157,'⬇️ PEMASUKAN'!$I$5:$I1181,'⬇️ PEMASUKAN'!$K$5:$K1181,,0,-1)</f>
        <v>K.ST - SESI TERAPI</v>
      </c>
      <c r="F157" s="145" t="str">
        <f t="shared" si="2"/>
        <v>K.ST - SESI TERAPI</v>
      </c>
      <c r="G157" s="145" t="str">
        <f t="shared" si="3"/>
        <v>CLOSING SESI</v>
      </c>
      <c r="H157" s="145" t="str">
        <f>IFERROR(__xludf.DUMMYFUNCTION("""COMPUTED_VALUE"""),"OKTA")</f>
        <v>OKTA</v>
      </c>
      <c r="I157" s="145" t="str">
        <f>IFERROR(__xludf.DUMMYFUNCTION("""COMPUTED_VALUE"""),"SUCI")</f>
        <v>SUCI</v>
      </c>
      <c r="J157" s="145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</row>
    <row r="158" ht="22.5" customHeight="1">
      <c r="A158" s="144">
        <f>IFERROR(__xludf.DUMMYFUNCTION("""COMPUTED_VALUE"""),46050.0)</f>
        <v>46050</v>
      </c>
      <c r="B158" s="145" t="str">
        <f t="shared" si="1"/>
        <v>01Jan</v>
      </c>
      <c r="C158" s="145" t="str">
        <f>IFERROR(__xludf.DUMMYFUNCTION("""COMPUTED_VALUE"""),"RIZKY RESTU ANUGRAH PALURENG")</f>
        <v>RIZKY RESTU ANUGRAH PALURENG</v>
      </c>
      <c r="D158" s="145">
        <f t="array" ref="D158">IFNA(XLOOKUP(C158,'👥 Daftar Nama Pasien'!$B$6:$B1181,'👥 Daftar Nama Pasien'!$D$6:$D1181),"")</f>
        <v>15</v>
      </c>
      <c r="E158" s="145" t="str">
        <f t="array" ref="E158">XLOOKUP(C158,'⬇️ PEMASUKAN'!$I$5:$I1181,'⬇️ PEMASUKAN'!$K$5:$K1181,,0,-1)</f>
        <v>K.ST - SESI TERAPI</v>
      </c>
      <c r="F158" s="145" t="str">
        <f t="shared" si="2"/>
        <v>K.ST - SESI TERAPI</v>
      </c>
      <c r="G158" s="145" t="str">
        <f t="shared" si="3"/>
        <v>CLOSING SESI</v>
      </c>
      <c r="H158" s="145" t="str">
        <f>IFERROR(__xludf.DUMMYFUNCTION("""COMPUTED_VALUE"""),"HENA")</f>
        <v>HENA</v>
      </c>
      <c r="I158" s="145" t="str">
        <f>IFERROR(__xludf.DUMMYFUNCTION("""COMPUTED_VALUE"""),"SUCI")</f>
        <v>SUCI</v>
      </c>
      <c r="J158" s="145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</row>
    <row r="159" ht="22.5" customHeight="1">
      <c r="A159" s="144">
        <f>IFERROR(__xludf.DUMMYFUNCTION("""COMPUTED_VALUE"""),46050.0)</f>
        <v>46050</v>
      </c>
      <c r="B159" s="145" t="str">
        <f t="shared" si="1"/>
        <v>01Jan</v>
      </c>
      <c r="C159" s="145" t="str">
        <f>IFERROR(__xludf.DUMMYFUNCTION("""COMPUTED_VALUE"""),"BERMAN PAULUS")</f>
        <v>BERMAN PAULUS</v>
      </c>
      <c r="D159" s="145">
        <f t="array" ref="D159">IFNA(XLOOKUP(C159,'👥 Daftar Nama Pasien'!$B$6:$B1181,'👥 Daftar Nama Pasien'!$D$6:$D1181),"")</f>
        <v>50</v>
      </c>
      <c r="E159" s="145" t="str">
        <f t="array" ref="E159">XLOOKUP(C159,'⬇️ PEMASUKAN'!$I$5:$I1181,'⬇️ PEMASUKAN'!$K$5:$K1181,,0,-1)</f>
        <v>K.TA - TERAPI AWAL</v>
      </c>
      <c r="F159" s="145" t="str">
        <f t="shared" si="2"/>
        <v>TIDAK CLOSING</v>
      </c>
      <c r="G159" s="145" t="str">
        <f t="shared" si="3"/>
        <v>TIDAK CLOSING</v>
      </c>
      <c r="H159" s="145" t="str">
        <f>IFERROR(__xludf.DUMMYFUNCTION("""COMPUTED_VALUE"""),"HESTI")</f>
        <v>HESTI</v>
      </c>
      <c r="I159" s="145" t="str">
        <f>IFERROR(__xludf.DUMMYFUNCTION("""COMPUTED_VALUE"""),"SUCI")</f>
        <v>SUCI</v>
      </c>
      <c r="J159" s="145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</row>
    <row r="160" ht="22.5" customHeight="1">
      <c r="A160" s="144">
        <f>IFERROR(__xludf.DUMMYFUNCTION("""COMPUTED_VALUE"""),46050.0)</f>
        <v>46050</v>
      </c>
      <c r="B160" s="145" t="str">
        <f t="shared" si="1"/>
        <v>01Jan</v>
      </c>
      <c r="C160" s="145" t="str">
        <f>IFERROR(__xludf.DUMMYFUNCTION("""COMPUTED_VALUE"""),"RIZKY RESTU ANUGRAH PALURENG")</f>
        <v>RIZKY RESTU ANUGRAH PALURENG</v>
      </c>
      <c r="D160" s="145">
        <f t="array" ref="D160">IFNA(XLOOKUP(C160,'👥 Daftar Nama Pasien'!$B$6:$B1181,'👥 Daftar Nama Pasien'!$D$6:$D1181),"")</f>
        <v>15</v>
      </c>
      <c r="E160" s="145" t="str">
        <f t="array" ref="E160">XLOOKUP(C160,'⬇️ PEMASUKAN'!$I$5:$I1181,'⬇️ PEMASUKAN'!$K$5:$K1181,,0,-1)</f>
        <v>K.ST - SESI TERAPI</v>
      </c>
      <c r="F160" s="145" t="str">
        <f t="shared" si="2"/>
        <v>K.ST - SESI TERAPI</v>
      </c>
      <c r="G160" s="145" t="str">
        <f t="shared" si="3"/>
        <v>CLOSING SESI</v>
      </c>
      <c r="H160" s="145" t="str">
        <f>IFERROR(__xludf.DUMMYFUNCTION("""COMPUTED_VALUE"""),"HENA")</f>
        <v>HENA</v>
      </c>
      <c r="I160" s="145" t="str">
        <f>IFERROR(__xludf.DUMMYFUNCTION("""COMPUTED_VALUE"""),"SUCI")</f>
        <v>SUCI</v>
      </c>
      <c r="J160" s="145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</row>
    <row r="161" ht="22.5" customHeight="1">
      <c r="A161" s="144">
        <f>IFERROR(__xludf.DUMMYFUNCTION("""COMPUTED_VALUE"""),46050.0)</f>
        <v>46050</v>
      </c>
      <c r="B161" s="145" t="str">
        <f t="shared" si="1"/>
        <v>01Jan</v>
      </c>
      <c r="C161" s="145" t="str">
        <f>IFERROR(__xludf.DUMMYFUNCTION("""COMPUTED_VALUE"""),"ELWIN LAVEDA")</f>
        <v>ELWIN LAVEDA</v>
      </c>
      <c r="D161" s="145">
        <f t="array" ref="D161">IFNA(XLOOKUP(C161,'👥 Daftar Nama Pasien'!$B$6:$B1181,'👥 Daftar Nama Pasien'!$D$6:$D1181),"")</f>
        <v>26</v>
      </c>
      <c r="E161" s="145" t="str">
        <f t="array" ref="E161">XLOOKUP(C161,'⬇️ PEMASUKAN'!$I$5:$I1181,'⬇️ PEMASUKAN'!$K$5:$K1181,,0,-1)</f>
        <v>K.ST - SESI TERAPI NEW</v>
      </c>
      <c r="F161" s="145" t="str">
        <f t="shared" si="2"/>
        <v>K.ST - SESI TERAPI NEW</v>
      </c>
      <c r="G161" s="145" t="str">
        <f t="shared" si="3"/>
        <v>CLOSING SESI</v>
      </c>
      <c r="H161" s="145" t="str">
        <f>IFERROR(__xludf.DUMMYFUNCTION("""COMPUTED_VALUE"""),"HENA")</f>
        <v>HENA</v>
      </c>
      <c r="I161" s="145" t="str">
        <f>IFERROR(__xludf.DUMMYFUNCTION("""COMPUTED_VALUE"""),"SUCI")</f>
        <v>SUCI</v>
      </c>
      <c r="J161" s="145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ht="22.5" customHeight="1">
      <c r="A162" s="144">
        <f>IFERROR(__xludf.DUMMYFUNCTION("""COMPUTED_VALUE"""),46050.0)</f>
        <v>46050</v>
      </c>
      <c r="B162" s="145" t="str">
        <f t="shared" si="1"/>
        <v>01Jan</v>
      </c>
      <c r="C162" s="145" t="str">
        <f>IFERROR(__xludf.DUMMYFUNCTION("""COMPUTED_VALUE"""),"TONNY MARZUKI")</f>
        <v>TONNY MARZUKI</v>
      </c>
      <c r="D162" s="145">
        <f t="array" ref="D162">IFNA(XLOOKUP(C162,'👥 Daftar Nama Pasien'!$B$6:$B1181,'👥 Daftar Nama Pasien'!$D$6:$D1181),"")</f>
        <v>52</v>
      </c>
      <c r="E162" s="145" t="str">
        <f t="array" ref="E162">XLOOKUP(C162,'⬇️ PEMASUKAN'!$I$5:$I1181,'⬇️ PEMASUKAN'!$K$5:$K1181,,0,-1)</f>
        <v>K.ST - SESI TERAPI NEW</v>
      </c>
      <c r="F162" s="145" t="str">
        <f t="shared" si="2"/>
        <v>K.ST - SESI TERAPI NEW</v>
      </c>
      <c r="G162" s="145" t="str">
        <f t="shared" si="3"/>
        <v>CLOSING SESI</v>
      </c>
      <c r="H162" s="145" t="str">
        <f>IFERROR(__xludf.DUMMYFUNCTION("""COMPUTED_VALUE"""),"OKTA")</f>
        <v>OKTA</v>
      </c>
      <c r="I162" s="145" t="str">
        <f>IFERROR(__xludf.DUMMYFUNCTION("""COMPUTED_VALUE"""),"SUCI")</f>
        <v>SUCI</v>
      </c>
      <c r="J162" s="145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ht="22.5" customHeight="1">
      <c r="A163" s="144">
        <f>IFERROR(__xludf.DUMMYFUNCTION("""COMPUTED_VALUE"""),46050.0)</f>
        <v>46050</v>
      </c>
      <c r="B163" s="145" t="str">
        <f t="shared" si="1"/>
        <v>01Jan</v>
      </c>
      <c r="C163" s="145" t="str">
        <f>IFERROR(__xludf.DUMMYFUNCTION("""COMPUTED_VALUE"""),"M FATIH RIZKI")</f>
        <v>M FATIH RIZKI</v>
      </c>
      <c r="D163" s="145">
        <f t="array" ref="D163">IFNA(XLOOKUP(C163,'👥 Daftar Nama Pasien'!$B$6:$B1181,'👥 Daftar Nama Pasien'!$D$6:$D1181),"")</f>
        <v>11</v>
      </c>
      <c r="E163" s="145" t="str">
        <f t="array" ref="E163">XLOOKUP(C163,'⬇️ PEMASUKAN'!$I$5:$I1181,'⬇️ PEMASUKAN'!$K$5:$K1181,,0,-1)</f>
        <v>K.ST - SESI TERAPI</v>
      </c>
      <c r="F163" s="145" t="str">
        <f t="shared" si="2"/>
        <v>K.ST - SESI TERAPI</v>
      </c>
      <c r="G163" s="145" t="str">
        <f t="shared" si="3"/>
        <v>CLOSING SESI</v>
      </c>
      <c r="H163" s="145" t="str">
        <f>IFERROR(__xludf.DUMMYFUNCTION("""COMPUTED_VALUE"""),"AUL")</f>
        <v>AUL</v>
      </c>
      <c r="I163" s="145" t="str">
        <f>IFERROR(__xludf.DUMMYFUNCTION("""COMPUTED_VALUE"""),"NOPI")</f>
        <v>NOPI</v>
      </c>
      <c r="J163" s="145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ht="22.5" customHeight="1">
      <c r="A164" s="144">
        <f>IFERROR(__xludf.DUMMYFUNCTION("""COMPUTED_VALUE"""),46050.0)</f>
        <v>46050</v>
      </c>
      <c r="B164" s="145" t="str">
        <f t="shared" si="1"/>
        <v>01Jan</v>
      </c>
      <c r="C164" s="145" t="str">
        <f>IFERROR(__xludf.DUMMYFUNCTION("""COMPUTED_VALUE"""),"ELSA ELFIRA")</f>
        <v>ELSA ELFIRA</v>
      </c>
      <c r="D164" s="145">
        <f t="array" ref="D164">IFNA(XLOOKUP(C164,'👥 Daftar Nama Pasien'!$B$6:$B1181,'👥 Daftar Nama Pasien'!$D$6:$D1181),"")</f>
        <v>32</v>
      </c>
      <c r="E164" s="145" t="str">
        <f t="array" ref="E164">XLOOKUP(C164,'⬇️ PEMASUKAN'!$I$5:$I1181,'⬇️ PEMASUKAN'!$K$5:$K1181,,0,-1)</f>
        <v>K.ST - SESI TERAPI</v>
      </c>
      <c r="F164" s="145" t="str">
        <f t="shared" si="2"/>
        <v>K.ST - SESI TERAPI</v>
      </c>
      <c r="G164" s="145" t="str">
        <f t="shared" si="3"/>
        <v>CLOSING SESI</v>
      </c>
      <c r="H164" s="145" t="str">
        <f>IFERROR(__xludf.DUMMYFUNCTION("""COMPUTED_VALUE"""),"DESTY")</f>
        <v>DESTY</v>
      </c>
      <c r="I164" s="145" t="str">
        <f>IFERROR(__xludf.DUMMYFUNCTION("""COMPUTED_VALUE"""),"NOPI")</f>
        <v>NOPI</v>
      </c>
      <c r="J164" s="145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</row>
    <row r="165" ht="22.5" customHeight="1">
      <c r="A165" s="144">
        <f>IFERROR(__xludf.DUMMYFUNCTION("""COMPUTED_VALUE"""),46050.0)</f>
        <v>46050</v>
      </c>
      <c r="B165" s="145" t="str">
        <f t="shared" si="1"/>
        <v>01Jan</v>
      </c>
      <c r="C165" s="145" t="str">
        <f>IFERROR(__xludf.DUMMYFUNCTION("""COMPUTED_VALUE"""),"DHIASPUTRA BRILIANDRI")</f>
        <v>DHIASPUTRA BRILIANDRI</v>
      </c>
      <c r="D165" s="145">
        <f t="array" ref="D165">IFNA(XLOOKUP(C165,'👥 Daftar Nama Pasien'!$B$6:$B1181,'👥 Daftar Nama Pasien'!$D$6:$D1181),"")</f>
        <v>42</v>
      </c>
      <c r="E165" s="145" t="str">
        <f t="array" ref="E165">XLOOKUP(C165,'⬇️ PEMASUKAN'!$I$5:$I1181,'⬇️ PEMASUKAN'!$K$5:$K1181,,0,-1)</f>
        <v>K.TA - TERAPI AWAL</v>
      </c>
      <c r="F165" s="145" t="str">
        <f t="shared" si="2"/>
        <v>TIDAK CLOSING</v>
      </c>
      <c r="G165" s="145" t="str">
        <f t="shared" si="3"/>
        <v>TIDAK CLOSING</v>
      </c>
      <c r="H165" s="145" t="str">
        <f>IFERROR(__xludf.DUMMYFUNCTION("""COMPUTED_VALUE"""),"ORY")</f>
        <v>ORY</v>
      </c>
      <c r="I165" s="145" t="str">
        <f>IFERROR(__xludf.DUMMYFUNCTION("""COMPUTED_VALUE"""),"NOPI")</f>
        <v>NOPI</v>
      </c>
      <c r="J165" s="145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</row>
    <row r="166" ht="22.5" customHeight="1">
      <c r="A166" s="144">
        <f>IFERROR(__xludf.DUMMYFUNCTION("""COMPUTED_VALUE"""),46051.0)</f>
        <v>46051</v>
      </c>
      <c r="B166" s="145" t="str">
        <f t="shared" si="1"/>
        <v>01Jan</v>
      </c>
      <c r="C166" s="145" t="str">
        <f>IFERROR(__xludf.DUMMYFUNCTION("""COMPUTED_VALUE"""),"RAINA AINUN NOOR")</f>
        <v>RAINA AINUN NOOR</v>
      </c>
      <c r="D166" s="145">
        <f t="array" ref="D166">IFNA(XLOOKUP(C166,'👥 Daftar Nama Pasien'!$B$6:$B1181,'👥 Daftar Nama Pasien'!$D$6:$D1181),"")</f>
        <v>74</v>
      </c>
      <c r="E166" s="145" t="str">
        <f t="array" ref="E166">XLOOKUP(C166,'⬇️ PEMASUKAN'!$I$5:$I1181,'⬇️ PEMASUKAN'!$K$5:$K1181,,0,-1)</f>
        <v>K.PT - PAKET 1</v>
      </c>
      <c r="F166" s="145" t="str">
        <f t="shared" si="2"/>
        <v>K.PT - PAKET 1</v>
      </c>
      <c r="G166" s="145" t="str">
        <f t="shared" si="3"/>
        <v>CLOSING PAKET</v>
      </c>
      <c r="H166" s="145" t="str">
        <f>IFERROR(__xludf.DUMMYFUNCTION("""COMPUTED_VALUE"""),"DESTY")</f>
        <v>DESTY</v>
      </c>
      <c r="I166" s="145" t="str">
        <f>IFERROR(__xludf.DUMMYFUNCTION("""COMPUTED_VALUE"""),"SUCI")</f>
        <v>SUCI</v>
      </c>
      <c r="J166" s="145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</row>
    <row r="167" ht="22.5" customHeight="1">
      <c r="A167" s="144">
        <f>IFERROR(__xludf.DUMMYFUNCTION("""COMPUTED_VALUE"""),46051.0)</f>
        <v>46051</v>
      </c>
      <c r="B167" s="145" t="str">
        <f t="shared" si="1"/>
        <v>01Jan</v>
      </c>
      <c r="C167" s="145" t="str">
        <f>IFERROR(__xludf.DUMMYFUNCTION("""COMPUTED_VALUE"""),"WANTI SETIANINGSIH")</f>
        <v>WANTI SETIANINGSIH</v>
      </c>
      <c r="D167" s="145">
        <f t="array" ref="D167">IFNA(XLOOKUP(C167,'👥 Daftar Nama Pasien'!$B$6:$B1181,'👥 Daftar Nama Pasien'!$D$6:$D1181),"")</f>
        <v>54</v>
      </c>
      <c r="E167" s="145" t="str">
        <f t="array" ref="E167">XLOOKUP(C167,'⬇️ PEMASUKAN'!$I$5:$I1181,'⬇️ PEMASUKAN'!$K$5:$K1181,,0,-1)</f>
        <v>K.PT - PAKET 1</v>
      </c>
      <c r="F167" s="145" t="str">
        <f t="shared" si="2"/>
        <v>K.PT - PAKET 1</v>
      </c>
      <c r="G167" s="145" t="str">
        <f t="shared" si="3"/>
        <v>CLOSING PAKET</v>
      </c>
      <c r="H167" s="145" t="str">
        <f>IFERROR(__xludf.DUMMYFUNCTION("""COMPUTED_VALUE"""),"PRITY")</f>
        <v>PRITY</v>
      </c>
      <c r="I167" s="145" t="str">
        <f>IFERROR(__xludf.DUMMYFUNCTION("""COMPUTED_VALUE"""),"SUCI")</f>
        <v>SUCI</v>
      </c>
      <c r="J167" s="145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</row>
    <row r="168" ht="22.5" customHeight="1">
      <c r="A168" s="144">
        <f>IFERROR(__xludf.DUMMYFUNCTION("""COMPUTED_VALUE"""),46051.0)</f>
        <v>46051</v>
      </c>
      <c r="B168" s="145" t="str">
        <f t="shared" si="1"/>
        <v>01Jan</v>
      </c>
      <c r="C168" s="145" t="str">
        <f>IFERROR(__xludf.DUMMYFUNCTION("""COMPUTED_VALUE"""),"REVAN FELIX GOUW")</f>
        <v>REVAN FELIX GOUW</v>
      </c>
      <c r="D168" s="145">
        <f t="array" ref="D168">IFNA(XLOOKUP(C168,'👥 Daftar Nama Pasien'!$B$6:$B1181,'👥 Daftar Nama Pasien'!$D$6:$D1181),"")</f>
        <v>14</v>
      </c>
      <c r="E168" s="145" t="str">
        <f t="array" ref="E168">XLOOKUP(C168,'⬇️ PEMASUKAN'!$I$5:$I1181,'⬇️ PEMASUKAN'!$K$5:$K1181,,0,-1)</f>
        <v>K.PT - PAKET 1</v>
      </c>
      <c r="F168" s="145" t="str">
        <f t="shared" si="2"/>
        <v>K.PT - PAKET 1</v>
      </c>
      <c r="G168" s="145" t="str">
        <f t="shared" si="3"/>
        <v>CLOSING PAKET</v>
      </c>
      <c r="H168" s="145" t="str">
        <f>IFERROR(__xludf.DUMMYFUNCTION("""COMPUTED_VALUE"""),"ORY")</f>
        <v>ORY</v>
      </c>
      <c r="I168" s="145" t="str">
        <f>IFERROR(__xludf.DUMMYFUNCTION("""COMPUTED_VALUE"""),"SUCI")</f>
        <v>SUCI</v>
      </c>
      <c r="J168" s="145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ht="22.5" customHeight="1">
      <c r="A169" s="144">
        <f>IFERROR(__xludf.DUMMYFUNCTION("""COMPUTED_VALUE"""),46051.0)</f>
        <v>46051</v>
      </c>
      <c r="B169" s="145" t="str">
        <f t="shared" si="1"/>
        <v>01Jan</v>
      </c>
      <c r="C169" s="145" t="str">
        <f>IFERROR(__xludf.DUMMYFUNCTION("""COMPUTED_VALUE"""),"MUHAMMAD NUR")</f>
        <v>MUHAMMAD NUR</v>
      </c>
      <c r="D169" s="145">
        <f t="array" ref="D169">IFNA(XLOOKUP(C169,'👥 Daftar Nama Pasien'!$B$6:$B1181,'👥 Daftar Nama Pasien'!$D$6:$D1181),"")</f>
        <v>53</v>
      </c>
      <c r="E169" s="145" t="str">
        <f t="array" ref="E169">XLOOKUP(C169,'⬇️ PEMASUKAN'!$I$5:$I1181,'⬇️ PEMASUKAN'!$K$5:$K1181,,0,-1)</f>
        <v>K.ST - SESI TERAPI</v>
      </c>
      <c r="F169" s="145" t="str">
        <f t="shared" si="2"/>
        <v>K.ST - SESI TERAPI</v>
      </c>
      <c r="G169" s="145" t="str">
        <f t="shared" si="3"/>
        <v>CLOSING SESI</v>
      </c>
      <c r="H169" s="145" t="str">
        <f>IFERROR(__xludf.DUMMYFUNCTION("""COMPUTED_VALUE"""),"ORY")</f>
        <v>ORY</v>
      </c>
      <c r="I169" s="145" t="str">
        <f>IFERROR(__xludf.DUMMYFUNCTION("""COMPUTED_VALUE"""),"SUCI")</f>
        <v>SUCI</v>
      </c>
      <c r="J169" s="145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</row>
    <row r="170" ht="22.5" customHeight="1">
      <c r="A170" s="144">
        <f>IFERROR(__xludf.DUMMYFUNCTION("""COMPUTED_VALUE"""),46051.0)</f>
        <v>46051</v>
      </c>
      <c r="B170" s="145" t="str">
        <f t="shared" si="1"/>
        <v>01Jan</v>
      </c>
      <c r="C170" s="145" t="str">
        <f>IFERROR(__xludf.DUMMYFUNCTION("""COMPUTED_VALUE"""),"DIARMI")</f>
        <v>DIARMI</v>
      </c>
      <c r="D170" s="145">
        <f t="array" ref="D170">IFNA(XLOOKUP(C170,'👥 Daftar Nama Pasien'!$B$6:$B1181,'👥 Daftar Nama Pasien'!$D$6:$D1181),"")</f>
        <v>67</v>
      </c>
      <c r="E170" s="145" t="str">
        <f t="array" ref="E170">XLOOKUP(C170,'⬇️ PEMASUKAN'!$I$5:$I1181,'⬇️ PEMASUKAN'!$K$5:$K1181,,0,-1)</f>
        <v>K.ST - SESI TERAPI NEW</v>
      </c>
      <c r="F170" s="145" t="str">
        <f t="shared" si="2"/>
        <v>K.ST - SESI TERAPI NEW</v>
      </c>
      <c r="G170" s="145" t="str">
        <f t="shared" si="3"/>
        <v>CLOSING SESI</v>
      </c>
      <c r="H170" s="145" t="str">
        <f>IFERROR(__xludf.DUMMYFUNCTION("""COMPUTED_VALUE"""),"DESTY")</f>
        <v>DESTY</v>
      </c>
      <c r="I170" s="145" t="str">
        <f>IFERROR(__xludf.DUMMYFUNCTION("""COMPUTED_VALUE"""),"SUCI")</f>
        <v>SUCI</v>
      </c>
      <c r="J170" s="145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</row>
    <row r="171" ht="22.5" customHeight="1">
      <c r="A171" s="144">
        <f>IFERROR(__xludf.DUMMYFUNCTION("""COMPUTED_VALUE"""),46051.0)</f>
        <v>46051</v>
      </c>
      <c r="B171" s="145" t="str">
        <f t="shared" si="1"/>
        <v>01Jan</v>
      </c>
      <c r="C171" s="145" t="str">
        <f>IFERROR(__xludf.DUMMYFUNCTION("""COMPUTED_VALUE"""),"ARDY CAHYA FITRIYANTO")</f>
        <v>ARDY CAHYA FITRIYANTO</v>
      </c>
      <c r="D171" s="145">
        <f t="array" ref="D171">IFNA(XLOOKUP(C171,'👥 Daftar Nama Pasien'!$B$6:$B1181,'👥 Daftar Nama Pasien'!$D$6:$D1181),"")</f>
        <v>36</v>
      </c>
      <c r="E171" s="145" t="str">
        <f t="array" ref="E171">XLOOKUP(C171,'⬇️ PEMASUKAN'!$I$5:$I1181,'⬇️ PEMASUKAN'!$K$5:$K1181,,0,-1)</f>
        <v>K.PT - PAKET 1</v>
      </c>
      <c r="F171" s="145" t="str">
        <f t="shared" si="2"/>
        <v>K.PT - PAKET 1</v>
      </c>
      <c r="G171" s="145" t="str">
        <f t="shared" si="3"/>
        <v>CLOSING PAKET</v>
      </c>
      <c r="H171" s="145" t="str">
        <f>IFERROR(__xludf.DUMMYFUNCTION("""COMPUTED_VALUE"""),"ORY")</f>
        <v>ORY</v>
      </c>
      <c r="I171" s="145" t="str">
        <f>IFERROR(__xludf.DUMMYFUNCTION("""COMPUTED_VALUE"""),"SUCI")</f>
        <v>SUCI</v>
      </c>
      <c r="J171" s="145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</row>
    <row r="172" ht="22.5" customHeight="1">
      <c r="A172" s="144">
        <f>IFERROR(__xludf.DUMMYFUNCTION("""COMPUTED_VALUE"""),46051.0)</f>
        <v>46051</v>
      </c>
      <c r="B172" s="145" t="str">
        <f t="shared" si="1"/>
        <v>01Jan</v>
      </c>
      <c r="C172" s="145" t="str">
        <f>IFERROR(__xludf.DUMMYFUNCTION("""COMPUTED_VALUE"""),"REVAEL ENGGANG ALHAQ")</f>
        <v>REVAEL ENGGANG ALHAQ</v>
      </c>
      <c r="D172" s="145">
        <f t="array" ref="D172">IFNA(XLOOKUP(C172,'👥 Daftar Nama Pasien'!$B$6:$B1181,'👥 Daftar Nama Pasien'!$D$6:$D1181),"")</f>
        <v>17</v>
      </c>
      <c r="E172" s="145" t="str">
        <f t="array" ref="E172">XLOOKUP(C172,'⬇️ PEMASUKAN'!$I$5:$I1181,'⬇️ PEMASUKAN'!$K$5:$K1181,,0,-1)</f>
        <v>K.TA - TERAPI AWAL</v>
      </c>
      <c r="F172" s="145" t="str">
        <f t="shared" si="2"/>
        <v>TIDAK CLOSING</v>
      </c>
      <c r="G172" s="145" t="str">
        <f t="shared" si="3"/>
        <v>TIDAK CLOSING</v>
      </c>
      <c r="H172" s="145" t="str">
        <f>IFERROR(__xludf.DUMMYFUNCTION("""COMPUTED_VALUE"""),"PUTRI")</f>
        <v>PUTRI</v>
      </c>
      <c r="I172" s="145" t="str">
        <f>IFERROR(__xludf.DUMMYFUNCTION("""COMPUTED_VALUE"""),"NOPI")</f>
        <v>NOPI</v>
      </c>
      <c r="J172" s="145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</row>
    <row r="173" ht="22.5" customHeight="1">
      <c r="A173" s="144">
        <f>IFERROR(__xludf.DUMMYFUNCTION("""COMPUTED_VALUE"""),46051.0)</f>
        <v>46051</v>
      </c>
      <c r="B173" s="145" t="str">
        <f t="shared" si="1"/>
        <v>01Jan</v>
      </c>
      <c r="C173" s="145" t="str">
        <f>IFERROR(__xludf.DUMMYFUNCTION("""COMPUTED_VALUE"""),"INZALIA")</f>
        <v>INZALIA</v>
      </c>
      <c r="D173" s="145">
        <f t="array" ref="D173">IFNA(XLOOKUP(C173,'👥 Daftar Nama Pasien'!$B$6:$B1181,'👥 Daftar Nama Pasien'!$D$6:$D1181),"")</f>
        <v>55</v>
      </c>
      <c r="E173" s="145" t="str">
        <f t="array" ref="E173">XLOOKUP(C173,'⬇️ PEMASUKAN'!$I$5:$I1181,'⬇️ PEMASUKAN'!$K$5:$K1181,,0,-1)</f>
        <v>K.PT - PAKET SILVER</v>
      </c>
      <c r="F173" s="145" t="str">
        <f t="shared" si="2"/>
        <v>K.PT - PAKET SILVER</v>
      </c>
      <c r="G173" s="145" t="str">
        <f t="shared" si="3"/>
        <v>CLOSING PAKET</v>
      </c>
      <c r="H173" s="145" t="str">
        <f>IFERROR(__xludf.DUMMYFUNCTION("""COMPUTED_VALUE"""),"HESTI")</f>
        <v>HESTI</v>
      </c>
      <c r="I173" s="145" t="str">
        <f>IFERROR(__xludf.DUMMYFUNCTION("""COMPUTED_VALUE"""),"NOPI")</f>
        <v>NOPI</v>
      </c>
      <c r="J173" s="145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</row>
    <row r="174" ht="22.5" customHeight="1">
      <c r="A174" s="144">
        <f>IFERROR(__xludf.DUMMYFUNCTION("""COMPUTED_VALUE"""),46051.0)</f>
        <v>46051</v>
      </c>
      <c r="B174" s="145" t="str">
        <f t="shared" si="1"/>
        <v>01Jan</v>
      </c>
      <c r="C174" s="145" t="str">
        <f>IFERROR(__xludf.DUMMYFUNCTION("""COMPUTED_VALUE"""),"SINDY MELANI")</f>
        <v>SINDY MELANI</v>
      </c>
      <c r="D174" s="145">
        <f t="array" ref="D174">IFNA(XLOOKUP(C174,'👥 Daftar Nama Pasien'!$B$6:$B1181,'👥 Daftar Nama Pasien'!$D$6:$D1181),"")</f>
        <v>25</v>
      </c>
      <c r="E174" s="145" t="str">
        <f t="array" ref="E174">XLOOKUP(C174,'⬇️ PEMASUKAN'!$I$5:$I1181,'⬇️ PEMASUKAN'!$K$5:$K1181,,0,-1)</f>
        <v>K.ST - SESI TERAPI</v>
      </c>
      <c r="F174" s="145" t="str">
        <f t="shared" si="2"/>
        <v>K.ST - SESI TERAPI</v>
      </c>
      <c r="G174" s="145" t="str">
        <f t="shared" si="3"/>
        <v>CLOSING SESI</v>
      </c>
      <c r="H174" s="145" t="str">
        <f>IFERROR(__xludf.DUMMYFUNCTION("""COMPUTED_VALUE"""),"PUTRI")</f>
        <v>PUTRI</v>
      </c>
      <c r="I174" s="145" t="str">
        <f>IFERROR(__xludf.DUMMYFUNCTION("""COMPUTED_VALUE"""),"NOPI")</f>
        <v>NOPI</v>
      </c>
      <c r="J174" s="145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ht="22.5" customHeight="1">
      <c r="A175" s="144">
        <f>IFERROR(__xludf.DUMMYFUNCTION("""COMPUTED_VALUE"""),46052.0)</f>
        <v>46052</v>
      </c>
      <c r="B175" s="145" t="str">
        <f t="shared" si="1"/>
        <v>01Jan</v>
      </c>
      <c r="C175" s="145" t="str">
        <f>IFERROR(__xludf.DUMMYFUNCTION("""COMPUTED_VALUE"""),"ROSDIANA")</f>
        <v>ROSDIANA</v>
      </c>
      <c r="D175" s="145">
        <f t="array" ref="D175">IFNA(XLOOKUP(C175,'👥 Daftar Nama Pasien'!$B$6:$B1181,'👥 Daftar Nama Pasien'!$D$6:$D1181),"")</f>
        <v>56</v>
      </c>
      <c r="E175" s="145" t="str">
        <f t="array" ref="E175">XLOOKUP(C175,'⬇️ PEMASUKAN'!$I$5:$I1181,'⬇️ PEMASUKAN'!$K$5:$K1181,,0,-1)</f>
        <v>K.PT - PAKET 2</v>
      </c>
      <c r="F175" s="145" t="str">
        <f t="shared" si="2"/>
        <v>K.PT - PAKET 2</v>
      </c>
      <c r="G175" s="145" t="str">
        <f t="shared" si="3"/>
        <v>CLOSING PAKET</v>
      </c>
      <c r="H175" s="145" t="str">
        <f>IFERROR(__xludf.DUMMYFUNCTION("""COMPUTED_VALUE"""),"OKTA")</f>
        <v>OKTA</v>
      </c>
      <c r="I175" s="145" t="str">
        <f>IFERROR(__xludf.DUMMYFUNCTION("""COMPUTED_VALUE"""),"LAINNYA")</f>
        <v>LAINNYA</v>
      </c>
      <c r="J175" s="145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ht="22.5" customHeight="1">
      <c r="A176" s="144">
        <f>IFERROR(__xludf.DUMMYFUNCTION("""COMPUTED_VALUE"""),46052.0)</f>
        <v>46052</v>
      </c>
      <c r="B176" s="145" t="str">
        <f t="shared" si="1"/>
        <v>01Jan</v>
      </c>
      <c r="C176" s="145" t="str">
        <f>IFERROR(__xludf.DUMMYFUNCTION("""COMPUTED_VALUE"""),"RACHMAT HIDAYAT")</f>
        <v>RACHMAT HIDAYAT</v>
      </c>
      <c r="D176" s="145">
        <f t="array" ref="D176">IFNA(XLOOKUP(C176,'👥 Daftar Nama Pasien'!$B$6:$B1181,'👥 Daftar Nama Pasien'!$D$6:$D1181),"")</f>
        <v>33</v>
      </c>
      <c r="E176" s="145" t="str">
        <f t="array" ref="E176">XLOOKUP(C176,'⬇️ PEMASUKAN'!$I$5:$I1181,'⬇️ PEMASUKAN'!$K$5:$K1181,,0,-1)</f>
        <v>K.PT - PAKET 1</v>
      </c>
      <c r="F176" s="145" t="str">
        <f t="shared" si="2"/>
        <v>K.PT - PAKET 1</v>
      </c>
      <c r="G176" s="145" t="str">
        <f t="shared" si="3"/>
        <v>CLOSING PAKET</v>
      </c>
      <c r="H176" s="145" t="str">
        <f>IFERROR(__xludf.DUMMYFUNCTION("""COMPUTED_VALUE"""),"DANI")</f>
        <v>DANI</v>
      </c>
      <c r="I176" s="145" t="str">
        <f>IFERROR(__xludf.DUMMYFUNCTION("""COMPUTED_VALUE"""),"LAINNYA")</f>
        <v>LAINNYA</v>
      </c>
      <c r="J176" s="145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</row>
    <row r="177" ht="22.5" customHeight="1">
      <c r="A177" s="144">
        <f>IFERROR(__xludf.DUMMYFUNCTION("""COMPUTED_VALUE"""),46052.0)</f>
        <v>46052</v>
      </c>
      <c r="B177" s="145" t="str">
        <f t="shared" si="1"/>
        <v>01Jan</v>
      </c>
      <c r="C177" s="145" t="str">
        <f>IFERROR(__xludf.DUMMYFUNCTION("""COMPUTED_VALUE"""),"VERONICA")</f>
        <v>VERONICA</v>
      </c>
      <c r="D177" s="145">
        <f t="array" ref="D177">IFNA(XLOOKUP(C177,'👥 Daftar Nama Pasien'!$B$6:$B1181,'👥 Daftar Nama Pasien'!$D$6:$D1181),"")</f>
        <v>34</v>
      </c>
      <c r="E177" s="145" t="str">
        <f t="array" ref="E177">XLOOKUP(C177,'⬇️ PEMASUKAN'!$I$5:$I1181,'⬇️ PEMASUKAN'!$K$5:$K1181,,0,-1)</f>
        <v>K.PT - PAKET 1</v>
      </c>
      <c r="F177" s="145" t="str">
        <f t="shared" si="2"/>
        <v>K.PT - PAKET 1</v>
      </c>
      <c r="G177" s="145" t="str">
        <f t="shared" si="3"/>
        <v>CLOSING PAKET</v>
      </c>
      <c r="H177" s="145" t="str">
        <f>IFERROR(__xludf.DUMMYFUNCTION("""COMPUTED_VALUE"""),"OKTA")</f>
        <v>OKTA</v>
      </c>
      <c r="I177" s="145" t="str">
        <f>IFERROR(__xludf.DUMMYFUNCTION("""COMPUTED_VALUE"""),"LAINNYA")</f>
        <v>LAINNYA</v>
      </c>
      <c r="J177" s="145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</row>
    <row r="178" ht="22.5" customHeight="1">
      <c r="A178" s="144">
        <f>IFERROR(__xludf.DUMMYFUNCTION("""COMPUTED_VALUE"""),46053.0)</f>
        <v>46053</v>
      </c>
      <c r="B178" s="145" t="str">
        <f t="shared" si="1"/>
        <v>01Jan</v>
      </c>
      <c r="C178" s="145" t="str">
        <f>IFERROR(__xludf.DUMMYFUNCTION("""COMPUTED_VALUE"""),"MAYONG ANDREAS ACIN")</f>
        <v>MAYONG ANDREAS ACIN</v>
      </c>
      <c r="D178" s="145">
        <f t="array" ref="D178">IFNA(XLOOKUP(C178,'👥 Daftar Nama Pasien'!$B$6:$B1181,'👥 Daftar Nama Pasien'!$D$6:$D1181),"")</f>
        <v>54</v>
      </c>
      <c r="E178" s="145" t="str">
        <f t="array" ref="E178">XLOOKUP(C178,'⬇️ PEMASUKAN'!$I$5:$I1181,'⬇️ PEMASUKAN'!$K$5:$K1181,,0,-1)</f>
        <v>K.PT - PAKET 1</v>
      </c>
      <c r="F178" s="145" t="str">
        <f t="shared" si="2"/>
        <v>K.PT - PAKET 1</v>
      </c>
      <c r="G178" s="145" t="str">
        <f t="shared" si="3"/>
        <v>CLOSING PAKET</v>
      </c>
      <c r="H178" s="145" t="str">
        <f>IFERROR(__xludf.DUMMYFUNCTION("""COMPUTED_VALUE"""),"DANI")</f>
        <v>DANI</v>
      </c>
      <c r="I178" s="145" t="str">
        <f>IFERROR(__xludf.DUMMYFUNCTION("""COMPUTED_VALUE"""),"SUCI")</f>
        <v>SUCI</v>
      </c>
      <c r="J178" s="145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</row>
    <row r="179" ht="22.5" customHeight="1">
      <c r="A179" s="144">
        <f>IFERROR(__xludf.DUMMYFUNCTION("""COMPUTED_VALUE"""),46053.0)</f>
        <v>46053</v>
      </c>
      <c r="B179" s="145" t="str">
        <f t="shared" si="1"/>
        <v>01Jan</v>
      </c>
      <c r="C179" s="145" t="str">
        <f>IFERROR(__xludf.DUMMYFUNCTION("""COMPUTED_VALUE"""),"M ADY SOEPIANSYAH")</f>
        <v>M ADY SOEPIANSYAH</v>
      </c>
      <c r="D179" s="145">
        <f t="array" ref="D179">IFNA(XLOOKUP(C179,'👥 Daftar Nama Pasien'!$B$6:$B1181,'👥 Daftar Nama Pasien'!$D$6:$D1181),"")</f>
        <v>33</v>
      </c>
      <c r="E179" s="145" t="str">
        <f t="array" ref="E179">XLOOKUP(C179,'⬇️ PEMASUKAN'!$I$5:$I1181,'⬇️ PEMASUKAN'!$K$5:$K1181,,0,-1)</f>
        <v>K.TA - TERAPI AWAL</v>
      </c>
      <c r="F179" s="145" t="str">
        <f t="shared" si="2"/>
        <v>TIDAK CLOSING</v>
      </c>
      <c r="G179" s="145" t="str">
        <f t="shared" si="3"/>
        <v>TIDAK CLOSING</v>
      </c>
      <c r="H179" s="145" t="str">
        <f>IFERROR(__xludf.DUMMYFUNCTION("""COMPUTED_VALUE"""),"PUTRI")</f>
        <v>PUTRI</v>
      </c>
      <c r="I179" s="145" t="str">
        <f>IFERROR(__xludf.DUMMYFUNCTION("""COMPUTED_VALUE"""),"SUCI")</f>
        <v>SUCI</v>
      </c>
      <c r="J179" s="145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</row>
    <row r="180" ht="22.5" customHeight="1">
      <c r="A180" s="144">
        <f>IFERROR(__xludf.DUMMYFUNCTION("""COMPUTED_VALUE"""),46053.0)</f>
        <v>46053</v>
      </c>
      <c r="B180" s="145" t="str">
        <f t="shared" si="1"/>
        <v>01Jan</v>
      </c>
      <c r="C180" s="145" t="str">
        <f>IFERROR(__xludf.DUMMYFUNCTION("""COMPUTED_VALUE"""),"HANDRI")</f>
        <v>HANDRI</v>
      </c>
      <c r="D180" s="145">
        <f t="array" ref="D180">IFNA(XLOOKUP(C180,'👥 Daftar Nama Pasien'!$B$6:$B1181,'👥 Daftar Nama Pasien'!$D$6:$D1181),"")</f>
        <v>37</v>
      </c>
      <c r="E180" s="145" t="str">
        <f t="array" ref="E180">XLOOKUP(C180,'⬇️ PEMASUKAN'!$I$5:$I1181,'⬇️ PEMASUKAN'!$K$5:$K1181,,0,-1)</f>
        <v>K.TA - TERAPI AWAL</v>
      </c>
      <c r="F180" s="145" t="str">
        <f t="shared" si="2"/>
        <v>TIDAK CLOSING</v>
      </c>
      <c r="G180" s="145" t="str">
        <f t="shared" si="3"/>
        <v>TIDAK CLOSING</v>
      </c>
      <c r="H180" s="145" t="str">
        <f>IFERROR(__xludf.DUMMYFUNCTION("""COMPUTED_VALUE"""),"AUL")</f>
        <v>AUL</v>
      </c>
      <c r="I180" s="145" t="str">
        <f>IFERROR(__xludf.DUMMYFUNCTION("""COMPUTED_VALUE"""),"NOPI")</f>
        <v>NOPI</v>
      </c>
      <c r="J180" s="145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</row>
    <row r="181" ht="22.5" customHeight="1">
      <c r="A181" s="144">
        <f>IFERROR(__xludf.DUMMYFUNCTION("""COMPUTED_VALUE"""),46053.0)</f>
        <v>46053</v>
      </c>
      <c r="B181" s="145" t="str">
        <f t="shared" si="1"/>
        <v>01Jan</v>
      </c>
      <c r="C181" s="145" t="str">
        <f>IFERROR(__xludf.DUMMYFUNCTION("""COMPUTED_VALUE"""),"SHELIN XAVIERA SALAM")</f>
        <v>SHELIN XAVIERA SALAM</v>
      </c>
      <c r="D181" s="145">
        <f t="array" ref="D181">IFNA(XLOOKUP(C181,'👥 Daftar Nama Pasien'!$B$6:$B1181,'👥 Daftar Nama Pasien'!$D$6:$D1181),"")</f>
        <v>6</v>
      </c>
      <c r="E181" s="145" t="str">
        <f t="array" ref="E181">XLOOKUP(C181,'⬇️ PEMASUKAN'!$I$5:$I1181,'⬇️ PEMASUKAN'!$K$5:$K1181,,0,-1)</f>
        <v>K.TA - TERAPI AWAL</v>
      </c>
      <c r="F181" s="145" t="str">
        <f t="shared" si="2"/>
        <v>TIDAK CLOSING</v>
      </c>
      <c r="G181" s="145" t="str">
        <f t="shared" si="3"/>
        <v>TIDAK CLOSING</v>
      </c>
      <c r="H181" s="145" t="str">
        <f>IFERROR(__xludf.DUMMYFUNCTION("""COMPUTED_VALUE"""),"DESTY")</f>
        <v>DESTY</v>
      </c>
      <c r="I181" s="145" t="str">
        <f>IFERROR(__xludf.DUMMYFUNCTION("""COMPUTED_VALUE"""),"NOPI")</f>
        <v>NOPI</v>
      </c>
      <c r="J181" s="145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</row>
    <row r="182" ht="22.5" customHeight="1">
      <c r="A182" s="144">
        <f>IFERROR(__xludf.DUMMYFUNCTION("""COMPUTED_VALUE"""),46054.0)</f>
        <v>46054</v>
      </c>
      <c r="B182" s="145" t="str">
        <f t="shared" si="1"/>
        <v>02Feb</v>
      </c>
      <c r="C182" s="145" t="str">
        <f>IFERROR(__xludf.DUMMYFUNCTION("""COMPUTED_VALUE"""),"BHAKTI HARIMURTI")</f>
        <v>BHAKTI HARIMURTI</v>
      </c>
      <c r="D182" s="145">
        <f t="array" ref="D182">IFNA(XLOOKUP(C182,'👥 Daftar Nama Pasien'!$B$6:$B1181,'👥 Daftar Nama Pasien'!$D$6:$D1181),"")</f>
        <v>18</v>
      </c>
      <c r="E182" s="145" t="str">
        <f t="array" ref="E182">XLOOKUP(C182,'⬇️ PEMASUKAN'!$I$5:$I1181,'⬇️ PEMASUKAN'!$K$5:$K1181,,0,-1)</f>
        <v>K.TA - TERAPI AWAL</v>
      </c>
      <c r="F182" s="145" t="str">
        <f t="shared" si="2"/>
        <v>TIDAK CLOSING</v>
      </c>
      <c r="G182" s="145" t="str">
        <f t="shared" si="3"/>
        <v>TIDAK CLOSING</v>
      </c>
      <c r="H182" s="145" t="str">
        <f>IFERROR(__xludf.DUMMYFUNCTION("""COMPUTED_VALUE"""),"WAHYU")</f>
        <v>WAHYU</v>
      </c>
      <c r="I182" s="145" t="str">
        <f>IFERROR(__xludf.DUMMYFUNCTION("""COMPUTED_VALUE"""),"SUCI")</f>
        <v>SUCI</v>
      </c>
      <c r="J182" s="145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ht="22.5" customHeight="1">
      <c r="A183" s="144">
        <f>IFERROR(__xludf.DUMMYFUNCTION("""COMPUTED_VALUE"""),46054.0)</f>
        <v>46054</v>
      </c>
      <c r="B183" s="145" t="str">
        <f t="shared" si="1"/>
        <v>02Feb</v>
      </c>
      <c r="C183" s="145" t="str">
        <f>IFERROR(__xludf.DUMMYFUNCTION("""COMPUTED_VALUE"""),"MARSHERLY LOVESENZIA")</f>
        <v>MARSHERLY LOVESENZIA</v>
      </c>
      <c r="D183" s="145">
        <f t="array" ref="D183">IFNA(XLOOKUP(C183,'👥 Daftar Nama Pasien'!$B$6:$B1181,'👥 Daftar Nama Pasien'!$D$6:$D1181),"")</f>
        <v>26</v>
      </c>
      <c r="E183" s="145" t="str">
        <f t="array" ref="E183">XLOOKUP(C183,'⬇️ PEMASUKAN'!$I$5:$I1181,'⬇️ PEMASUKAN'!$K$5:$K1181,,0,-1)</f>
        <v>K.TA - TERAPI AWAL</v>
      </c>
      <c r="F183" s="145" t="str">
        <f t="shared" si="2"/>
        <v>TIDAK CLOSING</v>
      </c>
      <c r="G183" s="145" t="str">
        <f t="shared" si="3"/>
        <v>TIDAK CLOSING</v>
      </c>
      <c r="H183" s="145" t="str">
        <f>IFERROR(__xludf.DUMMYFUNCTION("""COMPUTED_VALUE"""),"DESTY")</f>
        <v>DESTY</v>
      </c>
      <c r="I183" s="145" t="str">
        <f>IFERROR(__xludf.DUMMYFUNCTION("""COMPUTED_VALUE"""),"SUCI")</f>
        <v>SUCI</v>
      </c>
      <c r="J183" s="145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ht="22.5" customHeight="1">
      <c r="A184" s="144">
        <f>IFERROR(__xludf.DUMMYFUNCTION("""COMPUTED_VALUE"""),46054.0)</f>
        <v>46054</v>
      </c>
      <c r="B184" s="145" t="str">
        <f t="shared" si="1"/>
        <v>02Feb</v>
      </c>
      <c r="C184" s="145" t="str">
        <f>IFERROR(__xludf.DUMMYFUNCTION("""COMPUTED_VALUE"""),"MARSIANUS DWI W. DONATUS")</f>
        <v>MARSIANUS DWI W. DONATUS</v>
      </c>
      <c r="D184" s="145">
        <f t="array" ref="D184">IFNA(XLOOKUP(C184,'👥 Daftar Nama Pasien'!$B$6:$B1181,'👥 Daftar Nama Pasien'!$D$6:$D1181),"")</f>
        <v>37</v>
      </c>
      <c r="E184" s="145" t="str">
        <f t="array" ref="E184">XLOOKUP(C184,'⬇️ PEMASUKAN'!$I$5:$I1181,'⬇️ PEMASUKAN'!$K$5:$K1181,,0,-1)</f>
        <v>K.TA - TERAPI AWAL</v>
      </c>
      <c r="F184" s="145" t="str">
        <f t="shared" si="2"/>
        <v>TIDAK CLOSING</v>
      </c>
      <c r="G184" s="145" t="str">
        <f t="shared" si="3"/>
        <v>TIDAK CLOSING</v>
      </c>
      <c r="H184" s="145" t="str">
        <f>IFERROR(__xludf.DUMMYFUNCTION("""COMPUTED_VALUE"""),"PUTRI")</f>
        <v>PUTRI</v>
      </c>
      <c r="I184" s="145" t="str">
        <f>IFERROR(__xludf.DUMMYFUNCTION("""COMPUTED_VALUE"""),"SUCI")</f>
        <v>SUCI</v>
      </c>
      <c r="J184" s="145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ht="22.5" customHeight="1">
      <c r="A185" s="144">
        <f>IFERROR(__xludf.DUMMYFUNCTION("""COMPUTED_VALUE"""),46054.0)</f>
        <v>46054</v>
      </c>
      <c r="B185" s="145" t="str">
        <f t="shared" si="1"/>
        <v>02Feb</v>
      </c>
      <c r="C185" s="145" t="str">
        <f>IFERROR(__xludf.DUMMYFUNCTION("""COMPUTED_VALUE"""),"LENNY MARBUN")</f>
        <v>LENNY MARBUN</v>
      </c>
      <c r="D185" s="145">
        <f t="array" ref="D185">IFNA(XLOOKUP(C185,'👥 Daftar Nama Pasien'!$B$6:$B1181,'👥 Daftar Nama Pasien'!$D$6:$D1181),"")</f>
        <v>46</v>
      </c>
      <c r="E185" s="145" t="str">
        <f t="array" ref="E185">XLOOKUP(C185,'⬇️ PEMASUKAN'!$I$5:$I1181,'⬇️ PEMASUKAN'!$K$5:$K1181,,0,-1)</f>
        <v>K.PT - PAKET GOLD</v>
      </c>
      <c r="F185" s="145" t="str">
        <f t="shared" si="2"/>
        <v>K.PT - PAKET GOLD</v>
      </c>
      <c r="G185" s="145" t="str">
        <f t="shared" si="3"/>
        <v>CLOSING PAKET</v>
      </c>
      <c r="H185" s="145" t="str">
        <f>IFERROR(__xludf.DUMMYFUNCTION("""COMPUTED_VALUE"""),"HESTI")</f>
        <v>HESTI</v>
      </c>
      <c r="I185" s="145" t="str">
        <f>IFERROR(__xludf.DUMMYFUNCTION("""COMPUTED_VALUE"""),"NOPI")</f>
        <v>NOPI</v>
      </c>
      <c r="J185" s="145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ht="22.5" customHeight="1">
      <c r="A186" s="144">
        <f>IFERROR(__xludf.DUMMYFUNCTION("""COMPUTED_VALUE"""),46054.0)</f>
        <v>46054</v>
      </c>
      <c r="B186" s="145" t="str">
        <f t="shared" si="1"/>
        <v>02Feb</v>
      </c>
      <c r="C186" s="145" t="str">
        <f>IFERROR(__xludf.DUMMYFUNCTION("""COMPUTED_VALUE"""),"SUHARDI")</f>
        <v>SUHARDI</v>
      </c>
      <c r="D186" s="145">
        <f t="array" ref="D186">IFNA(XLOOKUP(C186,'👥 Daftar Nama Pasien'!$B$6:$B1181,'👥 Daftar Nama Pasien'!$D$6:$D1181),"")</f>
        <v>45</v>
      </c>
      <c r="E186" s="145" t="str">
        <f t="array" ref="E186">XLOOKUP(C186,'⬇️ PEMASUKAN'!$I$5:$I1181,'⬇️ PEMASUKAN'!$K$5:$K1181,,0,-1)</f>
        <v>K.TA - TERAPI AWAL</v>
      </c>
      <c r="F186" s="145" t="str">
        <f t="shared" si="2"/>
        <v>TIDAK CLOSING</v>
      </c>
      <c r="G186" s="145" t="str">
        <f t="shared" si="3"/>
        <v>TIDAK CLOSING</v>
      </c>
      <c r="H186" s="145" t="str">
        <f>IFERROR(__xludf.DUMMYFUNCTION("""COMPUTED_VALUE"""),"ORY")</f>
        <v>ORY</v>
      </c>
      <c r="I186" s="145" t="str">
        <f>IFERROR(__xludf.DUMMYFUNCTION("""COMPUTED_VALUE"""),"NOPI")</f>
        <v>NOPI</v>
      </c>
      <c r="J186" s="145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ht="22.5" customHeight="1">
      <c r="A187" s="144">
        <f>IFERROR(__xludf.DUMMYFUNCTION("""COMPUTED_VALUE"""),46054.0)</f>
        <v>46054</v>
      </c>
      <c r="B187" s="145" t="str">
        <f t="shared" si="1"/>
        <v>02Feb</v>
      </c>
      <c r="C187" s="145" t="str">
        <f>IFERROR(__xludf.DUMMYFUNCTION("""COMPUTED_VALUE"""),"FENRIADI")</f>
        <v>FENRIADI</v>
      </c>
      <c r="D187" s="145">
        <f t="array" ref="D187">IFNA(XLOOKUP(C187,'👥 Daftar Nama Pasien'!$B$6:$B1181,'👥 Daftar Nama Pasien'!$D$6:$D1181),"")</f>
        <v>25</v>
      </c>
      <c r="E187" s="145" t="str">
        <f t="array" ref="E187">XLOOKUP(C187,'⬇️ PEMASUKAN'!$I$5:$I1181,'⬇️ PEMASUKAN'!$K$5:$K1181,,0,-1)</f>
        <v>K.ST - SESI TERAPI</v>
      </c>
      <c r="F187" s="145" t="str">
        <f t="shared" si="2"/>
        <v>K.ST - SESI TERAPI</v>
      </c>
      <c r="G187" s="145" t="str">
        <f t="shared" si="3"/>
        <v>CLOSING SESI</v>
      </c>
      <c r="H187" s="145" t="str">
        <f>IFERROR(__xludf.DUMMYFUNCTION("""COMPUTED_VALUE"""),"WAHYU")</f>
        <v>WAHYU</v>
      </c>
      <c r="I187" s="145" t="str">
        <f>IFERROR(__xludf.DUMMYFUNCTION("""COMPUTED_VALUE"""),"NOPI")</f>
        <v>NOPI</v>
      </c>
      <c r="J187" s="145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ht="22.5" customHeight="1">
      <c r="A188" s="144">
        <f>IFERROR(__xludf.DUMMYFUNCTION("""COMPUTED_VALUE"""),46054.0)</f>
        <v>46054</v>
      </c>
      <c r="B188" s="145" t="str">
        <f t="shared" si="1"/>
        <v>02Feb</v>
      </c>
      <c r="C188" s="145" t="str">
        <f>IFERROR(__xludf.DUMMYFUNCTION("""COMPUTED_VALUE"""),"HENNY HO")</f>
        <v>HENNY HO</v>
      </c>
      <c r="D188" s="145">
        <f t="array" ref="D188">IFNA(XLOOKUP(C188,'👥 Daftar Nama Pasien'!$B$6:$B1181,'👥 Daftar Nama Pasien'!$D$6:$D1181),"")</f>
        <v>43</v>
      </c>
      <c r="E188" s="145" t="str">
        <f t="array" ref="E188">XLOOKUP(C188,'⬇️ PEMASUKAN'!$I$5:$I1181,'⬇️ PEMASUKAN'!$K$5:$K1181,,0,-1)</f>
        <v>K.TA - TERAPI AWAL</v>
      </c>
      <c r="F188" s="145" t="str">
        <f t="shared" si="2"/>
        <v>TIDAK CLOSING</v>
      </c>
      <c r="G188" s="145" t="str">
        <f t="shared" si="3"/>
        <v>TIDAK CLOSING</v>
      </c>
      <c r="H188" s="145" t="str">
        <f>IFERROR(__xludf.DUMMYFUNCTION("""COMPUTED_VALUE"""),"OKTA")</f>
        <v>OKTA</v>
      </c>
      <c r="I188" s="145" t="str">
        <f>IFERROR(__xludf.DUMMYFUNCTION("""COMPUTED_VALUE"""),"NOPI")</f>
        <v>NOPI</v>
      </c>
      <c r="J188" s="145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</row>
    <row r="189" ht="22.5" customHeight="1">
      <c r="A189" s="144">
        <f>IFERROR(__xludf.DUMMYFUNCTION("""COMPUTED_VALUE"""),46055.0)</f>
        <v>46055</v>
      </c>
      <c r="B189" s="145" t="str">
        <f t="shared" si="1"/>
        <v>02Feb</v>
      </c>
      <c r="C189" s="145" t="str">
        <f>IFERROR(__xludf.DUMMYFUNCTION("""COMPUTED_VALUE"""),"RIZQIROIHANMUSTOFA")</f>
        <v>RIZQIROIHANMUSTOFA</v>
      </c>
      <c r="D189" s="145">
        <f t="array" ref="D189">IFNA(XLOOKUP(C189,'👥 Daftar Nama Pasien'!$B$6:$B1181,'👥 Daftar Nama Pasien'!$D$6:$D1181),"")</f>
        <v>20</v>
      </c>
      <c r="E189" s="145" t="str">
        <f t="array" ref="E189">XLOOKUP(C189,'⬇️ PEMASUKAN'!$I$5:$I1181,'⬇️ PEMASUKAN'!$K$5:$K1181,,0,-1)</f>
        <v>K.PT - PAKET SILVER</v>
      </c>
      <c r="F189" s="145" t="str">
        <f t="shared" si="2"/>
        <v>K.PT - PAKET SILVER</v>
      </c>
      <c r="G189" s="145" t="str">
        <f t="shared" si="3"/>
        <v>CLOSING PAKET</v>
      </c>
      <c r="H189" s="145" t="str">
        <f>IFERROR(__xludf.DUMMYFUNCTION("""COMPUTED_VALUE"""),"PUTRI")</f>
        <v>PUTRI</v>
      </c>
      <c r="I189" s="145" t="str">
        <f>IFERROR(__xludf.DUMMYFUNCTION("""COMPUTED_VALUE"""),"NOPI")</f>
        <v>NOPI</v>
      </c>
      <c r="J189" s="145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</row>
    <row r="190" ht="22.5" customHeight="1">
      <c r="A190" s="144">
        <f>IFERROR(__xludf.DUMMYFUNCTION("""COMPUTED_VALUE"""),46055.0)</f>
        <v>46055</v>
      </c>
      <c r="B190" s="145" t="str">
        <f t="shared" si="1"/>
        <v>02Feb</v>
      </c>
      <c r="C190" s="145" t="str">
        <f>IFERROR(__xludf.DUMMYFUNCTION("""COMPUTED_VALUE"""),"RIKA ANGGRAINI")</f>
        <v>RIKA ANGGRAINI</v>
      </c>
      <c r="D190" s="145">
        <f t="array" ref="D190">IFNA(XLOOKUP(C190,'👥 Daftar Nama Pasien'!$B$6:$B1181,'👥 Daftar Nama Pasien'!$D$6:$D1181),"")</f>
        <v>39</v>
      </c>
      <c r="E190" s="145" t="str">
        <f t="array" ref="E190">XLOOKUP(C190,'⬇️ PEMASUKAN'!$I$5:$I1181,'⬇️ PEMASUKAN'!$K$5:$K1181,,0,-1)</f>
        <v>K.TA - TERAPI AWAL</v>
      </c>
      <c r="F190" s="145" t="str">
        <f t="shared" si="2"/>
        <v>TIDAK CLOSING</v>
      </c>
      <c r="G190" s="145" t="str">
        <f t="shared" si="3"/>
        <v>TIDAK CLOSING</v>
      </c>
      <c r="H190" s="145" t="str">
        <f>IFERROR(__xludf.DUMMYFUNCTION("""COMPUTED_VALUE"""),"PUTRI")</f>
        <v>PUTRI</v>
      </c>
      <c r="I190" s="145" t="str">
        <f>IFERROR(__xludf.DUMMYFUNCTION("""COMPUTED_VALUE"""),"NOPI")</f>
        <v>NOPI</v>
      </c>
      <c r="J190" s="145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</row>
    <row r="191" ht="22.5" customHeight="1">
      <c r="A191" s="144">
        <f>IFERROR(__xludf.DUMMYFUNCTION("""COMPUTED_VALUE"""),46055.0)</f>
        <v>46055</v>
      </c>
      <c r="B191" s="145" t="str">
        <f t="shared" si="1"/>
        <v>02Feb</v>
      </c>
      <c r="C191" s="145" t="str">
        <f>IFERROR(__xludf.DUMMYFUNCTION("""COMPUTED_VALUE"""),"YOHANES PELE KURNIAWAN")</f>
        <v>YOHANES PELE KURNIAWAN</v>
      </c>
      <c r="D191" s="145">
        <f t="array" ref="D191">IFNA(XLOOKUP(C191,'👥 Daftar Nama Pasien'!$B$6:$B1181,'👥 Daftar Nama Pasien'!$D$6:$D1181),"")</f>
        <v>32</v>
      </c>
      <c r="E191" s="145" t="str">
        <f t="array" ref="E191">XLOOKUP(C191,'⬇️ PEMASUKAN'!$I$5:$I1181,'⬇️ PEMASUKAN'!$K$5:$K1181,,0,-1)</f>
        <v>K.TA - TERAPI AWAL</v>
      </c>
      <c r="F191" s="145" t="str">
        <f t="shared" si="2"/>
        <v>TIDAK CLOSING</v>
      </c>
      <c r="G191" s="145" t="str">
        <f t="shared" si="3"/>
        <v>TIDAK CLOSING</v>
      </c>
      <c r="H191" s="145" t="str">
        <f>IFERROR(__xludf.DUMMYFUNCTION("""COMPUTED_VALUE"""),"WAHYU")</f>
        <v>WAHYU</v>
      </c>
      <c r="I191" s="145" t="str">
        <f>IFERROR(__xludf.DUMMYFUNCTION("""COMPUTED_VALUE"""),"NOPI")</f>
        <v>NOPI</v>
      </c>
      <c r="J191" s="145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</row>
    <row r="192" ht="22.5" customHeight="1">
      <c r="A192" s="144">
        <f>IFERROR(__xludf.DUMMYFUNCTION("""COMPUTED_VALUE"""),46055.0)</f>
        <v>46055</v>
      </c>
      <c r="B192" s="145" t="str">
        <f t="shared" si="1"/>
        <v>02Feb</v>
      </c>
      <c r="C192" s="145" t="str">
        <f>IFERROR(__xludf.DUMMYFUNCTION("""COMPUTED_VALUE"""),"ADI RAHMANTO")</f>
        <v>ADI RAHMANTO</v>
      </c>
      <c r="D192" s="145">
        <f t="array" ref="D192">IFNA(XLOOKUP(C192,'👥 Daftar Nama Pasien'!$B$6:$B1181,'👥 Daftar Nama Pasien'!$D$6:$D1181),"")</f>
        <v>42</v>
      </c>
      <c r="E192" s="145" t="str">
        <f t="array" ref="E192">XLOOKUP(C192,'⬇️ PEMASUKAN'!$I$5:$I1181,'⬇️ PEMASUKAN'!$K$5:$K1181,,0,-1)</f>
        <v>K.TA - TERAPI AWAL</v>
      </c>
      <c r="F192" s="145" t="str">
        <f t="shared" si="2"/>
        <v>TIDAK CLOSING</v>
      </c>
      <c r="G192" s="145" t="str">
        <f t="shared" si="3"/>
        <v>TIDAK CLOSING</v>
      </c>
      <c r="H192" s="145" t="str">
        <f>IFERROR(__xludf.DUMMYFUNCTION("""COMPUTED_VALUE"""),"WAHYU")</f>
        <v>WAHYU</v>
      </c>
      <c r="I192" s="145" t="str">
        <f>IFERROR(__xludf.DUMMYFUNCTION("""COMPUTED_VALUE"""),"NOPI")</f>
        <v>NOPI</v>
      </c>
      <c r="J192" s="145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ht="22.5" customHeight="1">
      <c r="A193" s="144">
        <f>IFERROR(__xludf.DUMMYFUNCTION("""COMPUTED_VALUE"""),46055.0)</f>
        <v>46055</v>
      </c>
      <c r="B193" s="145" t="str">
        <f t="shared" si="1"/>
        <v>02Feb</v>
      </c>
      <c r="C193" s="145" t="str">
        <f>IFERROR(__xludf.DUMMYFUNCTION("""COMPUTED_VALUE"""),"EKA DEWI PRATIWI")</f>
        <v>EKA DEWI PRATIWI</v>
      </c>
      <c r="D193" s="145">
        <f t="array" ref="D193">IFNA(XLOOKUP(C193,'👥 Daftar Nama Pasien'!$B$6:$B1181,'👥 Daftar Nama Pasien'!$D$6:$D1181),"")</f>
        <v>42</v>
      </c>
      <c r="E193" s="145" t="str">
        <f t="array" ref="E193">XLOOKUP(C193,'⬇️ PEMASUKAN'!$I$5:$I1181,'⬇️ PEMASUKAN'!$K$5:$K1181,,0,-1)</f>
        <v>K.TA - TERAPI AWAL</v>
      </c>
      <c r="F193" s="145" t="str">
        <f t="shared" si="2"/>
        <v>TIDAK CLOSING</v>
      </c>
      <c r="G193" s="145" t="str">
        <f t="shared" si="3"/>
        <v>TIDAK CLOSING</v>
      </c>
      <c r="H193" s="145" t="str">
        <f>IFERROR(__xludf.DUMMYFUNCTION("""COMPUTED_VALUE"""),"HENA")</f>
        <v>HENA</v>
      </c>
      <c r="I193" s="145" t="str">
        <f>IFERROR(__xludf.DUMMYFUNCTION("""COMPUTED_VALUE"""),"NOPI")</f>
        <v>NOPI</v>
      </c>
      <c r="J193" s="145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</row>
    <row r="194" ht="22.5" customHeight="1">
      <c r="A194" s="144">
        <f>IFERROR(__xludf.DUMMYFUNCTION("""COMPUTED_VALUE"""),46055.0)</f>
        <v>46055</v>
      </c>
      <c r="B194" s="145" t="str">
        <f t="shared" si="1"/>
        <v>02Feb</v>
      </c>
      <c r="C194" s="145" t="str">
        <f>IFERROR(__xludf.DUMMYFUNCTION("""COMPUTED_VALUE"""),"AIRLANGGA RADITYA SYAFIQ")</f>
        <v>AIRLANGGA RADITYA SYAFIQ</v>
      </c>
      <c r="D194" s="145">
        <f t="array" ref="D194">IFNA(XLOOKUP(C194,'👥 Daftar Nama Pasien'!$B$6:$B1181,'👥 Daftar Nama Pasien'!$D$6:$D1181),"")</f>
        <v>11</v>
      </c>
      <c r="E194" s="145" t="str">
        <f t="array" ref="E194">XLOOKUP(C194,'⬇️ PEMASUKAN'!$I$5:$I1181,'⬇️ PEMASUKAN'!$K$5:$K1181,,0,-1)</f>
        <v>K.TA - TERAPI AWAL</v>
      </c>
      <c r="F194" s="145" t="str">
        <f t="shared" si="2"/>
        <v>TIDAK CLOSING</v>
      </c>
      <c r="G194" s="145" t="str">
        <f t="shared" si="3"/>
        <v>TIDAK CLOSING</v>
      </c>
      <c r="H194" s="145" t="str">
        <f>IFERROR(__xludf.DUMMYFUNCTION("""COMPUTED_VALUE"""),"PUTRI")</f>
        <v>PUTRI</v>
      </c>
      <c r="I194" s="145" t="str">
        <f>IFERROR(__xludf.DUMMYFUNCTION("""COMPUTED_VALUE"""),"NOPI")</f>
        <v>NOPI</v>
      </c>
      <c r="J194" s="145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</row>
    <row r="195" ht="22.5" customHeight="1">
      <c r="A195" s="144">
        <f>IFERROR(__xludf.DUMMYFUNCTION("""COMPUTED_VALUE"""),46055.0)</f>
        <v>46055</v>
      </c>
      <c r="B195" s="145" t="str">
        <f t="shared" si="1"/>
        <v>02Feb</v>
      </c>
      <c r="C195" s="145" t="str">
        <f>IFERROR(__xludf.DUMMYFUNCTION("""COMPUTED_VALUE"""),"ALBERT RENSEN LIUNARDY")</f>
        <v>ALBERT RENSEN LIUNARDY</v>
      </c>
      <c r="D195" s="145">
        <f t="array" ref="D195">IFNA(XLOOKUP(C195,'👥 Daftar Nama Pasien'!$B$6:$B1181,'👥 Daftar Nama Pasien'!$D$6:$D1181),"")</f>
        <v>19</v>
      </c>
      <c r="E195" s="145" t="str">
        <f t="array" ref="E195">XLOOKUP(C195,'⬇️ PEMASUKAN'!$I$5:$I1181,'⬇️ PEMASUKAN'!$K$5:$K1181,,0,-1)</f>
        <v>K.ST - SESI TERAPI NEW</v>
      </c>
      <c r="F195" s="145" t="str">
        <f t="shared" si="2"/>
        <v>K.ST - SESI TERAPI NEW</v>
      </c>
      <c r="G195" s="145" t="str">
        <f t="shared" si="3"/>
        <v>CLOSING SESI</v>
      </c>
      <c r="H195" s="145" t="str">
        <f>IFERROR(__xludf.DUMMYFUNCTION("""COMPUTED_VALUE"""),"PUTRI")</f>
        <v>PUTRI</v>
      </c>
      <c r="I195" s="145" t="str">
        <f>IFERROR(__xludf.DUMMYFUNCTION("""COMPUTED_VALUE"""),"NOPI")</f>
        <v>NOPI</v>
      </c>
      <c r="J195" s="145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</row>
    <row r="196" ht="22.5" customHeight="1">
      <c r="A196" s="144">
        <f>IFERROR(__xludf.DUMMYFUNCTION("""COMPUTED_VALUE"""),46055.0)</f>
        <v>46055</v>
      </c>
      <c r="B196" s="145" t="str">
        <f t="shared" si="1"/>
        <v>02Feb</v>
      </c>
      <c r="C196" s="145" t="str">
        <f>IFERROR(__xludf.DUMMYFUNCTION("""COMPUTED_VALUE"""),"NURILHAM IRSYAD")</f>
        <v>NURILHAM IRSYAD</v>
      </c>
      <c r="D196" s="145">
        <f t="array" ref="D196">IFNA(XLOOKUP(C196,'👥 Daftar Nama Pasien'!$B$6:$B1181,'👥 Daftar Nama Pasien'!$D$6:$D1181),"")</f>
        <v>21</v>
      </c>
      <c r="E196" s="145" t="str">
        <f t="array" ref="E196">XLOOKUP(C196,'⬇️ PEMASUKAN'!$I$5:$I1181,'⬇️ PEMASUKAN'!$K$5:$K1181,,0,-1)</f>
        <v>K.TA - TERAPI AWAL</v>
      </c>
      <c r="F196" s="145" t="str">
        <f t="shared" si="2"/>
        <v>TIDAK CLOSING</v>
      </c>
      <c r="G196" s="145" t="str">
        <f t="shared" si="3"/>
        <v>TIDAK CLOSING</v>
      </c>
      <c r="H196" s="145" t="str">
        <f>IFERROR(__xludf.DUMMYFUNCTION("""COMPUTED_VALUE"""),"WAHYU")</f>
        <v>WAHYU</v>
      </c>
      <c r="I196" s="145" t="str">
        <f>IFERROR(__xludf.DUMMYFUNCTION("""COMPUTED_VALUE"""),"NOPI")</f>
        <v>NOPI</v>
      </c>
      <c r="J196" s="145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</row>
    <row r="197" ht="22.5" customHeight="1">
      <c r="A197" s="144">
        <f>IFERROR(__xludf.DUMMYFUNCTION("""COMPUTED_VALUE"""),46056.0)</f>
        <v>46056</v>
      </c>
      <c r="B197" s="145" t="str">
        <f t="shared" si="1"/>
        <v>02Feb</v>
      </c>
      <c r="C197" s="145" t="str">
        <f>IFERROR(__xludf.DUMMYFUNCTION("""COMPUTED_VALUE"""),"EDDY SANTOSO")</f>
        <v>EDDY SANTOSO</v>
      </c>
      <c r="D197" s="145">
        <f t="array" ref="D197">IFNA(XLOOKUP(C197,'👥 Daftar Nama Pasien'!$B$6:$B1181,'👥 Daftar Nama Pasien'!$D$6:$D1181),"")</f>
        <v>56</v>
      </c>
      <c r="E197" s="145" t="str">
        <f t="array" ref="E197">XLOOKUP(C197,'⬇️ PEMASUKAN'!$I$5:$I1181,'⬇️ PEMASUKAN'!$K$5:$K1181,,0,-1)</f>
        <v>K.TA - TERAPI AWAL</v>
      </c>
      <c r="F197" s="145" t="str">
        <f t="shared" si="2"/>
        <v>TIDAK CLOSING</v>
      </c>
      <c r="G197" s="145" t="str">
        <f t="shared" si="3"/>
        <v>TIDAK CLOSING</v>
      </c>
      <c r="H197" s="145" t="str">
        <f>IFERROR(__xludf.DUMMYFUNCTION("""COMPUTED_VALUE"""),"WAHYU")</f>
        <v>WAHYU</v>
      </c>
      <c r="I197" s="145" t="str">
        <f>IFERROR(__xludf.DUMMYFUNCTION("""COMPUTED_VALUE"""),"NOPI")</f>
        <v>NOPI</v>
      </c>
      <c r="J197" s="145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ht="22.5" customHeight="1">
      <c r="A198" s="144">
        <f>IFERROR(__xludf.DUMMYFUNCTION("""COMPUTED_VALUE"""),46056.0)</f>
        <v>46056</v>
      </c>
      <c r="B198" s="145" t="str">
        <f t="shared" si="1"/>
        <v>02Feb</v>
      </c>
      <c r="C198" s="145" t="str">
        <f>IFERROR(__xludf.DUMMYFUNCTION("""COMPUTED_VALUE"""),"ALEXANDER PUTRA DARMADI")</f>
        <v>ALEXANDER PUTRA DARMADI</v>
      </c>
      <c r="D198" s="145">
        <f t="array" ref="D198">IFNA(XLOOKUP(C198,'👥 Daftar Nama Pasien'!$B$6:$B1181,'👥 Daftar Nama Pasien'!$D$6:$D1181),"")</f>
        <v>17</v>
      </c>
      <c r="E198" s="145" t="str">
        <f t="array" ref="E198">XLOOKUP(C198,'⬇️ PEMASUKAN'!$I$5:$I1181,'⬇️ PEMASUKAN'!$K$5:$K1181,,0,-1)</f>
        <v>K.ST - SESI TERAPI NEW</v>
      </c>
      <c r="F198" s="145" t="str">
        <f t="shared" si="2"/>
        <v>K.ST - SESI TERAPI NEW</v>
      </c>
      <c r="G198" s="145" t="str">
        <f t="shared" si="3"/>
        <v>CLOSING SESI</v>
      </c>
      <c r="H198" s="145" t="str">
        <f>IFERROR(__xludf.DUMMYFUNCTION("""COMPUTED_VALUE"""),"AUL")</f>
        <v>AUL</v>
      </c>
      <c r="I198" s="145" t="str">
        <f>IFERROR(__xludf.DUMMYFUNCTION("""COMPUTED_VALUE"""),"SUCI")</f>
        <v>SUCI</v>
      </c>
      <c r="J198" s="145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</row>
    <row r="199" ht="22.5" customHeight="1">
      <c r="A199" s="144">
        <f>IFERROR(__xludf.DUMMYFUNCTION("""COMPUTED_VALUE"""),46056.0)</f>
        <v>46056</v>
      </c>
      <c r="B199" s="145" t="str">
        <f t="shared" si="1"/>
        <v>02Feb</v>
      </c>
      <c r="C199" s="145" t="str">
        <f>IFERROR(__xludf.DUMMYFUNCTION("""COMPUTED_VALUE"""),"TARMANTO")</f>
        <v>TARMANTO</v>
      </c>
      <c r="D199" s="145">
        <f t="array" ref="D199">IFNA(XLOOKUP(C199,'👥 Daftar Nama Pasien'!$B$6:$B1181,'👥 Daftar Nama Pasien'!$D$6:$D1181),"")</f>
        <v>40</v>
      </c>
      <c r="E199" s="145" t="str">
        <f t="array" ref="E199">XLOOKUP(C199,'⬇️ PEMASUKAN'!$I$5:$I1181,'⬇️ PEMASUKAN'!$K$5:$K1181,,0,-1)</f>
        <v>K.TA - TERAPI AWAL</v>
      </c>
      <c r="F199" s="145" t="str">
        <f t="shared" si="2"/>
        <v>TIDAK CLOSING</v>
      </c>
      <c r="G199" s="145" t="str">
        <f t="shared" si="3"/>
        <v>TIDAK CLOSING</v>
      </c>
      <c r="H199" s="145" t="str">
        <f>IFERROR(__xludf.DUMMYFUNCTION("""COMPUTED_VALUE"""),"ORY")</f>
        <v>ORY</v>
      </c>
      <c r="I199" s="145" t="str">
        <f>IFERROR(__xludf.DUMMYFUNCTION("""COMPUTED_VALUE"""),"SUCI")</f>
        <v>SUCI</v>
      </c>
      <c r="J199" s="145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</row>
    <row r="200" ht="22.5" customHeight="1">
      <c r="A200" s="144">
        <f>IFERROR(__xludf.DUMMYFUNCTION("""COMPUTED_VALUE"""),46056.0)</f>
        <v>46056</v>
      </c>
      <c r="B200" s="145" t="str">
        <f t="shared" si="1"/>
        <v>02Feb</v>
      </c>
      <c r="C200" s="145" t="str">
        <f>IFERROR(__xludf.DUMMYFUNCTION("""COMPUTED_VALUE"""),"RIKA RIYANTI")</f>
        <v>RIKA RIYANTI</v>
      </c>
      <c r="D200" s="145">
        <f t="array" ref="D200">IFNA(XLOOKUP(C200,'👥 Daftar Nama Pasien'!$B$6:$B1181,'👥 Daftar Nama Pasien'!$D$6:$D1181),"")</f>
        <v>34</v>
      </c>
      <c r="E200" s="145" t="str">
        <f t="array" ref="E200">XLOOKUP(C200,'⬇️ PEMASUKAN'!$I$5:$I1181,'⬇️ PEMASUKAN'!$K$5:$K1181,,0,-1)</f>
        <v>K.PT - PAKET SILVER</v>
      </c>
      <c r="F200" s="145" t="str">
        <f t="shared" si="2"/>
        <v>K.PT - PAKET SILVER</v>
      </c>
      <c r="G200" s="145" t="str">
        <f t="shared" si="3"/>
        <v>CLOSING PAKET</v>
      </c>
      <c r="H200" s="145" t="str">
        <f>IFERROR(__xludf.DUMMYFUNCTION("""COMPUTED_VALUE"""),"AUL")</f>
        <v>AUL</v>
      </c>
      <c r="I200" s="145" t="str">
        <f>IFERROR(__xludf.DUMMYFUNCTION("""COMPUTED_VALUE"""),"SUCI")</f>
        <v>SUCI</v>
      </c>
      <c r="J200" s="145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</row>
    <row r="201" ht="22.5" customHeight="1">
      <c r="A201" s="144">
        <f>IFERROR(__xludf.DUMMYFUNCTION("""COMPUTED_VALUE"""),46056.0)</f>
        <v>46056</v>
      </c>
      <c r="B201" s="145" t="str">
        <f t="shared" si="1"/>
        <v>02Feb</v>
      </c>
      <c r="C201" s="145" t="str">
        <f>IFERROR(__xludf.DUMMYFUNCTION("""COMPUTED_VALUE"""),"BAYU YOGA ")</f>
        <v>BAYU YOGA </v>
      </c>
      <c r="D201" s="145">
        <f t="array" ref="D201">IFNA(XLOOKUP(C201,'👥 Daftar Nama Pasien'!$B$6:$B1181,'👥 Daftar Nama Pasien'!$D$6:$D1181),"")</f>
        <v>25</v>
      </c>
      <c r="E201" s="145" t="str">
        <f t="array" ref="E201">XLOOKUP(C201,'⬇️ PEMASUKAN'!$I$5:$I1181,'⬇️ PEMASUKAN'!$K$5:$K1181,,0,-1)</f>
        <v>K.ST - SESI TERAPI NEW</v>
      </c>
      <c r="F201" s="145" t="str">
        <f t="shared" si="2"/>
        <v>K.ST - SESI TERAPI NEW</v>
      </c>
      <c r="G201" s="145" t="str">
        <f t="shared" si="3"/>
        <v>CLOSING SESI</v>
      </c>
      <c r="H201" s="145" t="str">
        <f>IFERROR(__xludf.DUMMYFUNCTION("""COMPUTED_VALUE"""),"WAHYU")</f>
        <v>WAHYU</v>
      </c>
      <c r="I201" s="145" t="str">
        <f>IFERROR(__xludf.DUMMYFUNCTION("""COMPUTED_VALUE"""),"SUCI")</f>
        <v>SUCI</v>
      </c>
      <c r="J201" s="145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</row>
    <row r="202" ht="22.5" customHeight="1">
      <c r="A202" s="144">
        <f>IFERROR(__xludf.DUMMYFUNCTION("""COMPUTED_VALUE"""),46056.0)</f>
        <v>46056</v>
      </c>
      <c r="B202" s="145" t="str">
        <f t="shared" si="1"/>
        <v>02Feb</v>
      </c>
      <c r="C202" s="145" t="str">
        <f>IFERROR(__xludf.DUMMYFUNCTION("""COMPUTED_VALUE"""),"BAMBANG DWIPOJONO")</f>
        <v>BAMBANG DWIPOJONO</v>
      </c>
      <c r="D202" s="145">
        <f t="array" ref="D202">IFNA(XLOOKUP(C202,'👥 Daftar Nama Pasien'!$B$6:$B1181,'👥 Daftar Nama Pasien'!$D$6:$D1181),"")</f>
        <v>55</v>
      </c>
      <c r="E202" s="145" t="str">
        <f t="array" ref="E202">XLOOKUP(C202,'⬇️ PEMASUKAN'!$I$5:$I1181,'⬇️ PEMASUKAN'!$K$5:$K1181,,0,-1)</f>
        <v>K.TA - TERAPI AWAL</v>
      </c>
      <c r="F202" s="145" t="str">
        <f t="shared" si="2"/>
        <v>TIDAK CLOSING</v>
      </c>
      <c r="G202" s="145" t="str">
        <f t="shared" si="3"/>
        <v>TIDAK CLOSING</v>
      </c>
      <c r="H202" s="145" t="str">
        <f>IFERROR(__xludf.DUMMYFUNCTION("""COMPUTED_VALUE"""),"ORY")</f>
        <v>ORY</v>
      </c>
      <c r="I202" s="145" t="str">
        <f>IFERROR(__xludf.DUMMYFUNCTION("""COMPUTED_VALUE"""),"SUCI")</f>
        <v>SUCI</v>
      </c>
      <c r="J202" s="145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</row>
    <row r="203" ht="22.5" customHeight="1">
      <c r="A203" s="144">
        <f>IFERROR(__xludf.DUMMYFUNCTION("""COMPUTED_VALUE"""),46056.0)</f>
        <v>46056</v>
      </c>
      <c r="B203" s="145" t="str">
        <f t="shared" si="1"/>
        <v>02Feb</v>
      </c>
      <c r="C203" s="145" t="str">
        <f>IFERROR(__xludf.DUMMYFUNCTION("""COMPUTED_VALUE"""),"MEIZARANI HELJA")</f>
        <v>MEIZARANI HELJA</v>
      </c>
      <c r="D203" s="145">
        <f t="array" ref="D203">IFNA(XLOOKUP(C203,'👥 Daftar Nama Pasien'!$B$6:$B1181,'👥 Daftar Nama Pasien'!$D$6:$D1181),"")</f>
        <v>33</v>
      </c>
      <c r="E203" s="145" t="str">
        <f t="array" ref="E203">XLOOKUP(C203,'⬇️ PEMASUKAN'!$I$5:$I1181,'⬇️ PEMASUKAN'!$K$5:$K1181,,0,-1)</f>
        <v>K.TA - TERAPI AWAL</v>
      </c>
      <c r="F203" s="145" t="str">
        <f t="shared" si="2"/>
        <v>TIDAK CLOSING</v>
      </c>
      <c r="G203" s="145" t="str">
        <f t="shared" si="3"/>
        <v>TIDAK CLOSING</v>
      </c>
      <c r="H203" s="145" t="str">
        <f>IFERROR(__xludf.DUMMYFUNCTION("""COMPUTED_VALUE"""),"AUL")</f>
        <v>AUL</v>
      </c>
      <c r="I203" s="145" t="str">
        <f>IFERROR(__xludf.DUMMYFUNCTION("""COMPUTED_VALUE"""),"SUCI")</f>
        <v>SUCI</v>
      </c>
      <c r="J203" s="145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</row>
    <row r="204" ht="22.5" customHeight="1">
      <c r="A204" s="144">
        <f>IFERROR(__xludf.DUMMYFUNCTION("""COMPUTED_VALUE"""),46057.0)</f>
        <v>46057</v>
      </c>
      <c r="B204" s="145" t="str">
        <f t="shared" si="1"/>
        <v>02Feb</v>
      </c>
      <c r="C204" s="145" t="str">
        <f>IFERROR(__xludf.DUMMYFUNCTION("""COMPUTED_VALUE"""),"NABILA SEPTRIA NINGRUM")</f>
        <v>NABILA SEPTRIA NINGRUM</v>
      </c>
      <c r="D204" s="145">
        <f t="array" ref="D204">IFNA(XLOOKUP(C204,'👥 Daftar Nama Pasien'!$B$6:$B1181,'👥 Daftar Nama Pasien'!$D$6:$D1181),"")</f>
        <v>22</v>
      </c>
      <c r="E204" s="145" t="str">
        <f t="array" ref="E204">XLOOKUP(C204,'⬇️ PEMASUKAN'!$I$5:$I1181,'⬇️ PEMASUKAN'!$K$5:$K1181,,0,-1)</f>
        <v>K.ST - SESI TERAPI</v>
      </c>
      <c r="F204" s="145" t="str">
        <f t="shared" si="2"/>
        <v>K.ST - SESI TERAPI</v>
      </c>
      <c r="G204" s="145" t="str">
        <f t="shared" si="3"/>
        <v>CLOSING SESI</v>
      </c>
      <c r="H204" s="145" t="str">
        <f>IFERROR(__xludf.DUMMYFUNCTION("""COMPUTED_VALUE"""),"HENA")</f>
        <v>HENA</v>
      </c>
      <c r="I204" s="145" t="str">
        <f>IFERROR(__xludf.DUMMYFUNCTION("""COMPUTED_VALUE"""),"SUCI")</f>
        <v>SUCI</v>
      </c>
      <c r="J204" s="145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</row>
    <row r="205" ht="22.5" customHeight="1">
      <c r="A205" s="144">
        <f>IFERROR(__xludf.DUMMYFUNCTION("""COMPUTED_VALUE"""),46057.0)</f>
        <v>46057</v>
      </c>
      <c r="B205" s="145" t="str">
        <f t="shared" si="1"/>
        <v>02Feb</v>
      </c>
      <c r="C205" s="145" t="str">
        <f>IFERROR(__xludf.DUMMYFUNCTION("""COMPUTED_VALUE"""),"WIDI TRIYANTO")</f>
        <v>WIDI TRIYANTO</v>
      </c>
      <c r="D205" s="145">
        <f t="array" ref="D205">IFNA(XLOOKUP(C205,'👥 Daftar Nama Pasien'!$B$6:$B1181,'👥 Daftar Nama Pasien'!$D$6:$D1181),"")</f>
        <v>18</v>
      </c>
      <c r="E205" s="145" t="str">
        <f t="array" ref="E205">XLOOKUP(C205,'⬇️ PEMASUKAN'!$I$5:$I1181,'⬇️ PEMASUKAN'!$K$5:$K1181,,0,-1)</f>
        <v>K.TA - TERAPI AWAL</v>
      </c>
      <c r="F205" s="145" t="str">
        <f t="shared" si="2"/>
        <v>TIDAK CLOSING</v>
      </c>
      <c r="G205" s="145" t="str">
        <f t="shared" si="3"/>
        <v>TIDAK CLOSING</v>
      </c>
      <c r="H205" s="145" t="str">
        <f>IFERROR(__xludf.DUMMYFUNCTION("""COMPUTED_VALUE"""),"ORY")</f>
        <v>ORY</v>
      </c>
      <c r="I205" s="145" t="str">
        <f>IFERROR(__xludf.DUMMYFUNCTION("""COMPUTED_VALUE"""),"NOPI")</f>
        <v>NOPI</v>
      </c>
      <c r="J205" s="145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</row>
    <row r="206" ht="22.5" customHeight="1">
      <c r="A206" s="144">
        <f>IFERROR(__xludf.DUMMYFUNCTION("""COMPUTED_VALUE"""),46057.0)</f>
        <v>46057</v>
      </c>
      <c r="B206" s="145" t="str">
        <f t="shared" si="1"/>
        <v>02Feb</v>
      </c>
      <c r="C206" s="145" t="str">
        <f>IFERROR(__xludf.DUMMYFUNCTION("""COMPUTED_VALUE"""),"NG LIP TJIU")</f>
        <v>NG LIP TJIU</v>
      </c>
      <c r="D206" s="145">
        <f t="array" ref="D206">IFNA(XLOOKUP(C206,'👥 Daftar Nama Pasien'!$B$6:$B1181,'👥 Daftar Nama Pasien'!$D$6:$D1181),"")</f>
        <v>68</v>
      </c>
      <c r="E206" s="145" t="str">
        <f t="array" ref="E206">XLOOKUP(C206,'⬇️ PEMASUKAN'!$I$5:$I1181,'⬇️ PEMASUKAN'!$K$5:$K1181,,0,-1)</f>
        <v>K.TA - TERAPI AWAL</v>
      </c>
      <c r="F206" s="145" t="str">
        <f t="shared" si="2"/>
        <v>TIDAK CLOSING</v>
      </c>
      <c r="G206" s="145" t="str">
        <f t="shared" si="3"/>
        <v>TIDAK CLOSING</v>
      </c>
      <c r="H206" s="145" t="str">
        <f>IFERROR(__xludf.DUMMYFUNCTION("""COMPUTED_VALUE"""),"DESTY")</f>
        <v>DESTY</v>
      </c>
      <c r="I206" s="145" t="str">
        <f>IFERROR(__xludf.DUMMYFUNCTION("""COMPUTED_VALUE"""),"NOPI")</f>
        <v>NOPI</v>
      </c>
      <c r="J206" s="145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</row>
    <row r="207" ht="22.5" customHeight="1">
      <c r="A207" s="144">
        <f>IFERROR(__xludf.DUMMYFUNCTION("""COMPUTED_VALUE"""),46058.0)</f>
        <v>46058</v>
      </c>
      <c r="B207" s="145" t="str">
        <f t="shared" si="1"/>
        <v>02Feb</v>
      </c>
      <c r="C207" s="145" t="str">
        <f>IFERROR(__xludf.DUMMYFUNCTION("""COMPUTED_VALUE"""),"HENGKY TANUWIJAYA")</f>
        <v>HENGKY TANUWIJAYA</v>
      </c>
      <c r="D207" s="145">
        <f t="array" ref="D207">IFNA(XLOOKUP(C207,'👥 Daftar Nama Pasien'!$B$6:$B1181,'👥 Daftar Nama Pasien'!$D$6:$D1181),"")</f>
        <v>50</v>
      </c>
      <c r="E207" s="145" t="str">
        <f t="array" ref="E207">XLOOKUP(C207,'⬇️ PEMASUKAN'!$I$5:$I1181,'⬇️ PEMASUKAN'!$K$5:$K1181,,0,-1)</f>
        <v>K.PT - PAKET GOLD</v>
      </c>
      <c r="F207" s="145" t="str">
        <f t="shared" si="2"/>
        <v>K.PT - PAKET GOLD</v>
      </c>
      <c r="G207" s="145" t="str">
        <f t="shared" si="3"/>
        <v>CLOSING PAKET</v>
      </c>
      <c r="H207" s="145" t="str">
        <f>IFERROR(__xludf.DUMMYFUNCTION("""COMPUTED_VALUE"""),"WAHYU")</f>
        <v>WAHYU</v>
      </c>
      <c r="I207" s="145" t="str">
        <f>IFERROR(__xludf.DUMMYFUNCTION("""COMPUTED_VALUE"""),"NOPI")</f>
        <v>NOPI</v>
      </c>
      <c r="J207" s="145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</row>
    <row r="208" ht="22.5" customHeight="1">
      <c r="A208" s="144">
        <f>IFERROR(__xludf.DUMMYFUNCTION("""COMPUTED_VALUE"""),46059.0)</f>
        <v>46059</v>
      </c>
      <c r="B208" s="145" t="str">
        <f t="shared" si="1"/>
        <v>02Feb</v>
      </c>
      <c r="C208" s="145" t="str">
        <f>IFERROR(__xludf.DUMMYFUNCTION("""COMPUTED_VALUE"""),"WELLY TRIPUTRA")</f>
        <v>WELLY TRIPUTRA</v>
      </c>
      <c r="D208" s="145">
        <f t="array" ref="D208">IFNA(XLOOKUP(C208,'👥 Daftar Nama Pasien'!$B$6:$B1181,'👥 Daftar Nama Pasien'!$D$6:$D1181),"")</f>
        <v>26</v>
      </c>
      <c r="E208" s="145" t="str">
        <f t="array" ref="E208">XLOOKUP(C208,'⬇️ PEMASUKAN'!$I$5:$I1181,'⬇️ PEMASUKAN'!$K$5:$K1181,,0,-1)</f>
        <v>K.TA - TERAPI AWAL</v>
      </c>
      <c r="F208" s="145" t="str">
        <f t="shared" si="2"/>
        <v>TIDAK CLOSING</v>
      </c>
      <c r="G208" s="145" t="str">
        <f t="shared" si="3"/>
        <v>TIDAK CLOSING</v>
      </c>
      <c r="H208" s="145" t="str">
        <f>IFERROR(__xludf.DUMMYFUNCTION("""COMPUTED_VALUE"""),"OKTA")</f>
        <v>OKTA</v>
      </c>
      <c r="I208" s="145" t="str">
        <f>IFERROR(__xludf.DUMMYFUNCTION("""COMPUTED_VALUE"""),"SUCI")</f>
        <v>SUCI</v>
      </c>
      <c r="J208" s="145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</row>
    <row r="209" ht="22.5" customHeight="1">
      <c r="A209" s="144">
        <f>IFERROR(__xludf.DUMMYFUNCTION("""COMPUTED_VALUE"""),46059.0)</f>
        <v>46059</v>
      </c>
      <c r="B209" s="145" t="str">
        <f t="shared" si="1"/>
        <v>02Feb</v>
      </c>
      <c r="C209" s="145" t="str">
        <f>IFERROR(__xludf.DUMMYFUNCTION("""COMPUTED_VALUE"""),"WELLY TRIPUTRA")</f>
        <v>WELLY TRIPUTRA</v>
      </c>
      <c r="D209" s="145">
        <f t="array" ref="D209">IFNA(XLOOKUP(C209,'👥 Daftar Nama Pasien'!$B$6:$B1181,'👥 Daftar Nama Pasien'!$D$6:$D1181),"")</f>
        <v>26</v>
      </c>
      <c r="E209" s="145" t="str">
        <f t="array" ref="E209">XLOOKUP(C209,'⬇️ PEMASUKAN'!$I$5:$I1181,'⬇️ PEMASUKAN'!$K$5:$K1181,,0,-1)</f>
        <v>K.TA - TERAPI AWAL</v>
      </c>
      <c r="F209" s="145" t="str">
        <f t="shared" si="2"/>
        <v>TIDAK CLOSING</v>
      </c>
      <c r="G209" s="145" t="str">
        <f t="shared" si="3"/>
        <v>TIDAK CLOSING</v>
      </c>
      <c r="H209" s="145" t="str">
        <f>IFERROR(__xludf.DUMMYFUNCTION("""COMPUTED_VALUE"""),"ORY")</f>
        <v>ORY</v>
      </c>
      <c r="I209" s="145" t="str">
        <f>IFERROR(__xludf.DUMMYFUNCTION("""COMPUTED_VALUE"""),"SUCI")</f>
        <v>SUCI</v>
      </c>
      <c r="J209" s="145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</row>
    <row r="210" ht="22.5" customHeight="1">
      <c r="A210" s="144">
        <f>IFERROR(__xludf.DUMMYFUNCTION("""COMPUTED_VALUE"""),46059.0)</f>
        <v>46059</v>
      </c>
      <c r="B210" s="145" t="str">
        <f t="shared" si="1"/>
        <v>02Feb</v>
      </c>
      <c r="C210" s="145" t="str">
        <f>IFERROR(__xludf.DUMMYFUNCTION("""COMPUTED_VALUE"""),"FEBRIANTO LIM")</f>
        <v>FEBRIANTO LIM</v>
      </c>
      <c r="D210" s="145">
        <f t="array" ref="D210">IFNA(XLOOKUP(C210,'👥 Daftar Nama Pasien'!$B$6:$B1181,'👥 Daftar Nama Pasien'!$D$6:$D1181),"")</f>
        <v>30</v>
      </c>
      <c r="E210" s="145" t="str">
        <f t="array" ref="E210">XLOOKUP(C210,'⬇️ PEMASUKAN'!$I$5:$I1181,'⬇️ PEMASUKAN'!$K$5:$K1181,,0,-1)</f>
        <v>K.PT - PAKET SILVER</v>
      </c>
      <c r="F210" s="145" t="str">
        <f t="shared" si="2"/>
        <v>K.PT - PAKET SILVER</v>
      </c>
      <c r="G210" s="145" t="str">
        <f t="shared" si="3"/>
        <v>CLOSING PAKET</v>
      </c>
      <c r="H210" s="145" t="str">
        <f>IFERROR(__xludf.DUMMYFUNCTION("""COMPUTED_VALUE"""),"ORY")</f>
        <v>ORY</v>
      </c>
      <c r="I210" s="145" t="str">
        <f>IFERROR(__xludf.DUMMYFUNCTION("""COMPUTED_VALUE"""),"SUCI")</f>
        <v>SUCI</v>
      </c>
      <c r="J210" s="145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</row>
    <row r="211" ht="22.5" customHeight="1">
      <c r="A211" s="144">
        <f>IFERROR(__xludf.DUMMYFUNCTION("""COMPUTED_VALUE"""),46060.0)</f>
        <v>46060</v>
      </c>
      <c r="B211" s="145" t="str">
        <f t="shared" si="1"/>
        <v>02Feb</v>
      </c>
      <c r="C211" s="145" t="str">
        <f>IFERROR(__xludf.DUMMYFUNCTION("""COMPUTED_VALUE"""),"HARISYAH BANDIANTO ")</f>
        <v>HARISYAH BANDIANTO </v>
      </c>
      <c r="D211" s="145">
        <f t="array" ref="D211">IFNA(XLOOKUP(C211,'👥 Daftar Nama Pasien'!$B$6:$B1181,'👥 Daftar Nama Pasien'!$D$6:$D1181),"")</f>
        <v>24</v>
      </c>
      <c r="E211" s="145" t="str">
        <f t="array" ref="E211">XLOOKUP(C211,'⬇️ PEMASUKAN'!$I$5:$I1181,'⬇️ PEMASUKAN'!$K$5:$K1181,,0,-1)</f>
        <v>K.TA - TERAPI AWAL</v>
      </c>
      <c r="F211" s="145" t="str">
        <f t="shared" si="2"/>
        <v>TIDAK CLOSING</v>
      </c>
      <c r="G211" s="145" t="str">
        <f t="shared" si="3"/>
        <v>TIDAK CLOSING</v>
      </c>
      <c r="H211" s="145" t="str">
        <f>IFERROR(__xludf.DUMMYFUNCTION("""COMPUTED_VALUE"""),"WAHYU")</f>
        <v>WAHYU</v>
      </c>
      <c r="I211" s="145" t="str">
        <f>IFERROR(__xludf.DUMMYFUNCTION("""COMPUTED_VALUE"""),"SUCI")</f>
        <v>SUCI</v>
      </c>
      <c r="J211" s="145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</row>
    <row r="212" ht="22.5" customHeight="1">
      <c r="A212" s="144">
        <f>IFERROR(__xludf.DUMMYFUNCTION("""COMPUTED_VALUE"""),46060.0)</f>
        <v>46060</v>
      </c>
      <c r="B212" s="145" t="str">
        <f t="shared" si="1"/>
        <v>02Feb</v>
      </c>
      <c r="C212" s="145" t="str">
        <f>IFERROR(__xludf.DUMMYFUNCTION("""COMPUTED_VALUE"""),"LIM GEK KHIANG")</f>
        <v>LIM GEK KHIANG</v>
      </c>
      <c r="D212" s="145">
        <f t="array" ref="D212">IFNA(XLOOKUP(C212,'👥 Daftar Nama Pasien'!$B$6:$B1181,'👥 Daftar Nama Pasien'!$D$6:$D1181),"")</f>
        <v>66</v>
      </c>
      <c r="E212" s="145" t="str">
        <f t="array" ref="E212">XLOOKUP(C212,'⬇️ PEMASUKAN'!$I$5:$I1181,'⬇️ PEMASUKAN'!$K$5:$K1181,,0,-1)</f>
        <v>K.PT - PAKET GOLD</v>
      </c>
      <c r="F212" s="145" t="str">
        <f t="shared" si="2"/>
        <v>K.PT - PAKET GOLD</v>
      </c>
      <c r="G212" s="145" t="str">
        <f t="shared" si="3"/>
        <v>CLOSING PAKET</v>
      </c>
      <c r="H212" s="145" t="str">
        <f>IFERROR(__xludf.DUMMYFUNCTION("""COMPUTED_VALUE"""),"OKTA")</f>
        <v>OKTA</v>
      </c>
      <c r="I212" s="145" t="str">
        <f>IFERROR(__xludf.DUMMYFUNCTION("""COMPUTED_VALUE"""),"SUCI")</f>
        <v>SUCI</v>
      </c>
      <c r="J212" s="145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</row>
    <row r="213" ht="22.5" customHeight="1">
      <c r="A213" s="144">
        <f>IFERROR(__xludf.DUMMYFUNCTION("""COMPUTED_VALUE"""),46060.0)</f>
        <v>46060</v>
      </c>
      <c r="B213" s="145" t="str">
        <f t="shared" si="1"/>
        <v>02Feb</v>
      </c>
      <c r="C213" s="145" t="str">
        <f>IFERROR(__xludf.DUMMYFUNCTION("""COMPUTED_VALUE"""),"OKTAVIANA ")</f>
        <v>OKTAVIANA </v>
      </c>
      <c r="D213" s="145">
        <f t="array" ref="D213">IFNA(XLOOKUP(C213,'👥 Daftar Nama Pasien'!$B$6:$B1181,'👥 Daftar Nama Pasien'!$D$6:$D1181),"")</f>
        <v>21</v>
      </c>
      <c r="E213" s="145" t="str">
        <f t="array" ref="E213">XLOOKUP(C213,'⬇️ PEMASUKAN'!$I$5:$I1181,'⬇️ PEMASUKAN'!$K$5:$K1181,,0,-1)</f>
        <v>K.ST - SESI TERAPI NEW</v>
      </c>
      <c r="F213" s="145" t="str">
        <f t="shared" si="2"/>
        <v>K.ST - SESI TERAPI NEW</v>
      </c>
      <c r="G213" s="145" t="str">
        <f t="shared" si="3"/>
        <v>CLOSING SESI</v>
      </c>
      <c r="H213" s="145" t="str">
        <f>IFERROR(__xludf.DUMMYFUNCTION("""COMPUTED_VALUE"""),"PRITY")</f>
        <v>PRITY</v>
      </c>
      <c r="I213" s="145" t="str">
        <f>IFERROR(__xludf.DUMMYFUNCTION("""COMPUTED_VALUE"""),"NOPI")</f>
        <v>NOPI</v>
      </c>
      <c r="J213" s="145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</row>
    <row r="214" ht="22.5" customHeight="1">
      <c r="A214" s="144">
        <f>IFERROR(__xludf.DUMMYFUNCTION("""COMPUTED_VALUE"""),46061.0)</f>
        <v>46061</v>
      </c>
      <c r="B214" s="145" t="str">
        <f t="shared" si="1"/>
        <v>02Feb</v>
      </c>
      <c r="C214" s="145" t="str">
        <f>IFERROR(__xludf.DUMMYFUNCTION("""COMPUTED_VALUE"""),"ASRIANI")</f>
        <v>ASRIANI</v>
      </c>
      <c r="D214" s="145">
        <f t="array" ref="D214">IFNA(XLOOKUP(C214,'👥 Daftar Nama Pasien'!$B$6:$B1181,'👥 Daftar Nama Pasien'!$D$6:$D1181),"")</f>
        <v>55</v>
      </c>
      <c r="E214" s="145" t="str">
        <f t="array" ref="E214">XLOOKUP(C214,'⬇️ PEMASUKAN'!$I$5:$I1181,'⬇️ PEMASUKAN'!$K$5:$K1181,,0,-1)</f>
        <v>K.ST - SESI TERAPI NEW</v>
      </c>
      <c r="F214" s="145" t="str">
        <f t="shared" si="2"/>
        <v>K.ST - SESI TERAPI NEW</v>
      </c>
      <c r="G214" s="145" t="str">
        <f t="shared" si="3"/>
        <v>CLOSING SESI</v>
      </c>
      <c r="H214" s="145" t="str">
        <f>IFERROR(__xludf.DUMMYFUNCTION("""COMPUTED_VALUE"""),"HESTI")</f>
        <v>HESTI</v>
      </c>
      <c r="I214" s="145" t="str">
        <f>IFERROR(__xludf.DUMMYFUNCTION("""COMPUTED_VALUE"""),"SUCI")</f>
        <v>SUCI</v>
      </c>
      <c r="J214" s="145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</row>
    <row r="215" ht="22.5" customHeight="1">
      <c r="A215" s="144">
        <f>IFERROR(__xludf.DUMMYFUNCTION("""COMPUTED_VALUE"""),46061.0)</f>
        <v>46061</v>
      </c>
      <c r="B215" s="145" t="str">
        <f t="shared" si="1"/>
        <v>02Feb</v>
      </c>
      <c r="C215" s="145" t="str">
        <f>IFERROR(__xludf.DUMMYFUNCTION("""COMPUTED_VALUE"""),"ADZAN AMMAR WANDI")</f>
        <v>ADZAN AMMAR WANDI</v>
      </c>
      <c r="D215" s="145">
        <f t="array" ref="D215">IFNA(XLOOKUP(C215,'👥 Daftar Nama Pasien'!$B$6:$B1181,'👥 Daftar Nama Pasien'!$D$6:$D1181),"")</f>
        <v>29</v>
      </c>
      <c r="E215" s="145" t="str">
        <f t="array" ref="E215">XLOOKUP(C215,'⬇️ PEMASUKAN'!$I$5:$I1181,'⬇️ PEMASUKAN'!$K$5:$K1181,,0,-1)</f>
        <v>K.TA - TERAPI AWAL</v>
      </c>
      <c r="F215" s="145" t="str">
        <f t="shared" si="2"/>
        <v>TIDAK CLOSING</v>
      </c>
      <c r="G215" s="145" t="str">
        <f t="shared" si="3"/>
        <v>TIDAK CLOSING</v>
      </c>
      <c r="H215" s="145" t="str">
        <f>IFERROR(__xludf.DUMMYFUNCTION("""COMPUTED_VALUE"""),"WAHYU")</f>
        <v>WAHYU</v>
      </c>
      <c r="I215" s="145" t="str">
        <f>IFERROR(__xludf.DUMMYFUNCTION("""COMPUTED_VALUE"""),"SUCI")</f>
        <v>SUCI</v>
      </c>
      <c r="J215" s="145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</row>
    <row r="216" ht="22.5" customHeight="1">
      <c r="A216" s="144">
        <f>IFERROR(__xludf.DUMMYFUNCTION("""COMPUTED_VALUE"""),46061.0)</f>
        <v>46061</v>
      </c>
      <c r="B216" s="145" t="str">
        <f t="shared" si="1"/>
        <v>02Feb</v>
      </c>
      <c r="C216" s="145" t="str">
        <f>IFERROR(__xludf.DUMMYFUNCTION("""COMPUTED_VALUE"""),"RIA DWI ANJANI")</f>
        <v>RIA DWI ANJANI</v>
      </c>
      <c r="D216" s="145">
        <f t="array" ref="D216">IFNA(XLOOKUP(C216,'👥 Daftar Nama Pasien'!$B$6:$B1181,'👥 Daftar Nama Pasien'!$D$6:$D1181),"")</f>
        <v>23</v>
      </c>
      <c r="E216" s="145" t="str">
        <f t="array" ref="E216">XLOOKUP(C216,'⬇️ PEMASUKAN'!$I$5:$I1181,'⬇️ PEMASUKAN'!$K$5:$K1181,,0,-1)</f>
        <v>K.ST - SESI TERAPI NEW</v>
      </c>
      <c r="F216" s="145" t="str">
        <f t="shared" si="2"/>
        <v>K.ST - SESI TERAPI NEW</v>
      </c>
      <c r="G216" s="145" t="str">
        <f t="shared" si="3"/>
        <v>CLOSING SESI</v>
      </c>
      <c r="H216" s="145" t="str">
        <f>IFERROR(__xludf.DUMMYFUNCTION("""COMPUTED_VALUE"""),"HENA")</f>
        <v>HENA</v>
      </c>
      <c r="I216" s="145" t="str">
        <f>IFERROR(__xludf.DUMMYFUNCTION("""COMPUTED_VALUE"""),"SUCI")</f>
        <v>SUCI</v>
      </c>
      <c r="J216" s="145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</row>
    <row r="217" ht="22.5" customHeight="1">
      <c r="A217" s="144">
        <f>IFERROR(__xludf.DUMMYFUNCTION("""COMPUTED_VALUE"""),46061.0)</f>
        <v>46061</v>
      </c>
      <c r="B217" s="145" t="str">
        <f t="shared" si="1"/>
        <v>02Feb</v>
      </c>
      <c r="C217" s="145" t="str">
        <f>IFERROR(__xludf.DUMMYFUNCTION("""COMPUTED_VALUE"""),"AHMAD NAUFAL WIRDIYAN")</f>
        <v>AHMAD NAUFAL WIRDIYAN</v>
      </c>
      <c r="D217" s="145">
        <f t="array" ref="D217">IFNA(XLOOKUP(C217,'👥 Daftar Nama Pasien'!$B$6:$B1181,'👥 Daftar Nama Pasien'!$D$6:$D1181),"")</f>
        <v>23</v>
      </c>
      <c r="E217" s="145" t="str">
        <f t="array" ref="E217">XLOOKUP(C217,'⬇️ PEMASUKAN'!$I$5:$I1181,'⬇️ PEMASUKAN'!$K$5:$K1181,,0,-1)</f>
        <v>K.PT - PAKET SILVER</v>
      </c>
      <c r="F217" s="145" t="str">
        <f t="shared" si="2"/>
        <v>K.PT - PAKET SILVER</v>
      </c>
      <c r="G217" s="145" t="str">
        <f t="shared" si="3"/>
        <v>CLOSING PAKET</v>
      </c>
      <c r="H217" s="145" t="str">
        <f>IFERROR(__xludf.DUMMYFUNCTION("""COMPUTED_VALUE"""),"WAHYU")</f>
        <v>WAHYU</v>
      </c>
      <c r="I217" s="145" t="str">
        <f>IFERROR(__xludf.DUMMYFUNCTION("""COMPUTED_VALUE"""),"SUCI")</f>
        <v>SUCI</v>
      </c>
      <c r="J217" s="145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</row>
    <row r="218" ht="22.5" customHeight="1">
      <c r="A218" s="144">
        <f>IFERROR(__xludf.DUMMYFUNCTION("""COMPUTED_VALUE"""),46061.0)</f>
        <v>46061</v>
      </c>
      <c r="B218" s="145" t="str">
        <f t="shared" si="1"/>
        <v>02Feb</v>
      </c>
      <c r="C218" s="145" t="str">
        <f>IFERROR(__xludf.DUMMYFUNCTION("""COMPUTED_VALUE"""),"YANUARTI ")</f>
        <v>YANUARTI </v>
      </c>
      <c r="D218" s="145">
        <f t="array" ref="D218">IFNA(XLOOKUP(C218,'👥 Daftar Nama Pasien'!$B$6:$B1181,'👥 Daftar Nama Pasien'!$D$6:$D1181),"")</f>
        <v>64</v>
      </c>
      <c r="E218" s="145" t="str">
        <f t="array" ref="E218">XLOOKUP(C218,'⬇️ PEMASUKAN'!$I$5:$I1181,'⬇️ PEMASUKAN'!$K$5:$K1181,,0,-1)</f>
        <v>K.TA - TERAPI AWAL</v>
      </c>
      <c r="F218" s="145" t="str">
        <f t="shared" si="2"/>
        <v>TIDAK CLOSING</v>
      </c>
      <c r="G218" s="145" t="str">
        <f t="shared" si="3"/>
        <v>TIDAK CLOSING</v>
      </c>
      <c r="H218" s="145" t="str">
        <f>IFERROR(__xludf.DUMMYFUNCTION("""COMPUTED_VALUE"""),"PUTRI")</f>
        <v>PUTRI</v>
      </c>
      <c r="I218" s="145" t="str">
        <f>IFERROR(__xludf.DUMMYFUNCTION("""COMPUTED_VALUE"""),"SUCI")</f>
        <v>SUCI</v>
      </c>
      <c r="J218" s="145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</row>
    <row r="219" ht="22.5" customHeight="1">
      <c r="A219" s="144">
        <f>IFERROR(__xludf.DUMMYFUNCTION("""COMPUTED_VALUE"""),46062.0)</f>
        <v>46062</v>
      </c>
      <c r="B219" s="145" t="str">
        <f t="shared" si="1"/>
        <v>02Feb</v>
      </c>
      <c r="C219" s="145" t="str">
        <f>IFERROR(__xludf.DUMMYFUNCTION("""COMPUTED_VALUE"""),"JONO")</f>
        <v>JONO</v>
      </c>
      <c r="D219" s="145">
        <f t="array" ref="D219">IFNA(XLOOKUP(C219,'👥 Daftar Nama Pasien'!$B$6:$B1181,'👥 Daftar Nama Pasien'!$D$6:$D1181),"")</f>
        <v>41</v>
      </c>
      <c r="E219" s="145" t="str">
        <f t="array" ref="E219">XLOOKUP(C219,'⬇️ PEMASUKAN'!$I$5:$I1181,'⬇️ PEMASUKAN'!$K$5:$K1181,,0,-1)</f>
        <v>K.PT - PAKET SILVER</v>
      </c>
      <c r="F219" s="145" t="str">
        <f t="shared" si="2"/>
        <v>K.PT - PAKET SILVER</v>
      </c>
      <c r="G219" s="145" t="str">
        <f t="shared" si="3"/>
        <v>CLOSING PAKET</v>
      </c>
      <c r="H219" s="145" t="str">
        <f>IFERROR(__xludf.DUMMYFUNCTION("""COMPUTED_VALUE"""),"ORY")</f>
        <v>ORY</v>
      </c>
      <c r="I219" s="145" t="str">
        <f>IFERROR(__xludf.DUMMYFUNCTION("""COMPUTED_VALUE"""),"NOPI")</f>
        <v>NOPI</v>
      </c>
      <c r="J219" s="145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</row>
    <row r="220" ht="22.5" customHeight="1">
      <c r="A220" s="144">
        <f>IFERROR(__xludf.DUMMYFUNCTION("""COMPUTED_VALUE"""),46062.0)</f>
        <v>46062</v>
      </c>
      <c r="B220" s="145" t="str">
        <f t="shared" si="1"/>
        <v>02Feb</v>
      </c>
      <c r="C220" s="145" t="str">
        <f>IFERROR(__xludf.DUMMYFUNCTION("""COMPUTED_VALUE"""),"SIWA PRANATA")</f>
        <v>SIWA PRANATA</v>
      </c>
      <c r="D220" s="145">
        <f t="array" ref="D220">IFNA(XLOOKUP(C220,'👥 Daftar Nama Pasien'!$B$6:$B1181,'👥 Daftar Nama Pasien'!$D$6:$D1181),"")</f>
        <v>24</v>
      </c>
      <c r="E220" s="145" t="str">
        <f t="array" ref="E220">XLOOKUP(C220,'⬇️ PEMASUKAN'!$I$5:$I1181,'⬇️ PEMASUKAN'!$K$5:$K1181,,0,-1)</f>
        <v>K.TA - TERAPI AWAL</v>
      </c>
      <c r="F220" s="145" t="str">
        <f t="shared" si="2"/>
        <v>TIDAK CLOSING</v>
      </c>
      <c r="G220" s="145" t="str">
        <f t="shared" si="3"/>
        <v>TIDAK CLOSING</v>
      </c>
      <c r="H220" s="145" t="str">
        <f>IFERROR(__xludf.DUMMYFUNCTION("""COMPUTED_VALUE"""),"PRITY")</f>
        <v>PRITY</v>
      </c>
      <c r="I220" s="145" t="str">
        <f>IFERROR(__xludf.DUMMYFUNCTION("""COMPUTED_VALUE"""),"NOPI")</f>
        <v>NOPI</v>
      </c>
      <c r="J220" s="145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</row>
    <row r="221" ht="22.5" customHeight="1">
      <c r="A221" s="144">
        <f>IFERROR(__xludf.DUMMYFUNCTION("""COMPUTED_VALUE"""),46062.0)</f>
        <v>46062</v>
      </c>
      <c r="B221" s="145" t="str">
        <f t="shared" si="1"/>
        <v>02Feb</v>
      </c>
      <c r="C221" s="145" t="str">
        <f>IFERROR(__xludf.DUMMYFUNCTION("""COMPUTED_VALUE"""),"VINA")</f>
        <v>VINA</v>
      </c>
      <c r="D221" s="145">
        <f t="array" ref="D221">IFNA(XLOOKUP(C221,'👥 Daftar Nama Pasien'!$B$6:$B1181,'👥 Daftar Nama Pasien'!$D$6:$D1181),"")</f>
        <v>39</v>
      </c>
      <c r="E221" s="145" t="str">
        <f t="array" ref="E221">XLOOKUP(C221,'⬇️ PEMASUKAN'!$I$5:$I1181,'⬇️ PEMASUKAN'!$K$5:$K1181,,0,-1)</f>
        <v>K.ST - SESI TERAPI NEW</v>
      </c>
      <c r="F221" s="145" t="str">
        <f t="shared" si="2"/>
        <v>K.ST - SESI TERAPI NEW</v>
      </c>
      <c r="G221" s="145" t="str">
        <f t="shared" si="3"/>
        <v>CLOSING SESI</v>
      </c>
      <c r="H221" s="145" t="str">
        <f>IFERROR(__xludf.DUMMYFUNCTION("""COMPUTED_VALUE"""),"AUL")</f>
        <v>AUL</v>
      </c>
      <c r="I221" s="145" t="str">
        <f>IFERROR(__xludf.DUMMYFUNCTION("""COMPUTED_VALUE"""),"NOPI")</f>
        <v>NOPI</v>
      </c>
      <c r="J221" s="145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</row>
    <row r="222" ht="22.5" customHeight="1">
      <c r="A222" s="144">
        <f>IFERROR(__xludf.DUMMYFUNCTION("""COMPUTED_VALUE"""),46062.0)</f>
        <v>46062</v>
      </c>
      <c r="B222" s="145" t="str">
        <f t="shared" si="1"/>
        <v>02Feb</v>
      </c>
      <c r="C222" s="145" t="str">
        <f>IFERROR(__xludf.DUMMYFUNCTION("""COMPUTED_VALUE"""),"ACHMAD MAULANA")</f>
        <v>ACHMAD MAULANA</v>
      </c>
      <c r="D222" s="145">
        <f t="array" ref="D222">IFNA(XLOOKUP(C222,'👥 Daftar Nama Pasien'!$B$6:$B1181,'👥 Daftar Nama Pasien'!$D$6:$D1181),"")</f>
        <v>41</v>
      </c>
      <c r="E222" s="145" t="str">
        <f t="array" ref="E222">XLOOKUP(C222,'⬇️ PEMASUKAN'!$I$5:$I1181,'⬇️ PEMASUKAN'!$K$5:$K1181,,0,-1)</f>
        <v>K.ST - SESI TERAPI NEW</v>
      </c>
      <c r="F222" s="145" t="str">
        <f t="shared" si="2"/>
        <v>K.ST - SESI TERAPI NEW</v>
      </c>
      <c r="G222" s="145" t="str">
        <f t="shared" si="3"/>
        <v>CLOSING SESI</v>
      </c>
      <c r="H222" s="145" t="str">
        <f>IFERROR(__xludf.DUMMYFUNCTION("""COMPUTED_VALUE"""),"PRITY")</f>
        <v>PRITY</v>
      </c>
      <c r="I222" s="145" t="str">
        <f>IFERROR(__xludf.DUMMYFUNCTION("""COMPUTED_VALUE"""),"NOPI")</f>
        <v>NOPI</v>
      </c>
      <c r="J222" s="145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</row>
    <row r="223" ht="22.5" customHeight="1">
      <c r="A223" s="144">
        <f>IFERROR(__xludf.DUMMYFUNCTION("""COMPUTED_VALUE"""),46062.0)</f>
        <v>46062</v>
      </c>
      <c r="B223" s="145" t="str">
        <f t="shared" si="1"/>
        <v>02Feb</v>
      </c>
      <c r="C223" s="145" t="str">
        <f>IFERROR(__xludf.DUMMYFUNCTION("""COMPUTED_VALUE"""),"VIVIANI")</f>
        <v>VIVIANI</v>
      </c>
      <c r="D223" s="145">
        <f t="array" ref="D223">IFNA(XLOOKUP(C223,'👥 Daftar Nama Pasien'!$B$6:$B1181,'👥 Daftar Nama Pasien'!$D$6:$D1181),"")</f>
        <v>29</v>
      </c>
      <c r="E223" s="145" t="str">
        <f t="array" ref="E223">XLOOKUP(C223,'⬇️ PEMASUKAN'!$I$5:$I1181,'⬇️ PEMASUKAN'!$K$5:$K1181,,0,-1)</f>
        <v>V.ST - SESI VISIT</v>
      </c>
      <c r="F223" s="145" t="str">
        <f t="shared" si="2"/>
        <v>V.ST - SESI VISIT</v>
      </c>
      <c r="G223" s="145" t="str">
        <f t="shared" si="3"/>
        <v>TIDAK CLOSING</v>
      </c>
      <c r="H223" s="145" t="str">
        <f>IFERROR(__xludf.DUMMYFUNCTION("""COMPUTED_VALUE"""),"PRITY")</f>
        <v>PRITY</v>
      </c>
      <c r="I223" s="145" t="str">
        <f>IFERROR(__xludf.DUMMYFUNCTION("""COMPUTED_VALUE"""),"NOPI")</f>
        <v>NOPI</v>
      </c>
      <c r="J223" s="145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</row>
    <row r="224" ht="22.5" customHeight="1">
      <c r="A224" s="144">
        <f>IFERROR(__xludf.DUMMYFUNCTION("""COMPUTED_VALUE"""),46062.0)</f>
        <v>46062</v>
      </c>
      <c r="B224" s="145" t="str">
        <f t="shared" si="1"/>
        <v>02Feb</v>
      </c>
      <c r="C224" s="145" t="str">
        <f>IFERROR(__xludf.DUMMYFUNCTION("""COMPUTED_VALUE"""),"DHIPA RADITYA ")</f>
        <v>DHIPA RADITYA </v>
      </c>
      <c r="D224" s="145">
        <f t="array" ref="D224">IFNA(XLOOKUP(C224,'👥 Daftar Nama Pasien'!$B$6:$B1181,'👥 Daftar Nama Pasien'!$D$6:$D1181),"")</f>
        <v>37</v>
      </c>
      <c r="E224" s="145" t="str">
        <f t="array" ref="E224">XLOOKUP(C224,'⬇️ PEMASUKAN'!$I$5:$I1181,'⬇️ PEMASUKAN'!$K$5:$K1181,,0,-1)</f>
        <v>K.ST - SESI TERAPI NEW</v>
      </c>
      <c r="F224" s="145" t="str">
        <f t="shared" si="2"/>
        <v>K.ST - SESI TERAPI NEW</v>
      </c>
      <c r="G224" s="145" t="str">
        <f t="shared" si="3"/>
        <v>CLOSING SESI</v>
      </c>
      <c r="H224" s="145" t="str">
        <f>IFERROR(__xludf.DUMMYFUNCTION("""COMPUTED_VALUE"""),"PUTRI")</f>
        <v>PUTRI</v>
      </c>
      <c r="I224" s="145" t="str">
        <f>IFERROR(__xludf.DUMMYFUNCTION("""COMPUTED_VALUE"""),"SUCI")</f>
        <v>SUCI</v>
      </c>
      <c r="J224" s="145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</row>
    <row r="225" ht="22.5" customHeight="1">
      <c r="A225" s="144">
        <f>IFERROR(__xludf.DUMMYFUNCTION("""COMPUTED_VALUE"""),46062.0)</f>
        <v>46062</v>
      </c>
      <c r="B225" s="145" t="str">
        <f t="shared" si="1"/>
        <v>02Feb</v>
      </c>
      <c r="C225" s="145" t="str">
        <f>IFERROR(__xludf.DUMMYFUNCTION("""COMPUTED_VALUE"""),"RAJIDIN")</f>
        <v>RAJIDIN</v>
      </c>
      <c r="D225" s="145">
        <f t="array" ref="D225">IFNA(XLOOKUP(C225,'👥 Daftar Nama Pasien'!$B$6:$B1181,'👥 Daftar Nama Pasien'!$D$6:$D1181),"")</f>
        <v>39</v>
      </c>
      <c r="E225" s="145" t="str">
        <f t="array" ref="E225">XLOOKUP(C225,'⬇️ PEMASUKAN'!$I$5:$I1181,'⬇️ PEMASUKAN'!$K$5:$K1181,,0,-1)</f>
        <v>K.TA - TERAPI AWAL</v>
      </c>
      <c r="F225" s="145" t="str">
        <f t="shared" si="2"/>
        <v>TIDAK CLOSING</v>
      </c>
      <c r="G225" s="145" t="str">
        <f t="shared" si="3"/>
        <v>TIDAK CLOSING</v>
      </c>
      <c r="H225" s="145" t="str">
        <f>IFERROR(__xludf.DUMMYFUNCTION("""COMPUTED_VALUE"""),"HENA")</f>
        <v>HENA</v>
      </c>
      <c r="I225" s="145" t="str">
        <f>IFERROR(__xludf.DUMMYFUNCTION("""COMPUTED_VALUE"""),"SUCI")</f>
        <v>SUCI</v>
      </c>
      <c r="J225" s="145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</row>
    <row r="226" ht="22.5" customHeight="1">
      <c r="A226" s="144">
        <f>IFERROR(__xludf.DUMMYFUNCTION("""COMPUTED_VALUE"""),46062.0)</f>
        <v>46062</v>
      </c>
      <c r="B226" s="145" t="str">
        <f t="shared" si="1"/>
        <v>02Feb</v>
      </c>
      <c r="C226" s="145" t="str">
        <f>IFERROR(__xludf.DUMMYFUNCTION("""COMPUTED_VALUE"""),"IR DARLIYUS")</f>
        <v>IR DARLIYUS</v>
      </c>
      <c r="D226" s="145">
        <f t="array" ref="D226">IFNA(XLOOKUP(C226,'👥 Daftar Nama Pasien'!$B$6:$B1181,'👥 Daftar Nama Pasien'!$D$6:$D1181),"")</f>
        <v>68</v>
      </c>
      <c r="E226" s="145" t="str">
        <f t="array" ref="E226">XLOOKUP(C226,'⬇️ PEMASUKAN'!$I$5:$I1181,'⬇️ PEMASUKAN'!$K$5:$K1181,,0,-1)</f>
        <v>K.PT - PAKET SILVER</v>
      </c>
      <c r="F226" s="145" t="str">
        <f t="shared" si="2"/>
        <v>K.PT - PAKET SILVER</v>
      </c>
      <c r="G226" s="145" t="str">
        <f t="shared" si="3"/>
        <v>CLOSING PAKET</v>
      </c>
      <c r="H226" s="145" t="str">
        <f>IFERROR(__xludf.DUMMYFUNCTION("""COMPUTED_VALUE"""),"WAHYU")</f>
        <v>WAHYU</v>
      </c>
      <c r="I226" s="145" t="str">
        <f>IFERROR(__xludf.DUMMYFUNCTION("""COMPUTED_VALUE"""),"SUCI")</f>
        <v>SUCI</v>
      </c>
      <c r="J226" s="145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</row>
    <row r="227" ht="22.5" customHeight="1">
      <c r="A227" s="144">
        <f>IFERROR(__xludf.DUMMYFUNCTION("""COMPUTED_VALUE"""),46062.0)</f>
        <v>46062</v>
      </c>
      <c r="B227" s="145" t="str">
        <f t="shared" si="1"/>
        <v>02Feb</v>
      </c>
      <c r="C227" s="145" t="str">
        <f>IFERROR(__xludf.DUMMYFUNCTION("""COMPUTED_VALUE"""),"OBED ROBBANI")</f>
        <v>OBED ROBBANI</v>
      </c>
      <c r="D227" s="145">
        <f t="array" ref="D227">IFNA(XLOOKUP(C227,'👥 Daftar Nama Pasien'!$B$6:$B1181,'👥 Daftar Nama Pasien'!$D$6:$D1181),"")</f>
        <v>27</v>
      </c>
      <c r="E227" s="145" t="str">
        <f t="array" ref="E227">XLOOKUP(C227,'⬇️ PEMASUKAN'!$I$5:$I1181,'⬇️ PEMASUKAN'!$K$5:$K1181,,0,-1)</f>
        <v>K.ST - SESI TERAPI NEW</v>
      </c>
      <c r="F227" s="145" t="str">
        <f t="shared" si="2"/>
        <v>K.ST - SESI TERAPI NEW</v>
      </c>
      <c r="G227" s="145" t="str">
        <f t="shared" si="3"/>
        <v>CLOSING SESI</v>
      </c>
      <c r="H227" s="145" t="str">
        <f>IFERROR(__xludf.DUMMYFUNCTION("""COMPUTED_VALUE"""),"WAHYU")</f>
        <v>WAHYU</v>
      </c>
      <c r="I227" s="145" t="str">
        <f>IFERROR(__xludf.DUMMYFUNCTION("""COMPUTED_VALUE"""),"SUCI")</f>
        <v>SUCI</v>
      </c>
      <c r="J227" s="145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</row>
    <row r="228" ht="22.5" customHeight="1">
      <c r="A228" s="144">
        <f>IFERROR(__xludf.DUMMYFUNCTION("""COMPUTED_VALUE"""),46062.0)</f>
        <v>46062</v>
      </c>
      <c r="B228" s="145" t="str">
        <f t="shared" si="1"/>
        <v>02Feb</v>
      </c>
      <c r="C228" s="145" t="str">
        <f>IFERROR(__xludf.DUMMYFUNCTION("""COMPUTED_VALUE"""),"DIAN PRAMANA RAHAYU")</f>
        <v>DIAN PRAMANA RAHAYU</v>
      </c>
      <c r="D228" s="145">
        <f t="array" ref="D228">IFNA(XLOOKUP(C228,'👥 Daftar Nama Pasien'!$B$6:$B1181,'👥 Daftar Nama Pasien'!$D$6:$D1181),"")</f>
        <v>37</v>
      </c>
      <c r="E228" s="145" t="str">
        <f t="array" ref="E228">XLOOKUP(C228,'⬇️ PEMASUKAN'!$I$5:$I1181,'⬇️ PEMASUKAN'!$K$5:$K1181,,0,-1)</f>
        <v>K.ST - SESI TERAPI NEW</v>
      </c>
      <c r="F228" s="145" t="str">
        <f t="shared" si="2"/>
        <v>K.ST - SESI TERAPI NEW</v>
      </c>
      <c r="G228" s="145" t="str">
        <f t="shared" si="3"/>
        <v>CLOSING SESI</v>
      </c>
      <c r="H228" s="145" t="str">
        <f>IFERROR(__xludf.DUMMYFUNCTION("""COMPUTED_VALUE"""),"PUTRI")</f>
        <v>PUTRI</v>
      </c>
      <c r="I228" s="145" t="str">
        <f>IFERROR(__xludf.DUMMYFUNCTION("""COMPUTED_VALUE"""),"SUCI")</f>
        <v>SUCI</v>
      </c>
      <c r="J228" s="145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</row>
    <row r="229" ht="22.5" customHeight="1">
      <c r="A229" s="144">
        <f>IFERROR(__xludf.DUMMYFUNCTION("""COMPUTED_VALUE"""),46063.0)</f>
        <v>46063</v>
      </c>
      <c r="B229" s="145" t="str">
        <f t="shared" si="1"/>
        <v>02Feb</v>
      </c>
      <c r="C229" s="145" t="str">
        <f>IFERROR(__xludf.DUMMYFUNCTION("""COMPUTED_VALUE"""),"TRI SETIAWAN LUSLIM")</f>
        <v>TRI SETIAWAN LUSLIM</v>
      </c>
      <c r="D229" s="145">
        <f t="array" ref="D229">IFNA(XLOOKUP(C229,'👥 Daftar Nama Pasien'!$B$6:$B1181,'👥 Daftar Nama Pasien'!$D$6:$D1181),"")</f>
        <v>32</v>
      </c>
      <c r="E229" s="145" t="str">
        <f t="array" ref="E229">XLOOKUP(C229,'⬇️ PEMASUKAN'!$I$5:$I1181,'⬇️ PEMASUKAN'!$K$5:$K1181,,0,-1)</f>
        <v>K.TA - TERAPI AWAL</v>
      </c>
      <c r="F229" s="145" t="str">
        <f t="shared" si="2"/>
        <v>TIDAK CLOSING</v>
      </c>
      <c r="G229" s="145" t="str">
        <f t="shared" si="3"/>
        <v>TIDAK CLOSING</v>
      </c>
      <c r="H229" s="145" t="str">
        <f>IFERROR(__xludf.DUMMYFUNCTION("""COMPUTED_VALUE"""),"PUTRI")</f>
        <v>PUTRI</v>
      </c>
      <c r="I229" s="145" t="str">
        <f>IFERROR(__xludf.DUMMYFUNCTION("""COMPUTED_VALUE"""),"SUCI")</f>
        <v>SUCI</v>
      </c>
      <c r="J229" s="145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</row>
    <row r="230" ht="22.5" customHeight="1">
      <c r="A230" s="144">
        <f>IFERROR(__xludf.DUMMYFUNCTION("""COMPUTED_VALUE"""),46063.0)</f>
        <v>46063</v>
      </c>
      <c r="B230" s="145" t="str">
        <f t="shared" si="1"/>
        <v>02Feb</v>
      </c>
      <c r="C230" s="145" t="str">
        <f>IFERROR(__xludf.DUMMYFUNCTION("""COMPUTED_VALUE"""),"SUHADA")</f>
        <v>SUHADA</v>
      </c>
      <c r="D230" s="145">
        <f t="array" ref="D230">IFNA(XLOOKUP(C230,'👥 Daftar Nama Pasien'!$B$6:$B1181,'👥 Daftar Nama Pasien'!$D$6:$D1181),"")</f>
        <v>64</v>
      </c>
      <c r="E230" s="145" t="str">
        <f t="array" ref="E230">XLOOKUP(C230,'⬇️ PEMASUKAN'!$I$5:$I1181,'⬇️ PEMASUKAN'!$K$5:$K1181,,0,-1)</f>
        <v>K.ST - SESI TERAPI NEW</v>
      </c>
      <c r="F230" s="145" t="str">
        <f t="shared" si="2"/>
        <v>K.ST - SESI TERAPI NEW</v>
      </c>
      <c r="G230" s="145" t="str">
        <f t="shared" si="3"/>
        <v>CLOSING SESI</v>
      </c>
      <c r="H230" s="145" t="str">
        <f>IFERROR(__xludf.DUMMYFUNCTION("""COMPUTED_VALUE"""),"PUTRI")</f>
        <v>PUTRI</v>
      </c>
      <c r="I230" s="145" t="str">
        <f>IFERROR(__xludf.DUMMYFUNCTION("""COMPUTED_VALUE"""),"SUCI")</f>
        <v>SUCI</v>
      </c>
      <c r="J230" s="145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</row>
    <row r="231" ht="22.5" customHeight="1">
      <c r="A231" s="144">
        <f>IFERROR(__xludf.DUMMYFUNCTION("""COMPUTED_VALUE"""),46063.0)</f>
        <v>46063</v>
      </c>
      <c r="B231" s="145" t="str">
        <f t="shared" si="1"/>
        <v>02Feb</v>
      </c>
      <c r="C231" s="145" t="str">
        <f>IFERROR(__xludf.DUMMYFUNCTION("""COMPUTED_VALUE"""),"SUMIATI 7409")</f>
        <v>SUMIATI 7409</v>
      </c>
      <c r="D231" s="145">
        <f t="array" ref="D231">IFNA(XLOOKUP(C231,'👥 Daftar Nama Pasien'!$B$6:$B1181,'👥 Daftar Nama Pasien'!$D$6:$D1181),"")</f>
        <v>51</v>
      </c>
      <c r="E231" s="145" t="str">
        <f t="array" ref="E231">XLOOKUP(C231,'⬇️ PEMASUKAN'!$I$5:$I1181,'⬇️ PEMASUKAN'!$K$5:$K1181,,0,-1)</f>
        <v>K.TA - TERAPI AWAL</v>
      </c>
      <c r="F231" s="145" t="str">
        <f t="shared" si="2"/>
        <v>TIDAK CLOSING</v>
      </c>
      <c r="G231" s="145" t="str">
        <f t="shared" si="3"/>
        <v>TIDAK CLOSING</v>
      </c>
      <c r="H231" s="145" t="str">
        <f>IFERROR(__xludf.DUMMYFUNCTION("""COMPUTED_VALUE"""),"DESTY")</f>
        <v>DESTY</v>
      </c>
      <c r="I231" s="145" t="str">
        <f>IFERROR(__xludf.DUMMYFUNCTION("""COMPUTED_VALUE"""),"NOPI")</f>
        <v>NOPI</v>
      </c>
      <c r="J231" s="145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</row>
    <row r="232" ht="22.5" customHeight="1">
      <c r="A232" s="144">
        <f>IFERROR(__xludf.DUMMYFUNCTION("""COMPUTED_VALUE"""),46063.0)</f>
        <v>46063</v>
      </c>
      <c r="B232" s="145" t="str">
        <f t="shared" si="1"/>
        <v>02Feb</v>
      </c>
      <c r="C232" s="145" t="str">
        <f>IFERROR(__xludf.DUMMYFUNCTION("""COMPUTED_VALUE"""),"OSCAR ASTRAYANANDA")</f>
        <v>OSCAR ASTRAYANANDA</v>
      </c>
      <c r="D232" s="145">
        <f t="array" ref="D232">IFNA(XLOOKUP(C232,'👥 Daftar Nama Pasien'!$B$6:$B1181,'👥 Daftar Nama Pasien'!$D$6:$D1181),"")</f>
        <v>24</v>
      </c>
      <c r="E232" s="145" t="str">
        <f t="array" ref="E232">XLOOKUP(C232,'⬇️ PEMASUKAN'!$I$5:$I1181,'⬇️ PEMASUKAN'!$K$5:$K1181,,0,-1)</f>
        <v>K.ST - SESI TERAPI NEW</v>
      </c>
      <c r="F232" s="145" t="str">
        <f t="shared" si="2"/>
        <v>K.ST - SESI TERAPI NEW</v>
      </c>
      <c r="G232" s="145" t="str">
        <f t="shared" si="3"/>
        <v>CLOSING SESI</v>
      </c>
      <c r="H232" s="145" t="str">
        <f>IFERROR(__xludf.DUMMYFUNCTION("""COMPUTED_VALUE"""),"ORY")</f>
        <v>ORY</v>
      </c>
      <c r="I232" s="145" t="str">
        <f>IFERROR(__xludf.DUMMYFUNCTION("""COMPUTED_VALUE"""),"NOPI")</f>
        <v>NOPI</v>
      </c>
      <c r="J232" s="145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</row>
    <row r="233" ht="22.5" customHeight="1">
      <c r="A233" s="144">
        <f>IFERROR(__xludf.DUMMYFUNCTION("""COMPUTED_VALUE"""),46063.0)</f>
        <v>46063</v>
      </c>
      <c r="B233" s="145" t="str">
        <f t="shared" si="1"/>
        <v>02Feb</v>
      </c>
      <c r="C233" s="145" t="str">
        <f>IFERROR(__xludf.DUMMYFUNCTION("""COMPUTED_VALUE"""),"YOLA PRAVIKA")</f>
        <v>YOLA PRAVIKA</v>
      </c>
      <c r="D233" s="145">
        <f t="array" ref="D233">IFNA(XLOOKUP(C233,'👥 Daftar Nama Pasien'!$B$6:$B1181,'👥 Daftar Nama Pasien'!$D$6:$D1181),"")</f>
        <v>39</v>
      </c>
      <c r="E233" s="145" t="str">
        <f t="array" ref="E233">XLOOKUP(C233,'⬇️ PEMASUKAN'!$I$5:$I1181,'⬇️ PEMASUKAN'!$K$5:$K1181,,0,-1)</f>
        <v>K.ST - SESI TERAPI NEW</v>
      </c>
      <c r="F233" s="145" t="str">
        <f t="shared" si="2"/>
        <v>K.ST - SESI TERAPI NEW</v>
      </c>
      <c r="G233" s="145" t="str">
        <f t="shared" si="3"/>
        <v>CLOSING SESI</v>
      </c>
      <c r="H233" s="145" t="str">
        <f>IFERROR(__xludf.DUMMYFUNCTION("""COMPUTED_VALUE"""),"PRITY")</f>
        <v>PRITY</v>
      </c>
      <c r="I233" s="145" t="str">
        <f>IFERROR(__xludf.DUMMYFUNCTION("""COMPUTED_VALUE"""),"NOPI")</f>
        <v>NOPI</v>
      </c>
      <c r="J233" s="145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</row>
    <row r="234" ht="22.5" customHeight="1">
      <c r="A234" s="144">
        <f>IFERROR(__xludf.DUMMYFUNCTION("""COMPUTED_VALUE"""),46064.0)</f>
        <v>46064</v>
      </c>
      <c r="B234" s="145" t="str">
        <f t="shared" si="1"/>
        <v>02Feb</v>
      </c>
      <c r="C234" s="145" t="str">
        <f>IFERROR(__xludf.DUMMYFUNCTION("""COMPUTED_VALUE"""),"TITA ROSITA")</f>
        <v>TITA ROSITA</v>
      </c>
      <c r="D234" s="145">
        <f t="array" ref="D234">IFNA(XLOOKUP(C234,'👥 Daftar Nama Pasien'!$B$6:$B1181,'👥 Daftar Nama Pasien'!$D$6:$D1181),"")</f>
        <v>32</v>
      </c>
      <c r="E234" s="145" t="str">
        <f t="array" ref="E234">XLOOKUP(C234,'⬇️ PEMASUKAN'!$I$5:$I1181,'⬇️ PEMASUKAN'!$K$5:$K1181,,0,-1)</f>
        <v>K.ST - SESI TERAPI NEW</v>
      </c>
      <c r="F234" s="145" t="str">
        <f t="shared" si="2"/>
        <v>K.ST - SESI TERAPI NEW</v>
      </c>
      <c r="G234" s="145" t="str">
        <f t="shared" si="3"/>
        <v>CLOSING SESI</v>
      </c>
      <c r="H234" s="145" t="str">
        <f>IFERROR(__xludf.DUMMYFUNCTION("""COMPUTED_VALUE"""),"WAHYU")</f>
        <v>WAHYU</v>
      </c>
      <c r="I234" s="145" t="str">
        <f>IFERROR(__xludf.DUMMYFUNCTION("""COMPUTED_VALUE"""),"SUCI")</f>
        <v>SUCI</v>
      </c>
      <c r="J234" s="145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</row>
    <row r="235" ht="22.5" customHeight="1">
      <c r="A235" s="144">
        <f>IFERROR(__xludf.DUMMYFUNCTION("""COMPUTED_VALUE"""),46064.0)</f>
        <v>46064</v>
      </c>
      <c r="B235" s="145" t="str">
        <f t="shared" si="1"/>
        <v>02Feb</v>
      </c>
      <c r="C235" s="145" t="str">
        <f>IFERROR(__xludf.DUMMYFUNCTION("""COMPUTED_VALUE"""),"DAHLIA")</f>
        <v>DAHLIA</v>
      </c>
      <c r="D235" s="145" t="str">
        <f t="array" ref="D235">IFNA(XLOOKUP(C235,'👥 Daftar Nama Pasien'!$B$6:$B1181,'👥 Daftar Nama Pasien'!$D$6:$D1181),"")</f>
        <v/>
      </c>
      <c r="E235" s="145" t="str">
        <f t="array" ref="E235">XLOOKUP(C235,'⬇️ PEMASUKAN'!$I$5:$I1181,'⬇️ PEMASUKAN'!$K$5:$K1181,,0,-1)</f>
        <v>K.TA - TERAPI AWAL</v>
      </c>
      <c r="F235" s="145" t="str">
        <f t="shared" si="2"/>
        <v>TIDAK CLOSING</v>
      </c>
      <c r="G235" s="145" t="str">
        <f t="shared" si="3"/>
        <v>TIDAK CLOSING</v>
      </c>
      <c r="H235" s="145" t="str">
        <f>IFERROR(__xludf.DUMMYFUNCTION("""COMPUTED_VALUE"""),"OKTA")</f>
        <v>OKTA</v>
      </c>
      <c r="I235" s="145" t="str">
        <f>IFERROR(__xludf.DUMMYFUNCTION("""COMPUTED_VALUE"""),"SUCI")</f>
        <v>SUCI</v>
      </c>
      <c r="J235" s="145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</row>
    <row r="236" ht="22.5" customHeight="1">
      <c r="A236" s="144">
        <f>IFERROR(__xludf.DUMMYFUNCTION("""COMPUTED_VALUE"""),46064.0)</f>
        <v>46064</v>
      </c>
      <c r="B236" s="145" t="str">
        <f t="shared" si="1"/>
        <v>02Feb</v>
      </c>
      <c r="C236" s="145" t="str">
        <f>IFERROR(__xludf.DUMMYFUNCTION("""COMPUTED_VALUE"""),"RAMNAH")</f>
        <v>RAMNAH</v>
      </c>
      <c r="D236" s="145">
        <f t="array" ref="D236">IFNA(XLOOKUP(C236,'👥 Daftar Nama Pasien'!$B$6:$B1181,'👥 Daftar Nama Pasien'!$D$6:$D1181),"")</f>
        <v>61</v>
      </c>
      <c r="E236" s="145" t="str">
        <f t="array" ref="E236">XLOOKUP(C236,'⬇️ PEMASUKAN'!$I$5:$I1181,'⬇️ PEMASUKAN'!$K$5:$K1181,,0,-1)</f>
        <v>K.TA - TERAPI AWAL</v>
      </c>
      <c r="F236" s="145" t="str">
        <f t="shared" si="2"/>
        <v>TIDAK CLOSING</v>
      </c>
      <c r="G236" s="145" t="str">
        <f t="shared" si="3"/>
        <v>TIDAK CLOSING</v>
      </c>
      <c r="H236" s="145" t="str">
        <f>IFERROR(__xludf.DUMMYFUNCTION("""COMPUTED_VALUE"""),"PUTRI")</f>
        <v>PUTRI</v>
      </c>
      <c r="I236" s="145" t="str">
        <f>IFERROR(__xludf.DUMMYFUNCTION("""COMPUTED_VALUE"""),"SUCI")</f>
        <v>SUCI</v>
      </c>
      <c r="J236" s="145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</row>
    <row r="237" ht="22.5" customHeight="1">
      <c r="A237" s="144">
        <f>IFERROR(__xludf.DUMMYFUNCTION("""COMPUTED_VALUE"""),46065.0)</f>
        <v>46065</v>
      </c>
      <c r="B237" s="145" t="str">
        <f t="shared" si="1"/>
        <v>02Feb</v>
      </c>
      <c r="C237" s="145" t="str">
        <f>IFERROR(__xludf.DUMMYFUNCTION("""COMPUTED_VALUE"""),"M.ZAINAL")</f>
        <v>M.ZAINAL</v>
      </c>
      <c r="D237" s="145">
        <f t="array" ref="D237">IFNA(XLOOKUP(C237,'👥 Daftar Nama Pasien'!$B$6:$B1181,'👥 Daftar Nama Pasien'!$D$6:$D1181),"")</f>
        <v>30</v>
      </c>
      <c r="E237" s="145" t="str">
        <f t="array" ref="E237">XLOOKUP(C237,'⬇️ PEMASUKAN'!$I$5:$I1181,'⬇️ PEMASUKAN'!$K$5:$K1181,,0,-1)</f>
        <v>K.PT - PAKET PLATINUM</v>
      </c>
      <c r="F237" s="145" t="str">
        <f t="shared" si="2"/>
        <v>K.PT - PAKET PLATINUM</v>
      </c>
      <c r="G237" s="145" t="str">
        <f t="shared" si="3"/>
        <v>CLOSING PAKET</v>
      </c>
      <c r="H237" s="145" t="str">
        <f>IFERROR(__xludf.DUMMYFUNCTION("""COMPUTED_VALUE"""),"HESTI")</f>
        <v>HESTI</v>
      </c>
      <c r="I237" s="145" t="str">
        <f>IFERROR(__xludf.DUMMYFUNCTION("""COMPUTED_VALUE"""),"SUCI")</f>
        <v>SUCI</v>
      </c>
      <c r="J237" s="145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</row>
    <row r="238" ht="22.5" customHeight="1">
      <c r="A238" s="144">
        <f>IFERROR(__xludf.DUMMYFUNCTION("""COMPUTED_VALUE"""),46064.0)</f>
        <v>46064</v>
      </c>
      <c r="B238" s="145" t="str">
        <f t="shared" si="1"/>
        <v>02Feb</v>
      </c>
      <c r="C238" s="145" t="str">
        <f>IFERROR(__xludf.DUMMYFUNCTION("""COMPUTED_VALUE"""),"NURSILA")</f>
        <v>NURSILA</v>
      </c>
      <c r="D238" s="145">
        <f t="array" ref="D238">IFNA(XLOOKUP(C238,'👥 Daftar Nama Pasien'!$B$6:$B1181,'👥 Daftar Nama Pasien'!$D$6:$D1181),"")</f>
        <v>51</v>
      </c>
      <c r="E238" s="145" t="str">
        <f t="array" ref="E238">XLOOKUP(C238,'⬇️ PEMASUKAN'!$I$5:$I1181,'⬇️ PEMASUKAN'!$K$5:$K1181,,0,-1)</f>
        <v>K.PT - PAKET SILVER</v>
      </c>
      <c r="F238" s="145" t="str">
        <f t="shared" si="2"/>
        <v>K.PT - PAKET SILVER</v>
      </c>
      <c r="G238" s="145" t="str">
        <f t="shared" si="3"/>
        <v>CLOSING PAKET</v>
      </c>
      <c r="H238" s="145" t="str">
        <f>IFERROR(__xludf.DUMMYFUNCTION("""COMPUTED_VALUE"""),"AUL")</f>
        <v>AUL</v>
      </c>
      <c r="I238" s="145" t="str">
        <f>IFERROR(__xludf.DUMMYFUNCTION("""COMPUTED_VALUE"""),"NOPI")</f>
        <v>NOPI</v>
      </c>
      <c r="J238" s="145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</row>
    <row r="239" ht="22.5" customHeight="1">
      <c r="A239" s="144">
        <f>IFERROR(__xludf.DUMMYFUNCTION("""COMPUTED_VALUE"""),46064.0)</f>
        <v>46064</v>
      </c>
      <c r="B239" s="145" t="str">
        <f t="shared" si="1"/>
        <v>02Feb</v>
      </c>
      <c r="C239" s="145" t="str">
        <f>IFERROR(__xludf.DUMMYFUNCTION("""COMPUTED_VALUE"""),"TAN BE LEI")</f>
        <v>TAN BE LEI</v>
      </c>
      <c r="D239" s="145">
        <f t="array" ref="D239">IFNA(XLOOKUP(C239,'👥 Daftar Nama Pasien'!$B$6:$B1181,'👥 Daftar Nama Pasien'!$D$6:$D1181),"")</f>
        <v>53</v>
      </c>
      <c r="E239" s="145" t="str">
        <f t="array" ref="E239">XLOOKUP(C239,'⬇️ PEMASUKAN'!$I$5:$I1181,'⬇️ PEMASUKAN'!$K$5:$K1181,,0,-1)</f>
        <v>K.ST - SESI TERAPI NEW</v>
      </c>
      <c r="F239" s="145" t="str">
        <f t="shared" si="2"/>
        <v>K.ST - SESI TERAPI NEW</v>
      </c>
      <c r="G239" s="145" t="str">
        <f t="shared" si="3"/>
        <v>CLOSING SESI</v>
      </c>
      <c r="H239" s="145" t="str">
        <f>IFERROR(__xludf.DUMMYFUNCTION("""COMPUTED_VALUE"""),"DESTY")</f>
        <v>DESTY</v>
      </c>
      <c r="I239" s="145" t="str">
        <f>IFERROR(__xludf.DUMMYFUNCTION("""COMPUTED_VALUE"""),"NOPI")</f>
        <v>NOPI</v>
      </c>
      <c r="J239" s="145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</row>
    <row r="240" ht="22.5" customHeight="1">
      <c r="A240" s="144">
        <f>IFERROR(__xludf.DUMMYFUNCTION("""COMPUTED_VALUE"""),46065.0)</f>
        <v>46065</v>
      </c>
      <c r="B240" s="145" t="str">
        <f t="shared" si="1"/>
        <v>02Feb</v>
      </c>
      <c r="C240" s="145" t="str">
        <f>IFERROR(__xludf.DUMMYFUNCTION("""COMPUTED_VALUE"""),"RIO RAMANDA ")</f>
        <v>RIO RAMANDA </v>
      </c>
      <c r="D240" s="145">
        <f t="array" ref="D240">IFNA(XLOOKUP(C240,'👥 Daftar Nama Pasien'!$B$6:$B1181,'👥 Daftar Nama Pasien'!$D$6:$D1181),"")</f>
        <v>34</v>
      </c>
      <c r="E240" s="145" t="str">
        <f t="array" ref="E240">XLOOKUP(C240,'⬇️ PEMASUKAN'!$I$5:$I1181,'⬇️ PEMASUKAN'!$K$5:$K1181,,0,-1)</f>
        <v>K.ST - SESI TERAPI NEW</v>
      </c>
      <c r="F240" s="145" t="str">
        <f t="shared" si="2"/>
        <v>K.ST - SESI TERAPI NEW</v>
      </c>
      <c r="G240" s="145" t="str">
        <f t="shared" si="3"/>
        <v>CLOSING SESI</v>
      </c>
      <c r="H240" s="145" t="str">
        <f>IFERROR(__xludf.DUMMYFUNCTION("""COMPUTED_VALUE"""),"PRITY")</f>
        <v>PRITY</v>
      </c>
      <c r="I240" s="145" t="str">
        <f>IFERROR(__xludf.DUMMYFUNCTION("""COMPUTED_VALUE"""),"SUCI")</f>
        <v>SUCI</v>
      </c>
      <c r="J240" s="145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</row>
    <row r="241" ht="22.5" customHeight="1">
      <c r="A241" s="144">
        <f>IFERROR(__xludf.DUMMYFUNCTION("""COMPUTED_VALUE"""),46065.0)</f>
        <v>46065</v>
      </c>
      <c r="B241" s="145" t="str">
        <f t="shared" si="1"/>
        <v>02Feb</v>
      </c>
      <c r="C241" s="145" t="str">
        <f>IFERROR(__xludf.DUMMYFUNCTION("""COMPUTED_VALUE"""),"ANDY PANJAYA")</f>
        <v>ANDY PANJAYA</v>
      </c>
      <c r="D241" s="145">
        <f t="array" ref="D241">IFNA(XLOOKUP(C241,'👥 Daftar Nama Pasien'!$B$6:$B1181,'👥 Daftar Nama Pasien'!$D$6:$D1181),"")</f>
        <v>26</v>
      </c>
      <c r="E241" s="145" t="str">
        <f t="array" ref="E241">XLOOKUP(C241,'⬇️ PEMASUKAN'!$I$5:$I1181,'⬇️ PEMASUKAN'!$K$5:$K1181,,0,-1)</f>
        <v>K.PT - PAKET GOLD</v>
      </c>
      <c r="F241" s="145" t="str">
        <f t="shared" si="2"/>
        <v>K.PT - PAKET GOLD</v>
      </c>
      <c r="G241" s="145" t="str">
        <f t="shared" si="3"/>
        <v>CLOSING PAKET</v>
      </c>
      <c r="H241" s="145" t="str">
        <f>IFERROR(__xludf.DUMMYFUNCTION("""COMPUTED_VALUE"""),"ORY")</f>
        <v>ORY</v>
      </c>
      <c r="I241" s="145" t="str">
        <f>IFERROR(__xludf.DUMMYFUNCTION("""COMPUTED_VALUE"""),"SUCI")</f>
        <v>SUCI</v>
      </c>
      <c r="J241" s="145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</row>
    <row r="242" ht="22.5" customHeight="1">
      <c r="A242" s="144">
        <f>IFERROR(__xludf.DUMMYFUNCTION("""COMPUTED_VALUE"""),46065.0)</f>
        <v>46065</v>
      </c>
      <c r="B242" s="145" t="str">
        <f t="shared" si="1"/>
        <v>02Feb</v>
      </c>
      <c r="C242" s="145" t="str">
        <f>IFERROR(__xludf.DUMMYFUNCTION("""COMPUTED_VALUE"""),"EMI SETIAWATI ")</f>
        <v>EMI SETIAWATI </v>
      </c>
      <c r="D242" s="145">
        <f t="array" ref="D242">IFNA(XLOOKUP(C242,'👥 Daftar Nama Pasien'!$B$6:$B1181,'👥 Daftar Nama Pasien'!$D$6:$D1181),"")</f>
        <v>46</v>
      </c>
      <c r="E242" s="145" t="str">
        <f t="array" ref="E242">XLOOKUP(C242,'⬇️ PEMASUKAN'!$I$5:$I1181,'⬇️ PEMASUKAN'!$K$5:$K1181,,0,-1)</f>
        <v>K.ST - SESI TERAPI NEW</v>
      </c>
      <c r="F242" s="145" t="str">
        <f t="shared" si="2"/>
        <v>K.ST - SESI TERAPI NEW</v>
      </c>
      <c r="G242" s="145" t="str">
        <f t="shared" si="3"/>
        <v>CLOSING SESI</v>
      </c>
      <c r="H242" s="145" t="str">
        <f>IFERROR(__xludf.DUMMYFUNCTION("""COMPUTED_VALUE"""),"HESTI")</f>
        <v>HESTI</v>
      </c>
      <c r="I242" s="145" t="str">
        <f>IFERROR(__xludf.DUMMYFUNCTION("""COMPUTED_VALUE"""),"NOPI")</f>
        <v>NOPI</v>
      </c>
      <c r="J242" s="145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</row>
    <row r="243" ht="22.5" customHeight="1">
      <c r="A243" s="144">
        <f>IFERROR(__xludf.DUMMYFUNCTION("""COMPUTED_VALUE"""),46065.0)</f>
        <v>46065</v>
      </c>
      <c r="B243" s="145" t="str">
        <f t="shared" si="1"/>
        <v>02Feb</v>
      </c>
      <c r="C243" s="145" t="str">
        <f>IFERROR(__xludf.DUMMYFUNCTION("""COMPUTED_VALUE"""),"ANIK LAILATUL NUTTAFIA")</f>
        <v>ANIK LAILATUL NUTTAFIA</v>
      </c>
      <c r="D243" s="145">
        <f t="array" ref="D243">IFNA(XLOOKUP(C243,'👥 Daftar Nama Pasien'!$B$6:$B1181,'👥 Daftar Nama Pasien'!$D$6:$D1181),"")</f>
        <v>42</v>
      </c>
      <c r="E243" s="145" t="str">
        <f t="array" ref="E243">XLOOKUP(C243,'⬇️ PEMASUKAN'!$I$5:$I1181,'⬇️ PEMASUKAN'!$K$5:$K1181,,0,-1)</f>
        <v>K.TA - TERAPI AWAL</v>
      </c>
      <c r="F243" s="145" t="str">
        <f t="shared" si="2"/>
        <v>TIDAK CLOSING</v>
      </c>
      <c r="G243" s="145" t="str">
        <f t="shared" si="3"/>
        <v>TIDAK CLOSING</v>
      </c>
      <c r="H243" s="145" t="str">
        <f>IFERROR(__xludf.DUMMYFUNCTION("""COMPUTED_VALUE"""),"PUTRI")</f>
        <v>PUTRI</v>
      </c>
      <c r="I243" s="145" t="str">
        <f>IFERROR(__xludf.DUMMYFUNCTION("""COMPUTED_VALUE"""),"NOPI")</f>
        <v>NOPI</v>
      </c>
      <c r="J243" s="145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</row>
    <row r="244" ht="22.5" customHeight="1">
      <c r="A244" s="144">
        <f>IFERROR(__xludf.DUMMYFUNCTION("""COMPUTED_VALUE"""),46065.0)</f>
        <v>46065</v>
      </c>
      <c r="B244" s="145" t="str">
        <f t="shared" si="1"/>
        <v>02Feb</v>
      </c>
      <c r="C244" s="145" t="str">
        <f>IFERROR(__xludf.DUMMYFUNCTION("""COMPUTED_VALUE"""),"MELISA")</f>
        <v>MELISA</v>
      </c>
      <c r="D244" s="145">
        <f t="array" ref="D244">IFNA(XLOOKUP(C244,'👥 Daftar Nama Pasien'!$B$6:$B1181,'👥 Daftar Nama Pasien'!$D$6:$D1181),"")</f>
        <v>35</v>
      </c>
      <c r="E244" s="145" t="str">
        <f t="array" ref="E244">XLOOKUP(C244,'⬇️ PEMASUKAN'!$I$5:$I1181,'⬇️ PEMASUKAN'!$K$5:$K1181,,0,-1)</f>
        <v>K.PT - PAKET SILVER</v>
      </c>
      <c r="F244" s="145" t="str">
        <f t="shared" si="2"/>
        <v>K.PT - PAKET SILVER</v>
      </c>
      <c r="G244" s="145" t="str">
        <f t="shared" si="3"/>
        <v>CLOSING PAKET</v>
      </c>
      <c r="H244" s="145" t="str">
        <f>IFERROR(__xludf.DUMMYFUNCTION("""COMPUTED_VALUE"""),"PUTRI")</f>
        <v>PUTRI</v>
      </c>
      <c r="I244" s="145" t="str">
        <f>IFERROR(__xludf.DUMMYFUNCTION("""COMPUTED_VALUE"""),"NOPI")</f>
        <v>NOPI</v>
      </c>
      <c r="J244" s="145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</row>
    <row r="245" ht="22.5" customHeight="1">
      <c r="A245" s="144">
        <f>IFERROR(__xludf.DUMMYFUNCTION("""COMPUTED_VALUE"""),46066.0)</f>
        <v>46066</v>
      </c>
      <c r="B245" s="145" t="str">
        <f t="shared" si="1"/>
        <v>02Feb</v>
      </c>
      <c r="C245" s="145" t="str">
        <f>IFERROR(__xludf.DUMMYFUNCTION("""COMPUTED_VALUE"""),"JUNIARDI")</f>
        <v>JUNIARDI</v>
      </c>
      <c r="D245" s="145">
        <f t="array" ref="D245">IFNA(XLOOKUP(C245,'👥 Daftar Nama Pasien'!$B$6:$B1181,'👥 Daftar Nama Pasien'!$D$6:$D1181),"")</f>
        <v>31</v>
      </c>
      <c r="E245" s="145" t="str">
        <f t="array" ref="E245">XLOOKUP(C245,'⬇️ PEMASUKAN'!$I$5:$I1181,'⬇️ PEMASUKAN'!$K$5:$K1181,,0,-1)</f>
        <v>K.TA - TERAPI AWAL</v>
      </c>
      <c r="F245" s="145" t="str">
        <f t="shared" si="2"/>
        <v>TIDAK CLOSING</v>
      </c>
      <c r="G245" s="145" t="str">
        <f t="shared" si="3"/>
        <v>TIDAK CLOSING</v>
      </c>
      <c r="H245" s="145" t="str">
        <f>IFERROR(__xludf.DUMMYFUNCTION("""COMPUTED_VALUE"""),"PUTRI")</f>
        <v>PUTRI</v>
      </c>
      <c r="I245" s="145" t="str">
        <f>IFERROR(__xludf.DUMMYFUNCTION("""COMPUTED_VALUE"""),"SUCI")</f>
        <v>SUCI</v>
      </c>
      <c r="J245" s="145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</row>
    <row r="246" ht="22.5" customHeight="1">
      <c r="A246" s="144">
        <f>IFERROR(__xludf.DUMMYFUNCTION("""COMPUTED_VALUE"""),46067.0)</f>
        <v>46067</v>
      </c>
      <c r="B246" s="145" t="str">
        <f t="shared" si="1"/>
        <v>02Feb</v>
      </c>
      <c r="C246" s="145" t="str">
        <f>IFERROR(__xludf.DUMMYFUNCTION("""COMPUTED_VALUE"""),"VALENTINUS WONGSO")</f>
        <v>VALENTINUS WONGSO</v>
      </c>
      <c r="D246" s="145">
        <f t="array" ref="D246">IFNA(XLOOKUP(C246,'👥 Daftar Nama Pasien'!$B$6:$B1181,'👥 Daftar Nama Pasien'!$D$6:$D1181),"")</f>
        <v>25</v>
      </c>
      <c r="E246" s="145" t="str">
        <f t="array" ref="E246">XLOOKUP(C246,'⬇️ PEMASUKAN'!$I$5:$I1181,'⬇️ PEMASUKAN'!$K$5:$K1181,,0,-1)</f>
        <v>K.TA - TERAPI AWAL</v>
      </c>
      <c r="F246" s="145" t="str">
        <f t="shared" si="2"/>
        <v>TIDAK CLOSING</v>
      </c>
      <c r="G246" s="145" t="str">
        <f t="shared" si="3"/>
        <v>TIDAK CLOSING</v>
      </c>
      <c r="H246" s="145" t="str">
        <f>IFERROR(__xludf.DUMMYFUNCTION("""COMPUTED_VALUE"""),"ORY")</f>
        <v>ORY</v>
      </c>
      <c r="I246" s="145" t="str">
        <f>IFERROR(__xludf.DUMMYFUNCTION("""COMPUTED_VALUE"""),"SUCI")</f>
        <v>SUCI</v>
      </c>
      <c r="J246" s="145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</row>
    <row r="247" ht="22.5" customHeight="1">
      <c r="A247" s="144">
        <f>IFERROR(__xludf.DUMMYFUNCTION("""COMPUTED_VALUE"""),46067.0)</f>
        <v>46067</v>
      </c>
      <c r="B247" s="145" t="str">
        <f t="shared" si="1"/>
        <v>02Feb</v>
      </c>
      <c r="C247" s="145" t="str">
        <f>IFERROR(__xludf.DUMMYFUNCTION("""COMPUTED_VALUE"""),"SILVIA")</f>
        <v>SILVIA</v>
      </c>
      <c r="D247" s="145" t="str">
        <f t="array" ref="D247">IFNA(XLOOKUP(C247,'👥 Daftar Nama Pasien'!$B$6:$B1181,'👥 Daftar Nama Pasien'!$D$6:$D1181),"")</f>
        <v/>
      </c>
      <c r="E247" s="145" t="str">
        <f t="array" ref="E247">XLOOKUP(C247,'⬇️ PEMASUKAN'!$I$5:$I1181,'⬇️ PEMASUKAN'!$K$5:$K1181,,0,-1)</f>
        <v>K.PT - PAKET SILVER</v>
      </c>
      <c r="F247" s="145" t="str">
        <f t="shared" si="2"/>
        <v>K.PT - PAKET SILVER</v>
      </c>
      <c r="G247" s="145" t="str">
        <f t="shared" si="3"/>
        <v>CLOSING PAKET</v>
      </c>
      <c r="H247" s="145" t="str">
        <f>IFERROR(__xludf.DUMMYFUNCTION("""COMPUTED_VALUE"""),"OKTA")</f>
        <v>OKTA</v>
      </c>
      <c r="I247" s="145" t="str">
        <f>IFERROR(__xludf.DUMMYFUNCTION("""COMPUTED_VALUE"""),"NOPI")</f>
        <v>NOPI</v>
      </c>
      <c r="J247" s="145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</row>
    <row r="248" ht="22.5" customHeight="1">
      <c r="A248" s="144">
        <f>IFERROR(__xludf.DUMMYFUNCTION("""COMPUTED_VALUE"""),46067.0)</f>
        <v>46067</v>
      </c>
      <c r="B248" s="145" t="str">
        <f t="shared" si="1"/>
        <v>02Feb</v>
      </c>
      <c r="C248" s="145" t="str">
        <f>IFERROR(__xludf.DUMMYFUNCTION("""COMPUTED_VALUE"""),"EKA LESTARI")</f>
        <v>EKA LESTARI</v>
      </c>
      <c r="D248" s="145">
        <f t="array" ref="D248">IFNA(XLOOKUP(C248,'👥 Daftar Nama Pasien'!$B$6:$B1181,'👥 Daftar Nama Pasien'!$D$6:$D1181),"")</f>
        <v>37</v>
      </c>
      <c r="E248" s="145" t="str">
        <f t="array" ref="E248">XLOOKUP(C248,'⬇️ PEMASUKAN'!$I$5:$I1181,'⬇️ PEMASUKAN'!$K$5:$K1181,,0,-1)</f>
        <v>K.PT - PAKET SILVER</v>
      </c>
      <c r="F248" s="145" t="str">
        <f t="shared" si="2"/>
        <v>K.PT - PAKET SILVER</v>
      </c>
      <c r="G248" s="145" t="str">
        <f t="shared" si="3"/>
        <v>CLOSING PAKET</v>
      </c>
      <c r="H248" s="145" t="str">
        <f>IFERROR(__xludf.DUMMYFUNCTION("""COMPUTED_VALUE"""),"OKTA")</f>
        <v>OKTA</v>
      </c>
      <c r="I248" s="145" t="str">
        <f>IFERROR(__xludf.DUMMYFUNCTION("""COMPUTED_VALUE"""),"NOPI")</f>
        <v>NOPI</v>
      </c>
      <c r="J248" s="145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</row>
    <row r="249" ht="22.5" customHeight="1">
      <c r="A249" s="144">
        <f>IFERROR(__xludf.DUMMYFUNCTION("""COMPUTED_VALUE"""),46067.0)</f>
        <v>46067</v>
      </c>
      <c r="B249" s="145" t="str">
        <f t="shared" si="1"/>
        <v>02Feb</v>
      </c>
      <c r="C249" s="145" t="str">
        <f>IFERROR(__xludf.DUMMYFUNCTION("""COMPUTED_VALUE"""),"ANDRIE HANDOKO")</f>
        <v>ANDRIE HANDOKO</v>
      </c>
      <c r="D249" s="145">
        <f t="array" ref="D249">IFNA(XLOOKUP(C249,'👥 Daftar Nama Pasien'!$B$6:$B1181,'👥 Daftar Nama Pasien'!$D$6:$D1181),"")</f>
        <v>44</v>
      </c>
      <c r="E249" s="145" t="str">
        <f t="array" ref="E249">XLOOKUP(C249,'⬇️ PEMASUKAN'!$I$5:$I1181,'⬇️ PEMASUKAN'!$K$5:$K1181,,0,-1)</f>
        <v>K.ST - SESI TERAPI NEW</v>
      </c>
      <c r="F249" s="145" t="str">
        <f t="shared" si="2"/>
        <v>K.ST - SESI TERAPI NEW</v>
      </c>
      <c r="G249" s="145" t="str">
        <f t="shared" si="3"/>
        <v>CLOSING SESI</v>
      </c>
      <c r="H249" s="145" t="str">
        <f>IFERROR(__xludf.DUMMYFUNCTION("""COMPUTED_VALUE"""),"OKTA")</f>
        <v>OKTA</v>
      </c>
      <c r="I249" s="145" t="str">
        <f>IFERROR(__xludf.DUMMYFUNCTION("""COMPUTED_VALUE"""),"NOPI")</f>
        <v>NOPI</v>
      </c>
      <c r="J249" s="145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</row>
    <row r="250" ht="22.5" customHeight="1">
      <c r="A250" s="144">
        <f>IFERROR(__xludf.DUMMYFUNCTION("""COMPUTED_VALUE"""),46067.0)</f>
        <v>46067</v>
      </c>
      <c r="B250" s="145" t="str">
        <f t="shared" si="1"/>
        <v>02Feb</v>
      </c>
      <c r="C250" s="145" t="str">
        <f>IFERROR(__xludf.DUMMYFUNCTION("""COMPUTED_VALUE"""),"VEREN HALIM")</f>
        <v>VEREN HALIM</v>
      </c>
      <c r="D250" s="145">
        <f t="array" ref="D250">IFNA(XLOOKUP(C250,'👥 Daftar Nama Pasien'!$B$6:$B1181,'👥 Daftar Nama Pasien'!$D$6:$D1181),"")</f>
        <v>23</v>
      </c>
      <c r="E250" s="145" t="str">
        <f t="array" ref="E250">XLOOKUP(C250,'⬇️ PEMASUKAN'!$I$5:$I1181,'⬇️ PEMASUKAN'!$K$5:$K1181,,0,-1)</f>
        <v>K.PT - PAKET SILVER</v>
      </c>
      <c r="F250" s="145" t="str">
        <f t="shared" si="2"/>
        <v>K.PT - PAKET SILVER</v>
      </c>
      <c r="G250" s="145" t="str">
        <f t="shared" si="3"/>
        <v>CLOSING PAKET</v>
      </c>
      <c r="H250" s="145" t="str">
        <f>IFERROR(__xludf.DUMMYFUNCTION("""COMPUTED_VALUE"""),"OKTA")</f>
        <v>OKTA</v>
      </c>
      <c r="I250" s="145" t="str">
        <f>IFERROR(__xludf.DUMMYFUNCTION("""COMPUTED_VALUE"""),"NOPI")</f>
        <v>NOPI</v>
      </c>
      <c r="J250" s="145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</row>
    <row r="251" ht="22.5" customHeight="1">
      <c r="A251" s="144">
        <f>IFERROR(__xludf.DUMMYFUNCTION("""COMPUTED_VALUE"""),46068.0)</f>
        <v>46068</v>
      </c>
      <c r="B251" s="145" t="str">
        <f t="shared" si="1"/>
        <v>02Feb</v>
      </c>
      <c r="C251" s="145" t="str">
        <f>IFERROR(__xludf.DUMMYFUNCTION("""COMPUTED_VALUE"""),"BRILLIAN NINDY SEPTIA")</f>
        <v>BRILLIAN NINDY SEPTIA</v>
      </c>
      <c r="D251" s="145">
        <f t="array" ref="D251">IFNA(XLOOKUP(C251,'👥 Daftar Nama Pasien'!$B$6:$B1181,'👥 Daftar Nama Pasien'!$D$6:$D1181),"")</f>
        <v>25</v>
      </c>
      <c r="E251" s="145" t="str">
        <f t="array" ref="E251">XLOOKUP(C251,'⬇️ PEMASUKAN'!$I$5:$I1181,'⬇️ PEMASUKAN'!$K$5:$K1181,,0,-1)</f>
        <v>K.TA - TERAPI AWAL</v>
      </c>
      <c r="F251" s="145" t="str">
        <f t="shared" si="2"/>
        <v>TIDAK CLOSING</v>
      </c>
      <c r="G251" s="145" t="str">
        <f t="shared" si="3"/>
        <v>TIDAK CLOSING</v>
      </c>
      <c r="H251" s="145" t="str">
        <f>IFERROR(__xludf.DUMMYFUNCTION("""COMPUTED_VALUE"""),"PUTRI")</f>
        <v>PUTRI</v>
      </c>
      <c r="I251" s="145" t="str">
        <f>IFERROR(__xludf.DUMMYFUNCTION("""COMPUTED_VALUE"""),"SUCI")</f>
        <v>SUCI</v>
      </c>
      <c r="J251" s="145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</row>
    <row r="252" ht="22.5" customHeight="1">
      <c r="A252" s="144">
        <f>IFERROR(__xludf.DUMMYFUNCTION("""COMPUTED_VALUE"""),46068.0)</f>
        <v>46068</v>
      </c>
      <c r="B252" s="145" t="str">
        <f t="shared" si="1"/>
        <v>02Feb</v>
      </c>
      <c r="C252" s="145" t="str">
        <f>IFERROR(__xludf.DUMMYFUNCTION("""COMPUTED_VALUE"""),"M. PATRA MARMARA")</f>
        <v>M. PATRA MARMARA</v>
      </c>
      <c r="D252" s="145">
        <f t="array" ref="D252">IFNA(XLOOKUP(C252,'👥 Daftar Nama Pasien'!$B$6:$B1181,'👥 Daftar Nama Pasien'!$D$6:$D1181),"")</f>
        <v>11</v>
      </c>
      <c r="E252" s="145" t="str">
        <f t="array" ref="E252">XLOOKUP(C252,'⬇️ PEMASUKAN'!$I$5:$I1181,'⬇️ PEMASUKAN'!$K$5:$K1181,,0,-1)</f>
        <v>K.ST - SESI TERAPI NEW</v>
      </c>
      <c r="F252" s="145" t="str">
        <f t="shared" si="2"/>
        <v>K.ST - SESI TERAPI NEW</v>
      </c>
      <c r="G252" s="145" t="str">
        <f t="shared" si="3"/>
        <v>CLOSING SESI</v>
      </c>
      <c r="H252" s="145" t="str">
        <f>IFERROR(__xludf.DUMMYFUNCTION("""COMPUTED_VALUE"""),"PUTRI")</f>
        <v>PUTRI</v>
      </c>
      <c r="I252" s="145" t="str">
        <f>IFERROR(__xludf.DUMMYFUNCTION("""COMPUTED_VALUE"""),"SUCI")</f>
        <v>SUCI</v>
      </c>
      <c r="J252" s="145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</row>
    <row r="253" ht="22.5" customHeight="1">
      <c r="A253" s="144">
        <f>IFERROR(__xludf.DUMMYFUNCTION("""COMPUTED_VALUE"""),46068.0)</f>
        <v>46068</v>
      </c>
      <c r="B253" s="145" t="str">
        <f t="shared" si="1"/>
        <v>02Feb</v>
      </c>
      <c r="C253" s="145" t="str">
        <f>IFERROR(__xludf.DUMMYFUNCTION("""COMPUTED_VALUE"""),"UMAR")</f>
        <v>UMAR</v>
      </c>
      <c r="D253" s="145">
        <f t="array" ref="D253">IFNA(XLOOKUP(C253,'👥 Daftar Nama Pasien'!$B$6:$B1181,'👥 Daftar Nama Pasien'!$D$6:$D1181),"")</f>
        <v>8</v>
      </c>
      <c r="E253" s="145" t="str">
        <f t="array" ref="E253">XLOOKUP(C253,'⬇️ PEMASUKAN'!$I$5:$I1181,'⬇️ PEMASUKAN'!$K$5:$K1181,,0,-1)</f>
        <v>K.PT - PAKET SILVER</v>
      </c>
      <c r="F253" s="145" t="str">
        <f t="shared" si="2"/>
        <v>K.PT - PAKET SILVER</v>
      </c>
      <c r="G253" s="145" t="str">
        <f t="shared" si="3"/>
        <v>CLOSING PAKET</v>
      </c>
      <c r="H253" s="145" t="str">
        <f>IFERROR(__xludf.DUMMYFUNCTION("""COMPUTED_VALUE"""),"PUTRI")</f>
        <v>PUTRI</v>
      </c>
      <c r="I253" s="145" t="str">
        <f>IFERROR(__xludf.DUMMYFUNCTION("""COMPUTED_VALUE"""),"SUCI")</f>
        <v>SUCI</v>
      </c>
      <c r="J253" s="145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</row>
    <row r="254" ht="22.5" customHeight="1">
      <c r="A254" s="144">
        <f>IFERROR(__xludf.DUMMYFUNCTION("""COMPUTED_VALUE"""),46068.0)</f>
        <v>46068</v>
      </c>
      <c r="B254" s="145" t="str">
        <f t="shared" si="1"/>
        <v>02Feb</v>
      </c>
      <c r="C254" s="145" t="str">
        <f>IFERROR(__xludf.DUMMYFUNCTION("""COMPUTED_VALUE"""),"NICHOLAS NELSON NATHANIEL")</f>
        <v>NICHOLAS NELSON NATHANIEL</v>
      </c>
      <c r="D254" s="145">
        <f t="array" ref="D254">IFNA(XLOOKUP(C254,'👥 Daftar Nama Pasien'!$B$6:$B1181,'👥 Daftar Nama Pasien'!$D$6:$D1181),"")</f>
        <v>27</v>
      </c>
      <c r="E254" s="145" t="str">
        <f t="array" ref="E254">XLOOKUP(C254,'⬇️ PEMASUKAN'!$I$5:$I1181,'⬇️ PEMASUKAN'!$K$5:$K1181,,0,-1)</f>
        <v>K.TA - TERAPI AWAL</v>
      </c>
      <c r="F254" s="145" t="str">
        <f t="shared" si="2"/>
        <v>TIDAK CLOSING</v>
      </c>
      <c r="G254" s="145" t="str">
        <f t="shared" si="3"/>
        <v>TIDAK CLOSING</v>
      </c>
      <c r="H254" s="145" t="str">
        <f>IFERROR(__xludf.DUMMYFUNCTION("""COMPUTED_VALUE"""),"ORY")</f>
        <v>ORY</v>
      </c>
      <c r="I254" s="145" t="str">
        <f>IFERROR(__xludf.DUMMYFUNCTION("""COMPUTED_VALUE"""),"NOPI")</f>
        <v>NOPI</v>
      </c>
      <c r="J254" s="145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</row>
    <row r="255" ht="22.5" customHeight="1">
      <c r="A255" s="144">
        <f>IFERROR(__xludf.DUMMYFUNCTION("""COMPUTED_VALUE"""),46069.0)</f>
        <v>46069</v>
      </c>
      <c r="B255" s="145" t="str">
        <f t="shared" si="1"/>
        <v>02Feb</v>
      </c>
      <c r="C255" s="145" t="str">
        <f>IFERROR(__xludf.DUMMYFUNCTION("""COMPUTED_VALUE"""),"RUSMA APRIANSYAH")</f>
        <v>RUSMA APRIANSYAH</v>
      </c>
      <c r="D255" s="145">
        <f t="array" ref="D255">IFNA(XLOOKUP(C255,'👥 Daftar Nama Pasien'!$B$6:$B1181,'👥 Daftar Nama Pasien'!$D$6:$D1181),"")</f>
        <v>0</v>
      </c>
      <c r="E255" s="145" t="str">
        <f t="array" ref="E255">XLOOKUP(C255,'⬇️ PEMASUKAN'!$I$5:$I1181,'⬇️ PEMASUKAN'!$K$5:$K1181,,0,-1)</f>
        <v>K.TA - TERAPI AWAL</v>
      </c>
      <c r="F255" s="145" t="str">
        <f t="shared" si="2"/>
        <v>TIDAK CLOSING</v>
      </c>
      <c r="G255" s="145" t="str">
        <f t="shared" si="3"/>
        <v>TIDAK CLOSING</v>
      </c>
      <c r="H255" s="145" t="str">
        <f>IFERROR(__xludf.DUMMYFUNCTION("""COMPUTED_VALUE"""),"ORY")</f>
        <v>ORY</v>
      </c>
      <c r="I255" s="145" t="str">
        <f>IFERROR(__xludf.DUMMYFUNCTION("""COMPUTED_VALUE"""),"SUCI")</f>
        <v>SUCI</v>
      </c>
      <c r="J255" s="145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</row>
    <row r="256" ht="22.5" customHeight="1">
      <c r="A256" s="144">
        <f>IFERROR(__xludf.DUMMYFUNCTION("""COMPUTED_VALUE"""),46069.0)</f>
        <v>46069</v>
      </c>
      <c r="B256" s="145" t="str">
        <f t="shared" si="1"/>
        <v>02Feb</v>
      </c>
      <c r="C256" s="145" t="str">
        <f>IFERROR(__xludf.DUMMYFUNCTION("""COMPUTED_VALUE"""),"PATMAWATI")</f>
        <v>PATMAWATI</v>
      </c>
      <c r="D256" s="145" t="str">
        <f t="array" ref="D256">IFNA(XLOOKUP(C256,'👥 Daftar Nama Pasien'!$B$6:$B1181,'👥 Daftar Nama Pasien'!$D$6:$D1181),"")</f>
        <v/>
      </c>
      <c r="E256" s="145" t="str">
        <f t="array" ref="E256">XLOOKUP(C256,'⬇️ PEMASUKAN'!$I$5:$I1181,'⬇️ PEMASUKAN'!$K$5:$K1181,,0,-1)</f>
        <v>K.TA - TERAPI AWAL</v>
      </c>
      <c r="F256" s="145" t="str">
        <f t="shared" si="2"/>
        <v>TIDAK CLOSING</v>
      </c>
      <c r="G256" s="145" t="str">
        <f t="shared" si="3"/>
        <v>TIDAK CLOSING</v>
      </c>
      <c r="H256" s="145" t="str">
        <f>IFERROR(__xludf.DUMMYFUNCTION("""COMPUTED_VALUE"""),"PRITY")</f>
        <v>PRITY</v>
      </c>
      <c r="I256" s="145" t="str">
        <f>IFERROR(__xludf.DUMMYFUNCTION("""COMPUTED_VALUE"""),"SUCI")</f>
        <v>SUCI</v>
      </c>
      <c r="J256" s="145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</row>
    <row r="257" ht="22.5" customHeight="1">
      <c r="A257" s="144">
        <f>IFERROR(__xludf.DUMMYFUNCTION("""COMPUTED_VALUE"""),46069.0)</f>
        <v>46069</v>
      </c>
      <c r="B257" s="145" t="str">
        <f t="shared" si="1"/>
        <v>02Feb</v>
      </c>
      <c r="C257" s="145" t="str">
        <f>IFERROR(__xludf.DUMMYFUNCTION("""COMPUTED_VALUE"""),"GEOSEPPE DE ANDREA MALDEO")</f>
        <v>GEOSEPPE DE ANDREA MALDEO</v>
      </c>
      <c r="D257" s="145">
        <f t="array" ref="D257">IFNA(XLOOKUP(C257,'👥 Daftar Nama Pasien'!$B$6:$B1181,'👥 Daftar Nama Pasien'!$D$6:$D1181),"")</f>
        <v>25</v>
      </c>
      <c r="E257" s="145" t="str">
        <f t="array" ref="E257">XLOOKUP(C257,'⬇️ PEMASUKAN'!$I$5:$I1181,'⬇️ PEMASUKAN'!$K$5:$K1181,,0,-1)</f>
        <v>K.TA - TERAPI AWAL</v>
      </c>
      <c r="F257" s="145" t="str">
        <f t="shared" si="2"/>
        <v>TIDAK CLOSING</v>
      </c>
      <c r="G257" s="145" t="str">
        <f t="shared" si="3"/>
        <v>TIDAK CLOSING</v>
      </c>
      <c r="H257" s="145" t="str">
        <f>IFERROR(__xludf.DUMMYFUNCTION("""COMPUTED_VALUE"""),"ORY")</f>
        <v>ORY</v>
      </c>
      <c r="I257" s="145" t="str">
        <f>IFERROR(__xludf.DUMMYFUNCTION("""COMPUTED_VALUE"""),"SUCI")</f>
        <v>SUCI</v>
      </c>
      <c r="J257" s="145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</row>
    <row r="258" ht="22.5" customHeight="1">
      <c r="A258" s="144">
        <f>IFERROR(__xludf.DUMMYFUNCTION("""COMPUTED_VALUE"""),46069.0)</f>
        <v>46069</v>
      </c>
      <c r="B258" s="145" t="str">
        <f t="shared" si="1"/>
        <v>02Feb</v>
      </c>
      <c r="C258" s="145" t="str">
        <f>IFERROR(__xludf.DUMMYFUNCTION("""COMPUTED_VALUE"""),"AZIZ HIDAYAT")</f>
        <v>AZIZ HIDAYAT</v>
      </c>
      <c r="D258" s="145">
        <f t="array" ref="D258">IFNA(XLOOKUP(C258,'👥 Daftar Nama Pasien'!$B$6:$B1181,'👥 Daftar Nama Pasien'!$D$6:$D1181),"")</f>
        <v>29</v>
      </c>
      <c r="E258" s="145" t="str">
        <f t="array" ref="E258">XLOOKUP(C258,'⬇️ PEMASUKAN'!$I$5:$I1181,'⬇️ PEMASUKAN'!$K$5:$K1181,,0,-1)</f>
        <v>K.TA - TERAPI AWAL</v>
      </c>
      <c r="F258" s="145" t="str">
        <f t="shared" si="2"/>
        <v>TIDAK CLOSING</v>
      </c>
      <c r="G258" s="145" t="str">
        <f t="shared" si="3"/>
        <v>TIDAK CLOSING</v>
      </c>
      <c r="H258" s="145" t="str">
        <f>IFERROR(__xludf.DUMMYFUNCTION("""COMPUTED_VALUE"""),"PRITY")</f>
        <v>PRITY</v>
      </c>
      <c r="I258" s="145" t="str">
        <f>IFERROR(__xludf.DUMMYFUNCTION("""COMPUTED_VALUE"""),"SUCI")</f>
        <v>SUCI</v>
      </c>
      <c r="J258" s="145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</row>
    <row r="259" ht="22.5" customHeight="1">
      <c r="A259" s="144">
        <f>IFERROR(__xludf.DUMMYFUNCTION("""COMPUTED_VALUE"""),46069.0)</f>
        <v>46069</v>
      </c>
      <c r="B259" s="145" t="str">
        <f t="shared" si="1"/>
        <v>02Feb</v>
      </c>
      <c r="C259" s="145" t="str">
        <f>IFERROR(__xludf.DUMMYFUNCTION("""COMPUTED_VALUE"""),"STEFANO")</f>
        <v>STEFANO</v>
      </c>
      <c r="D259" s="145">
        <f t="array" ref="D259">IFNA(XLOOKUP(C259,'👥 Daftar Nama Pasien'!$B$6:$B1181,'👥 Daftar Nama Pasien'!$D$6:$D1181),"")</f>
        <v>35</v>
      </c>
      <c r="E259" s="145" t="str">
        <f t="array" ref="E259">XLOOKUP(C259,'⬇️ PEMASUKAN'!$I$5:$I1181,'⬇️ PEMASUKAN'!$K$5:$K1181,,0,-1)</f>
        <v>K.TA - TERAPI AWAL</v>
      </c>
      <c r="F259" s="145" t="str">
        <f t="shared" si="2"/>
        <v>TIDAK CLOSING</v>
      </c>
      <c r="G259" s="145" t="str">
        <f t="shared" si="3"/>
        <v>TIDAK CLOSING</v>
      </c>
      <c r="H259" s="145" t="str">
        <f>IFERROR(__xludf.DUMMYFUNCTION("""COMPUTED_VALUE"""),"ORY")</f>
        <v>ORY</v>
      </c>
      <c r="I259" s="145" t="str">
        <f>IFERROR(__xludf.DUMMYFUNCTION("""COMPUTED_VALUE"""),"SUCI")</f>
        <v>SUCI</v>
      </c>
      <c r="J259" s="145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</row>
    <row r="260" ht="22.5" customHeight="1">
      <c r="A260" s="144">
        <f>IFERROR(__xludf.DUMMYFUNCTION("""COMPUTED_VALUE"""),46069.0)</f>
        <v>46069</v>
      </c>
      <c r="B260" s="145" t="str">
        <f t="shared" si="1"/>
        <v>02Feb</v>
      </c>
      <c r="C260" s="145" t="str">
        <f>IFERROR(__xludf.DUMMYFUNCTION("""COMPUTED_VALUE"""),"ATIKA MUFLIHA")</f>
        <v>ATIKA MUFLIHA</v>
      </c>
      <c r="D260" s="145">
        <f t="array" ref="D260">IFNA(XLOOKUP(C260,'👥 Daftar Nama Pasien'!$B$6:$B1181,'👥 Daftar Nama Pasien'!$D$6:$D1181),"")</f>
        <v>28</v>
      </c>
      <c r="E260" s="145" t="str">
        <f t="array" ref="E260">XLOOKUP(C260,'⬇️ PEMASUKAN'!$I$5:$I1181,'⬇️ PEMASUKAN'!$K$5:$K1181,,0,-1)</f>
        <v>K.PT - PAKET GOLD</v>
      </c>
      <c r="F260" s="145" t="str">
        <f t="shared" si="2"/>
        <v>K.PT - PAKET GOLD</v>
      </c>
      <c r="G260" s="145" t="str">
        <f t="shared" si="3"/>
        <v>CLOSING PAKET</v>
      </c>
      <c r="H260" s="145" t="str">
        <f>IFERROR(__xludf.DUMMYFUNCTION("""COMPUTED_VALUE"""),"OKTA")</f>
        <v>OKTA</v>
      </c>
      <c r="I260" s="145" t="str">
        <f>IFERROR(__xludf.DUMMYFUNCTION("""COMPUTED_VALUE"""),"NOPI")</f>
        <v>NOPI</v>
      </c>
      <c r="J260" s="145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</row>
    <row r="261" ht="22.5" customHeight="1">
      <c r="A261" s="144">
        <f>IFERROR(__xludf.DUMMYFUNCTION("""COMPUTED_VALUE"""),46069.0)</f>
        <v>46069</v>
      </c>
      <c r="B261" s="145" t="str">
        <f t="shared" si="1"/>
        <v>02Feb</v>
      </c>
      <c r="C261" s="145" t="str">
        <f>IFERROR(__xludf.DUMMYFUNCTION("""COMPUTED_VALUE"""),"ICHSAN CHANDRA")</f>
        <v>ICHSAN CHANDRA</v>
      </c>
      <c r="D261" s="145">
        <f t="array" ref="D261">IFNA(XLOOKUP(C261,'👥 Daftar Nama Pasien'!$B$6:$B1181,'👥 Daftar Nama Pasien'!$D$6:$D1181),"")</f>
        <v>37</v>
      </c>
      <c r="E261" s="145" t="str">
        <f t="array" ref="E261">XLOOKUP(C261,'⬇️ PEMASUKAN'!$I$5:$I1181,'⬇️ PEMASUKAN'!$K$5:$K1181,,0,-1)</f>
        <v>K.PT - PAKET SILVER</v>
      </c>
      <c r="F261" s="145" t="str">
        <f t="shared" si="2"/>
        <v>K.PT - PAKET SILVER</v>
      </c>
      <c r="G261" s="145" t="str">
        <f t="shared" si="3"/>
        <v>CLOSING PAKET</v>
      </c>
      <c r="H261" s="145" t="str">
        <f>IFERROR(__xludf.DUMMYFUNCTION("""COMPUTED_VALUE"""),"PUTRI")</f>
        <v>PUTRI</v>
      </c>
      <c r="I261" s="145" t="str">
        <f>IFERROR(__xludf.DUMMYFUNCTION("""COMPUTED_VALUE"""),"NOPI")</f>
        <v>NOPI</v>
      </c>
      <c r="J261" s="145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</row>
    <row r="262" ht="22.5" customHeight="1">
      <c r="A262" s="144">
        <f>IFERROR(__xludf.DUMMYFUNCTION("""COMPUTED_VALUE"""),46069.0)</f>
        <v>46069</v>
      </c>
      <c r="B262" s="145" t="str">
        <f t="shared" si="1"/>
        <v>02Feb</v>
      </c>
      <c r="C262" s="145" t="str">
        <f>IFERROR(__xludf.DUMMYFUNCTION("""COMPUTED_VALUE"""),"MUHAMMAD RIDHO ANSYORI")</f>
        <v>MUHAMMAD RIDHO ANSYORI</v>
      </c>
      <c r="D262" s="145">
        <f t="array" ref="D262">IFNA(XLOOKUP(C262,'👥 Daftar Nama Pasien'!$B$6:$B1181,'👥 Daftar Nama Pasien'!$D$6:$D1181),"")</f>
        <v>28</v>
      </c>
      <c r="E262" s="145" t="str">
        <f t="array" ref="E262">XLOOKUP(C262,'⬇️ PEMASUKAN'!$I$5:$I1181,'⬇️ PEMASUKAN'!$K$5:$K1181,,0,-1)</f>
        <v>K.TA - TERAPI AWAL</v>
      </c>
      <c r="F262" s="145" t="str">
        <f t="shared" si="2"/>
        <v>TIDAK CLOSING</v>
      </c>
      <c r="G262" s="145" t="str">
        <f t="shared" si="3"/>
        <v>TIDAK CLOSING</v>
      </c>
      <c r="H262" s="145" t="str">
        <f>IFERROR(__xludf.DUMMYFUNCTION("""COMPUTED_VALUE"""),"PUTRI")</f>
        <v>PUTRI</v>
      </c>
      <c r="I262" s="145" t="str">
        <f>IFERROR(__xludf.DUMMYFUNCTION("""COMPUTED_VALUE"""),"NOPI")</f>
        <v>NOPI</v>
      </c>
      <c r="J262" s="145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</row>
    <row r="263" ht="22.5" customHeight="1">
      <c r="A263" s="144">
        <f>IFERROR(__xludf.DUMMYFUNCTION("""COMPUTED_VALUE"""),46071.0)</f>
        <v>46071</v>
      </c>
      <c r="B263" s="145" t="str">
        <f t="shared" si="1"/>
        <v>02Feb</v>
      </c>
      <c r="C263" s="145" t="str">
        <f>IFERROR(__xludf.DUMMYFUNCTION("""COMPUTED_VALUE"""),"ELFIN ANUGERAH")</f>
        <v>ELFIN ANUGERAH</v>
      </c>
      <c r="D263" s="145">
        <f t="array" ref="D263">IFNA(XLOOKUP(C263,'👥 Daftar Nama Pasien'!$B$6:$B1181,'👥 Daftar Nama Pasien'!$D$6:$D1181),"")</f>
        <v>26</v>
      </c>
      <c r="E263" s="145" t="str">
        <f t="array" ref="E263">XLOOKUP(C263,'⬇️ PEMASUKAN'!$I$5:$I1181,'⬇️ PEMASUKAN'!$K$5:$K1181,,0,-1)</f>
        <v>K.TA - TERAPI AWAL</v>
      </c>
      <c r="F263" s="145" t="str">
        <f t="shared" si="2"/>
        <v>TIDAK CLOSING</v>
      </c>
      <c r="G263" s="145" t="str">
        <f t="shared" si="3"/>
        <v>TIDAK CLOSING</v>
      </c>
      <c r="H263" s="145" t="str">
        <f>IFERROR(__xludf.DUMMYFUNCTION("""COMPUTED_VALUE"""),"OKTA")</f>
        <v>OKTA</v>
      </c>
      <c r="I263" s="145" t="str">
        <f>IFERROR(__xludf.DUMMYFUNCTION("""COMPUTED_VALUE"""),"SUCI")</f>
        <v>SUCI</v>
      </c>
      <c r="J263" s="145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</row>
    <row r="264" ht="22.5" customHeight="1">
      <c r="A264" s="144">
        <f>IFERROR(__xludf.DUMMYFUNCTION("""COMPUTED_VALUE"""),46071.0)</f>
        <v>46071</v>
      </c>
      <c r="B264" s="145" t="str">
        <f t="shared" si="1"/>
        <v>02Feb</v>
      </c>
      <c r="C264" s="145" t="str">
        <f>IFERROR(__xludf.DUMMYFUNCTION("""COMPUTED_VALUE"""),"ILHAM AZIZ")</f>
        <v>ILHAM AZIZ</v>
      </c>
      <c r="D264" s="145">
        <f t="array" ref="D264">IFNA(XLOOKUP(C264,'👥 Daftar Nama Pasien'!$B$6:$B1181,'👥 Daftar Nama Pasien'!$D$6:$D1181),"")</f>
        <v>20</v>
      </c>
      <c r="E264" s="145" t="str">
        <f t="array" ref="E264">XLOOKUP(C264,'⬇️ PEMASUKAN'!$I$5:$I1181,'⬇️ PEMASUKAN'!$K$5:$K1181,,0,-1)</f>
        <v>K.PT - PAKET GOLD</v>
      </c>
      <c r="F264" s="145" t="str">
        <f t="shared" si="2"/>
        <v>K.PT - PAKET GOLD</v>
      </c>
      <c r="G264" s="145" t="str">
        <f t="shared" si="3"/>
        <v>CLOSING PAKET</v>
      </c>
      <c r="H264" s="145" t="str">
        <f>IFERROR(__xludf.DUMMYFUNCTION("""COMPUTED_VALUE"""),"PUTRI")</f>
        <v>PUTRI</v>
      </c>
      <c r="I264" s="145" t="str">
        <f>IFERROR(__xludf.DUMMYFUNCTION("""COMPUTED_VALUE"""),"SUCI")</f>
        <v>SUCI</v>
      </c>
      <c r="J264" s="145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</row>
    <row r="265" ht="22.5" customHeight="1">
      <c r="A265" s="144">
        <f>IFERROR(__xludf.DUMMYFUNCTION("""COMPUTED_VALUE"""),46071.0)</f>
        <v>46071</v>
      </c>
      <c r="B265" s="145" t="str">
        <f t="shared" si="1"/>
        <v>02Feb</v>
      </c>
      <c r="C265" s="145" t="str">
        <f>IFERROR(__xludf.DUMMYFUNCTION("""COMPUTED_VALUE"""),"WILIANA")</f>
        <v>WILIANA</v>
      </c>
      <c r="D265" s="145">
        <f t="array" ref="D265">IFNA(XLOOKUP(C265,'👥 Daftar Nama Pasien'!$B$6:$B1181,'👥 Daftar Nama Pasien'!$D$6:$D1181),"")</f>
        <v>87</v>
      </c>
      <c r="E265" s="145" t="str">
        <f t="array" ref="E265">XLOOKUP(C265,'⬇️ PEMASUKAN'!$I$5:$I1181,'⬇️ PEMASUKAN'!$K$5:$K1181,,0,-1)</f>
        <v>K.TA - TERAPI AWAL</v>
      </c>
      <c r="F265" s="145" t="str">
        <f t="shared" si="2"/>
        <v>TIDAK CLOSING</v>
      </c>
      <c r="G265" s="145" t="str">
        <f t="shared" si="3"/>
        <v>TIDAK CLOSING</v>
      </c>
      <c r="H265" s="145" t="str">
        <f>IFERROR(__xludf.DUMMYFUNCTION("""COMPUTED_VALUE"""),"EDO")</f>
        <v>EDO</v>
      </c>
      <c r="I265" s="145" t="str">
        <f>IFERROR(__xludf.DUMMYFUNCTION("""COMPUTED_VALUE"""),"SUCI")</f>
        <v>SUCI</v>
      </c>
      <c r="J265" s="145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</row>
    <row r="266" ht="22.5" customHeight="1">
      <c r="A266" s="144">
        <f>IFERROR(__xludf.DUMMYFUNCTION("""COMPUTED_VALUE"""),46071.0)</f>
        <v>46071</v>
      </c>
      <c r="B266" s="145" t="str">
        <f t="shared" si="1"/>
        <v>02Feb</v>
      </c>
      <c r="C266" s="145" t="str">
        <f>IFERROR(__xludf.DUMMYFUNCTION("""COMPUTED_VALUE"""),"DWI RACHMAWAN")</f>
        <v>DWI RACHMAWAN</v>
      </c>
      <c r="D266" s="145">
        <f t="array" ref="D266">IFNA(XLOOKUP(C266,'👥 Daftar Nama Pasien'!$B$6:$B1181,'👥 Daftar Nama Pasien'!$D$6:$D1181),"")</f>
        <v>38</v>
      </c>
      <c r="E266" s="145" t="str">
        <f t="array" ref="E266">XLOOKUP(C266,'⬇️ PEMASUKAN'!$I$5:$I1181,'⬇️ PEMASUKAN'!$K$5:$K1181,,0,-1)</f>
        <v>K.PT - PAKET GOLD</v>
      </c>
      <c r="F266" s="145" t="str">
        <f t="shared" si="2"/>
        <v>K.PT - PAKET GOLD</v>
      </c>
      <c r="G266" s="145" t="str">
        <f t="shared" si="3"/>
        <v>CLOSING PAKET</v>
      </c>
      <c r="H266" s="145" t="str">
        <f>IFERROR(__xludf.DUMMYFUNCTION("""COMPUTED_VALUE"""),"ORY")</f>
        <v>ORY</v>
      </c>
      <c r="I266" s="145" t="str">
        <f>IFERROR(__xludf.DUMMYFUNCTION("""COMPUTED_VALUE"""),"NOPI")</f>
        <v>NOPI</v>
      </c>
      <c r="J266" s="145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</row>
    <row r="267" ht="22.5" customHeight="1">
      <c r="A267" s="144">
        <f>IFERROR(__xludf.DUMMYFUNCTION("""COMPUTED_VALUE"""),46072.0)</f>
        <v>46072</v>
      </c>
      <c r="B267" s="145" t="str">
        <f t="shared" si="1"/>
        <v>02Feb</v>
      </c>
      <c r="C267" s="145" t="str">
        <f>IFERROR(__xludf.DUMMYFUNCTION("""COMPUTED_VALUE"""),"K. E. ANANTA UTAMI")</f>
        <v>K. E. ANANTA UTAMI</v>
      </c>
      <c r="D267" s="145">
        <f t="array" ref="D267">IFNA(XLOOKUP(C267,'👥 Daftar Nama Pasien'!$B$6:$B1181,'👥 Daftar Nama Pasien'!$D$6:$D1181),"")</f>
        <v>56</v>
      </c>
      <c r="E267" s="145" t="str">
        <f t="array" ref="E267">XLOOKUP(C267,'⬇️ PEMASUKAN'!$I$5:$I1181,'⬇️ PEMASUKAN'!$K$5:$K1181,,0,-1)</f>
        <v>K.PT - PAKET SILVER</v>
      </c>
      <c r="F267" s="145" t="str">
        <f t="shared" si="2"/>
        <v>K.PT - PAKET SILVER</v>
      </c>
      <c r="G267" s="145" t="str">
        <f t="shared" si="3"/>
        <v>CLOSING PAKET</v>
      </c>
      <c r="H267" s="145" t="str">
        <f>IFERROR(__xludf.DUMMYFUNCTION("""COMPUTED_VALUE"""),"DESTY")</f>
        <v>DESTY</v>
      </c>
      <c r="I267" s="145" t="str">
        <f>IFERROR(__xludf.DUMMYFUNCTION("""COMPUTED_VALUE"""),"SUCI")</f>
        <v>SUCI</v>
      </c>
      <c r="J267" s="145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</row>
    <row r="268" ht="22.5" customHeight="1">
      <c r="A268" s="144">
        <f>IFERROR(__xludf.DUMMYFUNCTION("""COMPUTED_VALUE"""),46072.0)</f>
        <v>46072</v>
      </c>
      <c r="B268" s="145" t="str">
        <f t="shared" si="1"/>
        <v>02Feb</v>
      </c>
      <c r="C268" s="145" t="str">
        <f>IFERROR(__xludf.DUMMYFUNCTION("""COMPUTED_VALUE"""),"ZAENAL HASANUDDIN ")</f>
        <v>ZAENAL HASANUDDIN </v>
      </c>
      <c r="D268" s="145">
        <f t="array" ref="D268">IFNA(XLOOKUP(C268,'👥 Daftar Nama Pasien'!$B$6:$B1181,'👥 Daftar Nama Pasien'!$D$6:$D1181),"")</f>
        <v>68</v>
      </c>
      <c r="E268" s="145" t="str">
        <f t="array" ref="E268">XLOOKUP(C268,'⬇️ PEMASUKAN'!$I$5:$I1181,'⬇️ PEMASUKAN'!$K$5:$K1181,,0,-1)</f>
        <v>K.ST - SESI TERAPI NEW</v>
      </c>
      <c r="F268" s="145" t="str">
        <f t="shared" si="2"/>
        <v>K.ST - SESI TERAPI NEW</v>
      </c>
      <c r="G268" s="145" t="str">
        <f t="shared" si="3"/>
        <v>CLOSING SESI</v>
      </c>
      <c r="H268" s="145" t="str">
        <f>IFERROR(__xludf.DUMMYFUNCTION("""COMPUTED_VALUE"""),"ORY")</f>
        <v>ORY</v>
      </c>
      <c r="I268" s="145" t="str">
        <f>IFERROR(__xludf.DUMMYFUNCTION("""COMPUTED_VALUE"""),"SUCI")</f>
        <v>SUCI</v>
      </c>
      <c r="J268" s="145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</row>
    <row r="269" ht="22.5" customHeight="1">
      <c r="A269" s="144">
        <f>IFERROR(__xludf.DUMMYFUNCTION("""COMPUTED_VALUE"""),46072.0)</f>
        <v>46072</v>
      </c>
      <c r="B269" s="145" t="str">
        <f t="shared" si="1"/>
        <v>02Feb</v>
      </c>
      <c r="C269" s="145" t="str">
        <f>IFERROR(__xludf.DUMMYFUNCTION("""COMPUTED_VALUE"""),"TRI WIBOWO")</f>
        <v>TRI WIBOWO</v>
      </c>
      <c r="D269" s="145" t="str">
        <f t="array" ref="D269">IFNA(XLOOKUP(C269,'👥 Daftar Nama Pasien'!$B$6:$B1181,'👥 Daftar Nama Pasien'!$D$6:$D1181),"")</f>
        <v/>
      </c>
      <c r="E269" s="145" t="str">
        <f t="array" ref="E269">XLOOKUP(C269,'⬇️ PEMASUKAN'!$I$5:$I1181,'⬇️ PEMASUKAN'!$K$5:$K1181,,0,-1)</f>
        <v>K.ST - SESI TERAPI NEW</v>
      </c>
      <c r="F269" s="145" t="str">
        <f t="shared" si="2"/>
        <v>K.ST - SESI TERAPI NEW</v>
      </c>
      <c r="G269" s="145" t="str">
        <f t="shared" si="3"/>
        <v>CLOSING SESI</v>
      </c>
      <c r="H269" s="145" t="str">
        <f>IFERROR(__xludf.DUMMYFUNCTION("""COMPUTED_VALUE"""),"PRITY")</f>
        <v>PRITY</v>
      </c>
      <c r="I269" s="145" t="str">
        <f>IFERROR(__xludf.DUMMYFUNCTION("""COMPUTED_VALUE"""),"SUCI")</f>
        <v>SUCI</v>
      </c>
      <c r="J269" s="145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</row>
    <row r="270" ht="22.5" customHeight="1">
      <c r="A270" s="144">
        <f>IFERROR(__xludf.DUMMYFUNCTION("""COMPUTED_VALUE"""),46072.0)</f>
        <v>46072</v>
      </c>
      <c r="B270" s="145" t="str">
        <f t="shared" si="1"/>
        <v>02Feb</v>
      </c>
      <c r="C270" s="145" t="str">
        <f>IFERROR(__xludf.DUMMYFUNCTION("""COMPUTED_VALUE"""),"DEWI MUSTIKA")</f>
        <v>DEWI MUSTIKA</v>
      </c>
      <c r="D270" s="145">
        <f t="array" ref="D270">IFNA(XLOOKUP(C270,'👥 Daftar Nama Pasien'!$B$6:$B1181,'👥 Daftar Nama Pasien'!$D$6:$D1181),"")</f>
        <v>54</v>
      </c>
      <c r="E270" s="145" t="str">
        <f t="array" ref="E270">XLOOKUP(C270,'⬇️ PEMASUKAN'!$I$5:$I1181,'⬇️ PEMASUKAN'!$K$5:$K1181,,0,-1)</f>
        <v>K.PT - PAKET SILVER</v>
      </c>
      <c r="F270" s="145" t="str">
        <f t="shared" si="2"/>
        <v>K.PT - PAKET SILVER</v>
      </c>
      <c r="G270" s="145" t="str">
        <f t="shared" si="3"/>
        <v>CLOSING PAKET</v>
      </c>
      <c r="H270" s="145" t="str">
        <f>IFERROR(__xludf.DUMMYFUNCTION("""COMPUTED_VALUE"""),"PRITY")</f>
        <v>PRITY</v>
      </c>
      <c r="I270" s="145" t="str">
        <f>IFERROR(__xludf.DUMMYFUNCTION("""COMPUTED_VALUE"""),"SUCI")</f>
        <v>SUCI</v>
      </c>
      <c r="J270" s="145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</row>
    <row r="271" ht="22.5" customHeight="1">
      <c r="A271" s="144">
        <f>IFERROR(__xludf.DUMMYFUNCTION("""COMPUTED_VALUE"""),46072.0)</f>
        <v>46072</v>
      </c>
      <c r="B271" s="145" t="str">
        <f t="shared" si="1"/>
        <v>02Feb</v>
      </c>
      <c r="C271" s="145" t="str">
        <f>IFERROR(__xludf.DUMMYFUNCTION("""COMPUTED_VALUE"""),"DHIASPUTRA BRILIANDRI")</f>
        <v>DHIASPUTRA BRILIANDRI</v>
      </c>
      <c r="D271" s="145">
        <f t="array" ref="D271">IFNA(XLOOKUP(C271,'👥 Daftar Nama Pasien'!$B$6:$B1181,'👥 Daftar Nama Pasien'!$D$6:$D1181),"")</f>
        <v>42</v>
      </c>
      <c r="E271" s="145" t="str">
        <f t="array" ref="E271">XLOOKUP(C271,'⬇️ PEMASUKAN'!$I$5:$I1181,'⬇️ PEMASUKAN'!$K$5:$K1181,,0,-1)</f>
        <v>K.TA - TERAPI AWAL</v>
      </c>
      <c r="F271" s="145" t="str">
        <f t="shared" si="2"/>
        <v>TIDAK CLOSING</v>
      </c>
      <c r="G271" s="145" t="str">
        <f t="shared" si="3"/>
        <v>TIDAK CLOSING</v>
      </c>
      <c r="H271" s="145" t="str">
        <f>IFERROR(__xludf.DUMMYFUNCTION("""COMPUTED_VALUE"""),"OKTA")</f>
        <v>OKTA</v>
      </c>
      <c r="I271" s="145" t="str">
        <f>IFERROR(__xludf.DUMMYFUNCTION("""COMPUTED_VALUE"""),"NOPI")</f>
        <v>NOPI</v>
      </c>
      <c r="J271" s="145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</row>
    <row r="272" ht="22.5" customHeight="1">
      <c r="A272" s="144">
        <f>IFERROR(__xludf.DUMMYFUNCTION("""COMPUTED_VALUE"""),46073.0)</f>
        <v>46073</v>
      </c>
      <c r="B272" s="145" t="str">
        <f t="shared" si="1"/>
        <v>02Feb</v>
      </c>
      <c r="C272" s="145" t="str">
        <f>IFERROR(__xludf.DUMMYFUNCTION("""COMPUTED_VALUE"""),"ANDREAN CAHYONO")</f>
        <v>ANDREAN CAHYONO</v>
      </c>
      <c r="D272" s="145">
        <f t="array" ref="D272">IFNA(XLOOKUP(C272,'👥 Daftar Nama Pasien'!$B$6:$B1181,'👥 Daftar Nama Pasien'!$D$6:$D1181),"")</f>
        <v>33</v>
      </c>
      <c r="E272" s="145" t="str">
        <f t="array" ref="E272">XLOOKUP(C272,'⬇️ PEMASUKAN'!$I$5:$I1181,'⬇️ PEMASUKAN'!$K$5:$K1181,,0,-1)</f>
        <v>K.ST - SESI TERAPI NEW</v>
      </c>
      <c r="F272" s="145" t="str">
        <f t="shared" si="2"/>
        <v>K.ST - SESI TERAPI NEW</v>
      </c>
      <c r="G272" s="145" t="str">
        <f t="shared" si="3"/>
        <v>CLOSING SESI</v>
      </c>
      <c r="H272" s="145" t="str">
        <f>IFERROR(__xludf.DUMMYFUNCTION("""COMPUTED_VALUE"""),"WAHYU")</f>
        <v>WAHYU</v>
      </c>
      <c r="I272" s="145" t="str">
        <f>IFERROR(__xludf.DUMMYFUNCTION("""COMPUTED_VALUE"""),"LAINNYA")</f>
        <v>LAINNYA</v>
      </c>
      <c r="J272" s="145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</row>
    <row r="273" ht="22.5" customHeight="1">
      <c r="A273" s="144">
        <f>IFERROR(__xludf.DUMMYFUNCTION("""COMPUTED_VALUE"""),46073.0)</f>
        <v>46073</v>
      </c>
      <c r="B273" s="145" t="str">
        <f t="shared" si="1"/>
        <v>02Feb</v>
      </c>
      <c r="C273" s="145" t="str">
        <f>IFERROR(__xludf.DUMMYFUNCTION("""COMPUTED_VALUE"""),"HANNY WULANDARI")</f>
        <v>HANNY WULANDARI</v>
      </c>
      <c r="D273" s="145">
        <f t="array" ref="D273">IFNA(XLOOKUP(C273,'👥 Daftar Nama Pasien'!$B$6:$B1181,'👥 Daftar Nama Pasien'!$D$6:$D1181),"")</f>
        <v>29</v>
      </c>
      <c r="E273" s="145" t="str">
        <f t="array" ref="E273">XLOOKUP(C273,'⬇️ PEMASUKAN'!$I$5:$I1181,'⬇️ PEMASUKAN'!$K$5:$K1181,,0,-1)</f>
        <v>K.PT - PAKET SILVER</v>
      </c>
      <c r="F273" s="145" t="str">
        <f t="shared" si="2"/>
        <v>K.PT - PAKET SILVER</v>
      </c>
      <c r="G273" s="145" t="str">
        <f t="shared" si="3"/>
        <v>CLOSING PAKET</v>
      </c>
      <c r="H273" s="145" t="str">
        <f>IFERROR(__xludf.DUMMYFUNCTION("""COMPUTED_VALUE"""),"HESTI")</f>
        <v>HESTI</v>
      </c>
      <c r="I273" s="145" t="str">
        <f>IFERROR(__xludf.DUMMYFUNCTION("""COMPUTED_VALUE"""),"SUCI")</f>
        <v>SUCI</v>
      </c>
      <c r="J273" s="145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</row>
    <row r="274" ht="22.5" customHeight="1">
      <c r="A274" s="144">
        <f>IFERROR(__xludf.DUMMYFUNCTION("""COMPUTED_VALUE"""),46073.0)</f>
        <v>46073</v>
      </c>
      <c r="B274" s="145" t="str">
        <f t="shared" si="1"/>
        <v>02Feb</v>
      </c>
      <c r="C274" s="145" t="str">
        <f>IFERROR(__xludf.DUMMYFUNCTION("""COMPUTED_VALUE"""),"TJHOEA DJAP KAUW")</f>
        <v>TJHOEA DJAP KAUW</v>
      </c>
      <c r="D274" s="145">
        <f t="array" ref="D274">IFNA(XLOOKUP(C274,'👥 Daftar Nama Pasien'!$B$6:$B1181,'👥 Daftar Nama Pasien'!$D$6:$D1181),"")</f>
        <v>67</v>
      </c>
      <c r="E274" s="145" t="str">
        <f t="array" ref="E274">XLOOKUP(C274,'⬇️ PEMASUKAN'!$I$5:$I1181,'⬇️ PEMASUKAN'!$K$5:$K1181,,0,-1)</f>
        <v>K.TA - TERAPI AWAL</v>
      </c>
      <c r="F274" s="145" t="str">
        <f t="shared" si="2"/>
        <v>TIDAK CLOSING</v>
      </c>
      <c r="G274" s="145" t="str">
        <f t="shared" si="3"/>
        <v>TIDAK CLOSING</v>
      </c>
      <c r="H274" s="145" t="str">
        <f>IFERROR(__xludf.DUMMYFUNCTION("""COMPUTED_VALUE"""),"DANI")</f>
        <v>DANI</v>
      </c>
      <c r="I274" s="145" t="str">
        <f>IFERROR(__xludf.DUMMYFUNCTION("""COMPUTED_VALUE"""),"SUCI")</f>
        <v>SUCI</v>
      </c>
      <c r="J274" s="145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</row>
    <row r="275" ht="22.5" customHeight="1">
      <c r="A275" s="144">
        <f>IFERROR(__xludf.DUMMYFUNCTION("""COMPUTED_VALUE"""),46073.0)</f>
        <v>46073</v>
      </c>
      <c r="B275" s="145" t="str">
        <f t="shared" si="1"/>
        <v>02Feb</v>
      </c>
      <c r="C275" s="145" t="str">
        <f>IFERROR(__xludf.DUMMYFUNCTION("""COMPUTED_VALUE"""),"ALGI FAHRI")</f>
        <v>ALGI FAHRI</v>
      </c>
      <c r="D275" s="145">
        <f t="array" ref="D275">IFNA(XLOOKUP(C275,'👥 Daftar Nama Pasien'!$B$6:$B1181,'👥 Daftar Nama Pasien'!$D$6:$D1181),"")</f>
        <v>18</v>
      </c>
      <c r="E275" s="145" t="str">
        <f t="array" ref="E275">XLOOKUP(C275,'⬇️ PEMASUKAN'!$I$5:$I1181,'⬇️ PEMASUKAN'!$K$5:$K1181,,0,-1)</f>
        <v>K.PT - PAKET SILVER</v>
      </c>
      <c r="F275" s="145" t="str">
        <f t="shared" si="2"/>
        <v>K.PT - PAKET SILVER</v>
      </c>
      <c r="G275" s="145" t="str">
        <f t="shared" si="3"/>
        <v>CLOSING PAKET</v>
      </c>
      <c r="H275" s="145" t="str">
        <f>IFERROR(__xludf.DUMMYFUNCTION("""COMPUTED_VALUE"""),"HESTI")</f>
        <v>HESTI</v>
      </c>
      <c r="I275" s="145" t="str">
        <f>IFERROR(__xludf.DUMMYFUNCTION("""COMPUTED_VALUE"""),"SUCI")</f>
        <v>SUCI</v>
      </c>
      <c r="J275" s="145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</row>
    <row r="276" ht="22.5" customHeight="1">
      <c r="A276" s="144">
        <f>IFERROR(__xludf.DUMMYFUNCTION("""COMPUTED_VALUE"""),46073.0)</f>
        <v>46073</v>
      </c>
      <c r="B276" s="145" t="str">
        <f t="shared" si="1"/>
        <v>02Feb</v>
      </c>
      <c r="C276" s="145" t="str">
        <f>IFERROR(__xludf.DUMMYFUNCTION("""COMPUTED_VALUE"""),"ANA 1978")</f>
        <v>ANA 1978</v>
      </c>
      <c r="D276" s="145">
        <f t="array" ref="D276">IFNA(XLOOKUP(C276,'👥 Daftar Nama Pasien'!$B$6:$B1181,'👥 Daftar Nama Pasien'!$D$6:$D1181),"")</f>
        <v>47</v>
      </c>
      <c r="E276" s="145" t="str">
        <f t="array" ref="E276">XLOOKUP(C276,'⬇️ PEMASUKAN'!$I$5:$I1181,'⬇️ PEMASUKAN'!$K$5:$K1181,,0,-1)</f>
        <v>K.TA - TERAPI AWAL</v>
      </c>
      <c r="F276" s="145" t="str">
        <f t="shared" si="2"/>
        <v>TIDAK CLOSING</v>
      </c>
      <c r="G276" s="145" t="str">
        <f t="shared" si="3"/>
        <v>TIDAK CLOSING</v>
      </c>
      <c r="H276" s="145" t="str">
        <f>IFERROR(__xludf.DUMMYFUNCTION("""COMPUTED_VALUE"""),"HENA")</f>
        <v>HENA</v>
      </c>
      <c r="I276" s="145" t="str">
        <f>IFERROR(__xludf.DUMMYFUNCTION("""COMPUTED_VALUE"""),"SUCI")</f>
        <v>SUCI</v>
      </c>
      <c r="J276" s="145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</row>
    <row r="277" ht="22.5" customHeight="1">
      <c r="A277" s="144">
        <f>IFERROR(__xludf.DUMMYFUNCTION("""COMPUTED_VALUE"""),46074.0)</f>
        <v>46074</v>
      </c>
      <c r="B277" s="145" t="str">
        <f t="shared" si="1"/>
        <v>02Feb</v>
      </c>
      <c r="C277" s="145" t="str">
        <f>IFERROR(__xludf.DUMMYFUNCTION("""COMPUTED_VALUE"""),"ERICK TRIENARDO")</f>
        <v>ERICK TRIENARDO</v>
      </c>
      <c r="D277" s="145">
        <f t="array" ref="D277">IFNA(XLOOKUP(C277,'👥 Daftar Nama Pasien'!$B$6:$B1181,'👥 Daftar Nama Pasien'!$D$6:$D1181),"")</f>
        <v>29</v>
      </c>
      <c r="E277" s="145" t="str">
        <f t="array" ref="E277">XLOOKUP(C277,'⬇️ PEMASUKAN'!$I$5:$I1181,'⬇️ PEMASUKAN'!$K$5:$K1181,,0,-1)</f>
        <v>K.TA - TERAPI AWAL</v>
      </c>
      <c r="F277" s="145" t="str">
        <f t="shared" si="2"/>
        <v>TIDAK CLOSING</v>
      </c>
      <c r="G277" s="145" t="str">
        <f t="shared" si="3"/>
        <v>TIDAK CLOSING</v>
      </c>
      <c r="H277" s="145" t="str">
        <f>IFERROR(__xludf.DUMMYFUNCTION("""COMPUTED_VALUE"""),"AUL")</f>
        <v>AUL</v>
      </c>
      <c r="I277" s="145" t="str">
        <f>IFERROR(__xludf.DUMMYFUNCTION("""COMPUTED_VALUE"""),"SUCI")</f>
        <v>SUCI</v>
      </c>
      <c r="J277" s="145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</row>
    <row r="278" ht="22.5" customHeight="1">
      <c r="A278" s="144">
        <f>IFERROR(__xludf.DUMMYFUNCTION("""COMPUTED_VALUE"""),46074.0)</f>
        <v>46074</v>
      </c>
      <c r="B278" s="145" t="str">
        <f t="shared" si="1"/>
        <v>02Feb</v>
      </c>
      <c r="C278" s="145" t="str">
        <f>IFERROR(__xludf.DUMMYFUNCTION("""COMPUTED_VALUE"""),"HAMZAH")</f>
        <v>HAMZAH</v>
      </c>
      <c r="D278" s="145">
        <f t="array" ref="D278">IFNA(XLOOKUP(C278,'👥 Daftar Nama Pasien'!$B$6:$B1181,'👥 Daftar Nama Pasien'!$D$6:$D1181),"")</f>
        <v>56</v>
      </c>
      <c r="E278" s="145" t="str">
        <f t="array" ref="E278">XLOOKUP(C278,'⬇️ PEMASUKAN'!$I$5:$I1181,'⬇️ PEMASUKAN'!$K$5:$K1181,,0,-1)</f>
        <v>K.TA - TERAPI AWAL</v>
      </c>
      <c r="F278" s="145" t="str">
        <f t="shared" si="2"/>
        <v>TIDAK CLOSING</v>
      </c>
      <c r="G278" s="145" t="str">
        <f t="shared" si="3"/>
        <v>TIDAK CLOSING</v>
      </c>
      <c r="H278" s="145" t="str">
        <f>IFERROR(__xludf.DUMMYFUNCTION("""COMPUTED_VALUE"""),"ORY")</f>
        <v>ORY</v>
      </c>
      <c r="I278" s="145" t="str">
        <f>IFERROR(__xludf.DUMMYFUNCTION("""COMPUTED_VALUE"""),"SUCI")</f>
        <v>SUCI</v>
      </c>
      <c r="J278" s="145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</row>
    <row r="279" ht="22.5" customHeight="1">
      <c r="A279" s="144">
        <f>IFERROR(__xludf.DUMMYFUNCTION("""COMPUTED_VALUE"""),46075.0)</f>
        <v>46075</v>
      </c>
      <c r="B279" s="145" t="str">
        <f t="shared" si="1"/>
        <v>02Feb</v>
      </c>
      <c r="C279" s="145" t="str">
        <f>IFERROR(__xludf.DUMMYFUNCTION("""COMPUTED_VALUE"""),"SELA AMANDA ")</f>
        <v>SELA AMANDA </v>
      </c>
      <c r="D279" s="145">
        <f t="array" ref="D279">IFNA(XLOOKUP(C279,'👥 Daftar Nama Pasien'!$B$6:$B1181,'👥 Daftar Nama Pasien'!$D$6:$D1181),"")</f>
        <v>35</v>
      </c>
      <c r="E279" s="145" t="str">
        <f t="array" ref="E279">XLOOKUP(C279,'⬇️ PEMASUKAN'!$I$5:$I1181,'⬇️ PEMASUKAN'!$K$5:$K1181,,0,-1)</f>
        <v>K.ST - SESI TERAPI NEW</v>
      </c>
      <c r="F279" s="145" t="str">
        <f t="shared" si="2"/>
        <v>K.ST - SESI TERAPI NEW</v>
      </c>
      <c r="G279" s="145" t="str">
        <f t="shared" si="3"/>
        <v>CLOSING SESI</v>
      </c>
      <c r="H279" s="145" t="str">
        <f>IFERROR(__xludf.DUMMYFUNCTION("""COMPUTED_VALUE"""),"PUTRI")</f>
        <v>PUTRI</v>
      </c>
      <c r="I279" s="145" t="str">
        <f>IFERROR(__xludf.DUMMYFUNCTION("""COMPUTED_VALUE"""),"SUCI")</f>
        <v>SUCI</v>
      </c>
      <c r="J279" s="145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</row>
    <row r="280" ht="22.5" customHeight="1">
      <c r="A280" s="144">
        <f>IFERROR(__xludf.DUMMYFUNCTION("""COMPUTED_VALUE"""),46075.0)</f>
        <v>46075</v>
      </c>
      <c r="B280" s="145" t="str">
        <f t="shared" si="1"/>
        <v>02Feb</v>
      </c>
      <c r="C280" s="145" t="str">
        <f>IFERROR(__xludf.DUMMYFUNCTION("""COMPUTED_VALUE"""),"TITIN AGUSTINA")</f>
        <v>TITIN AGUSTINA</v>
      </c>
      <c r="D280" s="145">
        <f t="array" ref="D280">IFNA(XLOOKUP(C280,'👥 Daftar Nama Pasien'!$B$6:$B1181,'👥 Daftar Nama Pasien'!$D$6:$D1181),"")</f>
        <v>48</v>
      </c>
      <c r="E280" s="145" t="str">
        <f t="array" ref="E280">XLOOKUP(C280,'⬇️ PEMASUKAN'!$I$5:$I1181,'⬇️ PEMASUKAN'!$K$5:$K1181,,0,-1)</f>
        <v>K.TA - TERAPI AWAL</v>
      </c>
      <c r="F280" s="145" t="str">
        <f t="shared" si="2"/>
        <v>TIDAK CLOSING</v>
      </c>
      <c r="G280" s="145" t="str">
        <f t="shared" si="3"/>
        <v>TIDAK CLOSING</v>
      </c>
      <c r="H280" s="145" t="str">
        <f>IFERROR(__xludf.DUMMYFUNCTION("""COMPUTED_VALUE"""),"OKTA")</f>
        <v>OKTA</v>
      </c>
      <c r="I280" s="145" t="str">
        <f>IFERROR(__xludf.DUMMYFUNCTION("""COMPUTED_VALUE"""),"SUCI")</f>
        <v>SUCI</v>
      </c>
      <c r="J280" s="145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</row>
    <row r="281" ht="22.5" customHeight="1">
      <c r="A281" s="144">
        <f>IFERROR(__xludf.DUMMYFUNCTION("""COMPUTED_VALUE"""),46075.0)</f>
        <v>46075</v>
      </c>
      <c r="B281" s="145" t="str">
        <f t="shared" si="1"/>
        <v>02Feb</v>
      </c>
      <c r="C281" s="145" t="str">
        <f>IFERROR(__xludf.DUMMYFUNCTION("""COMPUTED_VALUE"""),"RIA ARYUNI ")</f>
        <v>RIA ARYUNI </v>
      </c>
      <c r="D281" s="145">
        <f t="array" ref="D281">IFNA(XLOOKUP(C281,'👥 Daftar Nama Pasien'!$B$6:$B1181,'👥 Daftar Nama Pasien'!$D$6:$D1181),"")</f>
        <v>29</v>
      </c>
      <c r="E281" s="145" t="str">
        <f t="array" ref="E281">XLOOKUP(C281,'⬇️ PEMASUKAN'!$I$5:$I1181,'⬇️ PEMASUKAN'!$K$5:$K1181,,0,-1)</f>
        <v>K.PT - PAKET GOLD</v>
      </c>
      <c r="F281" s="145" t="str">
        <f t="shared" si="2"/>
        <v>K.PT - PAKET GOLD</v>
      </c>
      <c r="G281" s="145" t="str">
        <f t="shared" si="3"/>
        <v>CLOSING PAKET</v>
      </c>
      <c r="H281" s="145" t="str">
        <f>IFERROR(__xludf.DUMMYFUNCTION("""COMPUTED_VALUE"""),"PUTRI")</f>
        <v>PUTRI</v>
      </c>
      <c r="I281" s="145" t="str">
        <f>IFERROR(__xludf.DUMMYFUNCTION("""COMPUTED_VALUE"""),"SUCI")</f>
        <v>SUCI</v>
      </c>
      <c r="J281" s="145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</row>
    <row r="282" ht="22.5" customHeight="1">
      <c r="A282" s="144">
        <f>IFERROR(__xludf.DUMMYFUNCTION("""COMPUTED_VALUE"""),46075.0)</f>
        <v>46075</v>
      </c>
      <c r="B282" s="145" t="str">
        <f t="shared" si="1"/>
        <v>02Feb</v>
      </c>
      <c r="C282" s="145" t="str">
        <f>IFERROR(__xludf.DUMMYFUNCTION("""COMPUTED_VALUE"""),"H MAHDI")</f>
        <v>H MAHDI</v>
      </c>
      <c r="D282" s="145">
        <f t="array" ref="D282">IFNA(XLOOKUP(C282,'👥 Daftar Nama Pasien'!$B$6:$B1181,'👥 Daftar Nama Pasien'!$D$6:$D1181),"")</f>
        <v>72</v>
      </c>
      <c r="E282" s="145" t="str">
        <f t="array" ref="E282">XLOOKUP(C282,'⬇️ PEMASUKAN'!$I$5:$I1181,'⬇️ PEMASUKAN'!$K$5:$K1181,,0,-1)</f>
        <v>K.PT - PAKET SILVER</v>
      </c>
      <c r="F282" s="145" t="str">
        <f t="shared" si="2"/>
        <v>K.PT - PAKET SILVER</v>
      </c>
      <c r="G282" s="145" t="str">
        <f t="shared" si="3"/>
        <v>CLOSING PAKET</v>
      </c>
      <c r="H282" s="145" t="str">
        <f>IFERROR(__xludf.DUMMYFUNCTION("""COMPUTED_VALUE"""),"DESTY")</f>
        <v>DESTY</v>
      </c>
      <c r="I282" s="145" t="str">
        <f>IFERROR(__xludf.DUMMYFUNCTION("""COMPUTED_VALUE"""),"NOPI")</f>
        <v>NOPI</v>
      </c>
      <c r="J282" s="145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</row>
    <row r="283" ht="22.5" customHeight="1">
      <c r="A283" s="144">
        <f>IFERROR(__xludf.DUMMYFUNCTION("""COMPUTED_VALUE"""),46075.0)</f>
        <v>46075</v>
      </c>
      <c r="B283" s="145" t="str">
        <f t="shared" si="1"/>
        <v>02Feb</v>
      </c>
      <c r="C283" s="145" t="str">
        <f>IFERROR(__xludf.DUMMYFUNCTION("""COMPUTED_VALUE"""),"ANDREAS RIAN PANAMUAN ")</f>
        <v>ANDREAS RIAN PANAMUAN </v>
      </c>
      <c r="D283" s="145">
        <f t="array" ref="D283">IFNA(XLOOKUP(C283,'👥 Daftar Nama Pasien'!$B$6:$B1181,'👥 Daftar Nama Pasien'!$D$6:$D1181),"")</f>
        <v>27</v>
      </c>
      <c r="E283" s="145" t="str">
        <f t="array" ref="E283">XLOOKUP(C283,'⬇️ PEMASUKAN'!$I$5:$I1181,'⬇️ PEMASUKAN'!$K$5:$K1181,,0,-1)</f>
        <v>K.PT - PAKET SILVER</v>
      </c>
      <c r="F283" s="145" t="str">
        <f t="shared" si="2"/>
        <v>K.PT - PAKET SILVER</v>
      </c>
      <c r="G283" s="145" t="str">
        <f t="shared" si="3"/>
        <v>CLOSING PAKET</v>
      </c>
      <c r="H283" s="145" t="str">
        <f>IFERROR(__xludf.DUMMYFUNCTION("""COMPUTED_VALUE"""),"PRITY")</f>
        <v>PRITY</v>
      </c>
      <c r="I283" s="145" t="str">
        <f>IFERROR(__xludf.DUMMYFUNCTION("""COMPUTED_VALUE"""),"NOPI")</f>
        <v>NOPI</v>
      </c>
      <c r="J283" s="145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</row>
    <row r="284" ht="22.5" customHeight="1">
      <c r="A284" s="144">
        <f>IFERROR(__xludf.DUMMYFUNCTION("""COMPUTED_VALUE"""),46075.0)</f>
        <v>46075</v>
      </c>
      <c r="B284" s="145" t="str">
        <f t="shared" si="1"/>
        <v>02Feb</v>
      </c>
      <c r="C284" s="145" t="str">
        <f>IFERROR(__xludf.DUMMYFUNCTION("""COMPUTED_VALUE"""),"TJHOEA THENG KAK")</f>
        <v>TJHOEA THENG KAK</v>
      </c>
      <c r="D284" s="145">
        <f t="array" ref="D284">IFNA(XLOOKUP(C284,'👥 Daftar Nama Pasien'!$B$6:$B1181,'👥 Daftar Nama Pasien'!$D$6:$D1181),"")</f>
        <v>61</v>
      </c>
      <c r="E284" s="145" t="str">
        <f t="array" ref="E284">XLOOKUP(C284,'⬇️ PEMASUKAN'!$I$5:$I1181,'⬇️ PEMASUKAN'!$K$5:$K1181,,0,-1)</f>
        <v>K.TA - TERAPI AWAL</v>
      </c>
      <c r="F284" s="145" t="str">
        <f t="shared" si="2"/>
        <v>TIDAK CLOSING</v>
      </c>
      <c r="G284" s="145" t="str">
        <f t="shared" si="3"/>
        <v>TIDAK CLOSING</v>
      </c>
      <c r="H284" s="145" t="str">
        <f>IFERROR(__xludf.DUMMYFUNCTION("""COMPUTED_VALUE"""),"ORY")</f>
        <v>ORY</v>
      </c>
      <c r="I284" s="145" t="str">
        <f>IFERROR(__xludf.DUMMYFUNCTION("""COMPUTED_VALUE"""),"NOPI")</f>
        <v>NOPI</v>
      </c>
      <c r="J284" s="145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</row>
    <row r="285" ht="22.5" customHeight="1">
      <c r="A285" s="144">
        <f>IFERROR(__xludf.DUMMYFUNCTION("""COMPUTED_VALUE"""),46075.0)</f>
        <v>46075</v>
      </c>
      <c r="B285" s="145" t="str">
        <f t="shared" si="1"/>
        <v>02Feb</v>
      </c>
      <c r="C285" s="145" t="str">
        <f>IFERROR(__xludf.DUMMYFUNCTION("""COMPUTED_VALUE"""),"JOHANNES")</f>
        <v>JOHANNES</v>
      </c>
      <c r="D285" s="145">
        <f t="array" ref="D285">IFNA(XLOOKUP(C285,'👥 Daftar Nama Pasien'!$B$6:$B1181,'👥 Daftar Nama Pasien'!$D$6:$D1181),"")</f>
        <v>43</v>
      </c>
      <c r="E285" s="145" t="str">
        <f t="array" ref="E285">XLOOKUP(C285,'⬇️ PEMASUKAN'!$I$5:$I1181,'⬇️ PEMASUKAN'!$K$5:$K1181,,0,-1)</f>
        <v>K.ST - SESI TERAPI NEW</v>
      </c>
      <c r="F285" s="145" t="str">
        <f t="shared" si="2"/>
        <v>K.ST - SESI TERAPI NEW</v>
      </c>
      <c r="G285" s="145" t="str">
        <f t="shared" si="3"/>
        <v>CLOSING SESI</v>
      </c>
      <c r="H285" s="145" t="str">
        <f>IFERROR(__xludf.DUMMYFUNCTION("""COMPUTED_VALUE"""),"PRITY")</f>
        <v>PRITY</v>
      </c>
      <c r="I285" s="145" t="str">
        <f>IFERROR(__xludf.DUMMYFUNCTION("""COMPUTED_VALUE"""),"NOPI")</f>
        <v>NOPI</v>
      </c>
      <c r="J285" s="145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</row>
    <row r="286" ht="22.5" customHeight="1">
      <c r="A286" s="144">
        <f>IFERROR(__xludf.DUMMYFUNCTION("""COMPUTED_VALUE"""),46075.0)</f>
        <v>46075</v>
      </c>
      <c r="B286" s="145" t="str">
        <f t="shared" si="1"/>
        <v>02Feb</v>
      </c>
      <c r="C286" s="145" t="str">
        <f>IFERROR(__xludf.DUMMYFUNCTION("""COMPUTED_VALUE"""),"RAHDIAN EDISON")</f>
        <v>RAHDIAN EDISON</v>
      </c>
      <c r="D286" s="145">
        <f t="array" ref="D286">IFNA(XLOOKUP(C286,'👥 Daftar Nama Pasien'!$B$6:$B1181,'👥 Daftar Nama Pasien'!$D$6:$D1181),"")</f>
        <v>35</v>
      </c>
      <c r="E286" s="145" t="str">
        <f t="array" ref="E286">XLOOKUP(C286,'⬇️ PEMASUKAN'!$I$5:$I1181,'⬇️ PEMASUKAN'!$K$5:$K1181,,0,-1)</f>
        <v>K.ST - SESI TERAPI NEW</v>
      </c>
      <c r="F286" s="145" t="str">
        <f t="shared" si="2"/>
        <v>K.ST - SESI TERAPI NEW</v>
      </c>
      <c r="G286" s="145" t="str">
        <f t="shared" si="3"/>
        <v>CLOSING SESI</v>
      </c>
      <c r="H286" s="145" t="str">
        <f>IFERROR(__xludf.DUMMYFUNCTION("""COMPUTED_VALUE"""),"DESTY")</f>
        <v>DESTY</v>
      </c>
      <c r="I286" s="145" t="str">
        <f>IFERROR(__xludf.DUMMYFUNCTION("""COMPUTED_VALUE"""),"NOPI")</f>
        <v>NOPI</v>
      </c>
      <c r="J286" s="145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</row>
    <row r="287" ht="22.5" customHeight="1">
      <c r="A287" s="144">
        <f>IFERROR(__xludf.DUMMYFUNCTION("""COMPUTED_VALUE"""),46075.0)</f>
        <v>46075</v>
      </c>
      <c r="B287" s="145" t="str">
        <f t="shared" si="1"/>
        <v>02Feb</v>
      </c>
      <c r="C287" s="145" t="str">
        <f>IFERROR(__xludf.DUMMYFUNCTION("""COMPUTED_VALUE"""),"CENDY VIBRIAN")</f>
        <v>CENDY VIBRIAN</v>
      </c>
      <c r="D287" s="145">
        <f t="array" ref="D287">IFNA(XLOOKUP(C287,'👥 Daftar Nama Pasien'!$B$6:$B1181,'👥 Daftar Nama Pasien'!$D$6:$D1181),"")</f>
        <v>27</v>
      </c>
      <c r="E287" s="145" t="str">
        <f t="array" ref="E287">XLOOKUP(C287,'⬇️ PEMASUKAN'!$I$5:$I1181,'⬇️ PEMASUKAN'!$K$5:$K1181,,0,-1)</f>
        <v>K.TA - TERAPI AWAL</v>
      </c>
      <c r="F287" s="145" t="str">
        <f t="shared" si="2"/>
        <v>TIDAK CLOSING</v>
      </c>
      <c r="G287" s="145" t="str">
        <f t="shared" si="3"/>
        <v>TIDAK CLOSING</v>
      </c>
      <c r="H287" s="145" t="str">
        <f>IFERROR(__xludf.DUMMYFUNCTION("""COMPUTED_VALUE"""),"DESTY")</f>
        <v>DESTY</v>
      </c>
      <c r="I287" s="145" t="str">
        <f>IFERROR(__xludf.DUMMYFUNCTION("""COMPUTED_VALUE"""),"NOPI")</f>
        <v>NOPI</v>
      </c>
      <c r="J287" s="145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</row>
    <row r="288" ht="22.5" customHeight="1">
      <c r="A288" s="144">
        <f>IFERROR(__xludf.DUMMYFUNCTION("""COMPUTED_VALUE"""),46076.0)</f>
        <v>46076</v>
      </c>
      <c r="B288" s="145" t="str">
        <f t="shared" si="1"/>
        <v>02Feb</v>
      </c>
      <c r="C288" s="145" t="str">
        <f>IFERROR(__xludf.DUMMYFUNCTION("""COMPUTED_VALUE"""),"TJONG SAU CON")</f>
        <v>TJONG SAU CON</v>
      </c>
      <c r="D288" s="145">
        <f t="array" ref="D288">IFNA(XLOOKUP(C288,'👥 Daftar Nama Pasien'!$B$6:$B1181,'👥 Daftar Nama Pasien'!$D$6:$D1181),"")</f>
        <v>56</v>
      </c>
      <c r="E288" s="145" t="str">
        <f t="array" ref="E288">XLOOKUP(C288,'⬇️ PEMASUKAN'!$I$5:$I1181,'⬇️ PEMASUKAN'!$K$5:$K1181,,0,-1)</f>
        <v>K.TA - TERAPI AWAL</v>
      </c>
      <c r="F288" s="145" t="str">
        <f t="shared" si="2"/>
        <v>TIDAK CLOSING</v>
      </c>
      <c r="G288" s="145" t="str">
        <f t="shared" si="3"/>
        <v>TIDAK CLOSING</v>
      </c>
      <c r="H288" s="145" t="str">
        <f>IFERROR(__xludf.DUMMYFUNCTION("""COMPUTED_VALUE"""),"PRITY")</f>
        <v>PRITY</v>
      </c>
      <c r="I288" s="145" t="str">
        <f>IFERROR(__xludf.DUMMYFUNCTION("""COMPUTED_VALUE"""),"DHEA")</f>
        <v>DHEA</v>
      </c>
      <c r="J288" s="145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</row>
    <row r="289" ht="22.5" customHeight="1">
      <c r="A289" s="144">
        <f>IFERROR(__xludf.DUMMYFUNCTION("""COMPUTED_VALUE"""),46076.0)</f>
        <v>46076</v>
      </c>
      <c r="B289" s="145" t="str">
        <f t="shared" si="1"/>
        <v>02Feb</v>
      </c>
      <c r="C289" s="145" t="str">
        <f>IFERROR(__xludf.DUMMYFUNCTION("""COMPUTED_VALUE"""),"ALIONG")</f>
        <v>ALIONG</v>
      </c>
      <c r="D289" s="145">
        <f t="array" ref="D289">IFNA(XLOOKUP(C289,'👥 Daftar Nama Pasien'!$B$6:$B1181,'👥 Daftar Nama Pasien'!$D$6:$D1181),"")</f>
        <v>32</v>
      </c>
      <c r="E289" s="145" t="str">
        <f t="array" ref="E289">XLOOKUP(C289,'⬇️ PEMASUKAN'!$I$5:$I1181,'⬇️ PEMASUKAN'!$K$5:$K1181,,0,-1)</f>
        <v>K.TA - TERAPI AWAL</v>
      </c>
      <c r="F289" s="145" t="str">
        <f t="shared" si="2"/>
        <v>TIDAK CLOSING</v>
      </c>
      <c r="G289" s="145" t="str">
        <f t="shared" si="3"/>
        <v>TIDAK CLOSING</v>
      </c>
      <c r="H289" s="145" t="str">
        <f>IFERROR(__xludf.DUMMYFUNCTION("""COMPUTED_VALUE"""),"DESTY")</f>
        <v>DESTY</v>
      </c>
      <c r="I289" s="145" t="str">
        <f>IFERROR(__xludf.DUMMYFUNCTION("""COMPUTED_VALUE"""),"DHEA")</f>
        <v>DHEA</v>
      </c>
      <c r="J289" s="145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</row>
    <row r="290" ht="22.5" customHeight="1">
      <c r="A290" s="144">
        <f>IFERROR(__xludf.DUMMYFUNCTION("""COMPUTED_VALUE"""),46076.0)</f>
        <v>46076</v>
      </c>
      <c r="B290" s="145" t="str">
        <f t="shared" si="1"/>
        <v>02Feb</v>
      </c>
      <c r="C290" s="145" t="str">
        <f>IFERROR(__xludf.DUMMYFUNCTION("""COMPUTED_VALUE"""),"MUHAMAD TABSYIR")</f>
        <v>MUHAMAD TABSYIR</v>
      </c>
      <c r="D290" s="145">
        <f t="array" ref="D290">IFNA(XLOOKUP(C290,'👥 Daftar Nama Pasien'!$B$6:$B1181,'👥 Daftar Nama Pasien'!$D$6:$D1181),"")</f>
        <v>21</v>
      </c>
      <c r="E290" s="145" t="str">
        <f t="array" ref="E290">XLOOKUP(C290,'⬇️ PEMASUKAN'!$I$5:$I1181,'⬇️ PEMASUKAN'!$K$5:$K1181,,0,-1)</f>
        <v>K.TA - TERAPI AWAL</v>
      </c>
      <c r="F290" s="145" t="str">
        <f t="shared" si="2"/>
        <v>TIDAK CLOSING</v>
      </c>
      <c r="G290" s="145" t="str">
        <f t="shared" si="3"/>
        <v>TIDAK CLOSING</v>
      </c>
      <c r="H290" s="145" t="str">
        <f>IFERROR(__xludf.DUMMYFUNCTION("""COMPUTED_VALUE"""),"ORY")</f>
        <v>ORY</v>
      </c>
      <c r="I290" s="145" t="str">
        <f>IFERROR(__xludf.DUMMYFUNCTION("""COMPUTED_VALUE"""),"DHEA")</f>
        <v>DHEA</v>
      </c>
      <c r="J290" s="145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</row>
    <row r="291" ht="22.5" customHeight="1">
      <c r="A291" s="144">
        <f>IFERROR(__xludf.DUMMYFUNCTION("""COMPUTED_VALUE"""),46076.0)</f>
        <v>46076</v>
      </c>
      <c r="B291" s="145" t="str">
        <f t="shared" si="1"/>
        <v>02Feb</v>
      </c>
      <c r="C291" s="145" t="str">
        <f>IFERROR(__xludf.DUMMYFUNCTION("""COMPUTED_VALUE"""),"DWI MARUTO")</f>
        <v>DWI MARUTO</v>
      </c>
      <c r="D291" s="145">
        <f t="array" ref="D291">IFNA(XLOOKUP(C291,'👥 Daftar Nama Pasien'!$B$6:$B1181,'👥 Daftar Nama Pasien'!$D$6:$D1181),"")</f>
        <v>44</v>
      </c>
      <c r="E291" s="145" t="str">
        <f t="array" ref="E291">XLOOKUP(C291,'⬇️ PEMASUKAN'!$I$5:$I1181,'⬇️ PEMASUKAN'!$K$5:$K1181,,0,-1)</f>
        <v>K.TA - TERAPI AWAL</v>
      </c>
      <c r="F291" s="145" t="str">
        <f t="shared" si="2"/>
        <v>TIDAK CLOSING</v>
      </c>
      <c r="G291" s="145" t="str">
        <f t="shared" si="3"/>
        <v>TIDAK CLOSING</v>
      </c>
      <c r="H291" s="145" t="str">
        <f>IFERROR(__xludf.DUMMYFUNCTION("""COMPUTED_VALUE"""),"PRITY")</f>
        <v>PRITY</v>
      </c>
      <c r="I291" s="145" t="str">
        <f>IFERROR(__xludf.DUMMYFUNCTION("""COMPUTED_VALUE"""),"DHEA")</f>
        <v>DHEA</v>
      </c>
      <c r="J291" s="145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</row>
    <row r="292" ht="22.5" customHeight="1">
      <c r="A292" s="144">
        <f>IFERROR(__xludf.DUMMYFUNCTION("""COMPUTED_VALUE"""),46076.0)</f>
        <v>46076</v>
      </c>
      <c r="B292" s="145" t="str">
        <f t="shared" si="1"/>
        <v>02Feb</v>
      </c>
      <c r="C292" s="145" t="str">
        <f>IFERROR(__xludf.DUMMYFUNCTION("""COMPUTED_VALUE"""),"ISRI ULFAINI")</f>
        <v>ISRI ULFAINI</v>
      </c>
      <c r="D292" s="145">
        <f t="array" ref="D292">IFNA(XLOOKUP(C292,'👥 Daftar Nama Pasien'!$B$6:$B1181,'👥 Daftar Nama Pasien'!$D$6:$D1181),"")</f>
        <v>31</v>
      </c>
      <c r="E292" s="145" t="str">
        <f t="array" ref="E292">XLOOKUP(C292,'⬇️ PEMASUKAN'!$I$5:$I1181,'⬇️ PEMASUKAN'!$K$5:$K1181,,0,-1)</f>
        <v>K.TA - TERAPI AWAL</v>
      </c>
      <c r="F292" s="145" t="str">
        <f t="shared" si="2"/>
        <v>TIDAK CLOSING</v>
      </c>
      <c r="G292" s="145" t="str">
        <f t="shared" si="3"/>
        <v>TIDAK CLOSING</v>
      </c>
      <c r="H292" s="145" t="str">
        <f>IFERROR(__xludf.DUMMYFUNCTION("""COMPUTED_VALUE"""),"PUTRI")</f>
        <v>PUTRI</v>
      </c>
      <c r="I292" s="145" t="str">
        <f>IFERROR(__xludf.DUMMYFUNCTION("""COMPUTED_VALUE"""),"NOPI")</f>
        <v>NOPI</v>
      </c>
      <c r="J292" s="145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</row>
    <row r="293" ht="22.5" customHeight="1">
      <c r="A293" s="144">
        <f>IFERROR(__xludf.DUMMYFUNCTION("""COMPUTED_VALUE"""),46076.0)</f>
        <v>46076</v>
      </c>
      <c r="B293" s="145" t="str">
        <f t="shared" si="1"/>
        <v>02Feb</v>
      </c>
      <c r="C293" s="145" t="str">
        <f>IFERROR(__xludf.DUMMYFUNCTION("""COMPUTED_VALUE"""),"AYDA RIANI JOHAR")</f>
        <v>AYDA RIANI JOHAR</v>
      </c>
      <c r="D293" s="145">
        <f t="array" ref="D293">IFNA(XLOOKUP(C293,'👥 Daftar Nama Pasien'!$B$6:$B1181,'👥 Daftar Nama Pasien'!$D$6:$D1181),"")</f>
        <v>25</v>
      </c>
      <c r="E293" s="145" t="str">
        <f t="array" ref="E293">XLOOKUP(C293,'⬇️ PEMASUKAN'!$I$5:$I1181,'⬇️ PEMASUKAN'!$K$5:$K1181,,0,-1)</f>
        <v>K.TA - TERAPI AWAL</v>
      </c>
      <c r="F293" s="145" t="str">
        <f t="shared" si="2"/>
        <v>TIDAK CLOSING</v>
      </c>
      <c r="G293" s="145" t="str">
        <f t="shared" si="3"/>
        <v>TIDAK CLOSING</v>
      </c>
      <c r="H293" s="145" t="str">
        <f>IFERROR(__xludf.DUMMYFUNCTION("""COMPUTED_VALUE"""),"PUTRI")</f>
        <v>PUTRI</v>
      </c>
      <c r="I293" s="145" t="str">
        <f>IFERROR(__xludf.DUMMYFUNCTION("""COMPUTED_VALUE"""),"NOPI")</f>
        <v>NOPI</v>
      </c>
      <c r="J293" s="145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</row>
    <row r="294" ht="22.5" customHeight="1">
      <c r="A294" s="144">
        <f>IFERROR(__xludf.DUMMYFUNCTION("""COMPUTED_VALUE"""),46077.0)</f>
        <v>46077</v>
      </c>
      <c r="B294" s="145" t="str">
        <f t="shared" si="1"/>
        <v>02Feb</v>
      </c>
      <c r="C294" s="145" t="str">
        <f>IFERROR(__xludf.DUMMYFUNCTION("""COMPUTED_VALUE"""),"ERWIN, ST ")</f>
        <v>ERWIN, ST </v>
      </c>
      <c r="D294" s="145">
        <f t="array" ref="D294">IFNA(XLOOKUP(C294,'👥 Daftar Nama Pasien'!$B$6:$B1181,'👥 Daftar Nama Pasien'!$D$6:$D1181),"")</f>
        <v>65</v>
      </c>
      <c r="E294" s="145" t="str">
        <f t="array" ref="E294">XLOOKUP(C294,'⬇️ PEMASUKAN'!$I$5:$I1181,'⬇️ PEMASUKAN'!$K$5:$K1181,,0,-1)</f>
        <v>K.TA - TERAPI AWAL</v>
      </c>
      <c r="F294" s="145" t="str">
        <f t="shared" si="2"/>
        <v>TIDAK CLOSING</v>
      </c>
      <c r="G294" s="145" t="str">
        <f t="shared" si="3"/>
        <v>TIDAK CLOSING</v>
      </c>
      <c r="H294" s="145" t="str">
        <f>IFERROR(__xludf.DUMMYFUNCTION("""COMPUTED_VALUE"""),"WAHYU")</f>
        <v>WAHYU</v>
      </c>
      <c r="I294" s="145" t="str">
        <f>IFERROR(__xludf.DUMMYFUNCTION("""COMPUTED_VALUE"""),"DHEA")</f>
        <v>DHEA</v>
      </c>
      <c r="J294" s="145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</row>
    <row r="295" ht="22.5" customHeight="1">
      <c r="A295" s="144">
        <f>IFERROR(__xludf.DUMMYFUNCTION("""COMPUTED_VALUE"""),46077.0)</f>
        <v>46077</v>
      </c>
      <c r="B295" s="145" t="str">
        <f t="shared" si="1"/>
        <v>02Feb</v>
      </c>
      <c r="C295" s="145" t="str">
        <f>IFERROR(__xludf.DUMMYFUNCTION("""COMPUTED_VALUE"""),"WARDOYO 8804")</f>
        <v>WARDOYO 8804</v>
      </c>
      <c r="D295" s="145">
        <f t="array" ref="D295">IFNA(XLOOKUP(C295,'👥 Daftar Nama Pasien'!$B$6:$B1181,'👥 Daftar Nama Pasien'!$D$6:$D1181),"")</f>
        <v>38</v>
      </c>
      <c r="E295" s="145" t="str">
        <f t="array" ref="E295">XLOOKUP(C295,'⬇️ PEMASUKAN'!$I$5:$I1181,'⬇️ PEMASUKAN'!$K$5:$K1181,,0,-1)</f>
        <v>K.TA - TERAPI AWAL</v>
      </c>
      <c r="F295" s="145" t="str">
        <f t="shared" si="2"/>
        <v>TIDAK CLOSING</v>
      </c>
      <c r="G295" s="145" t="str">
        <f t="shared" si="3"/>
        <v>TIDAK CLOSING</v>
      </c>
      <c r="H295" s="145" t="str">
        <f>IFERROR(__xludf.DUMMYFUNCTION("""COMPUTED_VALUE"""),"WAHYU")</f>
        <v>WAHYU</v>
      </c>
      <c r="I295" s="145" t="str">
        <f>IFERROR(__xludf.DUMMYFUNCTION("""COMPUTED_VALUE"""),"DHEA")</f>
        <v>DHEA</v>
      </c>
      <c r="J295" s="145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</row>
    <row r="296" ht="22.5" customHeight="1">
      <c r="A296" s="144">
        <f>IFERROR(__xludf.DUMMYFUNCTION("""COMPUTED_VALUE"""),46077.0)</f>
        <v>46077</v>
      </c>
      <c r="B296" s="145" t="str">
        <f t="shared" si="1"/>
        <v>02Feb</v>
      </c>
      <c r="C296" s="145" t="str">
        <f>IFERROR(__xludf.DUMMYFUNCTION("""COMPUTED_VALUE"""),"JOKO AKBAR")</f>
        <v>JOKO AKBAR</v>
      </c>
      <c r="D296" s="145">
        <f t="array" ref="D296">IFNA(XLOOKUP(C296,'👥 Daftar Nama Pasien'!$B$6:$B1181,'👥 Daftar Nama Pasien'!$D$6:$D1181),"")</f>
        <v>32</v>
      </c>
      <c r="E296" s="145" t="str">
        <f t="array" ref="E296">XLOOKUP(C296,'⬇️ PEMASUKAN'!$I$5:$I1181,'⬇️ PEMASUKAN'!$K$5:$K1181,,0,-1)</f>
        <v>K.TA - TERAPI AWAL</v>
      </c>
      <c r="F296" s="145" t="str">
        <f t="shared" si="2"/>
        <v>TIDAK CLOSING</v>
      </c>
      <c r="G296" s="145" t="str">
        <f t="shared" si="3"/>
        <v>TIDAK CLOSING</v>
      </c>
      <c r="H296" s="145" t="str">
        <f>IFERROR(__xludf.DUMMYFUNCTION("""COMPUTED_VALUE"""),"WAHYU")</f>
        <v>WAHYU</v>
      </c>
      <c r="I296" s="145" t="str">
        <f>IFERROR(__xludf.DUMMYFUNCTION("""COMPUTED_VALUE"""),"DHEA")</f>
        <v>DHEA</v>
      </c>
      <c r="J296" s="145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</row>
    <row r="297" ht="22.5" customHeight="1">
      <c r="A297" s="144">
        <f>IFERROR(__xludf.DUMMYFUNCTION("""COMPUTED_VALUE"""),46077.0)</f>
        <v>46077</v>
      </c>
      <c r="B297" s="145" t="str">
        <f t="shared" si="1"/>
        <v>02Feb</v>
      </c>
      <c r="C297" s="145" t="str">
        <f>IFERROR(__xludf.DUMMYFUNCTION("""COMPUTED_VALUE"""),"SANTY RIA TJHIE")</f>
        <v>SANTY RIA TJHIE</v>
      </c>
      <c r="D297" s="145">
        <f t="array" ref="D297">IFNA(XLOOKUP(C297,'👥 Daftar Nama Pasien'!$B$6:$B1181,'👥 Daftar Nama Pasien'!$D$6:$D1181),"")</f>
        <v>71</v>
      </c>
      <c r="E297" s="145" t="str">
        <f t="array" ref="E297">XLOOKUP(C297,'⬇️ PEMASUKAN'!$I$5:$I1181,'⬇️ PEMASUKAN'!$K$5:$K1181,,0,-1)</f>
        <v>K.PT - PAKET SILVER</v>
      </c>
      <c r="F297" s="145" t="str">
        <f t="shared" si="2"/>
        <v>K.PT - PAKET SILVER</v>
      </c>
      <c r="G297" s="145" t="str">
        <f t="shared" si="3"/>
        <v>CLOSING PAKET</v>
      </c>
      <c r="H297" s="145" t="str">
        <f>IFERROR(__xludf.DUMMYFUNCTION("""COMPUTED_VALUE"""),"PUTRI")</f>
        <v>PUTRI</v>
      </c>
      <c r="I297" s="145" t="str">
        <f>IFERROR(__xludf.DUMMYFUNCTION("""COMPUTED_VALUE"""),"DHEA")</f>
        <v>DHEA</v>
      </c>
      <c r="J297" s="145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</row>
    <row r="298" ht="22.5" customHeight="1">
      <c r="A298" s="144">
        <f>IFERROR(__xludf.DUMMYFUNCTION("""COMPUTED_VALUE"""),46077.0)</f>
        <v>46077</v>
      </c>
      <c r="B298" s="145" t="str">
        <f t="shared" si="1"/>
        <v>02Feb</v>
      </c>
      <c r="C298" s="145" t="str">
        <f>IFERROR(__xludf.DUMMYFUNCTION("""COMPUTED_VALUE"""),"ISFANDIAR, ST . MT")</f>
        <v>ISFANDIAR, ST . MT</v>
      </c>
      <c r="D298" s="145">
        <f t="array" ref="D298">IFNA(XLOOKUP(C298,'👥 Daftar Nama Pasien'!$B$6:$B1181,'👥 Daftar Nama Pasien'!$D$6:$D1181),"")</f>
        <v>47</v>
      </c>
      <c r="E298" s="145" t="str">
        <f t="array" ref="E298">XLOOKUP(C298,'⬇️ PEMASUKAN'!$I$5:$I1181,'⬇️ PEMASUKAN'!$K$5:$K1181,,0,-1)</f>
        <v>K.TA - TERAPI AWAL</v>
      </c>
      <c r="F298" s="145" t="str">
        <f t="shared" si="2"/>
        <v>TIDAK CLOSING</v>
      </c>
      <c r="G298" s="145" t="str">
        <f t="shared" si="3"/>
        <v>TIDAK CLOSING</v>
      </c>
      <c r="H298" s="145" t="str">
        <f>IFERROR(__xludf.DUMMYFUNCTION("""COMPUTED_VALUE"""),"AUL")</f>
        <v>AUL</v>
      </c>
      <c r="I298" s="145" t="str">
        <f>IFERROR(__xludf.DUMMYFUNCTION("""COMPUTED_VALUE"""),"NOPI")</f>
        <v>NOPI</v>
      </c>
      <c r="J298" s="145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</row>
    <row r="299" ht="22.5" customHeight="1">
      <c r="A299" s="144">
        <f>IFERROR(__xludf.DUMMYFUNCTION("""COMPUTED_VALUE"""),46077.0)</f>
        <v>46077</v>
      </c>
      <c r="B299" s="145" t="str">
        <f t="shared" si="1"/>
        <v>02Feb</v>
      </c>
      <c r="C299" s="145" t="str">
        <f>IFERROR(__xludf.DUMMYFUNCTION("""COMPUTED_VALUE"""),"FERNANDO NG")</f>
        <v>FERNANDO NG</v>
      </c>
      <c r="D299" s="145">
        <f t="array" ref="D299">IFNA(XLOOKUP(C299,'👥 Daftar Nama Pasien'!$B$6:$B1181,'👥 Daftar Nama Pasien'!$D$6:$D1181),"")</f>
        <v>26</v>
      </c>
      <c r="E299" s="145" t="str">
        <f t="array" ref="E299">XLOOKUP(C299,'⬇️ PEMASUKAN'!$I$5:$I1181,'⬇️ PEMASUKAN'!$K$5:$K1181,,0,-1)</f>
        <v>K.ST - SESI TERAPI NEW</v>
      </c>
      <c r="F299" s="145" t="str">
        <f t="shared" si="2"/>
        <v>K.ST - SESI TERAPI NEW</v>
      </c>
      <c r="G299" s="145" t="str">
        <f t="shared" si="3"/>
        <v>CLOSING SESI</v>
      </c>
      <c r="H299" s="145" t="str">
        <f>IFERROR(__xludf.DUMMYFUNCTION("""COMPUTED_VALUE"""),"AUL")</f>
        <v>AUL</v>
      </c>
      <c r="I299" s="145" t="str">
        <f>IFERROR(__xludf.DUMMYFUNCTION("""COMPUTED_VALUE"""),"NOPI")</f>
        <v>NOPI</v>
      </c>
      <c r="J299" s="145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</row>
    <row r="300" ht="22.5" customHeight="1">
      <c r="A300" s="144">
        <f>IFERROR(__xludf.DUMMYFUNCTION("""COMPUTED_VALUE"""),46077.0)</f>
        <v>46077</v>
      </c>
      <c r="B300" s="145" t="str">
        <f t="shared" si="1"/>
        <v>02Feb</v>
      </c>
      <c r="C300" s="145" t="str">
        <f>IFERROR(__xludf.DUMMYFUNCTION("""COMPUTED_VALUE"""),"EDI SUDIANDI")</f>
        <v>EDI SUDIANDI</v>
      </c>
      <c r="D300" s="145">
        <f t="array" ref="D300">IFNA(XLOOKUP(C300,'👥 Daftar Nama Pasien'!$B$6:$B1181,'👥 Daftar Nama Pasien'!$D$6:$D1181),"")</f>
        <v>24</v>
      </c>
      <c r="E300" s="145" t="str">
        <f t="array" ref="E300">XLOOKUP(C300,'⬇️ PEMASUKAN'!$I$5:$I1181,'⬇️ PEMASUKAN'!$K$5:$K1181,,0,-1)</f>
        <v>K.TA - TERAPI AWAL</v>
      </c>
      <c r="F300" s="145" t="str">
        <f t="shared" si="2"/>
        <v>TIDAK CLOSING</v>
      </c>
      <c r="G300" s="145" t="str">
        <f t="shared" si="3"/>
        <v>TIDAK CLOSING</v>
      </c>
      <c r="H300" s="145" t="str">
        <f>IFERROR(__xludf.DUMMYFUNCTION("""COMPUTED_VALUE"""),"ORY")</f>
        <v>ORY</v>
      </c>
      <c r="I300" s="145" t="str">
        <f>IFERROR(__xludf.DUMMYFUNCTION("""COMPUTED_VALUE"""),"NOPI")</f>
        <v>NOPI</v>
      </c>
      <c r="J300" s="145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</row>
    <row r="301" ht="22.5" customHeight="1">
      <c r="A301" s="144">
        <f>IFERROR(__xludf.DUMMYFUNCTION("""COMPUTED_VALUE"""),46077.0)</f>
        <v>46077</v>
      </c>
      <c r="B301" s="145" t="str">
        <f t="shared" si="1"/>
        <v>02Feb</v>
      </c>
      <c r="C301" s="145" t="str">
        <f>IFERROR(__xludf.DUMMYFUNCTION("""COMPUTED_VALUE"""),"LIVI")</f>
        <v>LIVI</v>
      </c>
      <c r="D301" s="145">
        <f t="array" ref="D301">IFNA(XLOOKUP(C301,'👥 Daftar Nama Pasien'!$B$6:$B1181,'👥 Daftar Nama Pasien'!$D$6:$D1181),"")</f>
        <v>18</v>
      </c>
      <c r="E301" s="145" t="str">
        <f t="array" ref="E301">XLOOKUP(C301,'⬇️ PEMASUKAN'!$I$5:$I1181,'⬇️ PEMASUKAN'!$K$5:$K1181,,0,-1)</f>
        <v>K.PT - PAKET GOLD</v>
      </c>
      <c r="F301" s="145" t="str">
        <f t="shared" si="2"/>
        <v>K.PT - PAKET GOLD</v>
      </c>
      <c r="G301" s="145" t="str">
        <f t="shared" si="3"/>
        <v>CLOSING PAKET</v>
      </c>
      <c r="H301" s="145" t="str">
        <f>IFERROR(__xludf.DUMMYFUNCTION("""COMPUTED_VALUE"""),"AUL")</f>
        <v>AUL</v>
      </c>
      <c r="I301" s="145" t="str">
        <f>IFERROR(__xludf.DUMMYFUNCTION("""COMPUTED_VALUE"""),"NOPI")</f>
        <v>NOPI</v>
      </c>
      <c r="J301" s="145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</row>
    <row r="302" ht="22.5" customHeight="1">
      <c r="A302" s="144">
        <f>IFERROR(__xludf.DUMMYFUNCTION("""COMPUTED_VALUE"""),46078.0)</f>
        <v>46078</v>
      </c>
      <c r="B302" s="145" t="str">
        <f t="shared" si="1"/>
        <v>02Feb</v>
      </c>
      <c r="C302" s="145" t="str">
        <f>IFERROR(__xludf.DUMMYFUNCTION("""COMPUTED_VALUE"""),"RYAN PRAMIKA")</f>
        <v>RYAN PRAMIKA</v>
      </c>
      <c r="D302" s="145">
        <f t="array" ref="D302">IFNA(XLOOKUP(C302,'👥 Daftar Nama Pasien'!$B$6:$B1181,'👥 Daftar Nama Pasien'!$D$6:$D1181),"")</f>
        <v>35</v>
      </c>
      <c r="E302" s="145" t="str">
        <f t="array" ref="E302">XLOOKUP(C302,'⬇️ PEMASUKAN'!$I$5:$I1181,'⬇️ PEMASUKAN'!$K$5:$K1181,,0,-1)</f>
        <v>K.PT - PAKET PLATINUM</v>
      </c>
      <c r="F302" s="145" t="str">
        <f t="shared" si="2"/>
        <v>K.PT - PAKET PLATINUM</v>
      </c>
      <c r="G302" s="145" t="str">
        <f t="shared" si="3"/>
        <v>CLOSING PAKET</v>
      </c>
      <c r="H302" s="145" t="str">
        <f>IFERROR(__xludf.DUMMYFUNCTION("""COMPUTED_VALUE"""),"WAHYU")</f>
        <v>WAHYU</v>
      </c>
      <c r="I302" s="145" t="str">
        <f>IFERROR(__xludf.DUMMYFUNCTION("""COMPUTED_VALUE"""),"NOPI")</f>
        <v>NOPI</v>
      </c>
      <c r="J302" s="145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</row>
    <row r="303" ht="22.5" customHeight="1">
      <c r="A303" s="144">
        <f>IFERROR(__xludf.DUMMYFUNCTION("""COMPUTED_VALUE"""),46078.0)</f>
        <v>46078</v>
      </c>
      <c r="B303" s="145" t="str">
        <f t="shared" si="1"/>
        <v>02Feb</v>
      </c>
      <c r="C303" s="145" t="str">
        <f>IFERROR(__xludf.DUMMYFUNCTION("""COMPUTED_VALUE"""),"ABDULLAH SYAKUR ")</f>
        <v>ABDULLAH SYAKUR </v>
      </c>
      <c r="D303" s="145">
        <f t="array" ref="D303">IFNA(XLOOKUP(C303,'👥 Daftar Nama Pasien'!$B$6:$B1181,'👥 Daftar Nama Pasien'!$D$6:$D1181),"")</f>
        <v>21</v>
      </c>
      <c r="E303" s="145" t="str">
        <f t="array" ref="E303">XLOOKUP(C303,'⬇️ PEMASUKAN'!$I$5:$I1181,'⬇️ PEMASUKAN'!$K$5:$K1181,,0,-1)</f>
        <v>K.TA - TERAPI AWAL</v>
      </c>
      <c r="F303" s="145" t="str">
        <f t="shared" si="2"/>
        <v>TIDAK CLOSING</v>
      </c>
      <c r="G303" s="145" t="str">
        <f t="shared" si="3"/>
        <v>TIDAK CLOSING</v>
      </c>
      <c r="H303" s="145" t="str">
        <f>IFERROR(__xludf.DUMMYFUNCTION("""COMPUTED_VALUE"""),"WAHYU")</f>
        <v>WAHYU</v>
      </c>
      <c r="I303" s="145" t="str">
        <f>IFERROR(__xludf.DUMMYFUNCTION("""COMPUTED_VALUE"""),"NOPI")</f>
        <v>NOPI</v>
      </c>
      <c r="J303" s="145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</row>
    <row r="304" ht="22.5" customHeight="1">
      <c r="A304" s="144">
        <f>IFERROR(__xludf.DUMMYFUNCTION("""COMPUTED_VALUE"""),46078.0)</f>
        <v>46078</v>
      </c>
      <c r="B304" s="145" t="str">
        <f t="shared" si="1"/>
        <v>02Feb</v>
      </c>
      <c r="C304" s="145" t="str">
        <f>IFERROR(__xludf.DUMMYFUNCTION("""COMPUTED_VALUE"""),"RITA RUMIATI")</f>
        <v>RITA RUMIATI</v>
      </c>
      <c r="D304" s="145">
        <f t="array" ref="D304">IFNA(XLOOKUP(C304,'👥 Daftar Nama Pasien'!$B$6:$B1181,'👥 Daftar Nama Pasien'!$D$6:$D1181),"")</f>
        <v>51</v>
      </c>
      <c r="E304" s="145" t="str">
        <f t="array" ref="E304">XLOOKUP(C304,'⬇️ PEMASUKAN'!$I$5:$I1181,'⬇️ PEMASUKAN'!$K$5:$K1181,,0,-1)</f>
        <v>K.ST - SESI TERAPI NEW</v>
      </c>
      <c r="F304" s="145" t="str">
        <f t="shared" si="2"/>
        <v>K.ST - SESI TERAPI NEW</v>
      </c>
      <c r="G304" s="145" t="str">
        <f t="shared" si="3"/>
        <v>CLOSING SESI</v>
      </c>
      <c r="H304" s="145" t="str">
        <f>IFERROR(__xludf.DUMMYFUNCTION("""COMPUTED_VALUE"""),"HENA")</f>
        <v>HENA</v>
      </c>
      <c r="I304" s="145" t="str">
        <f>IFERROR(__xludf.DUMMYFUNCTION("""COMPUTED_VALUE"""),"NOPI")</f>
        <v>NOPI</v>
      </c>
      <c r="J304" s="145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</row>
    <row r="305" ht="22.5" customHeight="1">
      <c r="A305" s="144">
        <f>IFERROR(__xludf.DUMMYFUNCTION("""COMPUTED_VALUE"""),46078.0)</f>
        <v>46078</v>
      </c>
      <c r="B305" s="145" t="str">
        <f t="shared" si="1"/>
        <v>02Feb</v>
      </c>
      <c r="C305" s="145" t="str">
        <f>IFERROR(__xludf.DUMMYFUNCTION("""COMPUTED_VALUE"""),"RESTI DEWANTARI")</f>
        <v>RESTI DEWANTARI</v>
      </c>
      <c r="D305" s="145">
        <f t="array" ref="D305">IFNA(XLOOKUP(C305,'👥 Daftar Nama Pasien'!$B$6:$B1181,'👥 Daftar Nama Pasien'!$D$6:$D1181),"")</f>
        <v>29</v>
      </c>
      <c r="E305" s="145" t="str">
        <f t="array" ref="E305">XLOOKUP(C305,'⬇️ PEMASUKAN'!$I$5:$I1181,'⬇️ PEMASUKAN'!$K$5:$K1181,,0,-1)</f>
        <v>K.TA - TERAPI AWAL</v>
      </c>
      <c r="F305" s="145" t="str">
        <f t="shared" si="2"/>
        <v>TIDAK CLOSING</v>
      </c>
      <c r="G305" s="145" t="str">
        <f t="shared" si="3"/>
        <v>TIDAK CLOSING</v>
      </c>
      <c r="H305" s="145" t="str">
        <f>IFERROR(__xludf.DUMMYFUNCTION("""COMPUTED_VALUE"""),"PRITY")</f>
        <v>PRITY</v>
      </c>
      <c r="I305" s="145" t="str">
        <f>IFERROR(__xludf.DUMMYFUNCTION("""COMPUTED_VALUE"""),"DHEA")</f>
        <v>DHEA</v>
      </c>
      <c r="J305" s="145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</row>
    <row r="306" ht="22.5" customHeight="1">
      <c r="A306" s="144">
        <f>IFERROR(__xludf.DUMMYFUNCTION("""COMPUTED_VALUE"""),46079.0)</f>
        <v>46079</v>
      </c>
      <c r="B306" s="145" t="str">
        <f t="shared" si="1"/>
        <v>02Feb</v>
      </c>
      <c r="C306" s="145" t="str">
        <f>IFERROR(__xludf.DUMMYFUNCTION("""COMPUTED_VALUE"""),"H.W. MANSOR ANDI MULIA")</f>
        <v>H.W. MANSOR ANDI MULIA</v>
      </c>
      <c r="D306" s="145">
        <f t="array" ref="D306">IFNA(XLOOKUP(C306,'👥 Daftar Nama Pasien'!$B$6:$B1181,'👥 Daftar Nama Pasien'!$D$6:$D1181),"")</f>
        <v>63</v>
      </c>
      <c r="E306" s="145" t="str">
        <f t="array" ref="E306">XLOOKUP(C306,'⬇️ PEMASUKAN'!$I$5:$I1181,'⬇️ PEMASUKAN'!$K$5:$K1181,,0,-1)</f>
        <v>K.TA - TERAPI AWAL</v>
      </c>
      <c r="F306" s="145" t="str">
        <f t="shared" si="2"/>
        <v>TIDAK CLOSING</v>
      </c>
      <c r="G306" s="145" t="str">
        <f t="shared" si="3"/>
        <v>TIDAK CLOSING</v>
      </c>
      <c r="H306" s="145" t="str">
        <f>IFERROR(__xludf.DUMMYFUNCTION("""COMPUTED_VALUE"""),"ORY")</f>
        <v>ORY</v>
      </c>
      <c r="I306" s="145" t="str">
        <f>IFERROR(__xludf.DUMMYFUNCTION("""COMPUTED_VALUE"""),"DHEA")</f>
        <v>DHEA</v>
      </c>
      <c r="J306" s="145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</row>
    <row r="307" ht="22.5" customHeight="1">
      <c r="A307" s="144">
        <f>IFERROR(__xludf.DUMMYFUNCTION("""COMPUTED_VALUE"""),46079.0)</f>
        <v>46079</v>
      </c>
      <c r="B307" s="145" t="str">
        <f t="shared" si="1"/>
        <v>02Feb</v>
      </c>
      <c r="C307" s="145" t="str">
        <f>IFERROR(__xludf.DUMMYFUNCTION("""COMPUTED_VALUE"""),"MURTINI")</f>
        <v>MURTINI</v>
      </c>
      <c r="D307" s="145">
        <f t="array" ref="D307">IFNA(XLOOKUP(C307,'👥 Daftar Nama Pasien'!$B$6:$B1181,'👥 Daftar Nama Pasien'!$D$6:$D1181),"")</f>
        <v>45</v>
      </c>
      <c r="E307" s="145" t="str">
        <f t="array" ref="E307">XLOOKUP(C307,'⬇️ PEMASUKAN'!$I$5:$I1181,'⬇️ PEMASUKAN'!$K$5:$K1181,,0,-1)</f>
        <v>K.TA - TERAPI AWAL</v>
      </c>
      <c r="F307" s="145" t="str">
        <f t="shared" si="2"/>
        <v>TIDAK CLOSING</v>
      </c>
      <c r="G307" s="145" t="str">
        <f t="shared" si="3"/>
        <v>TIDAK CLOSING</v>
      </c>
      <c r="H307" s="145" t="str">
        <f>IFERROR(__xludf.DUMMYFUNCTION("""COMPUTED_VALUE"""),"PRITY")</f>
        <v>PRITY</v>
      </c>
      <c r="I307" s="145" t="str">
        <f>IFERROR(__xludf.DUMMYFUNCTION("""COMPUTED_VALUE"""),"DHEA")</f>
        <v>DHEA</v>
      </c>
      <c r="J307" s="145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</row>
    <row r="308" ht="22.5" customHeight="1">
      <c r="A308" s="144">
        <f>IFERROR(__xludf.DUMMYFUNCTION("""COMPUTED_VALUE"""),46079.0)</f>
        <v>46079</v>
      </c>
      <c r="B308" s="145" t="str">
        <f t="shared" si="1"/>
        <v>02Feb</v>
      </c>
      <c r="C308" s="145" t="str">
        <f>IFERROR(__xludf.DUMMYFUNCTION("""COMPUTED_VALUE"""),"LIAU NYUK HIONG")</f>
        <v>LIAU NYUK HIONG</v>
      </c>
      <c r="D308" s="145">
        <f t="array" ref="D308">IFNA(XLOOKUP(C308,'👥 Daftar Nama Pasien'!$B$6:$B1181,'👥 Daftar Nama Pasien'!$D$6:$D1181),"")</f>
        <v>93</v>
      </c>
      <c r="E308" s="145" t="str">
        <f t="array" ref="E308">XLOOKUP(C308,'⬇️ PEMASUKAN'!$I$5:$I1181,'⬇️ PEMASUKAN'!$K$5:$K1181,,0,-1)</f>
        <v>K.TA - TERAPI AWAL</v>
      </c>
      <c r="F308" s="145" t="str">
        <f t="shared" si="2"/>
        <v>TIDAK CLOSING</v>
      </c>
      <c r="G308" s="145" t="str">
        <f t="shared" si="3"/>
        <v>TIDAK CLOSING</v>
      </c>
      <c r="H308" s="145" t="str">
        <f>IFERROR(__xludf.DUMMYFUNCTION("""COMPUTED_VALUE"""),"HENA")</f>
        <v>HENA</v>
      </c>
      <c r="I308" s="145" t="str">
        <f>IFERROR(__xludf.DUMMYFUNCTION("""COMPUTED_VALUE"""),"NOPI")</f>
        <v>NOPI</v>
      </c>
      <c r="J308" s="145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</row>
    <row r="309" ht="22.5" customHeight="1">
      <c r="A309" s="144">
        <f>IFERROR(__xludf.DUMMYFUNCTION("""COMPUTED_VALUE"""),46079.0)</f>
        <v>46079</v>
      </c>
      <c r="B309" s="145" t="str">
        <f t="shared" si="1"/>
        <v>02Feb</v>
      </c>
      <c r="C309" s="145" t="str">
        <f>IFERROR(__xludf.DUMMYFUNCTION("""COMPUTED_VALUE"""),"LAETITIA LAURA")</f>
        <v>LAETITIA LAURA</v>
      </c>
      <c r="D309" s="145">
        <f t="array" ref="D309">IFNA(XLOOKUP(C309,'👥 Daftar Nama Pasien'!$B$6:$B1181,'👥 Daftar Nama Pasien'!$D$6:$D1181),"")</f>
        <v>33</v>
      </c>
      <c r="E309" s="145" t="str">
        <f t="array" ref="E309">XLOOKUP(C309,'⬇️ PEMASUKAN'!$I$5:$I1181,'⬇️ PEMASUKAN'!$K$5:$K1181,,0,-1)</f>
        <v>K.ST - SESI TERAPI NEW</v>
      </c>
      <c r="F309" s="145" t="str">
        <f t="shared" si="2"/>
        <v>K.ST - SESI TERAPI NEW</v>
      </c>
      <c r="G309" s="145" t="str">
        <f t="shared" si="3"/>
        <v>CLOSING SESI</v>
      </c>
      <c r="H309" s="145" t="str">
        <f>IFERROR(__xludf.DUMMYFUNCTION("""COMPUTED_VALUE"""),"PUTRI")</f>
        <v>PUTRI</v>
      </c>
      <c r="I309" s="145" t="str">
        <f>IFERROR(__xludf.DUMMYFUNCTION("""COMPUTED_VALUE"""),"NOPI")</f>
        <v>NOPI</v>
      </c>
      <c r="J309" s="145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</row>
    <row r="310" ht="22.5" customHeight="1">
      <c r="A310" s="144">
        <f>IFERROR(__xludf.DUMMYFUNCTION("""COMPUTED_VALUE"""),46080.0)</f>
        <v>46080</v>
      </c>
      <c r="B310" s="145" t="str">
        <f t="shared" si="1"/>
        <v>02Feb</v>
      </c>
      <c r="C310" s="145" t="str">
        <f>IFERROR(__xludf.DUMMYFUNCTION("""COMPUTED_VALUE"""),"SITI HADIJAH 5806")</f>
        <v>SITI HADIJAH 5806</v>
      </c>
      <c r="D310" s="145">
        <f t="array" ref="D310">IFNA(XLOOKUP(C310,'👥 Daftar Nama Pasien'!$B$6:$B1181,'👥 Daftar Nama Pasien'!$D$6:$D1181),"")</f>
        <v>68</v>
      </c>
      <c r="E310" s="145" t="str">
        <f t="array" ref="E310">XLOOKUP(C310,'⬇️ PEMASUKAN'!$I$5:$I1181,'⬇️ PEMASUKAN'!$K$5:$K1181,,0,-1)</f>
        <v>K.TA - TERAPI AWAL</v>
      </c>
      <c r="F310" s="145" t="str">
        <f t="shared" si="2"/>
        <v>TIDAK CLOSING</v>
      </c>
      <c r="G310" s="145" t="str">
        <f t="shared" si="3"/>
        <v>TIDAK CLOSING</v>
      </c>
      <c r="H310" s="145" t="str">
        <f>IFERROR(__xludf.DUMMYFUNCTION("""COMPUTED_VALUE"""),"HESTI")</f>
        <v>HESTI</v>
      </c>
      <c r="I310" s="145" t="str">
        <f>IFERROR(__xludf.DUMMYFUNCTION("""COMPUTED_VALUE"""),"NOPI")</f>
        <v>NOPI</v>
      </c>
      <c r="J310" s="145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</row>
    <row r="311" ht="22.5" customHeight="1">
      <c r="A311" s="144">
        <f>IFERROR(__xludf.DUMMYFUNCTION("""COMPUTED_VALUE"""),46081.0)</f>
        <v>46081</v>
      </c>
      <c r="B311" s="145" t="str">
        <f t="shared" si="1"/>
        <v>02Feb</v>
      </c>
      <c r="C311" s="145" t="str">
        <f>IFERROR(__xludf.DUMMYFUNCTION("""COMPUTED_VALUE"""),"SRI ROEHANI")</f>
        <v>SRI ROEHANI</v>
      </c>
      <c r="D311" s="145">
        <f t="array" ref="D311">IFNA(XLOOKUP(C311,'👥 Daftar Nama Pasien'!$B$6:$B1181,'👥 Daftar Nama Pasien'!$D$6:$D1181),"")</f>
        <v>38</v>
      </c>
      <c r="E311" s="145" t="str">
        <f t="array" ref="E311">XLOOKUP(C311,'⬇️ PEMASUKAN'!$I$5:$I1181,'⬇️ PEMASUKAN'!$K$5:$K1181,,0,-1)</f>
        <v>K.TA - TERAPI AWAL</v>
      </c>
      <c r="F311" s="145" t="str">
        <f t="shared" si="2"/>
        <v>TIDAK CLOSING</v>
      </c>
      <c r="G311" s="145" t="str">
        <f t="shared" si="3"/>
        <v>TIDAK CLOSING</v>
      </c>
      <c r="H311" s="145" t="str">
        <f>IFERROR(__xludf.DUMMYFUNCTION("""COMPUTED_VALUE"""),"OKTA")</f>
        <v>OKTA</v>
      </c>
      <c r="I311" s="145" t="str">
        <f>IFERROR(__xludf.DUMMYFUNCTION("""COMPUTED_VALUE"""),"SUCI")</f>
        <v>SUCI</v>
      </c>
      <c r="J311" s="145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</row>
    <row r="312" ht="22.5" customHeight="1">
      <c r="A312" s="144">
        <f>IFERROR(__xludf.DUMMYFUNCTION("""COMPUTED_VALUE"""),46081.0)</f>
        <v>46081</v>
      </c>
      <c r="B312" s="145" t="str">
        <f t="shared" si="1"/>
        <v>02Feb</v>
      </c>
      <c r="C312" s="145" t="str">
        <f>IFERROR(__xludf.DUMMYFUNCTION("""COMPUTED_VALUE"""),"ARBIAN OCTORA")</f>
        <v>ARBIAN OCTORA</v>
      </c>
      <c r="D312" s="145">
        <f t="array" ref="D312">IFNA(XLOOKUP(C312,'👥 Daftar Nama Pasien'!$B$6:$B1181,'👥 Daftar Nama Pasien'!$D$6:$D1181),"")</f>
        <v>45</v>
      </c>
      <c r="E312" s="145" t="str">
        <f t="array" ref="E312">XLOOKUP(C312,'⬇️ PEMASUKAN'!$I$5:$I1181,'⬇️ PEMASUKAN'!$K$5:$K1181,,0,-1)</f>
        <v>K.TA - TERAPI AWAL</v>
      </c>
      <c r="F312" s="145" t="str">
        <f t="shared" si="2"/>
        <v>TIDAK CLOSING</v>
      </c>
      <c r="G312" s="145" t="str">
        <f t="shared" si="3"/>
        <v>TIDAK CLOSING</v>
      </c>
      <c r="H312" s="145" t="str">
        <f>IFERROR(__xludf.DUMMYFUNCTION("""COMPUTED_VALUE"""),"DANI")</f>
        <v>DANI</v>
      </c>
      <c r="I312" s="145" t="str">
        <f>IFERROR(__xludf.DUMMYFUNCTION("""COMPUTED_VALUE"""),"SUCI")</f>
        <v>SUCI</v>
      </c>
      <c r="J312" s="145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</row>
    <row r="313" ht="22.5" customHeight="1">
      <c r="A313" s="144">
        <f>IFERROR(__xludf.DUMMYFUNCTION("""COMPUTED_VALUE"""),46081.0)</f>
        <v>46081</v>
      </c>
      <c r="B313" s="145" t="str">
        <f t="shared" si="1"/>
        <v>02Feb</v>
      </c>
      <c r="C313" s="145" t="str">
        <f>IFERROR(__xludf.DUMMYFUNCTION("""COMPUTED_VALUE"""),"ALI")</f>
        <v>ALI</v>
      </c>
      <c r="D313" s="145" t="str">
        <f t="array" ref="D313">IFNA(XLOOKUP(C313,'👥 Daftar Nama Pasien'!$B$6:$B1181,'👥 Daftar Nama Pasien'!$D$6:$D1181),"")</f>
        <v/>
      </c>
      <c r="E313" s="145" t="str">
        <f t="array" ref="E313">XLOOKUP(C313,'⬇️ PEMASUKAN'!$I$5:$I1181,'⬇️ PEMASUKAN'!$K$5:$K1181,,0,-1)</f>
        <v>K.TA - TERAPI AWAL</v>
      </c>
      <c r="F313" s="145" t="str">
        <f t="shared" si="2"/>
        <v>TIDAK CLOSING</v>
      </c>
      <c r="G313" s="145" t="str">
        <f t="shared" si="3"/>
        <v>TIDAK CLOSING</v>
      </c>
      <c r="H313" s="145" t="str">
        <f>IFERROR(__xludf.DUMMYFUNCTION("""COMPUTED_VALUE"""),"HENA")</f>
        <v>HENA</v>
      </c>
      <c r="I313" s="145" t="str">
        <f>IFERROR(__xludf.DUMMYFUNCTION("""COMPUTED_VALUE"""),"SUCI")</f>
        <v>SUCI</v>
      </c>
      <c r="J313" s="145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</row>
    <row r="314" ht="22.5" customHeight="1">
      <c r="A314" s="144">
        <f>IFERROR(__xludf.DUMMYFUNCTION("""COMPUTED_VALUE"""),46081.0)</f>
        <v>46081</v>
      </c>
      <c r="B314" s="145" t="str">
        <f t="shared" si="1"/>
        <v>02Feb</v>
      </c>
      <c r="C314" s="145" t="str">
        <f>IFERROR(__xludf.DUMMYFUNCTION("""COMPUTED_VALUE"""),"PUTRI RAHMA SARI")</f>
        <v>PUTRI RAHMA SARI</v>
      </c>
      <c r="D314" s="145" t="str">
        <f t="array" ref="D314">IFNA(XLOOKUP(C314,'👥 Daftar Nama Pasien'!$B$6:$B1181,'👥 Daftar Nama Pasien'!$D$6:$D1181),"")</f>
        <v/>
      </c>
      <c r="E314" s="145" t="str">
        <f t="array" ref="E314">XLOOKUP(C314,'⬇️ PEMASUKAN'!$I$5:$I1181,'⬇️ PEMASUKAN'!$K$5:$K1181,,0,-1)</f>
        <v>K.TA - TERAPI AWAL</v>
      </c>
      <c r="F314" s="145" t="str">
        <f t="shared" si="2"/>
        <v>TIDAK CLOSING</v>
      </c>
      <c r="G314" s="145" t="str">
        <f t="shared" si="3"/>
        <v>TIDAK CLOSING</v>
      </c>
      <c r="H314" s="145" t="str">
        <f>IFERROR(__xludf.DUMMYFUNCTION("""COMPUTED_VALUE"""),"DESTY")</f>
        <v>DESTY</v>
      </c>
      <c r="I314" s="145" t="str">
        <f>IFERROR(__xludf.DUMMYFUNCTION("""COMPUTED_VALUE"""),"DHEA")</f>
        <v>DHEA</v>
      </c>
      <c r="J314" s="145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</row>
    <row r="315" ht="22.5" customHeight="1">
      <c r="A315" s="144">
        <f>IFERROR(__xludf.DUMMYFUNCTION("""COMPUTED_VALUE"""),46081.0)</f>
        <v>46081</v>
      </c>
      <c r="B315" s="145" t="str">
        <f t="shared" si="1"/>
        <v>02Feb</v>
      </c>
      <c r="C315" s="145" t="str">
        <f>IFERROR(__xludf.DUMMYFUNCTION("""COMPUTED_VALUE"""),"NAIMAH")</f>
        <v>NAIMAH</v>
      </c>
      <c r="D315" s="145">
        <f t="array" ref="D315">IFNA(XLOOKUP(C315,'👥 Daftar Nama Pasien'!$B$6:$B1181,'👥 Daftar Nama Pasien'!$D$6:$D1181),"")</f>
        <v>60</v>
      </c>
      <c r="E315" s="145" t="str">
        <f t="array" ref="E315">XLOOKUP(C315,'⬇️ PEMASUKAN'!$I$5:$I1181,'⬇️ PEMASUKAN'!$K$5:$K1181,,0,-1)</f>
        <v>K.TA - TERAPI AWAL</v>
      </c>
      <c r="F315" s="145" t="str">
        <f t="shared" si="2"/>
        <v>TIDAK CLOSING</v>
      </c>
      <c r="G315" s="145" t="str">
        <f t="shared" si="3"/>
        <v>TIDAK CLOSING</v>
      </c>
      <c r="H315" s="145" t="str">
        <f>IFERROR(__xludf.DUMMYFUNCTION("""COMPUTED_VALUE"""),"DESTY")</f>
        <v>DESTY</v>
      </c>
      <c r="I315" s="145" t="str">
        <f>IFERROR(__xludf.DUMMYFUNCTION("""COMPUTED_VALUE"""),"DHEA")</f>
        <v>DHEA</v>
      </c>
      <c r="J315" s="145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</row>
    <row r="316" ht="22.5" customHeight="1">
      <c r="A316" s="144">
        <f>IFERROR(__xludf.DUMMYFUNCTION("""COMPUTED_VALUE"""),46081.0)</f>
        <v>46081</v>
      </c>
      <c r="B316" s="145" t="str">
        <f t="shared" si="1"/>
        <v>02Feb</v>
      </c>
      <c r="C316" s="145" t="str">
        <f>IFERROR(__xludf.DUMMYFUNCTION("""COMPUTED_VALUE"""),"ALICIA")</f>
        <v>ALICIA</v>
      </c>
      <c r="D316" s="145">
        <f t="array" ref="D316">IFNA(XLOOKUP(C316,'👥 Daftar Nama Pasien'!$B$6:$B1181,'👥 Daftar Nama Pasien'!$D$6:$D1181),"")</f>
        <v>26</v>
      </c>
      <c r="E316" s="145" t="str">
        <f t="array" ref="E316">XLOOKUP(C316,'⬇️ PEMASUKAN'!$I$5:$I1181,'⬇️ PEMASUKAN'!$K$5:$K1181,,0,-1)</f>
        <v>K.TA - TERAPI AWAL</v>
      </c>
      <c r="F316" s="145" t="str">
        <f t="shared" si="2"/>
        <v>TIDAK CLOSING</v>
      </c>
      <c r="G316" s="145" t="str">
        <f t="shared" si="3"/>
        <v>TIDAK CLOSING</v>
      </c>
      <c r="H316" s="145" t="str">
        <f>IFERROR(__xludf.DUMMYFUNCTION("""COMPUTED_VALUE"""),"DESTY")</f>
        <v>DESTY</v>
      </c>
      <c r="I316" s="145" t="str">
        <f>IFERROR(__xludf.DUMMYFUNCTION("""COMPUTED_VALUE"""),"DHEA")</f>
        <v>DHEA</v>
      </c>
      <c r="J316" s="145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</row>
    <row r="317" ht="22.5" customHeight="1">
      <c r="A317" s="145"/>
      <c r="B317" s="145" t="str">
        <f t="shared" si="1"/>
        <v/>
      </c>
      <c r="C317" s="145"/>
      <c r="D317" s="145" t="str">
        <f t="array" ref="D317">IFNA(XLOOKUP(C317,'👥 Daftar Nama Pasien'!$B$6:$B1181,'👥 Daftar Nama Pasien'!$D$6:$D1181),"")</f>
        <v/>
      </c>
      <c r="E317" s="145" t="str">
        <f t="array" ref="E317">XLOOKUP(C317,'⬇️ PEMASUKAN'!$I$5:$I1181,'⬇️ PEMASUKAN'!$K$5:$K1181,,0,-1)</f>
        <v/>
      </c>
      <c r="F317" s="145" t="str">
        <f t="shared" si="2"/>
        <v/>
      </c>
      <c r="G317" s="145" t="str">
        <f t="shared" si="3"/>
        <v/>
      </c>
      <c r="H317" s="145"/>
      <c r="I317" s="145"/>
      <c r="J317" s="145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</row>
    <row r="318" ht="22.5" customHeight="1">
      <c r="A318" s="145"/>
      <c r="B318" s="145" t="str">
        <f t="shared" si="1"/>
        <v/>
      </c>
      <c r="C318" s="145"/>
      <c r="D318" s="145" t="str">
        <f t="array" ref="D318">IFNA(XLOOKUP(C318,'👥 Daftar Nama Pasien'!$B$6:$B1181,'👥 Daftar Nama Pasien'!$D$6:$D1181),"")</f>
        <v/>
      </c>
      <c r="E318" s="145" t="str">
        <f t="array" ref="E318">XLOOKUP(C318,'⬇️ PEMASUKAN'!$I$5:$I1181,'⬇️ PEMASUKAN'!$K$5:$K1181,,0,-1)</f>
        <v/>
      </c>
      <c r="F318" s="145" t="str">
        <f t="shared" si="2"/>
        <v/>
      </c>
      <c r="G318" s="145" t="str">
        <f t="shared" si="3"/>
        <v/>
      </c>
      <c r="H318" s="145"/>
      <c r="I318" s="145"/>
      <c r="J318" s="145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</row>
    <row r="319" ht="22.5" customHeight="1">
      <c r="A319" s="145"/>
      <c r="B319" s="145" t="str">
        <f t="shared" si="1"/>
        <v/>
      </c>
      <c r="C319" s="145"/>
      <c r="D319" s="145" t="str">
        <f t="array" ref="D319">IFNA(XLOOKUP(C319,'👥 Daftar Nama Pasien'!$B$6:$B1181,'👥 Daftar Nama Pasien'!$D$6:$D1181),"")</f>
        <v/>
      </c>
      <c r="E319" s="145" t="str">
        <f t="array" ref="E319">XLOOKUP(C319,'⬇️ PEMASUKAN'!$I$5:$I1181,'⬇️ PEMASUKAN'!$K$5:$K1181,,0,-1)</f>
        <v/>
      </c>
      <c r="F319" s="145" t="str">
        <f t="shared" si="2"/>
        <v/>
      </c>
      <c r="G319" s="145" t="str">
        <f t="shared" si="3"/>
        <v/>
      </c>
      <c r="H319" s="145"/>
      <c r="I319" s="145"/>
      <c r="J319" s="145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</row>
    <row r="320" ht="22.5" customHeight="1">
      <c r="A320" s="145"/>
      <c r="B320" s="145" t="str">
        <f t="shared" si="1"/>
        <v/>
      </c>
      <c r="C320" s="145"/>
      <c r="D320" s="145" t="str">
        <f t="array" ref="D320">IFNA(XLOOKUP(C320,'👥 Daftar Nama Pasien'!$B$6:$B1181,'👥 Daftar Nama Pasien'!$D$6:$D1181),"")</f>
        <v/>
      </c>
      <c r="E320" s="145" t="str">
        <f t="array" ref="E320">XLOOKUP(C320,'⬇️ PEMASUKAN'!$I$5:$I1181,'⬇️ PEMASUKAN'!$K$5:$K1181,,0,-1)</f>
        <v/>
      </c>
      <c r="F320" s="145" t="str">
        <f t="shared" si="2"/>
        <v/>
      </c>
      <c r="G320" s="145" t="str">
        <f t="shared" si="3"/>
        <v/>
      </c>
      <c r="H320" s="145"/>
      <c r="I320" s="145"/>
      <c r="J320" s="145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</row>
    <row r="321" ht="22.5" customHeight="1">
      <c r="A321" s="145"/>
      <c r="B321" s="145" t="str">
        <f t="shared" si="1"/>
        <v/>
      </c>
      <c r="C321" s="145"/>
      <c r="D321" s="145" t="str">
        <f t="array" ref="D321">IFNA(XLOOKUP(C321,'👥 Daftar Nama Pasien'!$B$6:$B1181,'👥 Daftar Nama Pasien'!$D$6:$D1181),"")</f>
        <v/>
      </c>
      <c r="E321" s="145" t="str">
        <f t="array" ref="E321">XLOOKUP(C321,'⬇️ PEMASUKAN'!$I$5:$I1181,'⬇️ PEMASUKAN'!$K$5:$K1181,,0,-1)</f>
        <v/>
      </c>
      <c r="F321" s="145" t="str">
        <f t="shared" si="2"/>
        <v/>
      </c>
      <c r="G321" s="145" t="str">
        <f t="shared" si="3"/>
        <v/>
      </c>
      <c r="H321" s="145"/>
      <c r="I321" s="145"/>
      <c r="J321" s="145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</row>
    <row r="322" ht="22.5" customHeight="1">
      <c r="A322" s="145"/>
      <c r="B322" s="145" t="str">
        <f t="shared" si="1"/>
        <v/>
      </c>
      <c r="C322" s="145"/>
      <c r="D322" s="145" t="str">
        <f t="array" ref="D322">IFNA(XLOOKUP(C322,'👥 Daftar Nama Pasien'!$B$6:$B1181,'👥 Daftar Nama Pasien'!$D$6:$D1181),"")</f>
        <v/>
      </c>
      <c r="E322" s="145" t="str">
        <f t="array" ref="E322">XLOOKUP(C322,'⬇️ PEMASUKAN'!$I$5:$I1181,'⬇️ PEMASUKAN'!$K$5:$K1181,,0,-1)</f>
        <v/>
      </c>
      <c r="F322" s="145" t="str">
        <f t="shared" si="2"/>
        <v/>
      </c>
      <c r="G322" s="145" t="str">
        <f t="shared" si="3"/>
        <v/>
      </c>
      <c r="H322" s="145"/>
      <c r="I322" s="145"/>
      <c r="J322" s="145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</row>
    <row r="323" ht="22.5" customHeight="1">
      <c r="A323" s="145"/>
      <c r="B323" s="145" t="str">
        <f t="shared" si="1"/>
        <v/>
      </c>
      <c r="C323" s="145"/>
      <c r="D323" s="145" t="str">
        <f t="array" ref="D323">IFNA(XLOOKUP(C323,'👥 Daftar Nama Pasien'!$B$6:$B1181,'👥 Daftar Nama Pasien'!$D$6:$D1181),"")</f>
        <v/>
      </c>
      <c r="E323" s="145" t="str">
        <f t="array" ref="E323">XLOOKUP(C323,'⬇️ PEMASUKAN'!$I$5:$I1181,'⬇️ PEMASUKAN'!$K$5:$K1181,,0,-1)</f>
        <v/>
      </c>
      <c r="F323" s="145" t="str">
        <f t="shared" si="2"/>
        <v/>
      </c>
      <c r="G323" s="145" t="str">
        <f t="shared" si="3"/>
        <v/>
      </c>
      <c r="H323" s="145"/>
      <c r="I323" s="145"/>
      <c r="J323" s="145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</row>
    <row r="324" ht="22.5" customHeight="1">
      <c r="A324" s="145"/>
      <c r="B324" s="145" t="str">
        <f t="shared" si="1"/>
        <v/>
      </c>
      <c r="C324" s="145"/>
      <c r="D324" s="145" t="str">
        <f t="array" ref="D324">IFNA(XLOOKUP(C324,'👥 Daftar Nama Pasien'!$B$6:$B1181,'👥 Daftar Nama Pasien'!$D$6:$D1181),"")</f>
        <v/>
      </c>
      <c r="E324" s="145" t="str">
        <f t="array" ref="E324">XLOOKUP(C324,'⬇️ PEMASUKAN'!$I$5:$I1181,'⬇️ PEMASUKAN'!$K$5:$K1181,,0,-1)</f>
        <v/>
      </c>
      <c r="F324" s="145" t="str">
        <f t="shared" si="2"/>
        <v/>
      </c>
      <c r="G324" s="145" t="str">
        <f t="shared" si="3"/>
        <v/>
      </c>
      <c r="H324" s="145"/>
      <c r="I324" s="145"/>
      <c r="J324" s="145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</row>
    <row r="325" ht="22.5" customHeight="1">
      <c r="A325" s="145"/>
      <c r="B325" s="145" t="str">
        <f t="shared" si="1"/>
        <v/>
      </c>
      <c r="C325" s="145"/>
      <c r="D325" s="145" t="str">
        <f t="array" ref="D325">IFNA(XLOOKUP(C325,'👥 Daftar Nama Pasien'!$B$6:$B1181,'👥 Daftar Nama Pasien'!$D$6:$D1181),"")</f>
        <v/>
      </c>
      <c r="E325" s="145" t="str">
        <f t="array" ref="E325">XLOOKUP(C325,'⬇️ PEMASUKAN'!$I$5:$I1181,'⬇️ PEMASUKAN'!$K$5:$K1181,,0,-1)</f>
        <v/>
      </c>
      <c r="F325" s="145" t="str">
        <f t="shared" si="2"/>
        <v/>
      </c>
      <c r="G325" s="145" t="str">
        <f t="shared" si="3"/>
        <v/>
      </c>
      <c r="H325" s="145"/>
      <c r="I325" s="145"/>
      <c r="J325" s="145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</row>
    <row r="326" ht="22.5" customHeight="1">
      <c r="A326" s="145"/>
      <c r="B326" s="145" t="str">
        <f t="shared" si="1"/>
        <v/>
      </c>
      <c r="C326" s="145"/>
      <c r="D326" s="145" t="str">
        <f t="array" ref="D326">IFNA(XLOOKUP(C326,'👥 Daftar Nama Pasien'!$B$6:$B1181,'👥 Daftar Nama Pasien'!$D$6:$D1181),"")</f>
        <v/>
      </c>
      <c r="E326" s="145" t="str">
        <f t="array" ref="E326">XLOOKUP(C326,'⬇️ PEMASUKAN'!$I$5:$I1181,'⬇️ PEMASUKAN'!$K$5:$K1181,,0,-1)</f>
        <v/>
      </c>
      <c r="F326" s="145" t="str">
        <f t="shared" si="2"/>
        <v/>
      </c>
      <c r="G326" s="145" t="str">
        <f t="shared" si="3"/>
        <v/>
      </c>
      <c r="H326" s="145"/>
      <c r="I326" s="145"/>
      <c r="J326" s="145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</row>
    <row r="327" ht="22.5" customHeight="1">
      <c r="A327" s="145"/>
      <c r="B327" s="145" t="str">
        <f t="shared" si="1"/>
        <v/>
      </c>
      <c r="C327" s="145"/>
      <c r="D327" s="145" t="str">
        <f t="array" ref="D327">IFNA(XLOOKUP(C327,'👥 Daftar Nama Pasien'!$B$6:$B1181,'👥 Daftar Nama Pasien'!$D$6:$D1181),"")</f>
        <v/>
      </c>
      <c r="E327" s="145" t="str">
        <f t="array" ref="E327">XLOOKUP(C327,'⬇️ PEMASUKAN'!$I$5:$I1181,'⬇️ PEMASUKAN'!$K$5:$K1181,,0,-1)</f>
        <v/>
      </c>
      <c r="F327" s="145" t="str">
        <f t="shared" si="2"/>
        <v/>
      </c>
      <c r="G327" s="145" t="str">
        <f t="shared" si="3"/>
        <v/>
      </c>
      <c r="H327" s="145"/>
      <c r="I327" s="145"/>
      <c r="J327" s="145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</row>
    <row r="328" ht="22.5" customHeight="1">
      <c r="A328" s="145"/>
      <c r="B328" s="145" t="str">
        <f t="shared" si="1"/>
        <v/>
      </c>
      <c r="C328" s="145"/>
      <c r="D328" s="145" t="str">
        <f t="array" ref="D328">IFNA(XLOOKUP(C328,'👥 Daftar Nama Pasien'!$B$6:$B1181,'👥 Daftar Nama Pasien'!$D$6:$D1181),"")</f>
        <v/>
      </c>
      <c r="E328" s="145" t="str">
        <f t="array" ref="E328">XLOOKUP(C328,'⬇️ PEMASUKAN'!$I$5:$I1181,'⬇️ PEMASUKAN'!$K$5:$K1181,,0,-1)</f>
        <v/>
      </c>
      <c r="F328" s="145" t="str">
        <f t="shared" si="2"/>
        <v/>
      </c>
      <c r="G328" s="145" t="str">
        <f t="shared" si="3"/>
        <v/>
      </c>
      <c r="H328" s="145"/>
      <c r="I328" s="145"/>
      <c r="J328" s="145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</row>
    <row r="329" ht="22.5" customHeight="1">
      <c r="A329" s="145"/>
      <c r="B329" s="145" t="str">
        <f t="shared" si="1"/>
        <v/>
      </c>
      <c r="C329" s="145"/>
      <c r="D329" s="145" t="str">
        <f t="array" ref="D329">IFNA(XLOOKUP(C329,'👥 Daftar Nama Pasien'!$B$6:$B1181,'👥 Daftar Nama Pasien'!$D$6:$D1181),"")</f>
        <v/>
      </c>
      <c r="E329" s="145" t="str">
        <f t="array" ref="E329">XLOOKUP(C329,'⬇️ PEMASUKAN'!$I$5:$I1181,'⬇️ PEMASUKAN'!$K$5:$K1181,,0,-1)</f>
        <v/>
      </c>
      <c r="F329" s="145" t="str">
        <f t="shared" si="2"/>
        <v/>
      </c>
      <c r="G329" s="145" t="str">
        <f t="shared" si="3"/>
        <v/>
      </c>
      <c r="H329" s="145"/>
      <c r="I329" s="145"/>
      <c r="J329" s="145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</row>
    <row r="330" ht="22.5" customHeight="1">
      <c r="A330" s="145"/>
      <c r="B330" s="145" t="str">
        <f t="shared" si="1"/>
        <v/>
      </c>
      <c r="C330" s="145"/>
      <c r="D330" s="145" t="str">
        <f t="array" ref="D330">IFNA(XLOOKUP(C330,'👥 Daftar Nama Pasien'!$B$6:$B1181,'👥 Daftar Nama Pasien'!$D$6:$D1181),"")</f>
        <v/>
      </c>
      <c r="E330" s="145" t="str">
        <f t="array" ref="E330">XLOOKUP(C330,'⬇️ PEMASUKAN'!$I$5:$I1181,'⬇️ PEMASUKAN'!$K$5:$K1181,,0,-1)</f>
        <v/>
      </c>
      <c r="F330" s="145" t="str">
        <f t="shared" si="2"/>
        <v/>
      </c>
      <c r="G330" s="145" t="str">
        <f t="shared" si="3"/>
        <v/>
      </c>
      <c r="H330" s="145"/>
      <c r="I330" s="145"/>
      <c r="J330" s="145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</row>
    <row r="331" ht="22.5" customHeight="1">
      <c r="A331" s="145"/>
      <c r="B331" s="145" t="str">
        <f t="shared" si="1"/>
        <v/>
      </c>
      <c r="C331" s="145"/>
      <c r="D331" s="145" t="str">
        <f t="array" ref="D331">IFNA(XLOOKUP(C331,'👥 Daftar Nama Pasien'!$B$6:$B1181,'👥 Daftar Nama Pasien'!$D$6:$D1181),"")</f>
        <v/>
      </c>
      <c r="E331" s="145" t="str">
        <f t="array" ref="E331">XLOOKUP(C331,'⬇️ PEMASUKAN'!$I$5:$I1181,'⬇️ PEMASUKAN'!$K$5:$K1181,,0,-1)</f>
        <v/>
      </c>
      <c r="F331" s="145" t="str">
        <f t="shared" si="2"/>
        <v/>
      </c>
      <c r="G331" s="145" t="str">
        <f t="shared" si="3"/>
        <v/>
      </c>
      <c r="H331" s="145"/>
      <c r="I331" s="145"/>
      <c r="J331" s="145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</row>
    <row r="332" ht="22.5" customHeight="1">
      <c r="A332" s="145"/>
      <c r="B332" s="145" t="str">
        <f t="shared" si="1"/>
        <v/>
      </c>
      <c r="C332" s="145"/>
      <c r="D332" s="145" t="str">
        <f t="array" ref="D332">IFNA(XLOOKUP(C332,'👥 Daftar Nama Pasien'!$B$6:$B1181,'👥 Daftar Nama Pasien'!$D$6:$D1181),"")</f>
        <v/>
      </c>
      <c r="E332" s="145" t="str">
        <f t="array" ref="E332">XLOOKUP(C332,'⬇️ PEMASUKAN'!$I$5:$I1181,'⬇️ PEMASUKAN'!$K$5:$K1181,,0,-1)</f>
        <v/>
      </c>
      <c r="F332" s="145" t="str">
        <f t="shared" si="2"/>
        <v/>
      </c>
      <c r="G332" s="145" t="str">
        <f t="shared" si="3"/>
        <v/>
      </c>
      <c r="H332" s="145"/>
      <c r="I332" s="145"/>
      <c r="J332" s="145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</row>
    <row r="333" ht="22.5" customHeight="1">
      <c r="A333" s="145"/>
      <c r="B333" s="145" t="str">
        <f t="shared" si="1"/>
        <v/>
      </c>
      <c r="C333" s="145"/>
      <c r="D333" s="145" t="str">
        <f t="array" ref="D333">IFNA(XLOOKUP(C333,'👥 Daftar Nama Pasien'!$B$6:$B1181,'👥 Daftar Nama Pasien'!$D$6:$D1181),"")</f>
        <v/>
      </c>
      <c r="E333" s="145" t="str">
        <f t="array" ref="E333">XLOOKUP(C333,'⬇️ PEMASUKAN'!$I$5:$I1181,'⬇️ PEMASUKAN'!$K$5:$K1181,,0,-1)</f>
        <v/>
      </c>
      <c r="F333" s="145" t="str">
        <f t="shared" si="2"/>
        <v/>
      </c>
      <c r="G333" s="145" t="str">
        <f t="shared" si="3"/>
        <v/>
      </c>
      <c r="H333" s="145"/>
      <c r="I333" s="145"/>
      <c r="J333" s="145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</row>
    <row r="334" ht="22.5" customHeight="1">
      <c r="A334" s="145"/>
      <c r="B334" s="145" t="str">
        <f t="shared" si="1"/>
        <v/>
      </c>
      <c r="C334" s="145"/>
      <c r="D334" s="145" t="str">
        <f t="array" ref="D334">IFNA(XLOOKUP(C334,'👥 Daftar Nama Pasien'!$B$6:$B1181,'👥 Daftar Nama Pasien'!$D$6:$D1181),"")</f>
        <v/>
      </c>
      <c r="E334" s="145" t="str">
        <f t="array" ref="E334">XLOOKUP(C334,'⬇️ PEMASUKAN'!$I$5:$I1181,'⬇️ PEMASUKAN'!$K$5:$K1181,,0,-1)</f>
        <v/>
      </c>
      <c r="F334" s="145" t="str">
        <f t="shared" si="2"/>
        <v/>
      </c>
      <c r="G334" s="145" t="str">
        <f t="shared" si="3"/>
        <v/>
      </c>
      <c r="H334" s="145"/>
      <c r="I334" s="145"/>
      <c r="J334" s="145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</row>
    <row r="335" ht="22.5" customHeight="1">
      <c r="A335" s="145"/>
      <c r="B335" s="145" t="str">
        <f t="shared" si="1"/>
        <v/>
      </c>
      <c r="C335" s="145"/>
      <c r="D335" s="145" t="str">
        <f t="array" ref="D335">IFNA(XLOOKUP(C335,'👥 Daftar Nama Pasien'!$B$6:$B1181,'👥 Daftar Nama Pasien'!$D$6:$D1181),"")</f>
        <v/>
      </c>
      <c r="E335" s="145" t="str">
        <f t="array" ref="E335">XLOOKUP(C335,'⬇️ PEMASUKAN'!$I$5:$I1181,'⬇️ PEMASUKAN'!$K$5:$K1181,,0,-1)</f>
        <v/>
      </c>
      <c r="F335" s="145" t="str">
        <f t="shared" si="2"/>
        <v/>
      </c>
      <c r="G335" s="145" t="str">
        <f t="shared" si="3"/>
        <v/>
      </c>
      <c r="H335" s="145"/>
      <c r="I335" s="145"/>
      <c r="J335" s="145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</row>
    <row r="336" ht="22.5" customHeight="1">
      <c r="A336" s="145"/>
      <c r="B336" s="145" t="str">
        <f t="shared" si="1"/>
        <v/>
      </c>
      <c r="C336" s="145"/>
      <c r="D336" s="145" t="str">
        <f t="array" ref="D336">IFNA(XLOOKUP(C336,'👥 Daftar Nama Pasien'!$B$6:$B1181,'👥 Daftar Nama Pasien'!$D$6:$D1181),"")</f>
        <v/>
      </c>
      <c r="E336" s="145" t="str">
        <f t="array" ref="E336">XLOOKUP(C336,'⬇️ PEMASUKAN'!$I$5:$I1181,'⬇️ PEMASUKAN'!$K$5:$K1181,,0,-1)</f>
        <v/>
      </c>
      <c r="F336" s="145" t="str">
        <f t="shared" si="2"/>
        <v/>
      </c>
      <c r="G336" s="145" t="str">
        <f t="shared" si="3"/>
        <v/>
      </c>
      <c r="H336" s="145"/>
      <c r="I336" s="145"/>
      <c r="J336" s="145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</row>
    <row r="337" ht="22.5" customHeight="1">
      <c r="A337" s="145"/>
      <c r="B337" s="145" t="str">
        <f t="shared" si="1"/>
        <v/>
      </c>
      <c r="C337" s="145"/>
      <c r="D337" s="145" t="str">
        <f t="array" ref="D337">IFNA(XLOOKUP(C337,'👥 Daftar Nama Pasien'!$B$6:$B1181,'👥 Daftar Nama Pasien'!$D$6:$D1181),"")</f>
        <v/>
      </c>
      <c r="E337" s="145" t="str">
        <f t="array" ref="E337">XLOOKUP(C337,'⬇️ PEMASUKAN'!$I$5:$I1181,'⬇️ PEMASUKAN'!$K$5:$K1181,,0,-1)</f>
        <v/>
      </c>
      <c r="F337" s="145" t="str">
        <f t="shared" si="2"/>
        <v/>
      </c>
      <c r="G337" s="145" t="str">
        <f t="shared" si="3"/>
        <v/>
      </c>
      <c r="H337" s="145"/>
      <c r="I337" s="145"/>
      <c r="J337" s="145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</row>
    <row r="338" ht="22.5" customHeight="1">
      <c r="A338" s="145"/>
      <c r="B338" s="145" t="str">
        <f t="shared" si="1"/>
        <v/>
      </c>
      <c r="C338" s="145"/>
      <c r="D338" s="145" t="str">
        <f t="array" ref="D338">IFNA(XLOOKUP(C338,'👥 Daftar Nama Pasien'!$B$6:$B1181,'👥 Daftar Nama Pasien'!$D$6:$D1181),"")</f>
        <v/>
      </c>
      <c r="E338" s="145" t="str">
        <f t="array" ref="E338">XLOOKUP(C338,'⬇️ PEMASUKAN'!$I$5:$I1181,'⬇️ PEMASUKAN'!$K$5:$K1181,,0,-1)</f>
        <v/>
      </c>
      <c r="F338" s="145" t="str">
        <f t="shared" si="2"/>
        <v/>
      </c>
      <c r="G338" s="145" t="str">
        <f t="shared" si="3"/>
        <v/>
      </c>
      <c r="H338" s="145"/>
      <c r="I338" s="145"/>
      <c r="J338" s="145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</row>
    <row r="339" ht="22.5" customHeight="1">
      <c r="A339" s="145"/>
      <c r="B339" s="145" t="str">
        <f t="shared" si="1"/>
        <v/>
      </c>
      <c r="C339" s="145"/>
      <c r="D339" s="145" t="str">
        <f t="array" ref="D339">IFNA(XLOOKUP(C339,'👥 Daftar Nama Pasien'!$B$6:$B1181,'👥 Daftar Nama Pasien'!$D$6:$D1181),"")</f>
        <v/>
      </c>
      <c r="E339" s="145" t="str">
        <f t="array" ref="E339">XLOOKUP(C339,'⬇️ PEMASUKAN'!$I$5:$I1181,'⬇️ PEMASUKAN'!$K$5:$K1181,,0,-1)</f>
        <v/>
      </c>
      <c r="F339" s="145" t="str">
        <f t="shared" si="2"/>
        <v/>
      </c>
      <c r="G339" s="145" t="str">
        <f t="shared" si="3"/>
        <v/>
      </c>
      <c r="H339" s="145"/>
      <c r="I339" s="145"/>
      <c r="J339" s="145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</row>
    <row r="340" ht="22.5" customHeight="1">
      <c r="A340" s="145"/>
      <c r="B340" s="145" t="str">
        <f t="shared" si="1"/>
        <v/>
      </c>
      <c r="C340" s="145"/>
      <c r="D340" s="145" t="str">
        <f t="array" ref="D340">IFNA(XLOOKUP(C340,'👥 Daftar Nama Pasien'!$B$6:$B1181,'👥 Daftar Nama Pasien'!$D$6:$D1181),"")</f>
        <v/>
      </c>
      <c r="E340" s="145" t="str">
        <f t="array" ref="E340">XLOOKUP(C340,'⬇️ PEMASUKAN'!$I$5:$I1181,'⬇️ PEMASUKAN'!$K$5:$K1181,,0,-1)</f>
        <v/>
      </c>
      <c r="F340" s="145" t="str">
        <f t="shared" si="2"/>
        <v/>
      </c>
      <c r="G340" s="145" t="str">
        <f t="shared" si="3"/>
        <v/>
      </c>
      <c r="H340" s="145"/>
      <c r="I340" s="145"/>
      <c r="J340" s="145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</row>
    <row r="341" ht="22.5" customHeight="1">
      <c r="A341" s="145"/>
      <c r="B341" s="145" t="str">
        <f t="shared" si="1"/>
        <v/>
      </c>
      <c r="C341" s="145"/>
      <c r="D341" s="145" t="str">
        <f t="array" ref="D341">IFNA(XLOOKUP(C341,'👥 Daftar Nama Pasien'!$B$6:$B1181,'👥 Daftar Nama Pasien'!$D$6:$D1181),"")</f>
        <v/>
      </c>
      <c r="E341" s="145" t="str">
        <f t="array" ref="E341">XLOOKUP(C341,'⬇️ PEMASUKAN'!$I$5:$I1181,'⬇️ PEMASUKAN'!$K$5:$K1181,,0,-1)</f>
        <v/>
      </c>
      <c r="F341" s="145" t="str">
        <f t="shared" si="2"/>
        <v/>
      </c>
      <c r="G341" s="145" t="str">
        <f t="shared" si="3"/>
        <v/>
      </c>
      <c r="H341" s="145"/>
      <c r="I341" s="145"/>
      <c r="J341" s="145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</row>
    <row r="342" ht="22.5" customHeight="1">
      <c r="A342" s="145"/>
      <c r="B342" s="145" t="str">
        <f t="shared" si="1"/>
        <v/>
      </c>
      <c r="C342" s="145"/>
      <c r="D342" s="145" t="str">
        <f t="array" ref="D342">IFNA(XLOOKUP(C342,'👥 Daftar Nama Pasien'!$B$6:$B1181,'👥 Daftar Nama Pasien'!$D$6:$D1181),"")</f>
        <v/>
      </c>
      <c r="E342" s="145" t="str">
        <f t="array" ref="E342">XLOOKUP(C342,'⬇️ PEMASUKAN'!$I$5:$I1181,'⬇️ PEMASUKAN'!$K$5:$K1181,,0,-1)</f>
        <v/>
      </c>
      <c r="F342" s="145" t="str">
        <f t="shared" si="2"/>
        <v/>
      </c>
      <c r="G342" s="145" t="str">
        <f t="shared" si="3"/>
        <v/>
      </c>
      <c r="H342" s="145"/>
      <c r="I342" s="145"/>
      <c r="J342" s="145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</row>
    <row r="343" ht="22.5" customHeight="1">
      <c r="A343" s="145"/>
      <c r="B343" s="145" t="str">
        <f t="shared" si="1"/>
        <v/>
      </c>
      <c r="C343" s="145"/>
      <c r="D343" s="145" t="str">
        <f t="array" ref="D343">IFNA(XLOOKUP(C343,'👥 Daftar Nama Pasien'!$B$6:$B1181,'👥 Daftar Nama Pasien'!$D$6:$D1181),"")</f>
        <v/>
      </c>
      <c r="E343" s="145" t="str">
        <f t="array" ref="E343">XLOOKUP(C343,'⬇️ PEMASUKAN'!$I$5:$I1181,'⬇️ PEMASUKAN'!$K$5:$K1181,,0,-1)</f>
        <v/>
      </c>
      <c r="F343" s="145" t="str">
        <f t="shared" si="2"/>
        <v/>
      </c>
      <c r="G343" s="145" t="str">
        <f t="shared" si="3"/>
        <v/>
      </c>
      <c r="H343" s="145"/>
      <c r="I343" s="145"/>
      <c r="J343" s="145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</row>
    <row r="344" ht="22.5" customHeight="1">
      <c r="A344" s="145"/>
      <c r="B344" s="145" t="str">
        <f t="shared" si="1"/>
        <v/>
      </c>
      <c r="C344" s="145"/>
      <c r="D344" s="145" t="str">
        <f t="array" ref="D344">IFNA(XLOOKUP(C344,'👥 Daftar Nama Pasien'!$B$6:$B1181,'👥 Daftar Nama Pasien'!$D$6:$D1181),"")</f>
        <v/>
      </c>
      <c r="E344" s="145" t="str">
        <f t="array" ref="E344">XLOOKUP(C344,'⬇️ PEMASUKAN'!$I$5:$I1181,'⬇️ PEMASUKAN'!$K$5:$K1181,,0,-1)</f>
        <v/>
      </c>
      <c r="F344" s="145" t="str">
        <f t="shared" si="2"/>
        <v/>
      </c>
      <c r="G344" s="145" t="str">
        <f t="shared" si="3"/>
        <v/>
      </c>
      <c r="H344" s="145"/>
      <c r="I344" s="145"/>
      <c r="J344" s="145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</row>
    <row r="345" ht="22.5" customHeight="1">
      <c r="A345" s="145"/>
      <c r="B345" s="145" t="str">
        <f t="shared" si="1"/>
        <v/>
      </c>
      <c r="C345" s="145"/>
      <c r="D345" s="145" t="str">
        <f t="array" ref="D345">IFNA(XLOOKUP(C345,'👥 Daftar Nama Pasien'!$B$6:$B1181,'👥 Daftar Nama Pasien'!$D$6:$D1181),"")</f>
        <v/>
      </c>
      <c r="E345" s="145" t="str">
        <f t="array" ref="E345">XLOOKUP(C345,'⬇️ PEMASUKAN'!$I$5:$I1181,'⬇️ PEMASUKAN'!$K$5:$K1181,,0,-1)</f>
        <v/>
      </c>
      <c r="F345" s="145" t="str">
        <f t="shared" si="2"/>
        <v/>
      </c>
      <c r="G345" s="145" t="str">
        <f t="shared" si="3"/>
        <v/>
      </c>
      <c r="H345" s="145"/>
      <c r="I345" s="145"/>
      <c r="J345" s="145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</row>
    <row r="346" ht="22.5" customHeight="1">
      <c r="A346" s="145"/>
      <c r="B346" s="145" t="str">
        <f t="shared" si="1"/>
        <v/>
      </c>
      <c r="C346" s="145"/>
      <c r="D346" s="145" t="str">
        <f t="array" ref="D346">IFNA(XLOOKUP(C346,'👥 Daftar Nama Pasien'!$B$6:$B1181,'👥 Daftar Nama Pasien'!$D$6:$D1181),"")</f>
        <v/>
      </c>
      <c r="E346" s="145" t="str">
        <f t="array" ref="E346">XLOOKUP(C346,'⬇️ PEMASUKAN'!$I$5:$I1181,'⬇️ PEMASUKAN'!$K$5:$K1181,,0,-1)</f>
        <v/>
      </c>
      <c r="F346" s="145" t="str">
        <f t="shared" si="2"/>
        <v/>
      </c>
      <c r="G346" s="145" t="str">
        <f t="shared" si="3"/>
        <v/>
      </c>
      <c r="H346" s="145"/>
      <c r="I346" s="145"/>
      <c r="J346" s="145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</row>
    <row r="347" ht="22.5" customHeight="1">
      <c r="A347" s="145"/>
      <c r="B347" s="145" t="str">
        <f t="shared" si="1"/>
        <v/>
      </c>
      <c r="C347" s="145"/>
      <c r="D347" s="145" t="str">
        <f t="array" ref="D347">IFNA(XLOOKUP(C347,'👥 Daftar Nama Pasien'!$B$6:$B1181,'👥 Daftar Nama Pasien'!$D$6:$D1181),"")</f>
        <v/>
      </c>
      <c r="E347" s="145" t="str">
        <f t="array" ref="E347">XLOOKUP(C347,'⬇️ PEMASUKAN'!$I$5:$I1181,'⬇️ PEMASUKAN'!$K$5:$K1181,,0,-1)</f>
        <v/>
      </c>
      <c r="F347" s="145" t="str">
        <f t="shared" si="2"/>
        <v/>
      </c>
      <c r="G347" s="145" t="str">
        <f t="shared" si="3"/>
        <v/>
      </c>
      <c r="H347" s="145"/>
      <c r="I347" s="145"/>
      <c r="J347" s="145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</row>
    <row r="348" ht="22.5" customHeight="1">
      <c r="A348" s="145"/>
      <c r="B348" s="145" t="str">
        <f t="shared" si="1"/>
        <v/>
      </c>
      <c r="C348" s="145"/>
      <c r="D348" s="145" t="str">
        <f t="array" ref="D348">IFNA(XLOOKUP(C348,'👥 Daftar Nama Pasien'!$B$6:$B1181,'👥 Daftar Nama Pasien'!$D$6:$D1181),"")</f>
        <v/>
      </c>
      <c r="E348" s="145" t="str">
        <f t="array" ref="E348">XLOOKUP(C348,'⬇️ PEMASUKAN'!$I$5:$I1181,'⬇️ PEMASUKAN'!$K$5:$K1181,,0,-1)</f>
        <v/>
      </c>
      <c r="F348" s="145" t="str">
        <f t="shared" si="2"/>
        <v/>
      </c>
      <c r="G348" s="145" t="str">
        <f t="shared" si="3"/>
        <v/>
      </c>
      <c r="H348" s="145"/>
      <c r="I348" s="145"/>
      <c r="J348" s="145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</row>
    <row r="349" ht="22.5" customHeight="1">
      <c r="A349" s="145"/>
      <c r="B349" s="145" t="str">
        <f t="shared" si="1"/>
        <v/>
      </c>
      <c r="C349" s="145"/>
      <c r="D349" s="145" t="str">
        <f t="array" ref="D349">IFNA(XLOOKUP(C349,'👥 Daftar Nama Pasien'!$B$6:$B1181,'👥 Daftar Nama Pasien'!$D$6:$D1181),"")</f>
        <v/>
      </c>
      <c r="E349" s="145" t="str">
        <f t="array" ref="E349">XLOOKUP(C349,'⬇️ PEMASUKAN'!$I$5:$I1181,'⬇️ PEMASUKAN'!$K$5:$K1181,,0,-1)</f>
        <v/>
      </c>
      <c r="F349" s="145" t="str">
        <f t="shared" si="2"/>
        <v/>
      </c>
      <c r="G349" s="145" t="str">
        <f t="shared" si="3"/>
        <v/>
      </c>
      <c r="H349" s="145"/>
      <c r="I349" s="145"/>
      <c r="J349" s="145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</row>
    <row r="350" ht="22.5" customHeight="1">
      <c r="A350" s="145"/>
      <c r="B350" s="145" t="str">
        <f t="shared" si="1"/>
        <v/>
      </c>
      <c r="C350" s="145"/>
      <c r="D350" s="145" t="str">
        <f t="array" ref="D350">IFNA(XLOOKUP(C350,'👥 Daftar Nama Pasien'!$B$6:$B1181,'👥 Daftar Nama Pasien'!$D$6:$D1181),"")</f>
        <v/>
      </c>
      <c r="E350" s="145" t="str">
        <f t="array" ref="E350">XLOOKUP(C350,'⬇️ PEMASUKAN'!$I$5:$I1181,'⬇️ PEMASUKAN'!$K$5:$K1181,,0,-1)</f>
        <v/>
      </c>
      <c r="F350" s="145" t="str">
        <f t="shared" si="2"/>
        <v/>
      </c>
      <c r="G350" s="145" t="str">
        <f t="shared" si="3"/>
        <v/>
      </c>
      <c r="H350" s="145"/>
      <c r="I350" s="145"/>
      <c r="J350" s="145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</row>
    <row r="351" ht="22.5" customHeight="1">
      <c r="A351" s="145"/>
      <c r="B351" s="145" t="str">
        <f t="shared" si="1"/>
        <v/>
      </c>
      <c r="C351" s="145"/>
      <c r="D351" s="145" t="str">
        <f t="array" ref="D351">IFNA(XLOOKUP(C351,'👥 Daftar Nama Pasien'!$B$6:$B1181,'👥 Daftar Nama Pasien'!$D$6:$D1181),"")</f>
        <v/>
      </c>
      <c r="E351" s="145" t="str">
        <f t="array" ref="E351">XLOOKUP(C351,'⬇️ PEMASUKAN'!$I$5:$I1181,'⬇️ PEMASUKAN'!$K$5:$K1181,,0,-1)</f>
        <v/>
      </c>
      <c r="F351" s="145" t="str">
        <f t="shared" si="2"/>
        <v/>
      </c>
      <c r="G351" s="145" t="str">
        <f t="shared" si="3"/>
        <v/>
      </c>
      <c r="H351" s="145"/>
      <c r="I351" s="145"/>
      <c r="J351" s="145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</row>
    <row r="352" ht="22.5" customHeight="1">
      <c r="A352" s="145"/>
      <c r="B352" s="145" t="str">
        <f t="shared" si="1"/>
        <v/>
      </c>
      <c r="C352" s="145"/>
      <c r="D352" s="145" t="str">
        <f t="array" ref="D352">IFNA(XLOOKUP(C352,'👥 Daftar Nama Pasien'!$B$6:$B1181,'👥 Daftar Nama Pasien'!$D$6:$D1181),"")</f>
        <v/>
      </c>
      <c r="E352" s="145" t="str">
        <f t="array" ref="E352">XLOOKUP(C352,'⬇️ PEMASUKAN'!$I$5:$I1181,'⬇️ PEMASUKAN'!$K$5:$K1181,,0,-1)</f>
        <v/>
      </c>
      <c r="F352" s="145" t="str">
        <f t="shared" si="2"/>
        <v/>
      </c>
      <c r="G352" s="145" t="str">
        <f t="shared" si="3"/>
        <v/>
      </c>
      <c r="H352" s="145"/>
      <c r="I352" s="145"/>
      <c r="J352" s="145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</row>
    <row r="353" ht="22.5" customHeight="1">
      <c r="A353" s="145"/>
      <c r="B353" s="145" t="str">
        <f t="shared" si="1"/>
        <v/>
      </c>
      <c r="C353" s="145"/>
      <c r="D353" s="145" t="str">
        <f t="array" ref="D353">IFNA(XLOOKUP(C353,'👥 Daftar Nama Pasien'!$B$6:$B1181,'👥 Daftar Nama Pasien'!$D$6:$D1181),"")</f>
        <v/>
      </c>
      <c r="E353" s="145" t="str">
        <f t="array" ref="E353">XLOOKUP(C353,'⬇️ PEMASUKAN'!$I$5:$I1181,'⬇️ PEMASUKAN'!$K$5:$K1181,,0,-1)</f>
        <v/>
      </c>
      <c r="F353" s="145" t="str">
        <f t="shared" si="2"/>
        <v/>
      </c>
      <c r="G353" s="145" t="str">
        <f t="shared" si="3"/>
        <v/>
      </c>
      <c r="H353" s="145"/>
      <c r="I353" s="145"/>
      <c r="J353" s="145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</row>
    <row r="354" ht="22.5" customHeight="1">
      <c r="A354" s="145"/>
      <c r="B354" s="145" t="str">
        <f t="shared" si="1"/>
        <v/>
      </c>
      <c r="C354" s="145"/>
      <c r="D354" s="145" t="str">
        <f t="array" ref="D354">IFNA(XLOOKUP(C354,'👥 Daftar Nama Pasien'!$B$6:$B1181,'👥 Daftar Nama Pasien'!$D$6:$D1181),"")</f>
        <v/>
      </c>
      <c r="E354" s="145" t="str">
        <f t="array" ref="E354">XLOOKUP(C354,'⬇️ PEMASUKAN'!$I$5:$I1181,'⬇️ PEMASUKAN'!$K$5:$K1181,,0,-1)</f>
        <v/>
      </c>
      <c r="F354" s="145" t="str">
        <f t="shared" si="2"/>
        <v/>
      </c>
      <c r="G354" s="145" t="str">
        <f t="shared" si="3"/>
        <v/>
      </c>
      <c r="H354" s="145"/>
      <c r="I354" s="145"/>
      <c r="J354" s="145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</row>
    <row r="355" ht="22.5" customHeight="1">
      <c r="A355" s="145"/>
      <c r="B355" s="145" t="str">
        <f t="shared" si="1"/>
        <v/>
      </c>
      <c r="C355" s="145"/>
      <c r="D355" s="145" t="str">
        <f t="array" ref="D355">IFNA(XLOOKUP(C355,'👥 Daftar Nama Pasien'!$B$6:$B1181,'👥 Daftar Nama Pasien'!$D$6:$D1181),"")</f>
        <v/>
      </c>
      <c r="E355" s="145" t="str">
        <f t="array" ref="E355">XLOOKUP(C355,'⬇️ PEMASUKAN'!$I$5:$I1181,'⬇️ PEMASUKAN'!$K$5:$K1181,,0,-1)</f>
        <v/>
      </c>
      <c r="F355" s="145" t="str">
        <f t="shared" si="2"/>
        <v/>
      </c>
      <c r="G355" s="145" t="str">
        <f t="shared" si="3"/>
        <v/>
      </c>
      <c r="H355" s="145"/>
      <c r="I355" s="145"/>
      <c r="J355" s="145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</row>
    <row r="356" ht="22.5" customHeight="1">
      <c r="A356" s="145"/>
      <c r="B356" s="145" t="str">
        <f t="shared" si="1"/>
        <v/>
      </c>
      <c r="C356" s="145"/>
      <c r="D356" s="145" t="str">
        <f t="array" ref="D356">IFNA(XLOOKUP(C356,'👥 Daftar Nama Pasien'!$B$6:$B1181,'👥 Daftar Nama Pasien'!$D$6:$D1181),"")</f>
        <v/>
      </c>
      <c r="E356" s="145" t="str">
        <f t="array" ref="E356">XLOOKUP(C356,'⬇️ PEMASUKAN'!$I$5:$I1181,'⬇️ PEMASUKAN'!$K$5:$K1181,,0,-1)</f>
        <v/>
      </c>
      <c r="F356" s="145" t="str">
        <f t="shared" si="2"/>
        <v/>
      </c>
      <c r="G356" s="145" t="str">
        <f t="shared" si="3"/>
        <v/>
      </c>
      <c r="H356" s="145"/>
      <c r="I356" s="145"/>
      <c r="J356" s="145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</row>
    <row r="357" ht="22.5" customHeight="1">
      <c r="A357" s="145"/>
      <c r="B357" s="145" t="str">
        <f t="shared" si="1"/>
        <v/>
      </c>
      <c r="C357" s="145"/>
      <c r="D357" s="145" t="str">
        <f t="array" ref="D357">IFNA(XLOOKUP(C357,'👥 Daftar Nama Pasien'!$B$6:$B1181,'👥 Daftar Nama Pasien'!$D$6:$D1181),"")</f>
        <v/>
      </c>
      <c r="E357" s="145" t="str">
        <f t="array" ref="E357">XLOOKUP(C357,'⬇️ PEMASUKAN'!$I$5:$I1181,'⬇️ PEMASUKAN'!$K$5:$K1181,,0,-1)</f>
        <v/>
      </c>
      <c r="F357" s="145" t="str">
        <f t="shared" si="2"/>
        <v/>
      </c>
      <c r="G357" s="145" t="str">
        <f t="shared" si="3"/>
        <v/>
      </c>
      <c r="H357" s="145"/>
      <c r="I357" s="145"/>
      <c r="J357" s="145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</row>
    <row r="358" ht="22.5" customHeight="1">
      <c r="A358" s="145"/>
      <c r="B358" s="145" t="str">
        <f t="shared" si="1"/>
        <v/>
      </c>
      <c r="C358" s="145"/>
      <c r="D358" s="145" t="str">
        <f t="array" ref="D358">IFNA(XLOOKUP(C358,'👥 Daftar Nama Pasien'!$B$6:$B1181,'👥 Daftar Nama Pasien'!$D$6:$D1181),"")</f>
        <v/>
      </c>
      <c r="E358" s="145" t="str">
        <f t="array" ref="E358">XLOOKUP(C358,'⬇️ PEMASUKAN'!$I$5:$I1181,'⬇️ PEMASUKAN'!$K$5:$K1181,,0,-1)</f>
        <v/>
      </c>
      <c r="F358" s="145" t="str">
        <f t="shared" si="2"/>
        <v/>
      </c>
      <c r="G358" s="145" t="str">
        <f t="shared" si="3"/>
        <v/>
      </c>
      <c r="H358" s="145"/>
      <c r="I358" s="145"/>
      <c r="J358" s="145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</row>
    <row r="359" ht="22.5" customHeight="1">
      <c r="A359" s="145"/>
      <c r="B359" s="145" t="str">
        <f t="shared" si="1"/>
        <v/>
      </c>
      <c r="C359" s="145"/>
      <c r="D359" s="145" t="str">
        <f t="array" ref="D359">IFNA(XLOOKUP(C359,'👥 Daftar Nama Pasien'!$B$6:$B1181,'👥 Daftar Nama Pasien'!$D$6:$D1181),"")</f>
        <v/>
      </c>
      <c r="E359" s="145" t="str">
        <f t="array" ref="E359">XLOOKUP(C359,'⬇️ PEMASUKAN'!$I$5:$I1181,'⬇️ PEMASUKAN'!$K$5:$K1181,,0,-1)</f>
        <v/>
      </c>
      <c r="F359" s="145" t="str">
        <f t="shared" si="2"/>
        <v/>
      </c>
      <c r="G359" s="145" t="str">
        <f t="shared" si="3"/>
        <v/>
      </c>
      <c r="H359" s="145"/>
      <c r="I359" s="145"/>
      <c r="J359" s="145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</row>
    <row r="360" ht="22.5" customHeight="1">
      <c r="A360" s="145"/>
      <c r="B360" s="145" t="str">
        <f t="shared" si="1"/>
        <v/>
      </c>
      <c r="C360" s="145"/>
      <c r="D360" s="145" t="str">
        <f t="array" ref="D360">IFNA(XLOOKUP(C360,'👥 Daftar Nama Pasien'!$B$6:$B1181,'👥 Daftar Nama Pasien'!$D$6:$D1181),"")</f>
        <v/>
      </c>
      <c r="E360" s="145" t="str">
        <f t="array" ref="E360">XLOOKUP(C360,'⬇️ PEMASUKAN'!$I$5:$I1181,'⬇️ PEMASUKAN'!$K$5:$K1181,,0,-1)</f>
        <v/>
      </c>
      <c r="F360" s="145" t="str">
        <f t="shared" si="2"/>
        <v/>
      </c>
      <c r="G360" s="145" t="str">
        <f t="shared" si="3"/>
        <v/>
      </c>
      <c r="H360" s="145"/>
      <c r="I360" s="145"/>
      <c r="J360" s="145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</row>
    <row r="361" ht="22.5" customHeight="1">
      <c r="A361" s="145"/>
      <c r="B361" s="145" t="str">
        <f t="shared" si="1"/>
        <v/>
      </c>
      <c r="C361" s="145"/>
      <c r="D361" s="145" t="str">
        <f t="array" ref="D361">IFNA(XLOOKUP(C361,'👥 Daftar Nama Pasien'!$B$6:$B1181,'👥 Daftar Nama Pasien'!$D$6:$D1181),"")</f>
        <v/>
      </c>
      <c r="E361" s="145" t="str">
        <f t="array" ref="E361">XLOOKUP(C361,'⬇️ PEMASUKAN'!$I$5:$I1181,'⬇️ PEMASUKAN'!$K$5:$K1181,,0,-1)</f>
        <v/>
      </c>
      <c r="F361" s="145" t="str">
        <f t="shared" si="2"/>
        <v/>
      </c>
      <c r="G361" s="145" t="str">
        <f t="shared" si="3"/>
        <v/>
      </c>
      <c r="H361" s="145"/>
      <c r="I361" s="145"/>
      <c r="J361" s="145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</row>
    <row r="362" ht="22.5" customHeight="1">
      <c r="A362" s="145"/>
      <c r="B362" s="145" t="str">
        <f t="shared" si="1"/>
        <v/>
      </c>
      <c r="C362" s="145"/>
      <c r="D362" s="145" t="str">
        <f t="array" ref="D362">IFNA(XLOOKUP(C362,'👥 Daftar Nama Pasien'!$B$6:$B1181,'👥 Daftar Nama Pasien'!$D$6:$D1181),"")</f>
        <v/>
      </c>
      <c r="E362" s="145" t="str">
        <f t="array" ref="E362">XLOOKUP(C362,'⬇️ PEMASUKAN'!$I$5:$I1181,'⬇️ PEMASUKAN'!$K$5:$K1181,,0,-1)</f>
        <v/>
      </c>
      <c r="F362" s="145" t="str">
        <f t="shared" si="2"/>
        <v/>
      </c>
      <c r="G362" s="145" t="str">
        <f t="shared" si="3"/>
        <v/>
      </c>
      <c r="H362" s="145"/>
      <c r="I362" s="145"/>
      <c r="J362" s="145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</row>
    <row r="363" ht="22.5" customHeight="1">
      <c r="A363" s="145"/>
      <c r="B363" s="145" t="str">
        <f t="shared" si="1"/>
        <v/>
      </c>
      <c r="C363" s="145"/>
      <c r="D363" s="145" t="str">
        <f t="array" ref="D363">IFNA(XLOOKUP(C363,'👥 Daftar Nama Pasien'!$B$6:$B1181,'👥 Daftar Nama Pasien'!$D$6:$D1181),"")</f>
        <v/>
      </c>
      <c r="E363" s="145" t="str">
        <f t="array" ref="E363">XLOOKUP(C363,'⬇️ PEMASUKAN'!$I$5:$I1181,'⬇️ PEMASUKAN'!$K$5:$K1181,,0,-1)</f>
        <v/>
      </c>
      <c r="F363" s="145" t="str">
        <f t="shared" si="2"/>
        <v/>
      </c>
      <c r="G363" s="145" t="str">
        <f t="shared" si="3"/>
        <v/>
      </c>
      <c r="H363" s="145"/>
      <c r="I363" s="145"/>
      <c r="J363" s="145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</row>
    <row r="364" ht="22.5" customHeight="1">
      <c r="A364" s="145"/>
      <c r="B364" s="145" t="str">
        <f t="shared" si="1"/>
        <v/>
      </c>
      <c r="C364" s="145"/>
      <c r="D364" s="145" t="str">
        <f t="array" ref="D364">IFNA(XLOOKUP(C364,'👥 Daftar Nama Pasien'!$B$6:$B1181,'👥 Daftar Nama Pasien'!$D$6:$D1181),"")</f>
        <v/>
      </c>
      <c r="E364" s="145" t="str">
        <f t="array" ref="E364">XLOOKUP(C364,'⬇️ PEMASUKAN'!$I$5:$I1181,'⬇️ PEMASUKAN'!$K$5:$K1181,,0,-1)</f>
        <v/>
      </c>
      <c r="F364" s="145" t="str">
        <f t="shared" si="2"/>
        <v/>
      </c>
      <c r="G364" s="145" t="str">
        <f t="shared" si="3"/>
        <v/>
      </c>
      <c r="H364" s="145"/>
      <c r="I364" s="145"/>
      <c r="J364" s="145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</row>
    <row r="365" ht="22.5" customHeight="1">
      <c r="A365" s="145"/>
      <c r="B365" s="145" t="str">
        <f t="shared" si="1"/>
        <v/>
      </c>
      <c r="C365" s="145"/>
      <c r="D365" s="145" t="str">
        <f t="array" ref="D365">IFNA(XLOOKUP(C365,'👥 Daftar Nama Pasien'!$B$6:$B1181,'👥 Daftar Nama Pasien'!$D$6:$D1181),"")</f>
        <v/>
      </c>
      <c r="E365" s="145" t="str">
        <f t="array" ref="E365">XLOOKUP(C365,'⬇️ PEMASUKAN'!$I$5:$I1181,'⬇️ PEMASUKAN'!$K$5:$K1181,,0,-1)</f>
        <v/>
      </c>
      <c r="F365" s="145" t="str">
        <f t="shared" si="2"/>
        <v/>
      </c>
      <c r="G365" s="145" t="str">
        <f t="shared" si="3"/>
        <v/>
      </c>
      <c r="H365" s="145"/>
      <c r="I365" s="145"/>
      <c r="J365" s="145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</row>
    <row r="366" ht="22.5" customHeight="1">
      <c r="A366" s="145"/>
      <c r="B366" s="145" t="str">
        <f t="shared" si="1"/>
        <v/>
      </c>
      <c r="C366" s="145"/>
      <c r="D366" s="145" t="str">
        <f t="array" ref="D366">IFNA(XLOOKUP(C366,'👥 Daftar Nama Pasien'!$B$6:$B1181,'👥 Daftar Nama Pasien'!$D$6:$D1181),"")</f>
        <v/>
      </c>
      <c r="E366" s="145" t="str">
        <f t="array" ref="E366">XLOOKUP(C366,'⬇️ PEMASUKAN'!$I$5:$I1181,'⬇️ PEMASUKAN'!$K$5:$K1181,,0,-1)</f>
        <v/>
      </c>
      <c r="F366" s="145" t="str">
        <f t="shared" si="2"/>
        <v/>
      </c>
      <c r="G366" s="145" t="str">
        <f t="shared" si="3"/>
        <v/>
      </c>
      <c r="H366" s="145"/>
      <c r="I366" s="145"/>
      <c r="J366" s="145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</row>
    <row r="367" ht="22.5" customHeight="1">
      <c r="A367" s="145"/>
      <c r="B367" s="145" t="str">
        <f t="shared" si="1"/>
        <v/>
      </c>
      <c r="C367" s="145"/>
      <c r="D367" s="145" t="str">
        <f t="array" ref="D367">IFNA(XLOOKUP(C367,'👥 Daftar Nama Pasien'!$B$6:$B1181,'👥 Daftar Nama Pasien'!$D$6:$D1181),"")</f>
        <v/>
      </c>
      <c r="E367" s="145" t="str">
        <f t="array" ref="E367">XLOOKUP(C367,'⬇️ PEMASUKAN'!$I$5:$I1181,'⬇️ PEMASUKAN'!$K$5:$K1181,,0,-1)</f>
        <v/>
      </c>
      <c r="F367" s="145" t="str">
        <f t="shared" si="2"/>
        <v/>
      </c>
      <c r="G367" s="145" t="str">
        <f t="shared" si="3"/>
        <v/>
      </c>
      <c r="H367" s="145"/>
      <c r="I367" s="145"/>
      <c r="J367" s="145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</row>
    <row r="368" ht="22.5" customHeight="1">
      <c r="A368" s="145"/>
      <c r="B368" s="145" t="str">
        <f t="shared" si="1"/>
        <v/>
      </c>
      <c r="C368" s="145"/>
      <c r="D368" s="145" t="str">
        <f t="array" ref="D368">IFNA(XLOOKUP(C368,'👥 Daftar Nama Pasien'!$B$6:$B1181,'👥 Daftar Nama Pasien'!$D$6:$D1181),"")</f>
        <v/>
      </c>
      <c r="E368" s="145" t="str">
        <f t="array" ref="E368">XLOOKUP(C368,'⬇️ PEMASUKAN'!$I$5:$I1181,'⬇️ PEMASUKAN'!$K$5:$K1181,,0,-1)</f>
        <v/>
      </c>
      <c r="F368" s="145" t="str">
        <f t="shared" si="2"/>
        <v/>
      </c>
      <c r="G368" s="145" t="str">
        <f t="shared" si="3"/>
        <v/>
      </c>
      <c r="H368" s="145"/>
      <c r="I368" s="145"/>
      <c r="J368" s="145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</row>
    <row r="369" ht="22.5" customHeight="1">
      <c r="A369" s="145"/>
      <c r="B369" s="145" t="str">
        <f t="shared" si="1"/>
        <v/>
      </c>
      <c r="C369" s="145"/>
      <c r="D369" s="145" t="str">
        <f t="array" ref="D369">IFNA(XLOOKUP(C369,'👥 Daftar Nama Pasien'!$B$6:$B1181,'👥 Daftar Nama Pasien'!$D$6:$D1181),"")</f>
        <v/>
      </c>
      <c r="E369" s="145" t="str">
        <f t="array" ref="E369">XLOOKUP(C369,'⬇️ PEMASUKAN'!$I$5:$I1181,'⬇️ PEMASUKAN'!$K$5:$K1181,,0,-1)</f>
        <v/>
      </c>
      <c r="F369" s="145" t="str">
        <f t="shared" si="2"/>
        <v/>
      </c>
      <c r="G369" s="145" t="str">
        <f t="shared" si="3"/>
        <v/>
      </c>
      <c r="H369" s="145"/>
      <c r="I369" s="145"/>
      <c r="J369" s="145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</row>
    <row r="370" ht="22.5" customHeight="1">
      <c r="A370" s="145"/>
      <c r="B370" s="145" t="str">
        <f t="shared" si="1"/>
        <v/>
      </c>
      <c r="C370" s="145"/>
      <c r="D370" s="145" t="str">
        <f t="array" ref="D370">IFNA(XLOOKUP(C370,'👥 Daftar Nama Pasien'!$B$6:$B1181,'👥 Daftar Nama Pasien'!$D$6:$D1181),"")</f>
        <v/>
      </c>
      <c r="E370" s="145" t="str">
        <f t="array" ref="E370">XLOOKUP(C370,'⬇️ PEMASUKAN'!$I$5:$I1181,'⬇️ PEMASUKAN'!$K$5:$K1181,,0,-1)</f>
        <v/>
      </c>
      <c r="F370" s="145" t="str">
        <f t="shared" si="2"/>
        <v/>
      </c>
      <c r="G370" s="145" t="str">
        <f t="shared" si="3"/>
        <v/>
      </c>
      <c r="H370" s="145"/>
      <c r="I370" s="145"/>
      <c r="J370" s="145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</row>
    <row r="371" ht="22.5" customHeight="1">
      <c r="A371" s="145"/>
      <c r="B371" s="145" t="str">
        <f t="shared" si="1"/>
        <v/>
      </c>
      <c r="C371" s="145"/>
      <c r="D371" s="145" t="str">
        <f t="array" ref="D371">IFNA(XLOOKUP(C371,'👥 Daftar Nama Pasien'!$B$6:$B1181,'👥 Daftar Nama Pasien'!$D$6:$D1181),"")</f>
        <v/>
      </c>
      <c r="E371" s="145" t="str">
        <f t="array" ref="E371">XLOOKUP(C371,'⬇️ PEMASUKAN'!$I$5:$I1181,'⬇️ PEMASUKAN'!$K$5:$K1181,,0,-1)</f>
        <v/>
      </c>
      <c r="F371" s="145" t="str">
        <f t="shared" si="2"/>
        <v/>
      </c>
      <c r="G371" s="145" t="str">
        <f t="shared" si="3"/>
        <v/>
      </c>
      <c r="H371" s="145"/>
      <c r="I371" s="145"/>
      <c r="J371" s="145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</row>
    <row r="372" ht="22.5" customHeight="1">
      <c r="A372" s="145"/>
      <c r="B372" s="145" t="str">
        <f t="shared" si="1"/>
        <v/>
      </c>
      <c r="C372" s="145"/>
      <c r="D372" s="145" t="str">
        <f t="array" ref="D372">IFNA(XLOOKUP(C372,'👥 Daftar Nama Pasien'!$B$6:$B1181,'👥 Daftar Nama Pasien'!$D$6:$D1181),"")</f>
        <v/>
      </c>
      <c r="E372" s="145" t="str">
        <f t="array" ref="E372">XLOOKUP(C372,'⬇️ PEMASUKAN'!$I$5:$I1181,'⬇️ PEMASUKAN'!$K$5:$K1181,,0,-1)</f>
        <v/>
      </c>
      <c r="F372" s="145" t="str">
        <f t="shared" si="2"/>
        <v/>
      </c>
      <c r="G372" s="145" t="str">
        <f t="shared" si="3"/>
        <v/>
      </c>
      <c r="H372" s="145"/>
      <c r="I372" s="145"/>
      <c r="J372" s="145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</row>
    <row r="373" ht="22.5" customHeight="1">
      <c r="A373" s="145"/>
      <c r="B373" s="145" t="str">
        <f t="shared" si="1"/>
        <v/>
      </c>
      <c r="C373" s="145"/>
      <c r="D373" s="145" t="str">
        <f t="array" ref="D373">IFNA(XLOOKUP(C373,'👥 Daftar Nama Pasien'!$B$6:$B1181,'👥 Daftar Nama Pasien'!$D$6:$D1181),"")</f>
        <v/>
      </c>
      <c r="E373" s="145" t="str">
        <f t="array" ref="E373">XLOOKUP(C373,'⬇️ PEMASUKAN'!$I$5:$I1181,'⬇️ PEMASUKAN'!$K$5:$K1181,,0,-1)</f>
        <v/>
      </c>
      <c r="F373" s="145" t="str">
        <f t="shared" si="2"/>
        <v/>
      </c>
      <c r="G373" s="145" t="str">
        <f t="shared" si="3"/>
        <v/>
      </c>
      <c r="H373" s="145"/>
      <c r="I373" s="145"/>
      <c r="J373" s="145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</row>
    <row r="374" ht="22.5" customHeight="1">
      <c r="A374" s="145"/>
      <c r="B374" s="145" t="str">
        <f t="shared" si="1"/>
        <v/>
      </c>
      <c r="C374" s="145"/>
      <c r="D374" s="145" t="str">
        <f t="array" ref="D374">IFNA(XLOOKUP(C374,'👥 Daftar Nama Pasien'!$B$6:$B1181,'👥 Daftar Nama Pasien'!$D$6:$D1181),"")</f>
        <v/>
      </c>
      <c r="E374" s="145" t="str">
        <f t="array" ref="E374">XLOOKUP(C374,'⬇️ PEMASUKAN'!$I$5:$I1181,'⬇️ PEMASUKAN'!$K$5:$K1181,,0,-1)</f>
        <v/>
      </c>
      <c r="F374" s="145" t="str">
        <f t="shared" si="2"/>
        <v/>
      </c>
      <c r="G374" s="145" t="str">
        <f t="shared" si="3"/>
        <v/>
      </c>
      <c r="H374" s="145"/>
      <c r="I374" s="145"/>
      <c r="J374" s="145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</row>
    <row r="375" ht="22.5" customHeight="1">
      <c r="A375" s="145"/>
      <c r="B375" s="145" t="str">
        <f t="shared" si="1"/>
        <v/>
      </c>
      <c r="C375" s="145"/>
      <c r="D375" s="145" t="str">
        <f t="array" ref="D375">IFNA(XLOOKUP(C375,'👥 Daftar Nama Pasien'!$B$6:$B1181,'👥 Daftar Nama Pasien'!$D$6:$D1181),"")</f>
        <v/>
      </c>
      <c r="E375" s="145" t="str">
        <f t="array" ref="E375">XLOOKUP(C375,'⬇️ PEMASUKAN'!$I$5:$I1181,'⬇️ PEMASUKAN'!$K$5:$K1181,,0,-1)</f>
        <v/>
      </c>
      <c r="F375" s="145" t="str">
        <f t="shared" si="2"/>
        <v/>
      </c>
      <c r="G375" s="145" t="str">
        <f t="shared" si="3"/>
        <v/>
      </c>
      <c r="H375" s="145"/>
      <c r="I375" s="145"/>
      <c r="J375" s="145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</row>
    <row r="376" ht="22.5" customHeight="1">
      <c r="A376" s="145"/>
      <c r="B376" s="145" t="str">
        <f t="shared" si="1"/>
        <v/>
      </c>
      <c r="C376" s="145"/>
      <c r="D376" s="145" t="str">
        <f t="array" ref="D376">IFNA(XLOOKUP(C376,'👥 Daftar Nama Pasien'!$B$6:$B1181,'👥 Daftar Nama Pasien'!$D$6:$D1181),"")</f>
        <v/>
      </c>
      <c r="E376" s="145" t="str">
        <f t="array" ref="E376">XLOOKUP(C376,'⬇️ PEMASUKAN'!$I$5:$I1181,'⬇️ PEMASUKAN'!$K$5:$K1181,,0,-1)</f>
        <v/>
      </c>
      <c r="F376" s="145" t="str">
        <f t="shared" si="2"/>
        <v/>
      </c>
      <c r="G376" s="145" t="str">
        <f t="shared" si="3"/>
        <v/>
      </c>
      <c r="H376" s="145"/>
      <c r="I376" s="145"/>
      <c r="J376" s="145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</row>
    <row r="377" ht="22.5" customHeight="1">
      <c r="A377" s="145"/>
      <c r="B377" s="145" t="str">
        <f t="shared" si="1"/>
        <v/>
      </c>
      <c r="C377" s="145"/>
      <c r="D377" s="145" t="str">
        <f t="array" ref="D377">IFNA(XLOOKUP(C377,'👥 Daftar Nama Pasien'!$B$6:$B1181,'👥 Daftar Nama Pasien'!$D$6:$D1181),"")</f>
        <v/>
      </c>
      <c r="E377" s="145" t="str">
        <f t="array" ref="E377">XLOOKUP(C377,'⬇️ PEMASUKAN'!$I$5:$I1181,'⬇️ PEMASUKAN'!$K$5:$K1181,,0,-1)</f>
        <v/>
      </c>
      <c r="F377" s="145" t="str">
        <f t="shared" si="2"/>
        <v/>
      </c>
      <c r="G377" s="145" t="str">
        <f t="shared" si="3"/>
        <v/>
      </c>
      <c r="H377" s="145"/>
      <c r="I377" s="145"/>
      <c r="J377" s="145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</row>
    <row r="378" ht="22.5" customHeight="1">
      <c r="A378" s="145"/>
      <c r="B378" s="145" t="str">
        <f t="shared" si="1"/>
        <v/>
      </c>
      <c r="C378" s="145"/>
      <c r="D378" s="145" t="str">
        <f t="array" ref="D378">IFNA(XLOOKUP(C378,'👥 Daftar Nama Pasien'!$B$6:$B1181,'👥 Daftar Nama Pasien'!$D$6:$D1181),"")</f>
        <v/>
      </c>
      <c r="E378" s="145" t="str">
        <f t="array" ref="E378">XLOOKUP(C378,'⬇️ PEMASUKAN'!$I$5:$I1181,'⬇️ PEMASUKAN'!$K$5:$K1181,,0,-1)</f>
        <v/>
      </c>
      <c r="F378" s="145" t="str">
        <f t="shared" si="2"/>
        <v/>
      </c>
      <c r="G378" s="145" t="str">
        <f t="shared" si="3"/>
        <v/>
      </c>
      <c r="H378" s="145"/>
      <c r="I378" s="145"/>
      <c r="J378" s="145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</row>
    <row r="379" ht="22.5" customHeight="1">
      <c r="A379" s="145"/>
      <c r="B379" s="145" t="str">
        <f t="shared" si="1"/>
        <v/>
      </c>
      <c r="C379" s="145"/>
      <c r="D379" s="145" t="str">
        <f t="array" ref="D379">IFNA(XLOOKUP(C379,'👥 Daftar Nama Pasien'!$B$6:$B1181,'👥 Daftar Nama Pasien'!$D$6:$D1181),"")</f>
        <v/>
      </c>
      <c r="E379" s="145" t="str">
        <f t="array" ref="E379">XLOOKUP(C379,'⬇️ PEMASUKAN'!$I$5:$I1181,'⬇️ PEMASUKAN'!$K$5:$K1181,,0,-1)</f>
        <v/>
      </c>
      <c r="F379" s="145" t="str">
        <f t="shared" si="2"/>
        <v/>
      </c>
      <c r="G379" s="145" t="str">
        <f t="shared" si="3"/>
        <v/>
      </c>
      <c r="H379" s="145"/>
      <c r="I379" s="145"/>
      <c r="J379" s="145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</row>
    <row r="380" ht="22.5" customHeight="1">
      <c r="A380" s="145"/>
      <c r="B380" s="145" t="str">
        <f t="shared" si="1"/>
        <v/>
      </c>
      <c r="C380" s="145"/>
      <c r="D380" s="145" t="str">
        <f t="array" ref="D380">IFNA(XLOOKUP(C380,'👥 Daftar Nama Pasien'!$B$6:$B1181,'👥 Daftar Nama Pasien'!$D$6:$D1181),"")</f>
        <v/>
      </c>
      <c r="E380" s="145" t="str">
        <f t="array" ref="E380">XLOOKUP(C380,'⬇️ PEMASUKAN'!$I$5:$I1181,'⬇️ PEMASUKAN'!$K$5:$K1181,,0,-1)</f>
        <v/>
      </c>
      <c r="F380" s="145" t="str">
        <f t="shared" si="2"/>
        <v/>
      </c>
      <c r="G380" s="145" t="str">
        <f t="shared" si="3"/>
        <v/>
      </c>
      <c r="H380" s="145"/>
      <c r="I380" s="145"/>
      <c r="J380" s="145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</row>
    <row r="381" ht="22.5" customHeight="1">
      <c r="A381" s="145"/>
      <c r="B381" s="145" t="str">
        <f t="shared" si="1"/>
        <v/>
      </c>
      <c r="C381" s="145"/>
      <c r="D381" s="145" t="str">
        <f t="array" ref="D381">IFNA(XLOOKUP(C381,'👥 Daftar Nama Pasien'!$B$6:$B1181,'👥 Daftar Nama Pasien'!$D$6:$D1181),"")</f>
        <v/>
      </c>
      <c r="E381" s="145" t="str">
        <f t="array" ref="E381">XLOOKUP(C381,'⬇️ PEMASUKAN'!$I$5:$I1181,'⬇️ PEMASUKAN'!$K$5:$K1181,,0,-1)</f>
        <v/>
      </c>
      <c r="F381" s="145" t="str">
        <f t="shared" si="2"/>
        <v/>
      </c>
      <c r="G381" s="145" t="str">
        <f t="shared" si="3"/>
        <v/>
      </c>
      <c r="H381" s="145"/>
      <c r="I381" s="145"/>
      <c r="J381" s="145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</row>
    <row r="382" ht="22.5" customHeight="1">
      <c r="A382" s="145"/>
      <c r="B382" s="145" t="str">
        <f t="shared" si="1"/>
        <v/>
      </c>
      <c r="C382" s="145"/>
      <c r="D382" s="145" t="str">
        <f t="array" ref="D382">IFNA(XLOOKUP(C382,'👥 Daftar Nama Pasien'!$B$6:$B1181,'👥 Daftar Nama Pasien'!$D$6:$D1181),"")</f>
        <v/>
      </c>
      <c r="E382" s="145" t="str">
        <f t="array" ref="E382">XLOOKUP(C382,'⬇️ PEMASUKAN'!$I$5:$I1181,'⬇️ PEMASUKAN'!$K$5:$K1181,,0,-1)</f>
        <v/>
      </c>
      <c r="F382" s="145" t="str">
        <f t="shared" si="2"/>
        <v/>
      </c>
      <c r="G382" s="145" t="str">
        <f t="shared" si="3"/>
        <v/>
      </c>
      <c r="H382" s="145"/>
      <c r="I382" s="145"/>
      <c r="J382" s="145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</row>
    <row r="383" ht="22.5" customHeight="1">
      <c r="A383" s="145"/>
      <c r="B383" s="145" t="str">
        <f t="shared" si="1"/>
        <v/>
      </c>
      <c r="C383" s="145"/>
      <c r="D383" s="145" t="str">
        <f t="array" ref="D383">IFNA(XLOOKUP(C383,'👥 Daftar Nama Pasien'!$B$6:$B1181,'👥 Daftar Nama Pasien'!$D$6:$D1181),"")</f>
        <v/>
      </c>
      <c r="E383" s="145" t="str">
        <f t="array" ref="E383">XLOOKUP(C383,'⬇️ PEMASUKAN'!$I$5:$I1181,'⬇️ PEMASUKAN'!$K$5:$K1181,,0,-1)</f>
        <v/>
      </c>
      <c r="F383" s="145" t="str">
        <f t="shared" si="2"/>
        <v/>
      </c>
      <c r="G383" s="145" t="str">
        <f t="shared" si="3"/>
        <v/>
      </c>
      <c r="H383" s="145"/>
      <c r="I383" s="145"/>
      <c r="J383" s="145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</row>
    <row r="384" ht="22.5" customHeight="1">
      <c r="A384" s="145"/>
      <c r="B384" s="145" t="str">
        <f t="shared" si="1"/>
        <v/>
      </c>
      <c r="C384" s="145"/>
      <c r="D384" s="145" t="str">
        <f t="array" ref="D384">IFNA(XLOOKUP(C384,'👥 Daftar Nama Pasien'!$B$6:$B1181,'👥 Daftar Nama Pasien'!$D$6:$D1181),"")</f>
        <v/>
      </c>
      <c r="E384" s="145" t="str">
        <f t="array" ref="E384">XLOOKUP(C384,'⬇️ PEMASUKAN'!$I$5:$I1181,'⬇️ PEMASUKAN'!$K$5:$K1181,,0,-1)</f>
        <v/>
      </c>
      <c r="F384" s="145" t="str">
        <f t="shared" si="2"/>
        <v/>
      </c>
      <c r="G384" s="145" t="str">
        <f t="shared" si="3"/>
        <v/>
      </c>
      <c r="H384" s="145"/>
      <c r="I384" s="145"/>
      <c r="J384" s="145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</row>
    <row r="385" ht="22.5" customHeight="1">
      <c r="A385" s="145"/>
      <c r="B385" s="145" t="str">
        <f t="shared" si="1"/>
        <v/>
      </c>
      <c r="C385" s="145"/>
      <c r="D385" s="145" t="str">
        <f t="array" ref="D385">IFNA(XLOOKUP(C385,'👥 Daftar Nama Pasien'!$B$6:$B1181,'👥 Daftar Nama Pasien'!$D$6:$D1181),"")</f>
        <v/>
      </c>
      <c r="E385" s="145" t="str">
        <f t="array" ref="E385">XLOOKUP(C385,'⬇️ PEMASUKAN'!$I$5:$I1181,'⬇️ PEMASUKAN'!$K$5:$K1181,,0,-1)</f>
        <v/>
      </c>
      <c r="F385" s="145" t="str">
        <f t="shared" si="2"/>
        <v/>
      </c>
      <c r="G385" s="145" t="str">
        <f t="shared" si="3"/>
        <v/>
      </c>
      <c r="H385" s="145"/>
      <c r="I385" s="145"/>
      <c r="J385" s="145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</row>
    <row r="386" ht="22.5" customHeight="1">
      <c r="A386" s="145"/>
      <c r="B386" s="145" t="str">
        <f t="shared" si="1"/>
        <v/>
      </c>
      <c r="C386" s="145"/>
      <c r="D386" s="145" t="str">
        <f t="array" ref="D386">IFNA(XLOOKUP(C386,'👥 Daftar Nama Pasien'!$B$6:$B1181,'👥 Daftar Nama Pasien'!$D$6:$D1181),"")</f>
        <v/>
      </c>
      <c r="E386" s="145" t="str">
        <f t="array" ref="E386">XLOOKUP(C386,'⬇️ PEMASUKAN'!$I$5:$I1181,'⬇️ PEMASUKAN'!$K$5:$K1181,,0,-1)</f>
        <v/>
      </c>
      <c r="F386" s="145" t="str">
        <f t="shared" si="2"/>
        <v/>
      </c>
      <c r="G386" s="145" t="str">
        <f t="shared" si="3"/>
        <v/>
      </c>
      <c r="H386" s="145"/>
      <c r="I386" s="145"/>
      <c r="J386" s="145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</row>
    <row r="387" ht="22.5" customHeight="1">
      <c r="A387" s="145"/>
      <c r="B387" s="145" t="str">
        <f t="shared" si="1"/>
        <v/>
      </c>
      <c r="C387" s="145"/>
      <c r="D387" s="145" t="str">
        <f t="array" ref="D387">IFNA(XLOOKUP(C387,'👥 Daftar Nama Pasien'!$B$6:$B1181,'👥 Daftar Nama Pasien'!$D$6:$D1181),"")</f>
        <v/>
      </c>
      <c r="E387" s="145" t="str">
        <f t="array" ref="E387">XLOOKUP(C387,'⬇️ PEMASUKAN'!$I$5:$I1181,'⬇️ PEMASUKAN'!$K$5:$K1181,,0,-1)</f>
        <v/>
      </c>
      <c r="F387" s="145" t="str">
        <f t="shared" si="2"/>
        <v/>
      </c>
      <c r="G387" s="145" t="str">
        <f t="shared" si="3"/>
        <v/>
      </c>
      <c r="H387" s="145"/>
      <c r="I387" s="145"/>
      <c r="J387" s="145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</row>
    <row r="388" ht="22.5" customHeight="1">
      <c r="A388" s="145"/>
      <c r="B388" s="145" t="str">
        <f t="shared" si="1"/>
        <v/>
      </c>
      <c r="C388" s="145"/>
      <c r="D388" s="145" t="str">
        <f t="array" ref="D388">IFNA(XLOOKUP(C388,'👥 Daftar Nama Pasien'!$B$6:$B1181,'👥 Daftar Nama Pasien'!$D$6:$D1181),"")</f>
        <v/>
      </c>
      <c r="E388" s="145" t="str">
        <f t="array" ref="E388">XLOOKUP(C388,'⬇️ PEMASUKAN'!$I$5:$I1181,'⬇️ PEMASUKAN'!$K$5:$K1181,,0,-1)</f>
        <v/>
      </c>
      <c r="F388" s="145" t="str">
        <f t="shared" si="2"/>
        <v/>
      </c>
      <c r="G388" s="145" t="str">
        <f t="shared" si="3"/>
        <v/>
      </c>
      <c r="H388" s="145"/>
      <c r="I388" s="145"/>
      <c r="J388" s="145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</row>
    <row r="389" ht="22.5" customHeight="1">
      <c r="A389" s="145"/>
      <c r="B389" s="145" t="str">
        <f t="shared" si="1"/>
        <v/>
      </c>
      <c r="C389" s="145"/>
      <c r="D389" s="145" t="str">
        <f t="array" ref="D389">IFNA(XLOOKUP(C389,'👥 Daftar Nama Pasien'!$B$6:$B1181,'👥 Daftar Nama Pasien'!$D$6:$D1181),"")</f>
        <v/>
      </c>
      <c r="E389" s="145" t="str">
        <f t="array" ref="E389">XLOOKUP(C389,'⬇️ PEMASUKAN'!$I$5:$I1181,'⬇️ PEMASUKAN'!$K$5:$K1181,,0,-1)</f>
        <v/>
      </c>
      <c r="F389" s="145" t="str">
        <f t="shared" si="2"/>
        <v/>
      </c>
      <c r="G389" s="145" t="str">
        <f t="shared" si="3"/>
        <v/>
      </c>
      <c r="H389" s="145"/>
      <c r="I389" s="145"/>
      <c r="J389" s="145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</row>
    <row r="390" ht="22.5" customHeight="1">
      <c r="A390" s="145"/>
      <c r="B390" s="145" t="str">
        <f t="shared" si="1"/>
        <v/>
      </c>
      <c r="C390" s="145"/>
      <c r="D390" s="145" t="str">
        <f t="array" ref="D390">IFNA(XLOOKUP(C390,'👥 Daftar Nama Pasien'!$B$6:$B1181,'👥 Daftar Nama Pasien'!$D$6:$D1181),"")</f>
        <v/>
      </c>
      <c r="E390" s="145" t="str">
        <f t="array" ref="E390">XLOOKUP(C390,'⬇️ PEMASUKAN'!$I$5:$I1181,'⬇️ PEMASUKAN'!$K$5:$K1181,,0,-1)</f>
        <v/>
      </c>
      <c r="F390" s="145" t="str">
        <f t="shared" si="2"/>
        <v/>
      </c>
      <c r="G390" s="145" t="str">
        <f t="shared" si="3"/>
        <v/>
      </c>
      <c r="H390" s="145"/>
      <c r="I390" s="145"/>
      <c r="J390" s="145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</row>
    <row r="391" ht="22.5" customHeight="1">
      <c r="A391" s="145"/>
      <c r="B391" s="145" t="str">
        <f t="shared" si="1"/>
        <v/>
      </c>
      <c r="C391" s="145"/>
      <c r="D391" s="145" t="str">
        <f t="array" ref="D391">IFNA(XLOOKUP(C391,'👥 Daftar Nama Pasien'!$B$6:$B1181,'👥 Daftar Nama Pasien'!$D$6:$D1181),"")</f>
        <v/>
      </c>
      <c r="E391" s="145" t="str">
        <f t="array" ref="E391">XLOOKUP(C391,'⬇️ PEMASUKAN'!$I$5:$I1181,'⬇️ PEMASUKAN'!$K$5:$K1181,,0,-1)</f>
        <v/>
      </c>
      <c r="F391" s="145" t="str">
        <f t="shared" si="2"/>
        <v/>
      </c>
      <c r="G391" s="145" t="str">
        <f t="shared" si="3"/>
        <v/>
      </c>
      <c r="H391" s="145"/>
      <c r="I391" s="145"/>
      <c r="J391" s="145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</row>
    <row r="392" ht="22.5" customHeight="1">
      <c r="A392" s="145"/>
      <c r="B392" s="145" t="str">
        <f t="shared" si="1"/>
        <v/>
      </c>
      <c r="C392" s="145"/>
      <c r="D392" s="145" t="str">
        <f t="array" ref="D392">IFNA(XLOOKUP(C392,'👥 Daftar Nama Pasien'!$B$6:$B1181,'👥 Daftar Nama Pasien'!$D$6:$D1181),"")</f>
        <v/>
      </c>
      <c r="E392" s="145" t="str">
        <f t="array" ref="E392">XLOOKUP(C392,'⬇️ PEMASUKAN'!$I$5:$I1181,'⬇️ PEMASUKAN'!$K$5:$K1181,,0,-1)</f>
        <v/>
      </c>
      <c r="F392" s="145" t="str">
        <f t="shared" si="2"/>
        <v/>
      </c>
      <c r="G392" s="145" t="str">
        <f t="shared" si="3"/>
        <v/>
      </c>
      <c r="H392" s="145"/>
      <c r="I392" s="145"/>
      <c r="J392" s="145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</row>
    <row r="393" ht="22.5" customHeight="1">
      <c r="A393" s="145"/>
      <c r="B393" s="145" t="str">
        <f t="shared" si="1"/>
        <v/>
      </c>
      <c r="C393" s="145"/>
      <c r="D393" s="145" t="str">
        <f t="array" ref="D393">IFNA(XLOOKUP(C393,'👥 Daftar Nama Pasien'!$B$6:$B1181,'👥 Daftar Nama Pasien'!$D$6:$D1181),"")</f>
        <v/>
      </c>
      <c r="E393" s="145" t="str">
        <f t="array" ref="E393">XLOOKUP(C393,'⬇️ PEMASUKAN'!$I$5:$I1181,'⬇️ PEMASUKAN'!$K$5:$K1181,,0,-1)</f>
        <v/>
      </c>
      <c r="F393" s="145" t="str">
        <f t="shared" si="2"/>
        <v/>
      </c>
      <c r="G393" s="145" t="str">
        <f t="shared" si="3"/>
        <v/>
      </c>
      <c r="H393" s="145"/>
      <c r="I393" s="145"/>
      <c r="J393" s="145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</row>
    <row r="394" ht="22.5" customHeight="1">
      <c r="A394" s="145"/>
      <c r="B394" s="145" t="str">
        <f t="shared" si="1"/>
        <v/>
      </c>
      <c r="C394" s="145"/>
      <c r="D394" s="145" t="str">
        <f t="array" ref="D394">IFNA(XLOOKUP(C394,'👥 Daftar Nama Pasien'!$B$6:$B1181,'👥 Daftar Nama Pasien'!$D$6:$D1181),"")</f>
        <v/>
      </c>
      <c r="E394" s="145" t="str">
        <f t="array" ref="E394">XLOOKUP(C394,'⬇️ PEMASUKAN'!$I$5:$I1181,'⬇️ PEMASUKAN'!$K$5:$K1181,,0,-1)</f>
        <v/>
      </c>
      <c r="F394" s="145" t="str">
        <f t="shared" si="2"/>
        <v/>
      </c>
      <c r="G394" s="145" t="str">
        <f t="shared" si="3"/>
        <v/>
      </c>
      <c r="H394" s="145"/>
      <c r="I394" s="145"/>
      <c r="J394" s="145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</row>
    <row r="395" ht="22.5" customHeight="1">
      <c r="A395" s="145"/>
      <c r="B395" s="145" t="str">
        <f t="shared" si="1"/>
        <v/>
      </c>
      <c r="C395" s="145"/>
      <c r="D395" s="145" t="str">
        <f t="array" ref="D395">IFNA(XLOOKUP(C395,'👥 Daftar Nama Pasien'!$B$6:$B1181,'👥 Daftar Nama Pasien'!$D$6:$D1181),"")</f>
        <v/>
      </c>
      <c r="E395" s="145" t="str">
        <f t="array" ref="E395">XLOOKUP(C395,'⬇️ PEMASUKAN'!$I$5:$I1181,'⬇️ PEMASUKAN'!$K$5:$K1181,,0,-1)</f>
        <v/>
      </c>
      <c r="F395" s="145" t="str">
        <f t="shared" si="2"/>
        <v/>
      </c>
      <c r="G395" s="145" t="str">
        <f t="shared" si="3"/>
        <v/>
      </c>
      <c r="H395" s="145"/>
      <c r="I395" s="145"/>
      <c r="J395" s="145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</row>
    <row r="396" ht="22.5" customHeight="1">
      <c r="A396" s="145"/>
      <c r="B396" s="145" t="str">
        <f t="shared" si="1"/>
        <v/>
      </c>
      <c r="C396" s="145"/>
      <c r="D396" s="145" t="str">
        <f t="array" ref="D396">IFNA(XLOOKUP(C396,'👥 Daftar Nama Pasien'!$B$6:$B1181,'👥 Daftar Nama Pasien'!$D$6:$D1181),"")</f>
        <v/>
      </c>
      <c r="E396" s="145" t="str">
        <f t="array" ref="E396">XLOOKUP(C396,'⬇️ PEMASUKAN'!$I$5:$I1181,'⬇️ PEMASUKAN'!$K$5:$K1181,,0,-1)</f>
        <v/>
      </c>
      <c r="F396" s="145" t="str">
        <f t="shared" si="2"/>
        <v/>
      </c>
      <c r="G396" s="145" t="str">
        <f t="shared" si="3"/>
        <v/>
      </c>
      <c r="H396" s="145"/>
      <c r="I396" s="145"/>
      <c r="J396" s="145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</row>
    <row r="397" ht="22.5" customHeight="1">
      <c r="A397" s="145"/>
      <c r="B397" s="145" t="str">
        <f t="shared" si="1"/>
        <v/>
      </c>
      <c r="C397" s="145"/>
      <c r="D397" s="145" t="str">
        <f t="array" ref="D397">IFNA(XLOOKUP(C397,'👥 Daftar Nama Pasien'!$B$6:$B1181,'👥 Daftar Nama Pasien'!$D$6:$D1181),"")</f>
        <v/>
      </c>
      <c r="E397" s="145" t="str">
        <f t="array" ref="E397">XLOOKUP(C397,'⬇️ PEMASUKAN'!$I$5:$I1181,'⬇️ PEMASUKAN'!$K$5:$K1181,,0,-1)</f>
        <v/>
      </c>
      <c r="F397" s="145" t="str">
        <f t="shared" si="2"/>
        <v/>
      </c>
      <c r="G397" s="145" t="str">
        <f t="shared" si="3"/>
        <v/>
      </c>
      <c r="H397" s="145"/>
      <c r="I397" s="145"/>
      <c r="J397" s="145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</row>
    <row r="398" ht="22.5" customHeight="1">
      <c r="A398" s="145"/>
      <c r="B398" s="145" t="str">
        <f t="shared" si="1"/>
        <v/>
      </c>
      <c r="C398" s="145"/>
      <c r="D398" s="145" t="str">
        <f t="array" ref="D398">IFNA(XLOOKUP(C398,'👥 Daftar Nama Pasien'!$B$6:$B1181,'👥 Daftar Nama Pasien'!$D$6:$D1181),"")</f>
        <v/>
      </c>
      <c r="E398" s="145" t="str">
        <f t="array" ref="E398">XLOOKUP(C398,'⬇️ PEMASUKAN'!$I$5:$I1181,'⬇️ PEMASUKAN'!$K$5:$K1181,,0,-1)</f>
        <v/>
      </c>
      <c r="F398" s="145" t="str">
        <f t="shared" si="2"/>
        <v/>
      </c>
      <c r="G398" s="145" t="str">
        <f t="shared" si="3"/>
        <v/>
      </c>
      <c r="H398" s="145"/>
      <c r="I398" s="145"/>
      <c r="J398" s="145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</row>
    <row r="399" ht="22.5" customHeight="1">
      <c r="A399" s="145"/>
      <c r="B399" s="145" t="str">
        <f t="shared" si="1"/>
        <v/>
      </c>
      <c r="C399" s="145"/>
      <c r="D399" s="145" t="str">
        <f t="array" ref="D399">IFNA(XLOOKUP(C399,'👥 Daftar Nama Pasien'!$B$6:$B1181,'👥 Daftar Nama Pasien'!$D$6:$D1181),"")</f>
        <v/>
      </c>
      <c r="E399" s="145" t="str">
        <f t="array" ref="E399">XLOOKUP(C399,'⬇️ PEMASUKAN'!$I$5:$I1181,'⬇️ PEMASUKAN'!$K$5:$K1181,,0,-1)</f>
        <v/>
      </c>
      <c r="F399" s="145" t="str">
        <f t="shared" si="2"/>
        <v/>
      </c>
      <c r="G399" s="145" t="str">
        <f t="shared" si="3"/>
        <v/>
      </c>
      <c r="H399" s="145"/>
      <c r="I399" s="145"/>
      <c r="J399" s="145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</row>
    <row r="400" ht="22.5" customHeight="1">
      <c r="A400" s="145"/>
      <c r="B400" s="145" t="str">
        <f t="shared" si="1"/>
        <v/>
      </c>
      <c r="C400" s="145"/>
      <c r="D400" s="145" t="str">
        <f t="array" ref="D400">IFNA(XLOOKUP(C400,'👥 Daftar Nama Pasien'!$B$6:$B1181,'👥 Daftar Nama Pasien'!$D$6:$D1181),"")</f>
        <v/>
      </c>
      <c r="E400" s="145" t="str">
        <f t="array" ref="E400">XLOOKUP(C400,'⬇️ PEMASUKAN'!$I$5:$I1181,'⬇️ PEMASUKAN'!$K$5:$K1181,,0,-1)</f>
        <v/>
      </c>
      <c r="F400" s="145" t="str">
        <f t="shared" si="2"/>
        <v/>
      </c>
      <c r="G400" s="145" t="str">
        <f t="shared" si="3"/>
        <v/>
      </c>
      <c r="H400" s="145"/>
      <c r="I400" s="145"/>
      <c r="J400" s="145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</row>
    <row r="401" ht="22.5" customHeight="1">
      <c r="A401" s="145"/>
      <c r="B401" s="145" t="str">
        <f t="shared" si="1"/>
        <v/>
      </c>
      <c r="C401" s="145"/>
      <c r="D401" s="145" t="str">
        <f t="array" ref="D401">IFNA(XLOOKUP(C401,'👥 Daftar Nama Pasien'!$B$6:$B1181,'👥 Daftar Nama Pasien'!$D$6:$D1181),"")</f>
        <v/>
      </c>
      <c r="E401" s="145" t="str">
        <f t="array" ref="E401">XLOOKUP(C401,'⬇️ PEMASUKAN'!$I$5:$I1181,'⬇️ PEMASUKAN'!$K$5:$K1181,,0,-1)</f>
        <v/>
      </c>
      <c r="F401" s="145" t="str">
        <f t="shared" si="2"/>
        <v/>
      </c>
      <c r="G401" s="145" t="str">
        <f t="shared" si="3"/>
        <v/>
      </c>
      <c r="H401" s="145"/>
      <c r="I401" s="145"/>
      <c r="J401" s="145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</row>
    <row r="402" ht="22.5" customHeight="1">
      <c r="A402" s="145"/>
      <c r="B402" s="145" t="str">
        <f t="shared" si="1"/>
        <v/>
      </c>
      <c r="C402" s="145"/>
      <c r="D402" s="145" t="str">
        <f t="array" ref="D402">IFNA(XLOOKUP(C402,'👥 Daftar Nama Pasien'!$B$6:$B1181,'👥 Daftar Nama Pasien'!$D$6:$D1181),"")</f>
        <v/>
      </c>
      <c r="E402" s="145" t="str">
        <f t="array" ref="E402">XLOOKUP(C402,'⬇️ PEMASUKAN'!$I$5:$I1181,'⬇️ PEMASUKAN'!$K$5:$K1181,,0,-1)</f>
        <v/>
      </c>
      <c r="F402" s="145" t="str">
        <f t="shared" si="2"/>
        <v/>
      </c>
      <c r="G402" s="145" t="str">
        <f t="shared" si="3"/>
        <v/>
      </c>
      <c r="H402" s="145"/>
      <c r="I402" s="145"/>
      <c r="J402" s="145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</row>
    <row r="403" ht="22.5" customHeight="1">
      <c r="A403" s="145"/>
      <c r="B403" s="145" t="str">
        <f t="shared" si="1"/>
        <v/>
      </c>
      <c r="C403" s="145"/>
      <c r="D403" s="145" t="str">
        <f t="array" ref="D403">IFNA(XLOOKUP(C403,'👥 Daftar Nama Pasien'!$B$6:$B1181,'👥 Daftar Nama Pasien'!$D$6:$D1181),"")</f>
        <v/>
      </c>
      <c r="E403" s="145" t="str">
        <f t="array" ref="E403">XLOOKUP(C403,'⬇️ PEMASUKAN'!$I$5:$I1181,'⬇️ PEMASUKAN'!$K$5:$K1181,,0,-1)</f>
        <v/>
      </c>
      <c r="F403" s="145" t="str">
        <f t="shared" si="2"/>
        <v/>
      </c>
      <c r="G403" s="145" t="str">
        <f t="shared" si="3"/>
        <v/>
      </c>
      <c r="H403" s="145"/>
      <c r="I403" s="145"/>
      <c r="J403" s="145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</row>
    <row r="404" ht="22.5" customHeight="1">
      <c r="A404" s="145"/>
      <c r="B404" s="145" t="str">
        <f t="shared" si="1"/>
        <v/>
      </c>
      <c r="C404" s="145"/>
      <c r="D404" s="145" t="str">
        <f t="array" ref="D404">IFNA(XLOOKUP(C404,'👥 Daftar Nama Pasien'!$B$6:$B1181,'👥 Daftar Nama Pasien'!$D$6:$D1181),"")</f>
        <v/>
      </c>
      <c r="E404" s="145" t="str">
        <f t="array" ref="E404">XLOOKUP(C404,'⬇️ PEMASUKAN'!$I$5:$I1181,'⬇️ PEMASUKAN'!$K$5:$K1181,,0,-1)</f>
        <v/>
      </c>
      <c r="F404" s="145" t="str">
        <f t="shared" si="2"/>
        <v/>
      </c>
      <c r="G404" s="145" t="str">
        <f t="shared" si="3"/>
        <v/>
      </c>
      <c r="H404" s="145"/>
      <c r="I404" s="145"/>
      <c r="J404" s="145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</row>
    <row r="405" ht="22.5" customHeight="1">
      <c r="A405" s="145"/>
      <c r="B405" s="145" t="str">
        <f t="shared" si="1"/>
        <v/>
      </c>
      <c r="C405" s="145"/>
      <c r="D405" s="145" t="str">
        <f t="array" ref="D405">IFNA(XLOOKUP(C405,'👥 Daftar Nama Pasien'!$B$6:$B1181,'👥 Daftar Nama Pasien'!$D$6:$D1181),"")</f>
        <v/>
      </c>
      <c r="E405" s="145" t="str">
        <f t="array" ref="E405">XLOOKUP(C405,'⬇️ PEMASUKAN'!$I$5:$I1181,'⬇️ PEMASUKAN'!$K$5:$K1181,,0,-1)</f>
        <v/>
      </c>
      <c r="F405" s="145" t="str">
        <f t="shared" si="2"/>
        <v/>
      </c>
      <c r="G405" s="145" t="str">
        <f t="shared" si="3"/>
        <v/>
      </c>
      <c r="H405" s="145"/>
      <c r="I405" s="145"/>
      <c r="J405" s="145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</row>
    <row r="406" ht="22.5" customHeight="1">
      <c r="A406" s="145"/>
      <c r="B406" s="145" t="str">
        <f t="shared" si="1"/>
        <v/>
      </c>
      <c r="C406" s="145"/>
      <c r="D406" s="145" t="str">
        <f t="array" ref="D406">IFNA(XLOOKUP(C406,'👥 Daftar Nama Pasien'!$B$6:$B1181,'👥 Daftar Nama Pasien'!$D$6:$D1181),"")</f>
        <v/>
      </c>
      <c r="E406" s="145" t="str">
        <f t="array" ref="E406">XLOOKUP(C406,'⬇️ PEMASUKAN'!$I$5:$I1181,'⬇️ PEMASUKAN'!$K$5:$K1181,,0,-1)</f>
        <v/>
      </c>
      <c r="F406" s="145" t="str">
        <f t="shared" si="2"/>
        <v/>
      </c>
      <c r="G406" s="145" t="str">
        <f t="shared" si="3"/>
        <v/>
      </c>
      <c r="H406" s="145"/>
      <c r="I406" s="145"/>
      <c r="J406" s="145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</row>
    <row r="407" ht="22.5" customHeight="1">
      <c r="A407" s="145"/>
      <c r="B407" s="145" t="str">
        <f t="shared" si="1"/>
        <v/>
      </c>
      <c r="C407" s="145"/>
      <c r="D407" s="145" t="str">
        <f t="array" ref="D407">IFNA(XLOOKUP(C407,'👥 Daftar Nama Pasien'!$B$6:$B1181,'👥 Daftar Nama Pasien'!$D$6:$D1181),"")</f>
        <v/>
      </c>
      <c r="E407" s="145" t="str">
        <f t="array" ref="E407">XLOOKUP(C407,'⬇️ PEMASUKAN'!$I$5:$I1181,'⬇️ PEMASUKAN'!$K$5:$K1181,,0,-1)</f>
        <v/>
      </c>
      <c r="F407" s="145" t="str">
        <f t="shared" si="2"/>
        <v/>
      </c>
      <c r="G407" s="145" t="str">
        <f t="shared" si="3"/>
        <v/>
      </c>
      <c r="H407" s="145"/>
      <c r="I407" s="145"/>
      <c r="J407" s="145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</row>
    <row r="408" ht="22.5" customHeight="1">
      <c r="A408" s="145"/>
      <c r="B408" s="145" t="str">
        <f t="shared" si="1"/>
        <v/>
      </c>
      <c r="C408" s="145"/>
      <c r="D408" s="145" t="str">
        <f t="array" ref="D408">IFNA(XLOOKUP(C408,'👥 Daftar Nama Pasien'!$B$6:$B1181,'👥 Daftar Nama Pasien'!$D$6:$D1181),"")</f>
        <v/>
      </c>
      <c r="E408" s="145" t="str">
        <f t="array" ref="E408">XLOOKUP(C408,'⬇️ PEMASUKAN'!$I$5:$I1181,'⬇️ PEMASUKAN'!$K$5:$K1181,,0,-1)</f>
        <v/>
      </c>
      <c r="F408" s="145" t="str">
        <f t="shared" si="2"/>
        <v/>
      </c>
      <c r="G408" s="145" t="str">
        <f t="shared" si="3"/>
        <v/>
      </c>
      <c r="H408" s="145"/>
      <c r="I408" s="145"/>
      <c r="J408" s="145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</row>
    <row r="409" ht="22.5" customHeight="1">
      <c r="A409" s="145"/>
      <c r="B409" s="145" t="str">
        <f t="shared" si="1"/>
        <v/>
      </c>
      <c r="C409" s="145"/>
      <c r="D409" s="145" t="str">
        <f t="array" ref="D409">IFNA(XLOOKUP(C409,'👥 Daftar Nama Pasien'!$B$6:$B1181,'👥 Daftar Nama Pasien'!$D$6:$D1181),"")</f>
        <v/>
      </c>
      <c r="E409" s="145" t="str">
        <f t="array" ref="E409">XLOOKUP(C409,'⬇️ PEMASUKAN'!$I$5:$I1181,'⬇️ PEMASUKAN'!$K$5:$K1181,,0,-1)</f>
        <v/>
      </c>
      <c r="F409" s="145" t="str">
        <f t="shared" si="2"/>
        <v/>
      </c>
      <c r="G409" s="145" t="str">
        <f t="shared" si="3"/>
        <v/>
      </c>
      <c r="H409" s="145"/>
      <c r="I409" s="145"/>
      <c r="J409" s="145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</row>
    <row r="410" ht="22.5" customHeight="1">
      <c r="A410" s="145"/>
      <c r="B410" s="145" t="str">
        <f t="shared" si="1"/>
        <v/>
      </c>
      <c r="C410" s="145"/>
      <c r="D410" s="145" t="str">
        <f t="array" ref="D410">IFNA(XLOOKUP(C410,'👥 Daftar Nama Pasien'!$B$6:$B1181,'👥 Daftar Nama Pasien'!$D$6:$D1181),"")</f>
        <v/>
      </c>
      <c r="E410" s="145" t="str">
        <f t="array" ref="E410">XLOOKUP(C410,'⬇️ PEMASUKAN'!$I$5:$I1181,'⬇️ PEMASUKAN'!$K$5:$K1181,,0,-1)</f>
        <v/>
      </c>
      <c r="F410" s="145" t="str">
        <f t="shared" si="2"/>
        <v/>
      </c>
      <c r="G410" s="145" t="str">
        <f t="shared" si="3"/>
        <v/>
      </c>
      <c r="H410" s="145"/>
      <c r="I410" s="145"/>
      <c r="J410" s="145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</row>
    <row r="411" ht="22.5" customHeight="1">
      <c r="A411" s="145"/>
      <c r="B411" s="145" t="str">
        <f t="shared" si="1"/>
        <v/>
      </c>
      <c r="C411" s="145"/>
      <c r="D411" s="145" t="str">
        <f t="array" ref="D411">IFNA(XLOOKUP(C411,'👥 Daftar Nama Pasien'!$B$6:$B1181,'👥 Daftar Nama Pasien'!$D$6:$D1181),"")</f>
        <v/>
      </c>
      <c r="E411" s="145" t="str">
        <f t="array" ref="E411">XLOOKUP(C411,'⬇️ PEMASUKAN'!$I$5:$I1181,'⬇️ PEMASUKAN'!$K$5:$K1181,,0,-1)</f>
        <v/>
      </c>
      <c r="F411" s="145" t="str">
        <f t="shared" si="2"/>
        <v/>
      </c>
      <c r="G411" s="145" t="str">
        <f t="shared" si="3"/>
        <v/>
      </c>
      <c r="H411" s="145"/>
      <c r="I411" s="145"/>
      <c r="J411" s="145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</row>
    <row r="412" ht="22.5" customHeight="1">
      <c r="A412" s="145"/>
      <c r="B412" s="145" t="str">
        <f t="shared" si="1"/>
        <v/>
      </c>
      <c r="C412" s="145"/>
      <c r="D412" s="145" t="str">
        <f t="array" ref="D412">IFNA(XLOOKUP(C412,'👥 Daftar Nama Pasien'!$B$6:$B1181,'👥 Daftar Nama Pasien'!$D$6:$D1181),"")</f>
        <v/>
      </c>
      <c r="E412" s="145" t="str">
        <f t="array" ref="E412">XLOOKUP(C412,'⬇️ PEMASUKAN'!$I$5:$I1181,'⬇️ PEMASUKAN'!$K$5:$K1181,,0,-1)</f>
        <v/>
      </c>
      <c r="F412" s="145" t="str">
        <f t="shared" si="2"/>
        <v/>
      </c>
      <c r="G412" s="145" t="str">
        <f t="shared" si="3"/>
        <v/>
      </c>
      <c r="H412" s="145"/>
      <c r="I412" s="145"/>
      <c r="J412" s="145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</row>
    <row r="413" ht="22.5" customHeight="1">
      <c r="A413" s="145"/>
      <c r="B413" s="145" t="str">
        <f t="shared" si="1"/>
        <v/>
      </c>
      <c r="C413" s="145"/>
      <c r="D413" s="145" t="str">
        <f t="array" ref="D413">IFNA(XLOOKUP(C413,'👥 Daftar Nama Pasien'!$B$6:$B1181,'👥 Daftar Nama Pasien'!$D$6:$D1181),"")</f>
        <v/>
      </c>
      <c r="E413" s="145" t="str">
        <f t="array" ref="E413">XLOOKUP(C413,'⬇️ PEMASUKAN'!$I$5:$I1181,'⬇️ PEMASUKAN'!$K$5:$K1181,,0,-1)</f>
        <v/>
      </c>
      <c r="F413" s="145" t="str">
        <f t="shared" si="2"/>
        <v/>
      </c>
      <c r="G413" s="145" t="str">
        <f t="shared" si="3"/>
        <v/>
      </c>
      <c r="H413" s="145"/>
      <c r="I413" s="145"/>
      <c r="J413" s="145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</row>
    <row r="414" ht="22.5" customHeight="1">
      <c r="A414" s="145"/>
      <c r="B414" s="145" t="str">
        <f t="shared" si="1"/>
        <v/>
      </c>
      <c r="C414" s="145"/>
      <c r="D414" s="145" t="str">
        <f t="array" ref="D414">IFNA(XLOOKUP(C414,'👥 Daftar Nama Pasien'!$B$6:$B1181,'👥 Daftar Nama Pasien'!$D$6:$D1181),"")</f>
        <v/>
      </c>
      <c r="E414" s="145" t="str">
        <f t="array" ref="E414">XLOOKUP(C414,'⬇️ PEMASUKAN'!$I$5:$I1181,'⬇️ PEMASUKAN'!$K$5:$K1181,,0,-1)</f>
        <v/>
      </c>
      <c r="F414" s="145" t="str">
        <f t="shared" si="2"/>
        <v/>
      </c>
      <c r="G414" s="145" t="str">
        <f t="shared" si="3"/>
        <v/>
      </c>
      <c r="H414" s="145"/>
      <c r="I414" s="145"/>
      <c r="J414" s="145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</row>
    <row r="415" ht="22.5" customHeight="1">
      <c r="A415" s="145"/>
      <c r="B415" s="145" t="str">
        <f t="shared" si="1"/>
        <v/>
      </c>
      <c r="C415" s="145"/>
      <c r="D415" s="145" t="str">
        <f t="array" ref="D415">IFNA(XLOOKUP(C415,'👥 Daftar Nama Pasien'!$B$6:$B1181,'👥 Daftar Nama Pasien'!$D$6:$D1181),"")</f>
        <v/>
      </c>
      <c r="E415" s="145" t="str">
        <f t="array" ref="E415">XLOOKUP(C415,'⬇️ PEMASUKAN'!$I$5:$I1181,'⬇️ PEMASUKAN'!$K$5:$K1181,,0,-1)</f>
        <v/>
      </c>
      <c r="F415" s="145" t="str">
        <f t="shared" si="2"/>
        <v/>
      </c>
      <c r="G415" s="145" t="str">
        <f t="shared" si="3"/>
        <v/>
      </c>
      <c r="H415" s="145"/>
      <c r="I415" s="145"/>
      <c r="J415" s="145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</row>
    <row r="416" ht="22.5" customHeight="1">
      <c r="A416" s="145"/>
      <c r="B416" s="145" t="str">
        <f t="shared" si="1"/>
        <v/>
      </c>
      <c r="C416" s="145"/>
      <c r="D416" s="145" t="str">
        <f t="array" ref="D416">IFNA(XLOOKUP(C416,'👥 Daftar Nama Pasien'!$B$6:$B1181,'👥 Daftar Nama Pasien'!$D$6:$D1181),"")</f>
        <v/>
      </c>
      <c r="E416" s="145" t="str">
        <f t="array" ref="E416">XLOOKUP(C416,'⬇️ PEMASUKAN'!$I$5:$I1181,'⬇️ PEMASUKAN'!$K$5:$K1181,,0,-1)</f>
        <v/>
      </c>
      <c r="F416" s="145" t="str">
        <f t="shared" si="2"/>
        <v/>
      </c>
      <c r="G416" s="145" t="str">
        <f t="shared" si="3"/>
        <v/>
      </c>
      <c r="H416" s="145"/>
      <c r="I416" s="145"/>
      <c r="J416" s="145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</row>
    <row r="417" ht="22.5" customHeight="1">
      <c r="A417" s="145"/>
      <c r="B417" s="145" t="str">
        <f t="shared" si="1"/>
        <v/>
      </c>
      <c r="C417" s="145"/>
      <c r="D417" s="145" t="str">
        <f t="array" ref="D417">IFNA(XLOOKUP(C417,'👥 Daftar Nama Pasien'!$B$6:$B1181,'👥 Daftar Nama Pasien'!$D$6:$D1181),"")</f>
        <v/>
      </c>
      <c r="E417" s="145" t="str">
        <f t="array" ref="E417">XLOOKUP(C417,'⬇️ PEMASUKAN'!$I$5:$I1181,'⬇️ PEMASUKAN'!$K$5:$K1181,,0,-1)</f>
        <v/>
      </c>
      <c r="F417" s="145" t="str">
        <f t="shared" si="2"/>
        <v/>
      </c>
      <c r="G417" s="145" t="str">
        <f t="shared" si="3"/>
        <v/>
      </c>
      <c r="H417" s="145"/>
      <c r="I417" s="145"/>
      <c r="J417" s="145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</row>
    <row r="418" ht="22.5" customHeight="1">
      <c r="A418" s="145"/>
      <c r="B418" s="145" t="str">
        <f t="shared" si="1"/>
        <v/>
      </c>
      <c r="C418" s="145"/>
      <c r="D418" s="145" t="str">
        <f t="array" ref="D418">IFNA(XLOOKUP(C418,'👥 Daftar Nama Pasien'!$B$6:$B1181,'👥 Daftar Nama Pasien'!$D$6:$D1181),"")</f>
        <v/>
      </c>
      <c r="E418" s="145" t="str">
        <f t="array" ref="E418">XLOOKUP(C418,'⬇️ PEMASUKAN'!$I$5:$I1181,'⬇️ PEMASUKAN'!$K$5:$K1181,,0,-1)</f>
        <v/>
      </c>
      <c r="F418" s="145" t="str">
        <f t="shared" si="2"/>
        <v/>
      </c>
      <c r="G418" s="145" t="str">
        <f t="shared" si="3"/>
        <v/>
      </c>
      <c r="H418" s="145"/>
      <c r="I418" s="145"/>
      <c r="J418" s="145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</row>
    <row r="419" ht="22.5" customHeight="1">
      <c r="A419" s="145"/>
      <c r="B419" s="145" t="str">
        <f t="shared" si="1"/>
        <v/>
      </c>
      <c r="C419" s="145"/>
      <c r="D419" s="145" t="str">
        <f t="array" ref="D419">IFNA(XLOOKUP(C419,'👥 Daftar Nama Pasien'!$B$6:$B1181,'👥 Daftar Nama Pasien'!$D$6:$D1181),"")</f>
        <v/>
      </c>
      <c r="E419" s="145" t="str">
        <f t="array" ref="E419">XLOOKUP(C419,'⬇️ PEMASUKAN'!$I$5:$I1181,'⬇️ PEMASUKAN'!$K$5:$K1181,,0,-1)</f>
        <v/>
      </c>
      <c r="F419" s="145" t="str">
        <f t="shared" si="2"/>
        <v/>
      </c>
      <c r="G419" s="145" t="str">
        <f t="shared" si="3"/>
        <v/>
      </c>
      <c r="H419" s="145"/>
      <c r="I419" s="145"/>
      <c r="J419" s="145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</row>
    <row r="420" ht="22.5" customHeight="1">
      <c r="A420" s="145"/>
      <c r="B420" s="145" t="str">
        <f t="shared" si="1"/>
        <v/>
      </c>
      <c r="C420" s="145"/>
      <c r="D420" s="145" t="str">
        <f t="array" ref="D420">IFNA(XLOOKUP(C420,'👥 Daftar Nama Pasien'!$B$6:$B1181,'👥 Daftar Nama Pasien'!$D$6:$D1181),"")</f>
        <v/>
      </c>
      <c r="E420" s="145" t="str">
        <f t="array" ref="E420">XLOOKUP(C420,'⬇️ PEMASUKAN'!$I$5:$I1181,'⬇️ PEMASUKAN'!$K$5:$K1181,,0,-1)</f>
        <v/>
      </c>
      <c r="F420" s="145" t="str">
        <f t="shared" si="2"/>
        <v/>
      </c>
      <c r="G420" s="145" t="str">
        <f t="shared" si="3"/>
        <v/>
      </c>
      <c r="H420" s="145"/>
      <c r="I420" s="145"/>
      <c r="J420" s="145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</row>
    <row r="421" ht="22.5" customHeight="1">
      <c r="A421" s="145"/>
      <c r="B421" s="145" t="str">
        <f t="shared" si="1"/>
        <v/>
      </c>
      <c r="C421" s="145"/>
      <c r="D421" s="145" t="str">
        <f t="array" ref="D421">IFNA(XLOOKUP(C421,'👥 Daftar Nama Pasien'!$B$6:$B1181,'👥 Daftar Nama Pasien'!$D$6:$D1181),"")</f>
        <v/>
      </c>
      <c r="E421" s="145" t="str">
        <f t="array" ref="E421">XLOOKUP(C421,'⬇️ PEMASUKAN'!$I$5:$I1181,'⬇️ PEMASUKAN'!$K$5:$K1181,,0,-1)</f>
        <v/>
      </c>
      <c r="F421" s="145" t="str">
        <f t="shared" si="2"/>
        <v/>
      </c>
      <c r="G421" s="145" t="str">
        <f t="shared" si="3"/>
        <v/>
      </c>
      <c r="H421" s="145"/>
      <c r="I421" s="145"/>
      <c r="J421" s="145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</row>
    <row r="422" ht="22.5" customHeight="1">
      <c r="A422" s="145"/>
      <c r="B422" s="145" t="str">
        <f t="shared" si="1"/>
        <v/>
      </c>
      <c r="C422" s="145"/>
      <c r="D422" s="145" t="str">
        <f t="array" ref="D422">IFNA(XLOOKUP(C422,'👥 Daftar Nama Pasien'!$B$6:$B1181,'👥 Daftar Nama Pasien'!$D$6:$D1181),"")</f>
        <v/>
      </c>
      <c r="E422" s="145" t="str">
        <f t="array" ref="E422">XLOOKUP(C422,'⬇️ PEMASUKAN'!$I$5:$I1181,'⬇️ PEMASUKAN'!$K$5:$K1181,,0,-1)</f>
        <v/>
      </c>
      <c r="F422" s="145" t="str">
        <f t="shared" si="2"/>
        <v/>
      </c>
      <c r="G422" s="145" t="str">
        <f t="shared" si="3"/>
        <v/>
      </c>
      <c r="H422" s="145"/>
      <c r="I422" s="145"/>
      <c r="J422" s="145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</row>
    <row r="423" ht="22.5" customHeight="1">
      <c r="A423" s="145"/>
      <c r="B423" s="145" t="str">
        <f t="shared" si="1"/>
        <v/>
      </c>
      <c r="C423" s="145"/>
      <c r="D423" s="145" t="str">
        <f t="array" ref="D423">IFNA(XLOOKUP(C423,'👥 Daftar Nama Pasien'!$B$6:$B1181,'👥 Daftar Nama Pasien'!$D$6:$D1181),"")</f>
        <v/>
      </c>
      <c r="E423" s="145" t="str">
        <f t="array" ref="E423">XLOOKUP(C423,'⬇️ PEMASUKAN'!$I$5:$I1181,'⬇️ PEMASUKAN'!$K$5:$K1181,,0,-1)</f>
        <v/>
      </c>
      <c r="F423" s="145" t="str">
        <f t="shared" si="2"/>
        <v/>
      </c>
      <c r="G423" s="145" t="str">
        <f t="shared" si="3"/>
        <v/>
      </c>
      <c r="H423" s="145"/>
      <c r="I423" s="145"/>
      <c r="J423" s="145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</row>
    <row r="424" ht="22.5" customHeight="1">
      <c r="A424" s="145"/>
      <c r="B424" s="145" t="str">
        <f t="shared" si="1"/>
        <v/>
      </c>
      <c r="C424" s="145"/>
      <c r="D424" s="145" t="str">
        <f t="array" ref="D424">IFNA(XLOOKUP(C424,'👥 Daftar Nama Pasien'!$B$6:$B1181,'👥 Daftar Nama Pasien'!$D$6:$D1181),"")</f>
        <v/>
      </c>
      <c r="E424" s="145" t="str">
        <f t="array" ref="E424">XLOOKUP(C424,'⬇️ PEMASUKAN'!$I$5:$I1181,'⬇️ PEMASUKAN'!$K$5:$K1181,,0,-1)</f>
        <v/>
      </c>
      <c r="F424" s="145" t="str">
        <f t="shared" si="2"/>
        <v/>
      </c>
      <c r="G424" s="145" t="str">
        <f t="shared" si="3"/>
        <v/>
      </c>
      <c r="H424" s="145"/>
      <c r="I424" s="145"/>
      <c r="J424" s="145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</row>
    <row r="425" ht="22.5" customHeight="1">
      <c r="A425" s="145"/>
      <c r="B425" s="145" t="str">
        <f t="shared" si="1"/>
        <v/>
      </c>
      <c r="C425" s="145"/>
      <c r="D425" s="145" t="str">
        <f t="array" ref="D425">IFNA(XLOOKUP(C425,'👥 Daftar Nama Pasien'!$B$6:$B1181,'👥 Daftar Nama Pasien'!$D$6:$D1181),"")</f>
        <v/>
      </c>
      <c r="E425" s="145" t="str">
        <f t="array" ref="E425">XLOOKUP(C425,'⬇️ PEMASUKAN'!$I$5:$I1181,'⬇️ PEMASUKAN'!$K$5:$K1181,,0,-1)</f>
        <v/>
      </c>
      <c r="F425" s="145" t="str">
        <f t="shared" si="2"/>
        <v/>
      </c>
      <c r="G425" s="145" t="str">
        <f t="shared" si="3"/>
        <v/>
      </c>
      <c r="H425" s="145"/>
      <c r="I425" s="145"/>
      <c r="J425" s="145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</row>
    <row r="426" ht="22.5" customHeight="1">
      <c r="A426" s="145"/>
      <c r="B426" s="145" t="str">
        <f t="shared" si="1"/>
        <v/>
      </c>
      <c r="C426" s="145"/>
      <c r="D426" s="145" t="str">
        <f t="array" ref="D426">IFNA(XLOOKUP(C426,'👥 Daftar Nama Pasien'!$B$6:$B1181,'👥 Daftar Nama Pasien'!$D$6:$D1181),"")</f>
        <v/>
      </c>
      <c r="E426" s="145" t="str">
        <f t="array" ref="E426">XLOOKUP(C426,'⬇️ PEMASUKAN'!$I$5:$I1181,'⬇️ PEMASUKAN'!$K$5:$K1181,,0,-1)</f>
        <v/>
      </c>
      <c r="F426" s="145" t="str">
        <f t="shared" si="2"/>
        <v/>
      </c>
      <c r="G426" s="145" t="str">
        <f t="shared" si="3"/>
        <v/>
      </c>
      <c r="H426" s="145"/>
      <c r="I426" s="145"/>
      <c r="J426" s="145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</row>
    <row r="427" ht="22.5" customHeight="1">
      <c r="A427" s="145"/>
      <c r="B427" s="145" t="str">
        <f t="shared" si="1"/>
        <v/>
      </c>
      <c r="C427" s="145"/>
      <c r="D427" s="145" t="str">
        <f t="array" ref="D427">IFNA(XLOOKUP(C427,'👥 Daftar Nama Pasien'!$B$6:$B1181,'👥 Daftar Nama Pasien'!$D$6:$D1181),"")</f>
        <v/>
      </c>
      <c r="E427" s="145" t="str">
        <f t="array" ref="E427">XLOOKUP(C427,'⬇️ PEMASUKAN'!$I$5:$I1181,'⬇️ PEMASUKAN'!$K$5:$K1181,,0,-1)</f>
        <v/>
      </c>
      <c r="F427" s="145" t="str">
        <f t="shared" si="2"/>
        <v/>
      </c>
      <c r="G427" s="145" t="str">
        <f t="shared" si="3"/>
        <v/>
      </c>
      <c r="H427" s="145"/>
      <c r="I427" s="145"/>
      <c r="J427" s="145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</row>
    <row r="428" ht="22.5" customHeight="1">
      <c r="A428" s="145"/>
      <c r="B428" s="145" t="str">
        <f t="shared" si="1"/>
        <v/>
      </c>
      <c r="C428" s="145"/>
      <c r="D428" s="145" t="str">
        <f t="array" ref="D428">IFNA(XLOOKUP(C428,'👥 Daftar Nama Pasien'!$B$6:$B1181,'👥 Daftar Nama Pasien'!$D$6:$D1181),"")</f>
        <v/>
      </c>
      <c r="E428" s="145" t="str">
        <f t="array" ref="E428">XLOOKUP(C428,'⬇️ PEMASUKAN'!$I$5:$I1181,'⬇️ PEMASUKAN'!$K$5:$K1181,,0,-1)</f>
        <v/>
      </c>
      <c r="F428" s="145" t="str">
        <f t="shared" si="2"/>
        <v/>
      </c>
      <c r="G428" s="145" t="str">
        <f t="shared" si="3"/>
        <v/>
      </c>
      <c r="H428" s="145"/>
      <c r="I428" s="145"/>
      <c r="J428" s="145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</row>
    <row r="429" ht="22.5" customHeight="1">
      <c r="A429" s="145"/>
      <c r="B429" s="145" t="str">
        <f t="shared" si="1"/>
        <v/>
      </c>
      <c r="C429" s="145"/>
      <c r="D429" s="145" t="str">
        <f t="array" ref="D429">IFNA(XLOOKUP(C429,'👥 Daftar Nama Pasien'!$B$6:$B1181,'👥 Daftar Nama Pasien'!$D$6:$D1181),"")</f>
        <v/>
      </c>
      <c r="E429" s="145" t="str">
        <f t="array" ref="E429">XLOOKUP(C429,'⬇️ PEMASUKAN'!$I$5:$I1181,'⬇️ PEMASUKAN'!$K$5:$K1181,,0,-1)</f>
        <v/>
      </c>
      <c r="F429" s="145" t="str">
        <f t="shared" si="2"/>
        <v/>
      </c>
      <c r="G429" s="145" t="str">
        <f t="shared" si="3"/>
        <v/>
      </c>
      <c r="H429" s="145"/>
      <c r="I429" s="145"/>
      <c r="J429" s="145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</row>
    <row r="430" ht="22.5" customHeight="1">
      <c r="A430" s="145"/>
      <c r="B430" s="145" t="str">
        <f t="shared" si="1"/>
        <v/>
      </c>
      <c r="C430" s="145"/>
      <c r="D430" s="145" t="str">
        <f t="array" ref="D430">IFNA(XLOOKUP(C430,'👥 Daftar Nama Pasien'!$B$6:$B1181,'👥 Daftar Nama Pasien'!$D$6:$D1181),"")</f>
        <v/>
      </c>
      <c r="E430" s="145" t="str">
        <f t="array" ref="E430">XLOOKUP(C430,'⬇️ PEMASUKAN'!$I$5:$I1181,'⬇️ PEMASUKAN'!$K$5:$K1181,,0,-1)</f>
        <v/>
      </c>
      <c r="F430" s="145" t="str">
        <f t="shared" si="2"/>
        <v/>
      </c>
      <c r="G430" s="145" t="str">
        <f t="shared" si="3"/>
        <v/>
      </c>
      <c r="H430" s="145"/>
      <c r="I430" s="145"/>
      <c r="J430" s="145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</row>
    <row r="431" ht="22.5" customHeight="1">
      <c r="A431" s="145"/>
      <c r="B431" s="145" t="str">
        <f t="shared" si="1"/>
        <v/>
      </c>
      <c r="C431" s="145"/>
      <c r="D431" s="145" t="str">
        <f t="array" ref="D431">IFNA(XLOOKUP(C431,'👥 Daftar Nama Pasien'!$B$6:$B1181,'👥 Daftar Nama Pasien'!$D$6:$D1181),"")</f>
        <v/>
      </c>
      <c r="E431" s="145" t="str">
        <f t="array" ref="E431">XLOOKUP(C431,'⬇️ PEMASUKAN'!$I$5:$I1181,'⬇️ PEMASUKAN'!$K$5:$K1181,,0,-1)</f>
        <v/>
      </c>
      <c r="F431" s="145" t="str">
        <f t="shared" si="2"/>
        <v/>
      </c>
      <c r="G431" s="145" t="str">
        <f t="shared" si="3"/>
        <v/>
      </c>
      <c r="H431" s="145"/>
      <c r="I431" s="145"/>
      <c r="J431" s="145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</row>
    <row r="432" ht="22.5" customHeight="1">
      <c r="A432" s="145"/>
      <c r="B432" s="145" t="str">
        <f t="shared" si="1"/>
        <v/>
      </c>
      <c r="C432" s="145"/>
      <c r="D432" s="145" t="str">
        <f t="array" ref="D432">IFNA(XLOOKUP(C432,'👥 Daftar Nama Pasien'!$B$6:$B1181,'👥 Daftar Nama Pasien'!$D$6:$D1181),"")</f>
        <v/>
      </c>
      <c r="E432" s="145" t="str">
        <f t="array" ref="E432">XLOOKUP(C432,'⬇️ PEMASUKAN'!$I$5:$I1181,'⬇️ PEMASUKAN'!$K$5:$K1181,,0,-1)</f>
        <v/>
      </c>
      <c r="F432" s="145" t="str">
        <f t="shared" si="2"/>
        <v/>
      </c>
      <c r="G432" s="145" t="str">
        <f t="shared" si="3"/>
        <v/>
      </c>
      <c r="H432" s="145"/>
      <c r="I432" s="145"/>
      <c r="J432" s="145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</row>
    <row r="433" ht="22.5" customHeight="1">
      <c r="A433" s="145"/>
      <c r="B433" s="145" t="str">
        <f t="shared" si="1"/>
        <v/>
      </c>
      <c r="C433" s="145"/>
      <c r="D433" s="145" t="str">
        <f t="array" ref="D433">IFNA(XLOOKUP(C433,'👥 Daftar Nama Pasien'!$B$6:$B1181,'👥 Daftar Nama Pasien'!$D$6:$D1181),"")</f>
        <v/>
      </c>
      <c r="E433" s="145" t="str">
        <f t="array" ref="E433">XLOOKUP(C433,'⬇️ PEMASUKAN'!$I$5:$I1181,'⬇️ PEMASUKAN'!$K$5:$K1181,,0,-1)</f>
        <v/>
      </c>
      <c r="F433" s="145" t="str">
        <f t="shared" si="2"/>
        <v/>
      </c>
      <c r="G433" s="145" t="str">
        <f t="shared" si="3"/>
        <v/>
      </c>
      <c r="H433" s="145"/>
      <c r="I433" s="145"/>
      <c r="J433" s="145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</row>
    <row r="434" ht="22.5" customHeight="1">
      <c r="A434" s="145"/>
      <c r="B434" s="145" t="str">
        <f t="shared" si="1"/>
        <v/>
      </c>
      <c r="C434" s="145"/>
      <c r="D434" s="145" t="str">
        <f t="array" ref="D434">IFNA(XLOOKUP(C434,'👥 Daftar Nama Pasien'!$B$6:$B1181,'👥 Daftar Nama Pasien'!$D$6:$D1181),"")</f>
        <v/>
      </c>
      <c r="E434" s="145" t="str">
        <f t="array" ref="E434">XLOOKUP(C434,'⬇️ PEMASUKAN'!$I$5:$I1181,'⬇️ PEMASUKAN'!$K$5:$K1181,,0,-1)</f>
        <v/>
      </c>
      <c r="F434" s="145" t="str">
        <f t="shared" si="2"/>
        <v/>
      </c>
      <c r="G434" s="145" t="str">
        <f t="shared" si="3"/>
        <v/>
      </c>
      <c r="H434" s="145"/>
      <c r="I434" s="145"/>
      <c r="J434" s="145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</row>
    <row r="435" ht="22.5" customHeight="1">
      <c r="A435" s="145"/>
      <c r="B435" s="145" t="str">
        <f t="shared" si="1"/>
        <v/>
      </c>
      <c r="C435" s="145"/>
      <c r="D435" s="145" t="str">
        <f t="array" ref="D435">IFNA(XLOOKUP(C435,'👥 Daftar Nama Pasien'!$B$6:$B1181,'👥 Daftar Nama Pasien'!$D$6:$D1181),"")</f>
        <v/>
      </c>
      <c r="E435" s="145" t="str">
        <f t="array" ref="E435">XLOOKUP(C435,'⬇️ PEMASUKAN'!$I$5:$I1181,'⬇️ PEMASUKAN'!$K$5:$K1181,,0,-1)</f>
        <v/>
      </c>
      <c r="F435" s="145" t="str">
        <f t="shared" si="2"/>
        <v/>
      </c>
      <c r="G435" s="145" t="str">
        <f t="shared" si="3"/>
        <v/>
      </c>
      <c r="H435" s="145"/>
      <c r="I435" s="145"/>
      <c r="J435" s="145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</row>
    <row r="436" ht="22.5" customHeight="1">
      <c r="A436" s="145"/>
      <c r="B436" s="145" t="str">
        <f t="shared" si="1"/>
        <v/>
      </c>
      <c r="C436" s="145"/>
      <c r="D436" s="145" t="str">
        <f t="array" ref="D436">IFNA(XLOOKUP(C436,'👥 Daftar Nama Pasien'!$B$6:$B1181,'👥 Daftar Nama Pasien'!$D$6:$D1181),"")</f>
        <v/>
      </c>
      <c r="E436" s="145" t="str">
        <f t="array" ref="E436">XLOOKUP(C436,'⬇️ PEMASUKAN'!$I$5:$I1181,'⬇️ PEMASUKAN'!$K$5:$K1181,,0,-1)</f>
        <v/>
      </c>
      <c r="F436" s="145" t="str">
        <f t="shared" si="2"/>
        <v/>
      </c>
      <c r="G436" s="145" t="str">
        <f t="shared" si="3"/>
        <v/>
      </c>
      <c r="H436" s="145"/>
      <c r="I436" s="145"/>
      <c r="J436" s="145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</row>
    <row r="437" ht="22.5" customHeight="1">
      <c r="A437" s="145"/>
      <c r="B437" s="145" t="str">
        <f t="shared" si="1"/>
        <v/>
      </c>
      <c r="C437" s="145"/>
      <c r="D437" s="145" t="str">
        <f t="array" ref="D437">IFNA(XLOOKUP(C437,'👥 Daftar Nama Pasien'!$B$6:$B1181,'👥 Daftar Nama Pasien'!$D$6:$D1181),"")</f>
        <v/>
      </c>
      <c r="E437" s="145" t="str">
        <f t="array" ref="E437">XLOOKUP(C437,'⬇️ PEMASUKAN'!$I$5:$I1181,'⬇️ PEMASUKAN'!$K$5:$K1181,,0,-1)</f>
        <v/>
      </c>
      <c r="F437" s="145" t="str">
        <f t="shared" si="2"/>
        <v/>
      </c>
      <c r="G437" s="145" t="str">
        <f t="shared" si="3"/>
        <v/>
      </c>
      <c r="H437" s="145"/>
      <c r="I437" s="145"/>
      <c r="J437" s="145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</row>
    <row r="438" ht="22.5" customHeight="1">
      <c r="A438" s="145"/>
      <c r="B438" s="145" t="str">
        <f t="shared" si="1"/>
        <v/>
      </c>
      <c r="C438" s="145"/>
      <c r="D438" s="145" t="str">
        <f t="array" ref="D438">IFNA(XLOOKUP(C438,'👥 Daftar Nama Pasien'!$B$6:$B1181,'👥 Daftar Nama Pasien'!$D$6:$D1181),"")</f>
        <v/>
      </c>
      <c r="E438" s="145" t="str">
        <f t="array" ref="E438">XLOOKUP(C438,'⬇️ PEMASUKAN'!$I$5:$I1181,'⬇️ PEMASUKAN'!$K$5:$K1181,,0,-1)</f>
        <v/>
      </c>
      <c r="F438" s="145" t="str">
        <f t="shared" si="2"/>
        <v/>
      </c>
      <c r="G438" s="145" t="str">
        <f t="shared" si="3"/>
        <v/>
      </c>
      <c r="H438" s="145"/>
      <c r="I438" s="145"/>
      <c r="J438" s="145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</row>
    <row r="439" ht="22.5" customHeight="1">
      <c r="A439" s="145"/>
      <c r="B439" s="145" t="str">
        <f t="shared" si="1"/>
        <v/>
      </c>
      <c r="C439" s="145"/>
      <c r="D439" s="145" t="str">
        <f t="array" ref="D439">IFNA(XLOOKUP(C439,'👥 Daftar Nama Pasien'!$B$6:$B1181,'👥 Daftar Nama Pasien'!$D$6:$D1181),"")</f>
        <v/>
      </c>
      <c r="E439" s="145" t="str">
        <f t="array" ref="E439">XLOOKUP(C439,'⬇️ PEMASUKAN'!$I$5:$I1181,'⬇️ PEMASUKAN'!$K$5:$K1181,,0,-1)</f>
        <v/>
      </c>
      <c r="F439" s="145" t="str">
        <f t="shared" si="2"/>
        <v/>
      </c>
      <c r="G439" s="145" t="str">
        <f t="shared" si="3"/>
        <v/>
      </c>
      <c r="H439" s="145"/>
      <c r="I439" s="145"/>
      <c r="J439" s="145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</row>
    <row r="440" ht="22.5" customHeight="1">
      <c r="A440" s="145"/>
      <c r="B440" s="145" t="str">
        <f t="shared" si="1"/>
        <v/>
      </c>
      <c r="C440" s="145"/>
      <c r="D440" s="145" t="str">
        <f t="array" ref="D440">IFNA(XLOOKUP(C440,'👥 Daftar Nama Pasien'!$B$6:$B1181,'👥 Daftar Nama Pasien'!$D$6:$D1181),"")</f>
        <v/>
      </c>
      <c r="E440" s="145" t="str">
        <f t="array" ref="E440">XLOOKUP(C440,'⬇️ PEMASUKAN'!$I$5:$I1181,'⬇️ PEMASUKAN'!$K$5:$K1181,,0,-1)</f>
        <v/>
      </c>
      <c r="F440" s="145" t="str">
        <f t="shared" si="2"/>
        <v/>
      </c>
      <c r="G440" s="145" t="str">
        <f t="shared" si="3"/>
        <v/>
      </c>
      <c r="H440" s="145"/>
      <c r="I440" s="145"/>
      <c r="J440" s="145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</row>
    <row r="441" ht="22.5" customHeight="1">
      <c r="A441" s="145"/>
      <c r="B441" s="145" t="str">
        <f t="shared" si="1"/>
        <v/>
      </c>
      <c r="C441" s="145"/>
      <c r="D441" s="145" t="str">
        <f t="array" ref="D441">IFNA(XLOOKUP(C441,'👥 Daftar Nama Pasien'!$B$6:$B1181,'👥 Daftar Nama Pasien'!$D$6:$D1181),"")</f>
        <v/>
      </c>
      <c r="E441" s="145" t="str">
        <f t="array" ref="E441">XLOOKUP(C441,'⬇️ PEMASUKAN'!$I$5:$I1181,'⬇️ PEMASUKAN'!$K$5:$K1181,,0,-1)</f>
        <v/>
      </c>
      <c r="F441" s="145" t="str">
        <f t="shared" si="2"/>
        <v/>
      </c>
      <c r="G441" s="145" t="str">
        <f t="shared" si="3"/>
        <v/>
      </c>
      <c r="H441" s="145"/>
      <c r="I441" s="145"/>
      <c r="J441" s="145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</row>
    <row r="442" ht="22.5" customHeight="1">
      <c r="A442" s="145"/>
      <c r="B442" s="145" t="str">
        <f t="shared" si="1"/>
        <v/>
      </c>
      <c r="C442" s="145"/>
      <c r="D442" s="145" t="str">
        <f t="array" ref="D442">IFNA(XLOOKUP(C442,'👥 Daftar Nama Pasien'!$B$6:$B1181,'👥 Daftar Nama Pasien'!$D$6:$D1181),"")</f>
        <v/>
      </c>
      <c r="E442" s="145" t="str">
        <f t="array" ref="E442">XLOOKUP(C442,'⬇️ PEMASUKAN'!$I$5:$I1181,'⬇️ PEMASUKAN'!$K$5:$K1181,,0,-1)</f>
        <v/>
      </c>
      <c r="F442" s="145" t="str">
        <f t="shared" si="2"/>
        <v/>
      </c>
      <c r="G442" s="145" t="str">
        <f t="shared" si="3"/>
        <v/>
      </c>
      <c r="H442" s="145"/>
      <c r="I442" s="145"/>
      <c r="J442" s="145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</row>
    <row r="443" ht="22.5" customHeight="1">
      <c r="A443" s="145"/>
      <c r="B443" s="145" t="str">
        <f t="shared" si="1"/>
        <v/>
      </c>
      <c r="C443" s="145"/>
      <c r="D443" s="145" t="str">
        <f t="array" ref="D443">IFNA(XLOOKUP(C443,'👥 Daftar Nama Pasien'!$B$6:$B1181,'👥 Daftar Nama Pasien'!$D$6:$D1181),"")</f>
        <v/>
      </c>
      <c r="E443" s="145" t="str">
        <f t="array" ref="E443">XLOOKUP(C443,'⬇️ PEMASUKAN'!$I$5:$I1181,'⬇️ PEMASUKAN'!$K$5:$K1181,,0,-1)</f>
        <v/>
      </c>
      <c r="F443" s="145" t="str">
        <f t="shared" si="2"/>
        <v/>
      </c>
      <c r="G443" s="145" t="str">
        <f t="shared" si="3"/>
        <v/>
      </c>
      <c r="H443" s="145"/>
      <c r="I443" s="145"/>
      <c r="J443" s="145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</row>
    <row r="444" ht="22.5" customHeight="1">
      <c r="A444" s="145"/>
      <c r="B444" s="145" t="str">
        <f t="shared" si="1"/>
        <v/>
      </c>
      <c r="C444" s="145"/>
      <c r="D444" s="145" t="str">
        <f t="array" ref="D444">IFNA(XLOOKUP(C444,'👥 Daftar Nama Pasien'!$B$6:$B1181,'👥 Daftar Nama Pasien'!$D$6:$D1181),"")</f>
        <v/>
      </c>
      <c r="E444" s="145" t="str">
        <f t="array" ref="E444">XLOOKUP(C444,'⬇️ PEMASUKAN'!$I$5:$I1181,'⬇️ PEMASUKAN'!$K$5:$K1181,,0,-1)</f>
        <v/>
      </c>
      <c r="F444" s="145" t="str">
        <f t="shared" si="2"/>
        <v/>
      </c>
      <c r="G444" s="145" t="str">
        <f t="shared" si="3"/>
        <v/>
      </c>
      <c r="H444" s="145"/>
      <c r="I444" s="145"/>
      <c r="J444" s="145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</row>
    <row r="445" ht="22.5" customHeight="1">
      <c r="A445" s="145"/>
      <c r="B445" s="145" t="str">
        <f t="shared" si="1"/>
        <v/>
      </c>
      <c r="C445" s="145"/>
      <c r="D445" s="145" t="str">
        <f t="array" ref="D445">IFNA(XLOOKUP(C445,'👥 Daftar Nama Pasien'!$B$6:$B1181,'👥 Daftar Nama Pasien'!$D$6:$D1181),"")</f>
        <v/>
      </c>
      <c r="E445" s="145" t="str">
        <f t="array" ref="E445">XLOOKUP(C445,'⬇️ PEMASUKAN'!$I$5:$I1181,'⬇️ PEMASUKAN'!$K$5:$K1181,,0,-1)</f>
        <v/>
      </c>
      <c r="F445" s="145" t="str">
        <f t="shared" si="2"/>
        <v/>
      </c>
      <c r="G445" s="145" t="str">
        <f t="shared" si="3"/>
        <v/>
      </c>
      <c r="H445" s="145"/>
      <c r="I445" s="145"/>
      <c r="J445" s="145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</row>
    <row r="446" ht="22.5" customHeight="1">
      <c r="A446" s="145"/>
      <c r="B446" s="145" t="str">
        <f t="shared" si="1"/>
        <v/>
      </c>
      <c r="C446" s="145"/>
      <c r="D446" s="145" t="str">
        <f t="array" ref="D446">IFNA(XLOOKUP(C446,'👥 Daftar Nama Pasien'!$B$6:$B1181,'👥 Daftar Nama Pasien'!$D$6:$D1181),"")</f>
        <v/>
      </c>
      <c r="E446" s="145" t="str">
        <f t="array" ref="E446">XLOOKUP(C446,'⬇️ PEMASUKAN'!$I$5:$I1181,'⬇️ PEMASUKAN'!$K$5:$K1181,,0,-1)</f>
        <v/>
      </c>
      <c r="F446" s="145" t="str">
        <f t="shared" si="2"/>
        <v/>
      </c>
      <c r="G446" s="145" t="str">
        <f t="shared" si="3"/>
        <v/>
      </c>
      <c r="H446" s="145"/>
      <c r="I446" s="145"/>
      <c r="J446" s="145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</row>
    <row r="447" ht="22.5" customHeight="1">
      <c r="A447" s="145"/>
      <c r="B447" s="145" t="str">
        <f t="shared" si="1"/>
        <v/>
      </c>
      <c r="C447" s="145"/>
      <c r="D447" s="145" t="str">
        <f t="array" ref="D447">IFNA(XLOOKUP(C447,'👥 Daftar Nama Pasien'!$B$6:$B1181,'👥 Daftar Nama Pasien'!$D$6:$D1181),"")</f>
        <v/>
      </c>
      <c r="E447" s="145" t="str">
        <f t="array" ref="E447">XLOOKUP(C447,'⬇️ PEMASUKAN'!$I$5:$I1181,'⬇️ PEMASUKAN'!$K$5:$K1181,,0,-1)</f>
        <v/>
      </c>
      <c r="F447" s="145" t="str">
        <f t="shared" si="2"/>
        <v/>
      </c>
      <c r="G447" s="145" t="str">
        <f t="shared" si="3"/>
        <v/>
      </c>
      <c r="H447" s="145"/>
      <c r="I447" s="145"/>
      <c r="J447" s="145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</row>
    <row r="448" ht="22.5" customHeight="1">
      <c r="A448" s="145"/>
      <c r="B448" s="145" t="str">
        <f t="shared" si="1"/>
        <v/>
      </c>
      <c r="C448" s="145"/>
      <c r="D448" s="145" t="str">
        <f t="array" ref="D448">IFNA(XLOOKUP(C448,'👥 Daftar Nama Pasien'!$B$6:$B1181,'👥 Daftar Nama Pasien'!$D$6:$D1181),"")</f>
        <v/>
      </c>
      <c r="E448" s="145" t="str">
        <f t="array" ref="E448">XLOOKUP(C448,'⬇️ PEMASUKAN'!$I$5:$I1181,'⬇️ PEMASUKAN'!$K$5:$K1181,,0,-1)</f>
        <v/>
      </c>
      <c r="F448" s="145" t="str">
        <f t="shared" si="2"/>
        <v/>
      </c>
      <c r="G448" s="145" t="str">
        <f t="shared" si="3"/>
        <v/>
      </c>
      <c r="H448" s="145"/>
      <c r="I448" s="145"/>
      <c r="J448" s="145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</row>
    <row r="449" ht="22.5" customHeight="1">
      <c r="A449" s="145"/>
      <c r="B449" s="145" t="str">
        <f t="shared" si="1"/>
        <v/>
      </c>
      <c r="C449" s="145"/>
      <c r="D449" s="145" t="str">
        <f t="array" ref="D449">IFNA(XLOOKUP(C449,'👥 Daftar Nama Pasien'!$B$6:$B1181,'👥 Daftar Nama Pasien'!$D$6:$D1181),"")</f>
        <v/>
      </c>
      <c r="E449" s="145" t="str">
        <f t="array" ref="E449">XLOOKUP(C449,'⬇️ PEMASUKAN'!$I$5:$I1181,'⬇️ PEMASUKAN'!$K$5:$K1181,,0,-1)</f>
        <v/>
      </c>
      <c r="F449" s="145" t="str">
        <f t="shared" si="2"/>
        <v/>
      </c>
      <c r="G449" s="145" t="str">
        <f t="shared" si="3"/>
        <v/>
      </c>
      <c r="H449" s="145"/>
      <c r="I449" s="145"/>
      <c r="J449" s="145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</row>
    <row r="450" ht="22.5" customHeight="1">
      <c r="A450" s="145"/>
      <c r="B450" s="145" t="str">
        <f t="shared" si="1"/>
        <v/>
      </c>
      <c r="C450" s="145"/>
      <c r="D450" s="145" t="str">
        <f t="array" ref="D450">IFNA(XLOOKUP(C450,'👥 Daftar Nama Pasien'!$B$6:$B1181,'👥 Daftar Nama Pasien'!$D$6:$D1181),"")</f>
        <v/>
      </c>
      <c r="E450" s="145" t="str">
        <f t="array" ref="E450">XLOOKUP(C450,'⬇️ PEMASUKAN'!$I$5:$I1181,'⬇️ PEMASUKAN'!$K$5:$K1181,,0,-1)</f>
        <v/>
      </c>
      <c r="F450" s="145" t="str">
        <f t="shared" si="2"/>
        <v/>
      </c>
      <c r="G450" s="145" t="str">
        <f t="shared" si="3"/>
        <v/>
      </c>
      <c r="H450" s="145"/>
      <c r="I450" s="145"/>
      <c r="J450" s="145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</row>
    <row r="451" ht="22.5" customHeight="1">
      <c r="A451" s="145"/>
      <c r="B451" s="145" t="str">
        <f t="shared" si="1"/>
        <v/>
      </c>
      <c r="C451" s="145"/>
      <c r="D451" s="145" t="str">
        <f t="array" ref="D451">IFNA(XLOOKUP(C451,'👥 Daftar Nama Pasien'!$B$6:$B1181,'👥 Daftar Nama Pasien'!$D$6:$D1181),"")</f>
        <v/>
      </c>
      <c r="E451" s="145" t="str">
        <f t="array" ref="E451">XLOOKUP(C451,'⬇️ PEMASUKAN'!$I$5:$I1181,'⬇️ PEMASUKAN'!$K$5:$K1181,,0,-1)</f>
        <v/>
      </c>
      <c r="F451" s="145" t="str">
        <f t="shared" si="2"/>
        <v/>
      </c>
      <c r="G451" s="145" t="str">
        <f t="shared" si="3"/>
        <v/>
      </c>
      <c r="H451" s="145"/>
      <c r="I451" s="145"/>
      <c r="J451" s="145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</row>
    <row r="452" ht="22.5" customHeight="1">
      <c r="A452" s="145"/>
      <c r="B452" s="145" t="str">
        <f t="shared" si="1"/>
        <v/>
      </c>
      <c r="C452" s="145"/>
      <c r="D452" s="145" t="str">
        <f t="array" ref="D452">IFNA(XLOOKUP(C452,'👥 Daftar Nama Pasien'!$B$6:$B1181,'👥 Daftar Nama Pasien'!$D$6:$D1181),"")</f>
        <v/>
      </c>
      <c r="E452" s="145" t="str">
        <f t="array" ref="E452">XLOOKUP(C452,'⬇️ PEMASUKAN'!$I$5:$I1181,'⬇️ PEMASUKAN'!$K$5:$K1181,,0,-1)</f>
        <v/>
      </c>
      <c r="F452" s="145" t="str">
        <f t="shared" si="2"/>
        <v/>
      </c>
      <c r="G452" s="145" t="str">
        <f t="shared" si="3"/>
        <v/>
      </c>
      <c r="H452" s="145"/>
      <c r="I452" s="145"/>
      <c r="J452" s="145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</row>
    <row r="453" ht="22.5" customHeight="1">
      <c r="A453" s="145"/>
      <c r="B453" s="145" t="str">
        <f t="shared" si="1"/>
        <v/>
      </c>
      <c r="C453" s="145"/>
      <c r="D453" s="145" t="str">
        <f t="array" ref="D453">IFNA(XLOOKUP(C453,'👥 Daftar Nama Pasien'!$B$6:$B1181,'👥 Daftar Nama Pasien'!$D$6:$D1181),"")</f>
        <v/>
      </c>
      <c r="E453" s="145" t="str">
        <f t="array" ref="E453">XLOOKUP(C453,'⬇️ PEMASUKAN'!$I$5:$I1181,'⬇️ PEMASUKAN'!$K$5:$K1181,,0,-1)</f>
        <v/>
      </c>
      <c r="F453" s="145" t="str">
        <f t="shared" si="2"/>
        <v/>
      </c>
      <c r="G453" s="145" t="str">
        <f t="shared" si="3"/>
        <v/>
      </c>
      <c r="H453" s="145"/>
      <c r="I453" s="145"/>
      <c r="J453" s="145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</row>
    <row r="454" ht="22.5" customHeight="1">
      <c r="A454" s="145"/>
      <c r="B454" s="145" t="str">
        <f t="shared" si="1"/>
        <v/>
      </c>
      <c r="C454" s="145"/>
      <c r="D454" s="145" t="str">
        <f t="array" ref="D454">IFNA(XLOOKUP(C454,'👥 Daftar Nama Pasien'!$B$6:$B1181,'👥 Daftar Nama Pasien'!$D$6:$D1181),"")</f>
        <v/>
      </c>
      <c r="E454" s="145" t="str">
        <f t="array" ref="E454">XLOOKUP(C454,'⬇️ PEMASUKAN'!$I$5:$I1181,'⬇️ PEMASUKAN'!$K$5:$K1181,,0,-1)</f>
        <v/>
      </c>
      <c r="F454" s="145" t="str">
        <f t="shared" si="2"/>
        <v/>
      </c>
      <c r="G454" s="145" t="str">
        <f t="shared" si="3"/>
        <v/>
      </c>
      <c r="H454" s="145"/>
      <c r="I454" s="145"/>
      <c r="J454" s="145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</row>
    <row r="455" ht="22.5" customHeight="1">
      <c r="A455" s="145"/>
      <c r="B455" s="145" t="str">
        <f t="shared" si="1"/>
        <v/>
      </c>
      <c r="C455" s="145"/>
      <c r="D455" s="145" t="str">
        <f t="array" ref="D455">IFNA(XLOOKUP(C455,'👥 Daftar Nama Pasien'!$B$6:$B1181,'👥 Daftar Nama Pasien'!$D$6:$D1181),"")</f>
        <v/>
      </c>
      <c r="E455" s="145" t="str">
        <f t="array" ref="E455">XLOOKUP(C455,'⬇️ PEMASUKAN'!$I$5:$I1181,'⬇️ PEMASUKAN'!$K$5:$K1181,,0,-1)</f>
        <v/>
      </c>
      <c r="F455" s="145" t="str">
        <f t="shared" si="2"/>
        <v/>
      </c>
      <c r="G455" s="145" t="str">
        <f t="shared" si="3"/>
        <v/>
      </c>
      <c r="H455" s="145"/>
      <c r="I455" s="145"/>
      <c r="J455" s="145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</row>
    <row r="456" ht="22.5" customHeight="1">
      <c r="A456" s="145"/>
      <c r="B456" s="145" t="str">
        <f t="shared" si="1"/>
        <v/>
      </c>
      <c r="C456" s="145"/>
      <c r="D456" s="145" t="str">
        <f t="array" ref="D456">IFNA(XLOOKUP(C456,'👥 Daftar Nama Pasien'!$B$6:$B1181,'👥 Daftar Nama Pasien'!$D$6:$D1181),"")</f>
        <v/>
      </c>
      <c r="E456" s="145" t="str">
        <f t="array" ref="E456">XLOOKUP(C456,'⬇️ PEMASUKAN'!$I$5:$I1181,'⬇️ PEMASUKAN'!$K$5:$K1181,,0,-1)</f>
        <v/>
      </c>
      <c r="F456" s="145" t="str">
        <f t="shared" si="2"/>
        <v/>
      </c>
      <c r="G456" s="145" t="str">
        <f t="shared" si="3"/>
        <v/>
      </c>
      <c r="H456" s="145"/>
      <c r="I456" s="145"/>
      <c r="J456" s="145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</row>
    <row r="457" ht="22.5" customHeight="1">
      <c r="A457" s="145"/>
      <c r="B457" s="145" t="str">
        <f t="shared" si="1"/>
        <v/>
      </c>
      <c r="C457" s="145"/>
      <c r="D457" s="145" t="str">
        <f t="array" ref="D457">IFNA(XLOOKUP(C457,'👥 Daftar Nama Pasien'!$B$6:$B1181,'👥 Daftar Nama Pasien'!$D$6:$D1181),"")</f>
        <v/>
      </c>
      <c r="E457" s="145" t="str">
        <f t="array" ref="E457">XLOOKUP(C457,'⬇️ PEMASUKAN'!$I$5:$I1181,'⬇️ PEMASUKAN'!$K$5:$K1181,,0,-1)</f>
        <v/>
      </c>
      <c r="F457" s="145" t="str">
        <f t="shared" si="2"/>
        <v/>
      </c>
      <c r="G457" s="145" t="str">
        <f t="shared" si="3"/>
        <v/>
      </c>
      <c r="H457" s="145"/>
      <c r="I457" s="145"/>
      <c r="J457" s="145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</row>
    <row r="458" ht="22.5" customHeight="1">
      <c r="A458" s="145"/>
      <c r="B458" s="145" t="str">
        <f t="shared" si="1"/>
        <v/>
      </c>
      <c r="C458" s="145"/>
      <c r="D458" s="145" t="str">
        <f t="array" ref="D458">IFNA(XLOOKUP(C458,'👥 Daftar Nama Pasien'!$B$6:$B1181,'👥 Daftar Nama Pasien'!$D$6:$D1181),"")</f>
        <v/>
      </c>
      <c r="E458" s="145" t="str">
        <f t="array" ref="E458">XLOOKUP(C458,'⬇️ PEMASUKAN'!$I$5:$I1181,'⬇️ PEMASUKAN'!$K$5:$K1181,,0,-1)</f>
        <v/>
      </c>
      <c r="F458" s="145" t="str">
        <f t="shared" si="2"/>
        <v/>
      </c>
      <c r="G458" s="145" t="str">
        <f t="shared" si="3"/>
        <v/>
      </c>
      <c r="H458" s="145"/>
      <c r="I458" s="145"/>
      <c r="J458" s="145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</row>
    <row r="459" ht="22.5" customHeight="1">
      <c r="A459" s="145"/>
      <c r="B459" s="145" t="str">
        <f t="shared" si="1"/>
        <v/>
      </c>
      <c r="C459" s="145"/>
      <c r="D459" s="145" t="str">
        <f t="array" ref="D459">IFNA(XLOOKUP(C459,'👥 Daftar Nama Pasien'!$B$6:$B1181,'👥 Daftar Nama Pasien'!$D$6:$D1181),"")</f>
        <v/>
      </c>
      <c r="E459" s="145" t="str">
        <f t="array" ref="E459">XLOOKUP(C459,'⬇️ PEMASUKAN'!$I$5:$I1181,'⬇️ PEMASUKAN'!$K$5:$K1181,,0,-1)</f>
        <v/>
      </c>
      <c r="F459" s="145" t="str">
        <f t="shared" si="2"/>
        <v/>
      </c>
      <c r="G459" s="145" t="str">
        <f t="shared" si="3"/>
        <v/>
      </c>
      <c r="H459" s="145"/>
      <c r="I459" s="145"/>
      <c r="J459" s="145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</row>
    <row r="460" ht="22.5" customHeight="1">
      <c r="A460" s="145"/>
      <c r="B460" s="145" t="str">
        <f t="shared" si="1"/>
        <v/>
      </c>
      <c r="C460" s="145"/>
      <c r="D460" s="145" t="str">
        <f t="array" ref="D460">IFNA(XLOOKUP(C460,'👥 Daftar Nama Pasien'!$B$6:$B1181,'👥 Daftar Nama Pasien'!$D$6:$D1181),"")</f>
        <v/>
      </c>
      <c r="E460" s="145" t="str">
        <f t="array" ref="E460">XLOOKUP(C460,'⬇️ PEMASUKAN'!$I$5:$I1181,'⬇️ PEMASUKAN'!$K$5:$K1181,,0,-1)</f>
        <v/>
      </c>
      <c r="F460" s="145" t="str">
        <f t="shared" si="2"/>
        <v/>
      </c>
      <c r="G460" s="145" t="str">
        <f t="shared" si="3"/>
        <v/>
      </c>
      <c r="H460" s="145"/>
      <c r="I460" s="145"/>
      <c r="J460" s="145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</row>
    <row r="461" ht="22.5" customHeight="1">
      <c r="A461" s="145"/>
      <c r="B461" s="145" t="str">
        <f t="shared" si="1"/>
        <v/>
      </c>
      <c r="C461" s="145"/>
      <c r="D461" s="145" t="str">
        <f t="array" ref="D461">IFNA(XLOOKUP(C461,'👥 Daftar Nama Pasien'!$B$6:$B1181,'👥 Daftar Nama Pasien'!$D$6:$D1181),"")</f>
        <v/>
      </c>
      <c r="E461" s="145" t="str">
        <f t="array" ref="E461">XLOOKUP(C461,'⬇️ PEMASUKAN'!$I$5:$I1181,'⬇️ PEMASUKAN'!$K$5:$K1181,,0,-1)</f>
        <v/>
      </c>
      <c r="F461" s="145" t="str">
        <f t="shared" si="2"/>
        <v/>
      </c>
      <c r="G461" s="145" t="str">
        <f t="shared" si="3"/>
        <v/>
      </c>
      <c r="H461" s="145"/>
      <c r="I461" s="145"/>
      <c r="J461" s="145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</row>
    <row r="462" ht="22.5" customHeight="1">
      <c r="A462" s="145"/>
      <c r="B462" s="145" t="str">
        <f t="shared" si="1"/>
        <v/>
      </c>
      <c r="C462" s="145"/>
      <c r="D462" s="145" t="str">
        <f t="array" ref="D462">IFNA(XLOOKUP(C462,'👥 Daftar Nama Pasien'!$B$6:$B1181,'👥 Daftar Nama Pasien'!$D$6:$D1181),"")</f>
        <v/>
      </c>
      <c r="E462" s="145" t="str">
        <f t="array" ref="E462">XLOOKUP(C462,'⬇️ PEMASUKAN'!$I$5:$I1181,'⬇️ PEMASUKAN'!$K$5:$K1181,,0,-1)</f>
        <v/>
      </c>
      <c r="F462" s="145" t="str">
        <f t="shared" si="2"/>
        <v/>
      </c>
      <c r="G462" s="145" t="str">
        <f t="shared" si="3"/>
        <v/>
      </c>
      <c r="H462" s="145"/>
      <c r="I462" s="145"/>
      <c r="J462" s="145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</row>
    <row r="463" ht="22.5" customHeight="1">
      <c r="A463" s="145"/>
      <c r="B463" s="145" t="str">
        <f t="shared" si="1"/>
        <v/>
      </c>
      <c r="C463" s="145"/>
      <c r="D463" s="145" t="str">
        <f t="array" ref="D463">IFNA(XLOOKUP(C463,'👥 Daftar Nama Pasien'!$B$6:$B1181,'👥 Daftar Nama Pasien'!$D$6:$D1181),"")</f>
        <v/>
      </c>
      <c r="E463" s="145" t="str">
        <f t="array" ref="E463">XLOOKUP(C463,'⬇️ PEMASUKAN'!$I$5:$I1181,'⬇️ PEMASUKAN'!$K$5:$K1181,,0,-1)</f>
        <v/>
      </c>
      <c r="F463" s="145" t="str">
        <f t="shared" si="2"/>
        <v/>
      </c>
      <c r="G463" s="145" t="str">
        <f t="shared" si="3"/>
        <v/>
      </c>
      <c r="H463" s="145"/>
      <c r="I463" s="145"/>
      <c r="J463" s="145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</row>
    <row r="464" ht="22.5" customHeight="1">
      <c r="A464" s="145"/>
      <c r="B464" s="145" t="str">
        <f t="shared" si="1"/>
        <v/>
      </c>
      <c r="C464" s="145"/>
      <c r="D464" s="145" t="str">
        <f t="array" ref="D464">IFNA(XLOOKUP(C464,'👥 Daftar Nama Pasien'!$B$6:$B1181,'👥 Daftar Nama Pasien'!$D$6:$D1181),"")</f>
        <v/>
      </c>
      <c r="E464" s="145" t="str">
        <f t="array" ref="E464">XLOOKUP(C464,'⬇️ PEMASUKAN'!$I$5:$I1181,'⬇️ PEMASUKAN'!$K$5:$K1181,,0,-1)</f>
        <v/>
      </c>
      <c r="F464" s="145" t="str">
        <f t="shared" si="2"/>
        <v/>
      </c>
      <c r="G464" s="145" t="str">
        <f t="shared" si="3"/>
        <v/>
      </c>
      <c r="H464" s="145"/>
      <c r="I464" s="145"/>
      <c r="J464" s="145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</row>
    <row r="465" ht="22.5" customHeight="1">
      <c r="A465" s="145"/>
      <c r="B465" s="145" t="str">
        <f t="shared" si="1"/>
        <v/>
      </c>
      <c r="C465" s="145"/>
      <c r="D465" s="145" t="str">
        <f t="array" ref="D465">IFNA(XLOOKUP(C465,'👥 Daftar Nama Pasien'!$B$6:$B1181,'👥 Daftar Nama Pasien'!$D$6:$D1181),"")</f>
        <v/>
      </c>
      <c r="E465" s="145" t="str">
        <f t="array" ref="E465">XLOOKUP(C465,'⬇️ PEMASUKAN'!$I$5:$I1181,'⬇️ PEMASUKAN'!$K$5:$K1181,,0,-1)</f>
        <v/>
      </c>
      <c r="F465" s="145" t="str">
        <f t="shared" si="2"/>
        <v/>
      </c>
      <c r="G465" s="145" t="str">
        <f t="shared" si="3"/>
        <v/>
      </c>
      <c r="H465" s="145"/>
      <c r="I465" s="145"/>
      <c r="J465" s="145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</row>
    <row r="466" ht="22.5" customHeight="1">
      <c r="A466" s="145"/>
      <c r="B466" s="145" t="str">
        <f t="shared" si="1"/>
        <v/>
      </c>
      <c r="C466" s="145"/>
      <c r="D466" s="145" t="str">
        <f t="array" ref="D466">IFNA(XLOOKUP(C466,'👥 Daftar Nama Pasien'!$B$6:$B1181,'👥 Daftar Nama Pasien'!$D$6:$D1181),"")</f>
        <v/>
      </c>
      <c r="E466" s="145" t="str">
        <f t="array" ref="E466">XLOOKUP(C466,'⬇️ PEMASUKAN'!$I$5:$I1181,'⬇️ PEMASUKAN'!$K$5:$K1181,,0,-1)</f>
        <v/>
      </c>
      <c r="F466" s="145" t="str">
        <f t="shared" si="2"/>
        <v/>
      </c>
      <c r="G466" s="145" t="str">
        <f t="shared" si="3"/>
        <v/>
      </c>
      <c r="H466" s="145"/>
      <c r="I466" s="145"/>
      <c r="J466" s="145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</row>
    <row r="467" ht="22.5" customHeight="1">
      <c r="A467" s="145"/>
      <c r="B467" s="145" t="str">
        <f t="shared" si="1"/>
        <v/>
      </c>
      <c r="C467" s="145"/>
      <c r="D467" s="145" t="str">
        <f t="array" ref="D467">IFNA(XLOOKUP(C467,'👥 Daftar Nama Pasien'!$B$6:$B1181,'👥 Daftar Nama Pasien'!$D$6:$D1181),"")</f>
        <v/>
      </c>
      <c r="E467" s="145" t="str">
        <f t="array" ref="E467">XLOOKUP(C467,'⬇️ PEMASUKAN'!$I$5:$I1181,'⬇️ PEMASUKAN'!$K$5:$K1181,,0,-1)</f>
        <v/>
      </c>
      <c r="F467" s="145" t="str">
        <f t="shared" si="2"/>
        <v/>
      </c>
      <c r="G467" s="145" t="str">
        <f t="shared" si="3"/>
        <v/>
      </c>
      <c r="H467" s="145"/>
      <c r="I467" s="145"/>
      <c r="J467" s="145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</row>
    <row r="468" ht="22.5" customHeight="1">
      <c r="A468" s="145"/>
      <c r="B468" s="145" t="str">
        <f t="shared" si="1"/>
        <v/>
      </c>
      <c r="C468" s="145"/>
      <c r="D468" s="145" t="str">
        <f t="array" ref="D468">IFNA(XLOOKUP(C468,'👥 Daftar Nama Pasien'!$B$6:$B1181,'👥 Daftar Nama Pasien'!$D$6:$D1181),"")</f>
        <v/>
      </c>
      <c r="E468" s="145" t="str">
        <f t="array" ref="E468">XLOOKUP(C468,'⬇️ PEMASUKAN'!$I$5:$I1181,'⬇️ PEMASUKAN'!$K$5:$K1181,,0,-1)</f>
        <v/>
      </c>
      <c r="F468" s="145" t="str">
        <f t="shared" si="2"/>
        <v/>
      </c>
      <c r="G468" s="145" t="str">
        <f t="shared" si="3"/>
        <v/>
      </c>
      <c r="H468" s="145"/>
      <c r="I468" s="145"/>
      <c r="J468" s="145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</row>
    <row r="469" ht="22.5" customHeight="1">
      <c r="A469" s="145"/>
      <c r="B469" s="145" t="str">
        <f t="shared" si="1"/>
        <v/>
      </c>
      <c r="C469" s="145"/>
      <c r="D469" s="145" t="str">
        <f t="array" ref="D469">IFNA(XLOOKUP(C469,'👥 Daftar Nama Pasien'!$B$6:$B1181,'👥 Daftar Nama Pasien'!$D$6:$D1181),"")</f>
        <v/>
      </c>
      <c r="E469" s="145" t="str">
        <f t="array" ref="E469">XLOOKUP(C469,'⬇️ PEMASUKAN'!$I$5:$I1181,'⬇️ PEMASUKAN'!$K$5:$K1181,,0,-1)</f>
        <v/>
      </c>
      <c r="F469" s="145" t="str">
        <f t="shared" si="2"/>
        <v/>
      </c>
      <c r="G469" s="145" t="str">
        <f t="shared" si="3"/>
        <v/>
      </c>
      <c r="H469" s="145"/>
      <c r="I469" s="145"/>
      <c r="J469" s="145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</row>
    <row r="470" ht="22.5" customHeight="1">
      <c r="A470" s="145"/>
      <c r="B470" s="145" t="str">
        <f t="shared" si="1"/>
        <v/>
      </c>
      <c r="C470" s="145"/>
      <c r="D470" s="145" t="str">
        <f t="array" ref="D470">IFNA(XLOOKUP(C470,'👥 Daftar Nama Pasien'!$B$6:$B1181,'👥 Daftar Nama Pasien'!$D$6:$D1181),"")</f>
        <v/>
      </c>
      <c r="E470" s="145" t="str">
        <f t="array" ref="E470">XLOOKUP(C470,'⬇️ PEMASUKAN'!$I$5:$I1181,'⬇️ PEMASUKAN'!$K$5:$K1181,,0,-1)</f>
        <v/>
      </c>
      <c r="F470" s="145" t="str">
        <f t="shared" si="2"/>
        <v/>
      </c>
      <c r="G470" s="145" t="str">
        <f t="shared" si="3"/>
        <v/>
      </c>
      <c r="H470" s="145"/>
      <c r="I470" s="145"/>
      <c r="J470" s="145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</row>
    <row r="471" ht="22.5" customHeight="1">
      <c r="A471" s="145"/>
      <c r="B471" s="145" t="str">
        <f t="shared" si="1"/>
        <v/>
      </c>
      <c r="C471" s="145"/>
      <c r="D471" s="145" t="str">
        <f t="array" ref="D471">IFNA(XLOOKUP(C471,'👥 Daftar Nama Pasien'!$B$6:$B1181,'👥 Daftar Nama Pasien'!$D$6:$D1181),"")</f>
        <v/>
      </c>
      <c r="E471" s="145" t="str">
        <f t="array" ref="E471">XLOOKUP(C471,'⬇️ PEMASUKAN'!$I$5:$I1181,'⬇️ PEMASUKAN'!$K$5:$K1181,,0,-1)</f>
        <v/>
      </c>
      <c r="F471" s="145" t="str">
        <f t="shared" si="2"/>
        <v/>
      </c>
      <c r="G471" s="145" t="str">
        <f t="shared" si="3"/>
        <v/>
      </c>
      <c r="H471" s="145"/>
      <c r="I471" s="145"/>
      <c r="J471" s="145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</row>
    <row r="472" ht="22.5" customHeight="1">
      <c r="A472" s="145"/>
      <c r="B472" s="145" t="str">
        <f t="shared" si="1"/>
        <v/>
      </c>
      <c r="C472" s="145"/>
      <c r="D472" s="145" t="str">
        <f t="array" ref="D472">IFNA(XLOOKUP(C472,'👥 Daftar Nama Pasien'!$B$6:$B1181,'👥 Daftar Nama Pasien'!$D$6:$D1181),"")</f>
        <v/>
      </c>
      <c r="E472" s="145" t="str">
        <f t="array" ref="E472">XLOOKUP(C472,'⬇️ PEMASUKAN'!$I$5:$I1181,'⬇️ PEMASUKAN'!$K$5:$K1181,,0,-1)</f>
        <v/>
      </c>
      <c r="F472" s="145" t="str">
        <f t="shared" si="2"/>
        <v/>
      </c>
      <c r="G472" s="145" t="str">
        <f t="shared" si="3"/>
        <v/>
      </c>
      <c r="H472" s="145"/>
      <c r="I472" s="145"/>
      <c r="J472" s="145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</row>
    <row r="473" ht="22.5" customHeight="1">
      <c r="A473" s="145"/>
      <c r="B473" s="145" t="str">
        <f t="shared" si="1"/>
        <v/>
      </c>
      <c r="C473" s="145"/>
      <c r="D473" s="145" t="str">
        <f t="array" ref="D473">IFNA(XLOOKUP(C473,'👥 Daftar Nama Pasien'!$B$6:$B1181,'👥 Daftar Nama Pasien'!$D$6:$D1181),"")</f>
        <v/>
      </c>
      <c r="E473" s="145" t="str">
        <f t="array" ref="E473">XLOOKUP(C473,'⬇️ PEMASUKAN'!$I$5:$I1181,'⬇️ PEMASUKAN'!$K$5:$K1181,,0,-1)</f>
        <v/>
      </c>
      <c r="F473" s="145" t="str">
        <f t="shared" si="2"/>
        <v/>
      </c>
      <c r="G473" s="145" t="str">
        <f t="shared" si="3"/>
        <v/>
      </c>
      <c r="H473" s="145"/>
      <c r="I473" s="145"/>
      <c r="J473" s="145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</row>
    <row r="474" ht="22.5" customHeight="1">
      <c r="A474" s="145"/>
      <c r="B474" s="145" t="str">
        <f t="shared" si="1"/>
        <v/>
      </c>
      <c r="C474" s="145"/>
      <c r="D474" s="145" t="str">
        <f t="array" ref="D474">IFNA(XLOOKUP(C474,'👥 Daftar Nama Pasien'!$B$6:$B1181,'👥 Daftar Nama Pasien'!$D$6:$D1181),"")</f>
        <v/>
      </c>
      <c r="E474" s="145" t="str">
        <f t="array" ref="E474">XLOOKUP(C474,'⬇️ PEMASUKAN'!$I$5:$I1181,'⬇️ PEMASUKAN'!$K$5:$K1181,,0,-1)</f>
        <v/>
      </c>
      <c r="F474" s="145" t="str">
        <f t="shared" si="2"/>
        <v/>
      </c>
      <c r="G474" s="145" t="str">
        <f t="shared" si="3"/>
        <v/>
      </c>
      <c r="H474" s="145"/>
      <c r="I474" s="145"/>
      <c r="J474" s="145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</row>
    <row r="475" ht="22.5" customHeight="1">
      <c r="A475" s="145"/>
      <c r="B475" s="145" t="str">
        <f t="shared" si="1"/>
        <v/>
      </c>
      <c r="C475" s="145"/>
      <c r="D475" s="145" t="str">
        <f t="array" ref="D475">IFNA(XLOOKUP(C475,'👥 Daftar Nama Pasien'!$B$6:$B1181,'👥 Daftar Nama Pasien'!$D$6:$D1181),"")</f>
        <v/>
      </c>
      <c r="E475" s="145" t="str">
        <f t="array" ref="E475">XLOOKUP(C475,'⬇️ PEMASUKAN'!$I$5:$I1181,'⬇️ PEMASUKAN'!$K$5:$K1181,,0,-1)</f>
        <v/>
      </c>
      <c r="F475" s="145" t="str">
        <f t="shared" si="2"/>
        <v/>
      </c>
      <c r="G475" s="145" t="str">
        <f t="shared" si="3"/>
        <v/>
      </c>
      <c r="H475" s="145"/>
      <c r="I475" s="145"/>
      <c r="J475" s="145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</row>
    <row r="476" ht="22.5" customHeight="1">
      <c r="A476" s="145"/>
      <c r="B476" s="145" t="str">
        <f t="shared" si="1"/>
        <v/>
      </c>
      <c r="C476" s="145"/>
      <c r="D476" s="145" t="str">
        <f t="array" ref="D476">IFNA(XLOOKUP(C476,'👥 Daftar Nama Pasien'!$B$6:$B1181,'👥 Daftar Nama Pasien'!$D$6:$D1181),"")</f>
        <v/>
      </c>
      <c r="E476" s="145" t="str">
        <f t="array" ref="E476">XLOOKUP(C476,'⬇️ PEMASUKAN'!$I$5:$I1181,'⬇️ PEMASUKAN'!$K$5:$K1181,,0,-1)</f>
        <v/>
      </c>
      <c r="F476" s="145" t="str">
        <f t="shared" si="2"/>
        <v/>
      </c>
      <c r="G476" s="145" t="str">
        <f t="shared" si="3"/>
        <v/>
      </c>
      <c r="H476" s="145"/>
      <c r="I476" s="145"/>
      <c r="J476" s="145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</row>
    <row r="477" ht="22.5" customHeight="1">
      <c r="A477" s="145"/>
      <c r="B477" s="145" t="str">
        <f t="shared" si="1"/>
        <v/>
      </c>
      <c r="C477" s="145"/>
      <c r="D477" s="145" t="str">
        <f t="array" ref="D477">IFNA(XLOOKUP(C477,'👥 Daftar Nama Pasien'!$B$6:$B1181,'👥 Daftar Nama Pasien'!$D$6:$D1181),"")</f>
        <v/>
      </c>
      <c r="E477" s="145" t="str">
        <f t="array" ref="E477">XLOOKUP(C477,'⬇️ PEMASUKAN'!$I$5:$I1181,'⬇️ PEMASUKAN'!$K$5:$K1181,,0,-1)</f>
        <v/>
      </c>
      <c r="F477" s="145" t="str">
        <f t="shared" si="2"/>
        <v/>
      </c>
      <c r="G477" s="145" t="str">
        <f t="shared" si="3"/>
        <v/>
      </c>
      <c r="H477" s="145"/>
      <c r="I477" s="145"/>
      <c r="J477" s="145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</row>
    <row r="478" ht="22.5" customHeight="1">
      <c r="A478" s="145"/>
      <c r="B478" s="145" t="str">
        <f t="shared" si="1"/>
        <v/>
      </c>
      <c r="C478" s="145"/>
      <c r="D478" s="145" t="str">
        <f t="array" ref="D478">IFNA(XLOOKUP(C478,'👥 Daftar Nama Pasien'!$B$6:$B1181,'👥 Daftar Nama Pasien'!$D$6:$D1181),"")</f>
        <v/>
      </c>
      <c r="E478" s="145" t="str">
        <f t="array" ref="E478">XLOOKUP(C478,'⬇️ PEMASUKAN'!$I$5:$I1181,'⬇️ PEMASUKAN'!$K$5:$K1181,,0,-1)</f>
        <v/>
      </c>
      <c r="F478" s="145" t="str">
        <f t="shared" si="2"/>
        <v/>
      </c>
      <c r="G478" s="145" t="str">
        <f t="shared" si="3"/>
        <v/>
      </c>
      <c r="H478" s="145"/>
      <c r="I478" s="145"/>
      <c r="J478" s="145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</row>
    <row r="479" ht="22.5" customHeight="1">
      <c r="A479" s="145"/>
      <c r="B479" s="145" t="str">
        <f t="shared" si="1"/>
        <v/>
      </c>
      <c r="C479" s="145"/>
      <c r="D479" s="145" t="str">
        <f t="array" ref="D479">IFNA(XLOOKUP(C479,'👥 Daftar Nama Pasien'!$B$6:$B1181,'👥 Daftar Nama Pasien'!$D$6:$D1181),"")</f>
        <v/>
      </c>
      <c r="E479" s="145" t="str">
        <f t="array" ref="E479">XLOOKUP(C479,'⬇️ PEMASUKAN'!$I$5:$I1181,'⬇️ PEMASUKAN'!$K$5:$K1181,,0,-1)</f>
        <v/>
      </c>
      <c r="F479" s="145" t="str">
        <f t="shared" si="2"/>
        <v/>
      </c>
      <c r="G479" s="145" t="str">
        <f t="shared" si="3"/>
        <v/>
      </c>
      <c r="H479" s="145"/>
      <c r="I479" s="145"/>
      <c r="J479" s="145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</row>
    <row r="480" ht="22.5" customHeight="1">
      <c r="A480" s="145"/>
      <c r="B480" s="145" t="str">
        <f t="shared" si="1"/>
        <v/>
      </c>
      <c r="C480" s="145"/>
      <c r="D480" s="145" t="str">
        <f t="array" ref="D480">IFNA(XLOOKUP(C480,'👥 Daftar Nama Pasien'!$B$6:$B1181,'👥 Daftar Nama Pasien'!$D$6:$D1181),"")</f>
        <v/>
      </c>
      <c r="E480" s="145" t="str">
        <f t="array" ref="E480">XLOOKUP(C480,'⬇️ PEMASUKAN'!$I$5:$I1181,'⬇️ PEMASUKAN'!$K$5:$K1181,,0,-1)</f>
        <v/>
      </c>
      <c r="F480" s="145" t="str">
        <f t="shared" si="2"/>
        <v/>
      </c>
      <c r="G480" s="145" t="str">
        <f t="shared" si="3"/>
        <v/>
      </c>
      <c r="H480" s="145"/>
      <c r="I480" s="145"/>
      <c r="J480" s="145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</row>
    <row r="481" ht="22.5" customHeight="1">
      <c r="A481" s="145"/>
      <c r="B481" s="145" t="str">
        <f t="shared" si="1"/>
        <v/>
      </c>
      <c r="C481" s="145"/>
      <c r="D481" s="145" t="str">
        <f t="array" ref="D481">IFNA(XLOOKUP(C481,'👥 Daftar Nama Pasien'!$B$6:$B1181,'👥 Daftar Nama Pasien'!$D$6:$D1181),"")</f>
        <v/>
      </c>
      <c r="E481" s="145" t="str">
        <f t="array" ref="E481">XLOOKUP(C481,'⬇️ PEMASUKAN'!$I$5:$I1181,'⬇️ PEMASUKAN'!$K$5:$K1181,,0,-1)</f>
        <v/>
      </c>
      <c r="F481" s="145" t="str">
        <f t="shared" si="2"/>
        <v/>
      </c>
      <c r="G481" s="145" t="str">
        <f t="shared" si="3"/>
        <v/>
      </c>
      <c r="H481" s="145"/>
      <c r="I481" s="145"/>
      <c r="J481" s="145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</row>
    <row r="482" ht="22.5" customHeight="1">
      <c r="A482" s="145"/>
      <c r="B482" s="145" t="str">
        <f t="shared" si="1"/>
        <v/>
      </c>
      <c r="C482" s="145"/>
      <c r="D482" s="145" t="str">
        <f t="array" ref="D482">IFNA(XLOOKUP(C482,'👥 Daftar Nama Pasien'!$B$6:$B1181,'👥 Daftar Nama Pasien'!$D$6:$D1181),"")</f>
        <v/>
      </c>
      <c r="E482" s="145" t="str">
        <f t="array" ref="E482">XLOOKUP(C482,'⬇️ PEMASUKAN'!$I$5:$I1181,'⬇️ PEMASUKAN'!$K$5:$K1181,,0,-1)</f>
        <v/>
      </c>
      <c r="F482" s="145" t="str">
        <f t="shared" si="2"/>
        <v/>
      </c>
      <c r="G482" s="145" t="str">
        <f t="shared" si="3"/>
        <v/>
      </c>
      <c r="H482" s="145"/>
      <c r="I482" s="145"/>
      <c r="J482" s="145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</row>
    <row r="483" ht="22.5" customHeight="1">
      <c r="A483" s="145"/>
      <c r="B483" s="145" t="str">
        <f t="shared" si="1"/>
        <v/>
      </c>
      <c r="C483" s="145"/>
      <c r="D483" s="145" t="str">
        <f t="array" ref="D483">IFNA(XLOOKUP(C483,'👥 Daftar Nama Pasien'!$B$6:$B1181,'👥 Daftar Nama Pasien'!$D$6:$D1181),"")</f>
        <v/>
      </c>
      <c r="E483" s="145" t="str">
        <f t="array" ref="E483">XLOOKUP(C483,'⬇️ PEMASUKAN'!$I$5:$I1181,'⬇️ PEMASUKAN'!$K$5:$K1181,,0,-1)</f>
        <v/>
      </c>
      <c r="F483" s="145" t="str">
        <f t="shared" si="2"/>
        <v/>
      </c>
      <c r="G483" s="145" t="str">
        <f t="shared" si="3"/>
        <v/>
      </c>
      <c r="H483" s="145"/>
      <c r="I483" s="145"/>
      <c r="J483" s="145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</row>
    <row r="484" ht="22.5" customHeight="1">
      <c r="A484" s="145"/>
      <c r="B484" s="145" t="str">
        <f t="shared" si="1"/>
        <v/>
      </c>
      <c r="C484" s="145"/>
      <c r="D484" s="145" t="str">
        <f t="array" ref="D484">IFNA(XLOOKUP(C484,'👥 Daftar Nama Pasien'!$B$6:$B1181,'👥 Daftar Nama Pasien'!$D$6:$D1181),"")</f>
        <v/>
      </c>
      <c r="E484" s="145" t="str">
        <f t="array" ref="E484">XLOOKUP(C484,'⬇️ PEMASUKAN'!$I$5:$I1181,'⬇️ PEMASUKAN'!$K$5:$K1181,,0,-1)</f>
        <v/>
      </c>
      <c r="F484" s="145" t="str">
        <f t="shared" si="2"/>
        <v/>
      </c>
      <c r="G484" s="145" t="str">
        <f t="shared" si="3"/>
        <v/>
      </c>
      <c r="H484" s="145"/>
      <c r="I484" s="145"/>
      <c r="J484" s="145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</row>
    <row r="485" ht="22.5" customHeight="1">
      <c r="A485" s="145"/>
      <c r="B485" s="145" t="str">
        <f t="shared" si="1"/>
        <v/>
      </c>
      <c r="C485" s="145"/>
      <c r="D485" s="145" t="str">
        <f t="array" ref="D485">IFNA(XLOOKUP(C485,'👥 Daftar Nama Pasien'!$B$6:$B1181,'👥 Daftar Nama Pasien'!$D$6:$D1181),"")</f>
        <v/>
      </c>
      <c r="E485" s="145" t="str">
        <f t="array" ref="E485">XLOOKUP(C485,'⬇️ PEMASUKAN'!$I$5:$I1181,'⬇️ PEMASUKAN'!$K$5:$K1181,,0,-1)</f>
        <v/>
      </c>
      <c r="F485" s="145" t="str">
        <f t="shared" si="2"/>
        <v/>
      </c>
      <c r="G485" s="145" t="str">
        <f t="shared" si="3"/>
        <v/>
      </c>
      <c r="H485" s="145"/>
      <c r="I485" s="145"/>
      <c r="J485" s="145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</row>
    <row r="486" ht="22.5" customHeight="1">
      <c r="A486" s="145"/>
      <c r="B486" s="145" t="str">
        <f t="shared" si="1"/>
        <v/>
      </c>
      <c r="C486" s="145"/>
      <c r="D486" s="145" t="str">
        <f t="array" ref="D486">IFNA(XLOOKUP(C486,'👥 Daftar Nama Pasien'!$B$6:$B1181,'👥 Daftar Nama Pasien'!$D$6:$D1181),"")</f>
        <v/>
      </c>
      <c r="E486" s="145" t="str">
        <f t="array" ref="E486">XLOOKUP(C486,'⬇️ PEMASUKAN'!$I$5:$I1181,'⬇️ PEMASUKAN'!$K$5:$K1181,,0,-1)</f>
        <v/>
      </c>
      <c r="F486" s="145" t="str">
        <f t="shared" si="2"/>
        <v/>
      </c>
      <c r="G486" s="145" t="str">
        <f t="shared" si="3"/>
        <v/>
      </c>
      <c r="H486" s="145"/>
      <c r="I486" s="145"/>
      <c r="J486" s="145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</row>
    <row r="487" ht="22.5" customHeight="1">
      <c r="A487" s="145"/>
      <c r="B487" s="145" t="str">
        <f t="shared" si="1"/>
        <v/>
      </c>
      <c r="C487" s="145"/>
      <c r="D487" s="145" t="str">
        <f t="array" ref="D487">IFNA(XLOOKUP(C487,'👥 Daftar Nama Pasien'!$B$6:$B1181,'👥 Daftar Nama Pasien'!$D$6:$D1181),"")</f>
        <v/>
      </c>
      <c r="E487" s="145" t="str">
        <f t="array" ref="E487">XLOOKUP(C487,'⬇️ PEMASUKAN'!$I$5:$I1181,'⬇️ PEMASUKAN'!$K$5:$K1181,,0,-1)</f>
        <v/>
      </c>
      <c r="F487" s="145" t="str">
        <f t="shared" si="2"/>
        <v/>
      </c>
      <c r="G487" s="145" t="str">
        <f t="shared" si="3"/>
        <v/>
      </c>
      <c r="H487" s="145"/>
      <c r="I487" s="145"/>
      <c r="J487" s="145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</row>
    <row r="488" ht="22.5" customHeight="1">
      <c r="A488" s="145"/>
      <c r="B488" s="145" t="str">
        <f t="shared" si="1"/>
        <v/>
      </c>
      <c r="C488" s="145"/>
      <c r="D488" s="145" t="str">
        <f t="array" ref="D488">IFNA(XLOOKUP(C488,'👥 Daftar Nama Pasien'!$B$6:$B1181,'👥 Daftar Nama Pasien'!$D$6:$D1181),"")</f>
        <v/>
      </c>
      <c r="E488" s="145" t="str">
        <f t="array" ref="E488">XLOOKUP(C488,'⬇️ PEMASUKAN'!$I$5:$I1181,'⬇️ PEMASUKAN'!$K$5:$K1181,,0,-1)</f>
        <v/>
      </c>
      <c r="F488" s="145" t="str">
        <f t="shared" si="2"/>
        <v/>
      </c>
      <c r="G488" s="145" t="str">
        <f t="shared" si="3"/>
        <v/>
      </c>
      <c r="H488" s="145"/>
      <c r="I488" s="145"/>
      <c r="J488" s="145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</row>
    <row r="489" ht="22.5" customHeight="1">
      <c r="A489" s="145"/>
      <c r="B489" s="145" t="str">
        <f t="shared" si="1"/>
        <v/>
      </c>
      <c r="C489" s="145"/>
      <c r="D489" s="145" t="str">
        <f t="array" ref="D489">IFNA(XLOOKUP(C489,'👥 Daftar Nama Pasien'!$B$6:$B1181,'👥 Daftar Nama Pasien'!$D$6:$D1181),"")</f>
        <v/>
      </c>
      <c r="E489" s="145" t="str">
        <f t="array" ref="E489">XLOOKUP(C489,'⬇️ PEMASUKAN'!$I$5:$I1181,'⬇️ PEMASUKAN'!$K$5:$K1181,,0,-1)</f>
        <v/>
      </c>
      <c r="F489" s="145" t="str">
        <f t="shared" si="2"/>
        <v/>
      </c>
      <c r="G489" s="145" t="str">
        <f t="shared" si="3"/>
        <v/>
      </c>
      <c r="H489" s="145"/>
      <c r="I489" s="145"/>
      <c r="J489" s="145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</row>
    <row r="490" ht="22.5" customHeight="1">
      <c r="A490" s="145"/>
      <c r="B490" s="145" t="str">
        <f t="shared" si="1"/>
        <v/>
      </c>
      <c r="C490" s="145"/>
      <c r="D490" s="145" t="str">
        <f t="array" ref="D490">IFNA(XLOOKUP(C490,'👥 Daftar Nama Pasien'!$B$6:$B1181,'👥 Daftar Nama Pasien'!$D$6:$D1181),"")</f>
        <v/>
      </c>
      <c r="E490" s="145" t="str">
        <f t="array" ref="E490">XLOOKUP(C490,'⬇️ PEMASUKAN'!$I$5:$I1181,'⬇️ PEMASUKAN'!$K$5:$K1181,,0,-1)</f>
        <v/>
      </c>
      <c r="F490" s="145" t="str">
        <f t="shared" si="2"/>
        <v/>
      </c>
      <c r="G490" s="145" t="str">
        <f t="shared" si="3"/>
        <v/>
      </c>
      <c r="H490" s="145"/>
      <c r="I490" s="145"/>
      <c r="J490" s="145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</row>
    <row r="491" ht="22.5" customHeight="1">
      <c r="A491" s="145"/>
      <c r="B491" s="145" t="str">
        <f t="shared" si="1"/>
        <v/>
      </c>
      <c r="C491" s="145"/>
      <c r="D491" s="145" t="str">
        <f t="array" ref="D491">IFNA(XLOOKUP(C491,'👥 Daftar Nama Pasien'!$B$6:$B1181,'👥 Daftar Nama Pasien'!$D$6:$D1181),"")</f>
        <v/>
      </c>
      <c r="E491" s="145" t="str">
        <f t="array" ref="E491">XLOOKUP(C491,'⬇️ PEMASUKAN'!$I$5:$I1181,'⬇️ PEMASUKAN'!$K$5:$K1181,,0,-1)</f>
        <v/>
      </c>
      <c r="F491" s="145" t="str">
        <f t="shared" si="2"/>
        <v/>
      </c>
      <c r="G491" s="145" t="str">
        <f t="shared" si="3"/>
        <v/>
      </c>
      <c r="H491" s="145"/>
      <c r="I491" s="145"/>
      <c r="J491" s="145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</row>
    <row r="492" ht="22.5" customHeight="1">
      <c r="A492" s="145"/>
      <c r="B492" s="145" t="str">
        <f t="shared" si="1"/>
        <v/>
      </c>
      <c r="C492" s="145"/>
      <c r="D492" s="145" t="str">
        <f t="array" ref="D492">IFNA(XLOOKUP(C492,'👥 Daftar Nama Pasien'!$B$6:$B1181,'👥 Daftar Nama Pasien'!$D$6:$D1181),"")</f>
        <v/>
      </c>
      <c r="E492" s="145" t="str">
        <f t="array" ref="E492">XLOOKUP(C492,'⬇️ PEMASUKAN'!$I$5:$I1181,'⬇️ PEMASUKAN'!$K$5:$K1181,,0,-1)</f>
        <v/>
      </c>
      <c r="F492" s="145" t="str">
        <f t="shared" si="2"/>
        <v/>
      </c>
      <c r="G492" s="145" t="str">
        <f t="shared" si="3"/>
        <v/>
      </c>
      <c r="H492" s="145"/>
      <c r="I492" s="145"/>
      <c r="J492" s="145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</row>
    <row r="493" ht="22.5" customHeight="1">
      <c r="A493" s="145"/>
      <c r="B493" s="145" t="str">
        <f t="shared" si="1"/>
        <v/>
      </c>
      <c r="C493" s="145"/>
      <c r="D493" s="145" t="str">
        <f t="array" ref="D493">IFNA(XLOOKUP(C493,'👥 Daftar Nama Pasien'!$B$6:$B1181,'👥 Daftar Nama Pasien'!$D$6:$D1181),"")</f>
        <v/>
      </c>
      <c r="E493" s="145" t="str">
        <f t="array" ref="E493">XLOOKUP(C493,'⬇️ PEMASUKAN'!$I$5:$I1181,'⬇️ PEMASUKAN'!$K$5:$K1181,,0,-1)</f>
        <v/>
      </c>
      <c r="F493" s="145" t="str">
        <f t="shared" si="2"/>
        <v/>
      </c>
      <c r="G493" s="145" t="str">
        <f t="shared" si="3"/>
        <v/>
      </c>
      <c r="H493" s="145"/>
      <c r="I493" s="145"/>
      <c r="J493" s="145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</row>
    <row r="494" ht="22.5" customHeight="1">
      <c r="A494" s="145"/>
      <c r="B494" s="145" t="str">
        <f t="shared" si="1"/>
        <v/>
      </c>
      <c r="C494" s="145"/>
      <c r="D494" s="145" t="str">
        <f t="array" ref="D494">IFNA(XLOOKUP(C494,'👥 Daftar Nama Pasien'!$B$6:$B1181,'👥 Daftar Nama Pasien'!$D$6:$D1181),"")</f>
        <v/>
      </c>
      <c r="E494" s="145" t="str">
        <f t="array" ref="E494">XLOOKUP(C494,'⬇️ PEMASUKAN'!$I$5:$I1181,'⬇️ PEMASUKAN'!$K$5:$K1181,,0,-1)</f>
        <v/>
      </c>
      <c r="F494" s="145" t="str">
        <f t="shared" si="2"/>
        <v/>
      </c>
      <c r="G494" s="145" t="str">
        <f t="shared" si="3"/>
        <v/>
      </c>
      <c r="H494" s="145"/>
      <c r="I494" s="145"/>
      <c r="J494" s="145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</row>
    <row r="495" ht="22.5" customHeight="1">
      <c r="A495" s="145"/>
      <c r="B495" s="145" t="str">
        <f t="shared" si="1"/>
        <v/>
      </c>
      <c r="C495" s="145"/>
      <c r="D495" s="145" t="str">
        <f t="array" ref="D495">IFNA(XLOOKUP(C495,'👥 Daftar Nama Pasien'!$B$6:$B1181,'👥 Daftar Nama Pasien'!$D$6:$D1181),"")</f>
        <v/>
      </c>
      <c r="E495" s="145" t="str">
        <f t="array" ref="E495">XLOOKUP(C495,'⬇️ PEMASUKAN'!$I$5:$I1181,'⬇️ PEMASUKAN'!$K$5:$K1181,,0,-1)</f>
        <v/>
      </c>
      <c r="F495" s="145" t="str">
        <f t="shared" si="2"/>
        <v/>
      </c>
      <c r="G495" s="145" t="str">
        <f t="shared" si="3"/>
        <v/>
      </c>
      <c r="H495" s="145"/>
      <c r="I495" s="145"/>
      <c r="J495" s="145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</row>
    <row r="496" ht="22.5" customHeight="1">
      <c r="A496" s="145"/>
      <c r="B496" s="145" t="str">
        <f t="shared" si="1"/>
        <v/>
      </c>
      <c r="C496" s="145"/>
      <c r="D496" s="145" t="str">
        <f t="array" ref="D496">IFNA(XLOOKUP(C496,'👥 Daftar Nama Pasien'!$B$6:$B1181,'👥 Daftar Nama Pasien'!$D$6:$D1181),"")</f>
        <v/>
      </c>
      <c r="E496" s="145" t="str">
        <f t="array" ref="E496">XLOOKUP(C496,'⬇️ PEMASUKAN'!$I$5:$I1181,'⬇️ PEMASUKAN'!$K$5:$K1181,,0,-1)</f>
        <v/>
      </c>
      <c r="F496" s="145" t="str">
        <f t="shared" si="2"/>
        <v/>
      </c>
      <c r="G496" s="145" t="str">
        <f t="shared" si="3"/>
        <v/>
      </c>
      <c r="H496" s="145"/>
      <c r="I496" s="145"/>
      <c r="J496" s="145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</row>
    <row r="497" ht="22.5" customHeight="1">
      <c r="A497" s="145"/>
      <c r="B497" s="145" t="str">
        <f t="shared" si="1"/>
        <v/>
      </c>
      <c r="C497" s="145"/>
      <c r="D497" s="145" t="str">
        <f t="array" ref="D497">IFNA(XLOOKUP(C497,'👥 Daftar Nama Pasien'!$B$6:$B1181,'👥 Daftar Nama Pasien'!$D$6:$D1181),"")</f>
        <v/>
      </c>
      <c r="E497" s="145" t="str">
        <f t="array" ref="E497">XLOOKUP(C497,'⬇️ PEMASUKAN'!$I$5:$I1181,'⬇️ PEMASUKAN'!$K$5:$K1181,,0,-1)</f>
        <v/>
      </c>
      <c r="F497" s="145" t="str">
        <f t="shared" si="2"/>
        <v/>
      </c>
      <c r="G497" s="145" t="str">
        <f t="shared" si="3"/>
        <v/>
      </c>
      <c r="H497" s="145"/>
      <c r="I497" s="145"/>
      <c r="J497" s="145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</row>
    <row r="498" ht="22.5" customHeight="1">
      <c r="A498" s="145"/>
      <c r="B498" s="145" t="str">
        <f t="shared" si="1"/>
        <v/>
      </c>
      <c r="C498" s="145"/>
      <c r="D498" s="145" t="str">
        <f t="array" ref="D498">IFNA(XLOOKUP(C498,'👥 Daftar Nama Pasien'!$B$6:$B1181,'👥 Daftar Nama Pasien'!$D$6:$D1181),"")</f>
        <v/>
      </c>
      <c r="E498" s="145" t="str">
        <f t="array" ref="E498">XLOOKUP(C498,'⬇️ PEMASUKAN'!$I$5:$I1181,'⬇️ PEMASUKAN'!$K$5:$K1181,,0,-1)</f>
        <v/>
      </c>
      <c r="F498" s="145" t="str">
        <f t="shared" si="2"/>
        <v/>
      </c>
      <c r="G498" s="145" t="str">
        <f t="shared" si="3"/>
        <v/>
      </c>
      <c r="H498" s="145"/>
      <c r="I498" s="145"/>
      <c r="J498" s="145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</row>
    <row r="499" ht="22.5" customHeight="1">
      <c r="A499" s="145"/>
      <c r="B499" s="145" t="str">
        <f t="shared" si="1"/>
        <v/>
      </c>
      <c r="C499" s="145"/>
      <c r="D499" s="145" t="str">
        <f t="array" ref="D499">IFNA(XLOOKUP(C499,'👥 Daftar Nama Pasien'!$B$6:$B1181,'👥 Daftar Nama Pasien'!$D$6:$D1181),"")</f>
        <v/>
      </c>
      <c r="E499" s="145" t="str">
        <f t="array" ref="E499">XLOOKUP(C499,'⬇️ PEMASUKAN'!$I$5:$I1181,'⬇️ PEMASUKAN'!$K$5:$K1181,,0,-1)</f>
        <v/>
      </c>
      <c r="F499" s="145" t="str">
        <f t="shared" si="2"/>
        <v/>
      </c>
      <c r="G499" s="145" t="str">
        <f t="shared" si="3"/>
        <v/>
      </c>
      <c r="H499" s="145"/>
      <c r="I499" s="145"/>
      <c r="J499" s="145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</row>
    <row r="500" ht="22.5" customHeight="1">
      <c r="A500" s="145"/>
      <c r="B500" s="145" t="str">
        <f t="shared" si="1"/>
        <v/>
      </c>
      <c r="C500" s="145"/>
      <c r="D500" s="145" t="str">
        <f t="array" ref="D500">IFNA(XLOOKUP(C500,'👥 Daftar Nama Pasien'!$B$6:$B1181,'👥 Daftar Nama Pasien'!$D$6:$D1181),"")</f>
        <v/>
      </c>
      <c r="E500" s="145" t="str">
        <f t="array" ref="E500">XLOOKUP(C500,'⬇️ PEMASUKAN'!$I$5:$I1181,'⬇️ PEMASUKAN'!$K$5:$K1181,,0,-1)</f>
        <v/>
      </c>
      <c r="F500" s="145" t="str">
        <f t="shared" si="2"/>
        <v/>
      </c>
      <c r="G500" s="145" t="str">
        <f t="shared" si="3"/>
        <v/>
      </c>
      <c r="H500" s="145"/>
      <c r="I500" s="145"/>
      <c r="J500" s="145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</row>
    <row r="501" ht="22.5" customHeight="1">
      <c r="A501" s="145"/>
      <c r="B501" s="145" t="str">
        <f t="shared" si="1"/>
        <v/>
      </c>
      <c r="C501" s="145"/>
      <c r="D501" s="145" t="str">
        <f t="array" ref="D501">IFNA(XLOOKUP(C501,'👥 Daftar Nama Pasien'!$B$6:$B1181,'👥 Daftar Nama Pasien'!$D$6:$D1181),"")</f>
        <v/>
      </c>
      <c r="E501" s="145" t="str">
        <f t="array" ref="E501">XLOOKUP(C501,'⬇️ PEMASUKAN'!$I$5:$I1181,'⬇️ PEMASUKAN'!$K$5:$K1181,,0,-1)</f>
        <v/>
      </c>
      <c r="F501" s="145" t="str">
        <f t="shared" si="2"/>
        <v/>
      </c>
      <c r="G501" s="145" t="str">
        <f t="shared" si="3"/>
        <v/>
      </c>
      <c r="H501" s="145"/>
      <c r="I501" s="145"/>
      <c r="J501" s="145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</row>
    <row r="502" ht="22.5" customHeight="1">
      <c r="A502" s="145"/>
      <c r="B502" s="145" t="str">
        <f t="shared" si="1"/>
        <v/>
      </c>
      <c r="C502" s="145"/>
      <c r="D502" s="145" t="str">
        <f t="array" ref="D502">IFNA(XLOOKUP(C502,'👥 Daftar Nama Pasien'!$B$6:$B1181,'👥 Daftar Nama Pasien'!$D$6:$D1181),"")</f>
        <v/>
      </c>
      <c r="E502" s="145" t="str">
        <f t="array" ref="E502">XLOOKUP(C502,'⬇️ PEMASUKAN'!$I$5:$I1181,'⬇️ PEMASUKAN'!$K$5:$K1181,,0,-1)</f>
        <v/>
      </c>
      <c r="F502" s="145" t="str">
        <f t="shared" si="2"/>
        <v/>
      </c>
      <c r="G502" s="145" t="str">
        <f t="shared" si="3"/>
        <v/>
      </c>
      <c r="H502" s="145"/>
      <c r="I502" s="145"/>
      <c r="J502" s="145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</row>
    <row r="503" ht="22.5" customHeight="1">
      <c r="A503" s="145"/>
      <c r="B503" s="145" t="str">
        <f t="shared" si="1"/>
        <v/>
      </c>
      <c r="C503" s="145"/>
      <c r="D503" s="145" t="str">
        <f t="array" ref="D503">IFNA(XLOOKUP(C503,'👥 Daftar Nama Pasien'!$B$6:$B1181,'👥 Daftar Nama Pasien'!$D$6:$D1181),"")</f>
        <v/>
      </c>
      <c r="E503" s="145" t="str">
        <f t="array" ref="E503">XLOOKUP(C503,'⬇️ PEMASUKAN'!$I$5:$I1181,'⬇️ PEMASUKAN'!$K$5:$K1181,,0,-1)</f>
        <v/>
      </c>
      <c r="F503" s="145" t="str">
        <f t="shared" si="2"/>
        <v/>
      </c>
      <c r="G503" s="145" t="str">
        <f t="shared" si="3"/>
        <v/>
      </c>
      <c r="H503" s="145"/>
      <c r="I503" s="145"/>
      <c r="J503" s="145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</row>
    <row r="504" ht="22.5" customHeight="1">
      <c r="A504" s="145"/>
      <c r="B504" s="145" t="str">
        <f t="shared" si="1"/>
        <v/>
      </c>
      <c r="C504" s="145"/>
      <c r="D504" s="145" t="str">
        <f t="array" ref="D504">IFNA(XLOOKUP(C504,'👥 Daftar Nama Pasien'!$B$6:$B1181,'👥 Daftar Nama Pasien'!$D$6:$D1181),"")</f>
        <v/>
      </c>
      <c r="E504" s="145" t="str">
        <f t="array" ref="E504">XLOOKUP(C504,'⬇️ PEMASUKAN'!$I$5:$I1181,'⬇️ PEMASUKAN'!$K$5:$K1181,,0,-1)</f>
        <v/>
      </c>
      <c r="F504" s="145" t="str">
        <f t="shared" si="2"/>
        <v/>
      </c>
      <c r="G504" s="145" t="str">
        <f t="shared" si="3"/>
        <v/>
      </c>
      <c r="H504" s="145"/>
      <c r="I504" s="145"/>
      <c r="J504" s="145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</row>
    <row r="505" ht="22.5" customHeight="1">
      <c r="A505" s="145"/>
      <c r="B505" s="145" t="str">
        <f t="shared" si="1"/>
        <v/>
      </c>
      <c r="C505" s="145"/>
      <c r="D505" s="145" t="str">
        <f t="array" ref="D505">IFNA(XLOOKUP(C505,'👥 Daftar Nama Pasien'!$B$6:$B1181,'👥 Daftar Nama Pasien'!$D$6:$D1181),"")</f>
        <v/>
      </c>
      <c r="E505" s="145" t="str">
        <f t="array" ref="E505">XLOOKUP(C505,'⬇️ PEMASUKAN'!$I$5:$I1181,'⬇️ PEMASUKAN'!$K$5:$K1181,,0,-1)</f>
        <v/>
      </c>
      <c r="F505" s="145" t="str">
        <f t="shared" si="2"/>
        <v/>
      </c>
      <c r="G505" s="145" t="str">
        <f t="shared" si="3"/>
        <v/>
      </c>
      <c r="H505" s="145"/>
      <c r="I505" s="145"/>
      <c r="J505" s="145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</row>
    <row r="506" ht="22.5" customHeight="1">
      <c r="A506" s="145"/>
      <c r="B506" s="145" t="str">
        <f t="shared" si="1"/>
        <v/>
      </c>
      <c r="C506" s="145"/>
      <c r="D506" s="145" t="str">
        <f t="array" ref="D506">IFNA(XLOOKUP(C506,'👥 Daftar Nama Pasien'!$B$6:$B1181,'👥 Daftar Nama Pasien'!$D$6:$D1181),"")</f>
        <v/>
      </c>
      <c r="E506" s="145" t="str">
        <f t="array" ref="E506">XLOOKUP(C506,'⬇️ PEMASUKAN'!$I$5:$I1181,'⬇️ PEMASUKAN'!$K$5:$K1181,,0,-1)</f>
        <v/>
      </c>
      <c r="F506" s="145" t="str">
        <f t="shared" si="2"/>
        <v/>
      </c>
      <c r="G506" s="145" t="str">
        <f t="shared" si="3"/>
        <v/>
      </c>
      <c r="H506" s="145"/>
      <c r="I506" s="145"/>
      <c r="J506" s="145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</row>
    <row r="507" ht="22.5" customHeight="1">
      <c r="A507" s="145"/>
      <c r="B507" s="145" t="str">
        <f t="shared" si="1"/>
        <v/>
      </c>
      <c r="C507" s="145"/>
      <c r="D507" s="145" t="str">
        <f t="array" ref="D507">IFNA(XLOOKUP(C507,'👥 Daftar Nama Pasien'!$B$6:$B1181,'👥 Daftar Nama Pasien'!$D$6:$D1181),"")</f>
        <v/>
      </c>
      <c r="E507" s="145" t="str">
        <f t="array" ref="E507">XLOOKUP(C507,'⬇️ PEMASUKAN'!$I$5:$I1181,'⬇️ PEMASUKAN'!$K$5:$K1181,,0,-1)</f>
        <v/>
      </c>
      <c r="F507" s="145" t="str">
        <f t="shared" si="2"/>
        <v/>
      </c>
      <c r="G507" s="145" t="str">
        <f t="shared" si="3"/>
        <v/>
      </c>
      <c r="H507" s="145"/>
      <c r="I507" s="145"/>
      <c r="J507" s="145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</row>
    <row r="508" ht="22.5" customHeight="1">
      <c r="A508" s="145"/>
      <c r="B508" s="145" t="str">
        <f t="shared" si="1"/>
        <v/>
      </c>
      <c r="C508" s="145"/>
      <c r="D508" s="145" t="str">
        <f t="array" ref="D508">IFNA(XLOOKUP(C508,'👥 Daftar Nama Pasien'!$B$6:$B1181,'👥 Daftar Nama Pasien'!$D$6:$D1181),"")</f>
        <v/>
      </c>
      <c r="E508" s="145" t="str">
        <f t="array" ref="E508">XLOOKUP(C508,'⬇️ PEMASUKAN'!$I$5:$I1181,'⬇️ PEMASUKAN'!$K$5:$K1181,,0,-1)</f>
        <v/>
      </c>
      <c r="F508" s="145" t="str">
        <f t="shared" si="2"/>
        <v/>
      </c>
      <c r="G508" s="145" t="str">
        <f t="shared" si="3"/>
        <v/>
      </c>
      <c r="H508" s="145"/>
      <c r="I508" s="145"/>
      <c r="J508" s="145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</row>
    <row r="509" ht="22.5" customHeight="1">
      <c r="A509" s="145"/>
      <c r="B509" s="145" t="str">
        <f t="shared" si="1"/>
        <v/>
      </c>
      <c r="C509" s="145"/>
      <c r="D509" s="145" t="str">
        <f t="array" ref="D509">IFNA(XLOOKUP(C509,'👥 Daftar Nama Pasien'!$B$6:$B1181,'👥 Daftar Nama Pasien'!$D$6:$D1181),"")</f>
        <v/>
      </c>
      <c r="E509" s="145" t="str">
        <f t="array" ref="E509">XLOOKUP(C509,'⬇️ PEMASUKAN'!$I$5:$I1181,'⬇️ PEMASUKAN'!$K$5:$K1181,,0,-1)</f>
        <v/>
      </c>
      <c r="F509" s="145" t="str">
        <f t="shared" si="2"/>
        <v/>
      </c>
      <c r="G509" s="145" t="str">
        <f t="shared" si="3"/>
        <v/>
      </c>
      <c r="H509" s="145"/>
      <c r="I509" s="145"/>
      <c r="J509" s="145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</row>
    <row r="510" ht="22.5" customHeight="1">
      <c r="A510" s="145"/>
      <c r="B510" s="145" t="str">
        <f t="shared" si="1"/>
        <v/>
      </c>
      <c r="C510" s="145"/>
      <c r="D510" s="145" t="str">
        <f t="array" ref="D510">IFNA(XLOOKUP(C510,'👥 Daftar Nama Pasien'!$B$6:$B1181,'👥 Daftar Nama Pasien'!$D$6:$D1181),"")</f>
        <v/>
      </c>
      <c r="E510" s="145" t="str">
        <f t="array" ref="E510">XLOOKUP(C510,'⬇️ PEMASUKAN'!$I$5:$I1181,'⬇️ PEMASUKAN'!$K$5:$K1181,,0,-1)</f>
        <v/>
      </c>
      <c r="F510" s="145" t="str">
        <f t="shared" si="2"/>
        <v/>
      </c>
      <c r="G510" s="145" t="str">
        <f t="shared" si="3"/>
        <v/>
      </c>
      <c r="H510" s="145"/>
      <c r="I510" s="145"/>
      <c r="J510" s="145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</row>
    <row r="511" ht="22.5" customHeight="1">
      <c r="A511" s="145"/>
      <c r="B511" s="145" t="str">
        <f t="shared" si="1"/>
        <v/>
      </c>
      <c r="C511" s="145"/>
      <c r="D511" s="145" t="str">
        <f t="array" ref="D511">IFNA(XLOOKUP(C511,'👥 Daftar Nama Pasien'!$B$6:$B1181,'👥 Daftar Nama Pasien'!$D$6:$D1181),"")</f>
        <v/>
      </c>
      <c r="E511" s="145" t="str">
        <f t="array" ref="E511">XLOOKUP(C511,'⬇️ PEMASUKAN'!$I$5:$I1181,'⬇️ PEMASUKAN'!$K$5:$K1181,,0,-1)</f>
        <v/>
      </c>
      <c r="F511" s="145" t="str">
        <f t="shared" si="2"/>
        <v/>
      </c>
      <c r="G511" s="145" t="str">
        <f t="shared" si="3"/>
        <v/>
      </c>
      <c r="H511" s="145"/>
      <c r="I511" s="145"/>
      <c r="J511" s="145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</row>
    <row r="512" ht="22.5" customHeight="1">
      <c r="A512" s="145"/>
      <c r="B512" s="145" t="str">
        <f t="shared" si="1"/>
        <v/>
      </c>
      <c r="C512" s="145"/>
      <c r="D512" s="145" t="str">
        <f t="array" ref="D512">IFNA(XLOOKUP(C512,'👥 Daftar Nama Pasien'!$B$6:$B1181,'👥 Daftar Nama Pasien'!$D$6:$D1181),"")</f>
        <v/>
      </c>
      <c r="E512" s="145" t="str">
        <f t="array" ref="E512">XLOOKUP(C512,'⬇️ PEMASUKAN'!$I$5:$I1181,'⬇️ PEMASUKAN'!$K$5:$K1181,,0,-1)</f>
        <v/>
      </c>
      <c r="F512" s="145" t="str">
        <f t="shared" si="2"/>
        <v/>
      </c>
      <c r="G512" s="145" t="str">
        <f t="shared" si="3"/>
        <v/>
      </c>
      <c r="H512" s="145"/>
      <c r="I512" s="145"/>
      <c r="J512" s="145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</row>
    <row r="513" ht="22.5" customHeight="1">
      <c r="A513" s="145"/>
      <c r="B513" s="145" t="str">
        <f t="shared" si="1"/>
        <v/>
      </c>
      <c r="C513" s="145"/>
      <c r="D513" s="145" t="str">
        <f t="array" ref="D513">IFNA(XLOOKUP(C513,'👥 Daftar Nama Pasien'!$B$6:$B1181,'👥 Daftar Nama Pasien'!$D$6:$D1181),"")</f>
        <v/>
      </c>
      <c r="E513" s="145" t="str">
        <f t="array" ref="E513">XLOOKUP(C513,'⬇️ PEMASUKAN'!$I$5:$I1181,'⬇️ PEMASUKAN'!$K$5:$K1181,,0,-1)</f>
        <v/>
      </c>
      <c r="F513" s="145" t="str">
        <f t="shared" si="2"/>
        <v/>
      </c>
      <c r="G513" s="145" t="str">
        <f t="shared" si="3"/>
        <v/>
      </c>
      <c r="H513" s="145"/>
      <c r="I513" s="145"/>
      <c r="J513" s="145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</row>
    <row r="514" ht="22.5" customHeight="1">
      <c r="A514" s="145"/>
      <c r="B514" s="145" t="str">
        <f t="shared" si="1"/>
        <v/>
      </c>
      <c r="C514" s="145"/>
      <c r="D514" s="145" t="str">
        <f t="array" ref="D514">IFNA(XLOOKUP(C514,'👥 Daftar Nama Pasien'!$B$6:$B1181,'👥 Daftar Nama Pasien'!$D$6:$D1181),"")</f>
        <v/>
      </c>
      <c r="E514" s="145" t="str">
        <f t="array" ref="E514">XLOOKUP(C514,'⬇️ PEMASUKAN'!$I$5:$I1181,'⬇️ PEMASUKAN'!$K$5:$K1181,,0,-1)</f>
        <v/>
      </c>
      <c r="F514" s="145" t="str">
        <f t="shared" si="2"/>
        <v/>
      </c>
      <c r="G514" s="145" t="str">
        <f t="shared" si="3"/>
        <v/>
      </c>
      <c r="H514" s="145"/>
      <c r="I514" s="145"/>
      <c r="J514" s="145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</row>
    <row r="515" ht="22.5" customHeight="1">
      <c r="A515" s="145"/>
      <c r="B515" s="145" t="str">
        <f t="shared" si="1"/>
        <v/>
      </c>
      <c r="C515" s="145"/>
      <c r="D515" s="145" t="str">
        <f t="array" ref="D515">IFNA(XLOOKUP(C515,'👥 Daftar Nama Pasien'!$B$6:$B1181,'👥 Daftar Nama Pasien'!$D$6:$D1181),"")</f>
        <v/>
      </c>
      <c r="E515" s="145" t="str">
        <f t="array" ref="E515">XLOOKUP(C515,'⬇️ PEMASUKAN'!$I$5:$I1181,'⬇️ PEMASUKAN'!$K$5:$K1181,,0,-1)</f>
        <v/>
      </c>
      <c r="F515" s="145" t="str">
        <f t="shared" si="2"/>
        <v/>
      </c>
      <c r="G515" s="145" t="str">
        <f t="shared" si="3"/>
        <v/>
      </c>
      <c r="H515" s="145"/>
      <c r="I515" s="145"/>
      <c r="J515" s="145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</row>
    <row r="516" ht="22.5" customHeight="1">
      <c r="A516" s="145"/>
      <c r="B516" s="145" t="str">
        <f t="shared" si="1"/>
        <v/>
      </c>
      <c r="C516" s="145"/>
      <c r="D516" s="145" t="str">
        <f t="array" ref="D516">IFNA(XLOOKUP(C516,'👥 Daftar Nama Pasien'!$B$6:$B1181,'👥 Daftar Nama Pasien'!$D$6:$D1181),"")</f>
        <v/>
      </c>
      <c r="E516" s="145" t="str">
        <f t="array" ref="E516">XLOOKUP(C516,'⬇️ PEMASUKAN'!$I$5:$I1181,'⬇️ PEMASUKAN'!$K$5:$K1181,,0,-1)</f>
        <v/>
      </c>
      <c r="F516" s="145" t="str">
        <f t="shared" si="2"/>
        <v/>
      </c>
      <c r="G516" s="145" t="str">
        <f t="shared" si="3"/>
        <v/>
      </c>
      <c r="H516" s="145"/>
      <c r="I516" s="145"/>
      <c r="J516" s="145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</row>
    <row r="517" ht="22.5" customHeight="1">
      <c r="A517" s="145"/>
      <c r="B517" s="145" t="str">
        <f t="shared" si="1"/>
        <v/>
      </c>
      <c r="C517" s="145"/>
      <c r="D517" s="145" t="str">
        <f t="array" ref="D517">IFNA(XLOOKUP(C517,'👥 Daftar Nama Pasien'!$B$6:$B1181,'👥 Daftar Nama Pasien'!$D$6:$D1181),"")</f>
        <v/>
      </c>
      <c r="E517" s="145" t="str">
        <f t="array" ref="E517">XLOOKUP(C517,'⬇️ PEMASUKAN'!$I$5:$I1181,'⬇️ PEMASUKAN'!$K$5:$K1181,,0,-1)</f>
        <v/>
      </c>
      <c r="F517" s="145" t="str">
        <f t="shared" si="2"/>
        <v/>
      </c>
      <c r="G517" s="145" t="str">
        <f t="shared" si="3"/>
        <v/>
      </c>
      <c r="H517" s="145"/>
      <c r="I517" s="145"/>
      <c r="J517" s="145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</row>
    <row r="518" ht="22.5" customHeight="1">
      <c r="A518" s="145"/>
      <c r="B518" s="145" t="str">
        <f t="shared" si="1"/>
        <v/>
      </c>
      <c r="C518" s="145"/>
      <c r="D518" s="145" t="str">
        <f t="array" ref="D518">IFNA(XLOOKUP(C518,'👥 Daftar Nama Pasien'!$B$6:$B1181,'👥 Daftar Nama Pasien'!$D$6:$D1181),"")</f>
        <v/>
      </c>
      <c r="E518" s="145" t="str">
        <f t="array" ref="E518">XLOOKUP(C518,'⬇️ PEMASUKAN'!$I$5:$I1181,'⬇️ PEMASUKAN'!$K$5:$K1181,,0,-1)</f>
        <v/>
      </c>
      <c r="F518" s="145" t="str">
        <f t="shared" si="2"/>
        <v/>
      </c>
      <c r="G518" s="145" t="str">
        <f t="shared" si="3"/>
        <v/>
      </c>
      <c r="H518" s="145"/>
      <c r="I518" s="145"/>
      <c r="J518" s="145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</row>
    <row r="519" ht="22.5" customHeight="1">
      <c r="A519" s="145"/>
      <c r="B519" s="145" t="str">
        <f t="shared" si="1"/>
        <v/>
      </c>
      <c r="C519" s="145"/>
      <c r="D519" s="145" t="str">
        <f t="array" ref="D519">IFNA(XLOOKUP(C519,'👥 Daftar Nama Pasien'!$B$6:$B1181,'👥 Daftar Nama Pasien'!$D$6:$D1181),"")</f>
        <v/>
      </c>
      <c r="E519" s="145" t="str">
        <f t="array" ref="E519">XLOOKUP(C519,'⬇️ PEMASUKAN'!$I$5:$I1181,'⬇️ PEMASUKAN'!$K$5:$K1181,,0,-1)</f>
        <v/>
      </c>
      <c r="F519" s="145" t="str">
        <f t="shared" si="2"/>
        <v/>
      </c>
      <c r="G519" s="145" t="str">
        <f t="shared" si="3"/>
        <v/>
      </c>
      <c r="H519" s="145"/>
      <c r="I519" s="145"/>
      <c r="J519" s="145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</row>
    <row r="520" ht="22.5" customHeight="1">
      <c r="A520" s="145"/>
      <c r="B520" s="145" t="str">
        <f t="shared" si="1"/>
        <v/>
      </c>
      <c r="C520" s="145"/>
      <c r="D520" s="145" t="str">
        <f t="array" ref="D520">IFNA(XLOOKUP(C520,'👥 Daftar Nama Pasien'!$B$6:$B1181,'👥 Daftar Nama Pasien'!$D$6:$D1181),"")</f>
        <v/>
      </c>
      <c r="E520" s="145" t="str">
        <f t="array" ref="E520">XLOOKUP(C520,'⬇️ PEMASUKAN'!$I$5:$I1181,'⬇️ PEMASUKAN'!$K$5:$K1181,,0,-1)</f>
        <v/>
      </c>
      <c r="F520" s="145" t="str">
        <f t="shared" si="2"/>
        <v/>
      </c>
      <c r="G520" s="145" t="str">
        <f t="shared" si="3"/>
        <v/>
      </c>
      <c r="H520" s="145"/>
      <c r="I520" s="145"/>
      <c r="J520" s="145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</row>
    <row r="521" ht="22.5" customHeight="1">
      <c r="A521" s="145"/>
      <c r="B521" s="145" t="str">
        <f t="shared" si="1"/>
        <v/>
      </c>
      <c r="C521" s="145"/>
      <c r="D521" s="145" t="str">
        <f t="array" ref="D521">IFNA(XLOOKUP(C521,'👥 Daftar Nama Pasien'!$B$6:$B1181,'👥 Daftar Nama Pasien'!$D$6:$D1181),"")</f>
        <v/>
      </c>
      <c r="E521" s="145" t="str">
        <f t="array" ref="E521">XLOOKUP(C521,'⬇️ PEMASUKAN'!$I$5:$I1181,'⬇️ PEMASUKAN'!$K$5:$K1181,,0,-1)</f>
        <v/>
      </c>
      <c r="F521" s="145" t="str">
        <f t="shared" si="2"/>
        <v/>
      </c>
      <c r="G521" s="145" t="str">
        <f t="shared" si="3"/>
        <v/>
      </c>
      <c r="H521" s="145"/>
      <c r="I521" s="145"/>
      <c r="J521" s="145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</row>
    <row r="522" ht="22.5" customHeight="1">
      <c r="A522" s="145"/>
      <c r="B522" s="145" t="str">
        <f t="shared" si="1"/>
        <v/>
      </c>
      <c r="C522" s="145"/>
      <c r="D522" s="145" t="str">
        <f t="array" ref="D522">IFNA(XLOOKUP(C522,'👥 Daftar Nama Pasien'!$B$6:$B1181,'👥 Daftar Nama Pasien'!$D$6:$D1181),"")</f>
        <v/>
      </c>
      <c r="E522" s="145" t="str">
        <f t="array" ref="E522">XLOOKUP(C522,'⬇️ PEMASUKAN'!$I$5:$I1181,'⬇️ PEMASUKAN'!$K$5:$K1181,,0,-1)</f>
        <v/>
      </c>
      <c r="F522" s="145" t="str">
        <f t="shared" si="2"/>
        <v/>
      </c>
      <c r="G522" s="145" t="str">
        <f t="shared" si="3"/>
        <v/>
      </c>
      <c r="H522" s="145"/>
      <c r="I522" s="145"/>
      <c r="J522" s="145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</row>
    <row r="523" ht="22.5" customHeight="1">
      <c r="A523" s="145"/>
      <c r="B523" s="145" t="str">
        <f t="shared" si="1"/>
        <v/>
      </c>
      <c r="C523" s="145"/>
      <c r="D523" s="145" t="str">
        <f t="array" ref="D523">IFNA(XLOOKUP(C523,'👥 Daftar Nama Pasien'!$B$6:$B1181,'👥 Daftar Nama Pasien'!$D$6:$D1181),"")</f>
        <v/>
      </c>
      <c r="E523" s="145" t="str">
        <f t="array" ref="E523">XLOOKUP(C523,'⬇️ PEMASUKAN'!$I$5:$I1181,'⬇️ PEMASUKAN'!$K$5:$K1181,,0,-1)</f>
        <v/>
      </c>
      <c r="F523" s="145" t="str">
        <f t="shared" si="2"/>
        <v/>
      </c>
      <c r="G523" s="145" t="str">
        <f t="shared" si="3"/>
        <v/>
      </c>
      <c r="H523" s="145"/>
      <c r="I523" s="145"/>
      <c r="J523" s="145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</row>
    <row r="524" ht="22.5" customHeight="1">
      <c r="A524" s="145"/>
      <c r="B524" s="145" t="str">
        <f t="shared" si="1"/>
        <v/>
      </c>
      <c r="C524" s="145"/>
      <c r="D524" s="145" t="str">
        <f t="array" ref="D524">IFNA(XLOOKUP(C524,'👥 Daftar Nama Pasien'!$B$6:$B1181,'👥 Daftar Nama Pasien'!$D$6:$D1181),"")</f>
        <v/>
      </c>
      <c r="E524" s="145" t="str">
        <f t="array" ref="E524">XLOOKUP(C524,'⬇️ PEMASUKAN'!$I$5:$I1181,'⬇️ PEMASUKAN'!$K$5:$K1181,,0,-1)</f>
        <v/>
      </c>
      <c r="F524" s="145" t="str">
        <f t="shared" si="2"/>
        <v/>
      </c>
      <c r="G524" s="145" t="str">
        <f t="shared" si="3"/>
        <v/>
      </c>
      <c r="H524" s="145"/>
      <c r="I524" s="145"/>
      <c r="J524" s="145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</row>
    <row r="525" ht="22.5" customHeight="1">
      <c r="A525" s="145"/>
      <c r="B525" s="145" t="str">
        <f t="shared" si="1"/>
        <v/>
      </c>
      <c r="C525" s="145"/>
      <c r="D525" s="145" t="str">
        <f t="array" ref="D525">IFNA(XLOOKUP(C525,'👥 Daftar Nama Pasien'!$B$6:$B1181,'👥 Daftar Nama Pasien'!$D$6:$D1181),"")</f>
        <v/>
      </c>
      <c r="E525" s="145" t="str">
        <f t="array" ref="E525">XLOOKUP(C525,'⬇️ PEMASUKAN'!$I$5:$I1181,'⬇️ PEMASUKAN'!$K$5:$K1181,,0,-1)</f>
        <v/>
      </c>
      <c r="F525" s="145" t="str">
        <f t="shared" si="2"/>
        <v/>
      </c>
      <c r="G525" s="145" t="str">
        <f t="shared" si="3"/>
        <v/>
      </c>
      <c r="H525" s="145"/>
      <c r="I525" s="145"/>
      <c r="J525" s="145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</row>
    <row r="526" ht="22.5" customHeight="1">
      <c r="A526" s="145"/>
      <c r="B526" s="145" t="str">
        <f t="shared" si="1"/>
        <v/>
      </c>
      <c r="C526" s="145"/>
      <c r="D526" s="145" t="str">
        <f t="array" ref="D526">IFNA(XLOOKUP(C526,'👥 Daftar Nama Pasien'!$B$6:$B1181,'👥 Daftar Nama Pasien'!$D$6:$D1181),"")</f>
        <v/>
      </c>
      <c r="E526" s="145" t="str">
        <f t="array" ref="E526">XLOOKUP(C526,'⬇️ PEMASUKAN'!$I$5:$I1181,'⬇️ PEMASUKAN'!$K$5:$K1181,,0,-1)</f>
        <v/>
      </c>
      <c r="F526" s="145" t="str">
        <f t="shared" si="2"/>
        <v/>
      </c>
      <c r="G526" s="145" t="str">
        <f t="shared" si="3"/>
        <v/>
      </c>
      <c r="H526" s="145"/>
      <c r="I526" s="145"/>
      <c r="J526" s="145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</row>
    <row r="527" ht="22.5" customHeight="1">
      <c r="A527" s="145"/>
      <c r="B527" s="145" t="str">
        <f t="shared" si="1"/>
        <v/>
      </c>
      <c r="C527" s="145"/>
      <c r="D527" s="145" t="str">
        <f t="array" ref="D527">IFNA(XLOOKUP(C527,'👥 Daftar Nama Pasien'!$B$6:$B1181,'👥 Daftar Nama Pasien'!$D$6:$D1181),"")</f>
        <v/>
      </c>
      <c r="E527" s="145" t="str">
        <f t="array" ref="E527">XLOOKUP(C527,'⬇️ PEMASUKAN'!$I$5:$I1181,'⬇️ PEMASUKAN'!$K$5:$K1181,,0,-1)</f>
        <v/>
      </c>
      <c r="F527" s="145" t="str">
        <f t="shared" si="2"/>
        <v/>
      </c>
      <c r="G527" s="145" t="str">
        <f t="shared" si="3"/>
        <v/>
      </c>
      <c r="H527" s="145"/>
      <c r="I527" s="145"/>
      <c r="J527" s="145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</row>
    <row r="528" ht="22.5" customHeight="1">
      <c r="A528" s="145"/>
      <c r="B528" s="145" t="str">
        <f t="shared" si="1"/>
        <v/>
      </c>
      <c r="C528" s="145"/>
      <c r="D528" s="145" t="str">
        <f t="array" ref="D528">IFNA(XLOOKUP(C528,'👥 Daftar Nama Pasien'!$B$6:$B1181,'👥 Daftar Nama Pasien'!$D$6:$D1181),"")</f>
        <v/>
      </c>
      <c r="E528" s="145" t="str">
        <f t="array" ref="E528">XLOOKUP(C528,'⬇️ PEMASUKAN'!$I$5:$I1181,'⬇️ PEMASUKAN'!$K$5:$K1181,,0,-1)</f>
        <v/>
      </c>
      <c r="F528" s="145" t="str">
        <f t="shared" si="2"/>
        <v/>
      </c>
      <c r="G528" s="145" t="str">
        <f t="shared" si="3"/>
        <v/>
      </c>
      <c r="H528" s="145"/>
      <c r="I528" s="145"/>
      <c r="J528" s="145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</row>
    <row r="529" ht="22.5" customHeight="1">
      <c r="A529" s="145"/>
      <c r="B529" s="145" t="str">
        <f t="shared" si="1"/>
        <v/>
      </c>
      <c r="C529" s="145"/>
      <c r="D529" s="145" t="str">
        <f t="array" ref="D529">IFNA(XLOOKUP(C529,'👥 Daftar Nama Pasien'!$B$6:$B1181,'👥 Daftar Nama Pasien'!$D$6:$D1181),"")</f>
        <v/>
      </c>
      <c r="E529" s="145" t="str">
        <f t="array" ref="E529">XLOOKUP(C529,'⬇️ PEMASUKAN'!$I$5:$I1181,'⬇️ PEMASUKAN'!$K$5:$K1181,,0,-1)</f>
        <v/>
      </c>
      <c r="F529" s="145" t="str">
        <f t="shared" si="2"/>
        <v/>
      </c>
      <c r="G529" s="145" t="str">
        <f t="shared" si="3"/>
        <v/>
      </c>
      <c r="H529" s="145"/>
      <c r="I529" s="145"/>
      <c r="J529" s="145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</row>
    <row r="530" ht="22.5" customHeight="1">
      <c r="A530" s="145"/>
      <c r="B530" s="145" t="str">
        <f t="shared" si="1"/>
        <v/>
      </c>
      <c r="C530" s="145"/>
      <c r="D530" s="145" t="str">
        <f t="array" ref="D530">IFNA(XLOOKUP(C530,'👥 Daftar Nama Pasien'!$B$6:$B1181,'👥 Daftar Nama Pasien'!$D$6:$D1181),"")</f>
        <v/>
      </c>
      <c r="E530" s="145" t="str">
        <f t="array" ref="E530">XLOOKUP(C530,'⬇️ PEMASUKAN'!$I$5:$I1181,'⬇️ PEMASUKAN'!$K$5:$K1181,,0,-1)</f>
        <v/>
      </c>
      <c r="F530" s="145" t="str">
        <f t="shared" si="2"/>
        <v/>
      </c>
      <c r="G530" s="145" t="str">
        <f t="shared" si="3"/>
        <v/>
      </c>
      <c r="H530" s="145"/>
      <c r="I530" s="145"/>
      <c r="J530" s="145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</row>
    <row r="531" ht="22.5" customHeight="1">
      <c r="A531" s="145"/>
      <c r="B531" s="145" t="str">
        <f t="shared" si="1"/>
        <v/>
      </c>
      <c r="C531" s="145"/>
      <c r="D531" s="145" t="str">
        <f t="array" ref="D531">IFNA(XLOOKUP(C531,'👥 Daftar Nama Pasien'!$B$6:$B1181,'👥 Daftar Nama Pasien'!$D$6:$D1181),"")</f>
        <v/>
      </c>
      <c r="E531" s="145" t="str">
        <f t="array" ref="E531">XLOOKUP(C531,'⬇️ PEMASUKAN'!$I$5:$I1181,'⬇️ PEMASUKAN'!$K$5:$K1181,,0,-1)</f>
        <v/>
      </c>
      <c r="F531" s="145" t="str">
        <f t="shared" si="2"/>
        <v/>
      </c>
      <c r="G531" s="145" t="str">
        <f t="shared" si="3"/>
        <v/>
      </c>
      <c r="H531" s="145"/>
      <c r="I531" s="145"/>
      <c r="J531" s="145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</row>
    <row r="532" ht="22.5" customHeight="1">
      <c r="A532" s="145"/>
      <c r="B532" s="145" t="str">
        <f t="shared" si="1"/>
        <v/>
      </c>
      <c r="C532" s="145"/>
      <c r="D532" s="145" t="str">
        <f t="array" ref="D532">IFNA(XLOOKUP(C532,'👥 Daftar Nama Pasien'!$B$6:$B1181,'👥 Daftar Nama Pasien'!$D$6:$D1181),"")</f>
        <v/>
      </c>
      <c r="E532" s="145" t="str">
        <f t="array" ref="E532">XLOOKUP(C532,'⬇️ PEMASUKAN'!$I$5:$I1181,'⬇️ PEMASUKAN'!$K$5:$K1181,,0,-1)</f>
        <v/>
      </c>
      <c r="F532" s="145" t="str">
        <f t="shared" si="2"/>
        <v/>
      </c>
      <c r="G532" s="145" t="str">
        <f t="shared" si="3"/>
        <v/>
      </c>
      <c r="H532" s="145"/>
      <c r="I532" s="145"/>
      <c r="J532" s="145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</row>
    <row r="533" ht="22.5" customHeight="1">
      <c r="A533" s="145"/>
      <c r="B533" s="145" t="str">
        <f t="shared" si="1"/>
        <v/>
      </c>
      <c r="C533" s="145"/>
      <c r="D533" s="145" t="str">
        <f t="array" ref="D533">IFNA(XLOOKUP(C533,'👥 Daftar Nama Pasien'!$B$6:$B1181,'👥 Daftar Nama Pasien'!$D$6:$D1181),"")</f>
        <v/>
      </c>
      <c r="E533" s="145" t="str">
        <f t="array" ref="E533">XLOOKUP(C533,'⬇️ PEMASUKAN'!$I$5:$I1181,'⬇️ PEMASUKAN'!$K$5:$K1181,,0,-1)</f>
        <v/>
      </c>
      <c r="F533" s="145" t="str">
        <f t="shared" si="2"/>
        <v/>
      </c>
      <c r="G533" s="145" t="str">
        <f t="shared" si="3"/>
        <v/>
      </c>
      <c r="H533" s="145"/>
      <c r="I533" s="145"/>
      <c r="J533" s="145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</row>
    <row r="534" ht="22.5" customHeight="1">
      <c r="A534" s="145"/>
      <c r="B534" s="145" t="str">
        <f t="shared" si="1"/>
        <v/>
      </c>
      <c r="C534" s="145"/>
      <c r="D534" s="145" t="str">
        <f t="array" ref="D534">IFNA(XLOOKUP(C534,'👥 Daftar Nama Pasien'!$B$6:$B1181,'👥 Daftar Nama Pasien'!$D$6:$D1181),"")</f>
        <v/>
      </c>
      <c r="E534" s="145" t="str">
        <f t="array" ref="E534">XLOOKUP(C534,'⬇️ PEMASUKAN'!$I$5:$I1181,'⬇️ PEMASUKAN'!$K$5:$K1181,,0,-1)</f>
        <v/>
      </c>
      <c r="F534" s="145" t="str">
        <f t="shared" si="2"/>
        <v/>
      </c>
      <c r="G534" s="145" t="str">
        <f t="shared" si="3"/>
        <v/>
      </c>
      <c r="H534" s="145"/>
      <c r="I534" s="145"/>
      <c r="J534" s="145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</row>
    <row r="535" ht="22.5" customHeight="1">
      <c r="A535" s="145"/>
      <c r="B535" s="145" t="str">
        <f t="shared" si="1"/>
        <v/>
      </c>
      <c r="C535" s="145"/>
      <c r="D535" s="145" t="str">
        <f t="array" ref="D535">IFNA(XLOOKUP(C535,'👥 Daftar Nama Pasien'!$B$6:$B1181,'👥 Daftar Nama Pasien'!$D$6:$D1181),"")</f>
        <v/>
      </c>
      <c r="E535" s="145" t="str">
        <f t="array" ref="E535">XLOOKUP(C535,'⬇️ PEMASUKAN'!$I$5:$I1181,'⬇️ PEMASUKAN'!$K$5:$K1181,,0,-1)</f>
        <v/>
      </c>
      <c r="F535" s="145" t="str">
        <f t="shared" si="2"/>
        <v/>
      </c>
      <c r="G535" s="145" t="str">
        <f t="shared" si="3"/>
        <v/>
      </c>
      <c r="H535" s="145"/>
      <c r="I535" s="145"/>
      <c r="J535" s="145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</row>
    <row r="536" ht="22.5" customHeight="1">
      <c r="A536" s="145"/>
      <c r="B536" s="145" t="str">
        <f t="shared" si="1"/>
        <v/>
      </c>
      <c r="C536" s="145"/>
      <c r="D536" s="145" t="str">
        <f t="array" ref="D536">IFNA(XLOOKUP(C536,'👥 Daftar Nama Pasien'!$B$6:$B1181,'👥 Daftar Nama Pasien'!$D$6:$D1181),"")</f>
        <v/>
      </c>
      <c r="E536" s="145" t="str">
        <f t="array" ref="E536">XLOOKUP(C536,'⬇️ PEMASUKAN'!$I$5:$I1181,'⬇️ PEMASUKAN'!$K$5:$K1181,,0,-1)</f>
        <v/>
      </c>
      <c r="F536" s="145" t="str">
        <f t="shared" si="2"/>
        <v/>
      </c>
      <c r="G536" s="145" t="str">
        <f t="shared" si="3"/>
        <v/>
      </c>
      <c r="H536" s="145"/>
      <c r="I536" s="145"/>
      <c r="J536" s="145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</row>
    <row r="537" ht="22.5" customHeight="1">
      <c r="A537" s="145"/>
      <c r="B537" s="145" t="str">
        <f t="shared" si="1"/>
        <v/>
      </c>
      <c r="C537" s="145"/>
      <c r="D537" s="145" t="str">
        <f t="array" ref="D537">IFNA(XLOOKUP(C537,'👥 Daftar Nama Pasien'!$B$6:$B1181,'👥 Daftar Nama Pasien'!$D$6:$D1181),"")</f>
        <v/>
      </c>
      <c r="E537" s="145" t="str">
        <f t="array" ref="E537">XLOOKUP(C537,'⬇️ PEMASUKAN'!$I$5:$I1181,'⬇️ PEMASUKAN'!$K$5:$K1181,,0,-1)</f>
        <v/>
      </c>
      <c r="F537" s="145" t="str">
        <f t="shared" si="2"/>
        <v/>
      </c>
      <c r="G537" s="145" t="str">
        <f t="shared" si="3"/>
        <v/>
      </c>
      <c r="H537" s="145"/>
      <c r="I537" s="145"/>
      <c r="J537" s="145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</row>
    <row r="538" ht="22.5" customHeight="1">
      <c r="A538" s="145"/>
      <c r="B538" s="145" t="str">
        <f t="shared" si="1"/>
        <v/>
      </c>
      <c r="C538" s="145"/>
      <c r="D538" s="145" t="str">
        <f t="array" ref="D538">IFNA(XLOOKUP(C538,'👥 Daftar Nama Pasien'!$B$6:$B1181,'👥 Daftar Nama Pasien'!$D$6:$D1181),"")</f>
        <v/>
      </c>
      <c r="E538" s="145" t="str">
        <f t="array" ref="E538">XLOOKUP(C538,'⬇️ PEMASUKAN'!$I$5:$I1181,'⬇️ PEMASUKAN'!$K$5:$K1181,,0,-1)</f>
        <v/>
      </c>
      <c r="F538" s="145" t="str">
        <f t="shared" si="2"/>
        <v/>
      </c>
      <c r="G538" s="145" t="str">
        <f t="shared" si="3"/>
        <v/>
      </c>
      <c r="H538" s="145"/>
      <c r="I538" s="145"/>
      <c r="J538" s="145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</row>
    <row r="539" ht="22.5" customHeight="1">
      <c r="A539" s="145"/>
      <c r="B539" s="145" t="str">
        <f t="shared" si="1"/>
        <v/>
      </c>
      <c r="C539" s="145"/>
      <c r="D539" s="145" t="str">
        <f t="array" ref="D539">IFNA(XLOOKUP(C539,'👥 Daftar Nama Pasien'!$B$6:$B1181,'👥 Daftar Nama Pasien'!$D$6:$D1181),"")</f>
        <v/>
      </c>
      <c r="E539" s="145" t="str">
        <f t="array" ref="E539">XLOOKUP(C539,'⬇️ PEMASUKAN'!$I$5:$I1181,'⬇️ PEMASUKAN'!$K$5:$K1181,,0,-1)</f>
        <v/>
      </c>
      <c r="F539" s="145" t="str">
        <f t="shared" si="2"/>
        <v/>
      </c>
      <c r="G539" s="145" t="str">
        <f t="shared" si="3"/>
        <v/>
      </c>
      <c r="H539" s="145"/>
      <c r="I539" s="145"/>
      <c r="J539" s="145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</row>
    <row r="540" ht="22.5" customHeight="1">
      <c r="A540" s="145"/>
      <c r="B540" s="145" t="str">
        <f t="shared" si="1"/>
        <v/>
      </c>
      <c r="C540" s="145"/>
      <c r="D540" s="145" t="str">
        <f t="array" ref="D540">IFNA(XLOOKUP(C540,'👥 Daftar Nama Pasien'!$B$6:$B1181,'👥 Daftar Nama Pasien'!$D$6:$D1181),"")</f>
        <v/>
      </c>
      <c r="E540" s="145" t="str">
        <f t="array" ref="E540">XLOOKUP(C540,'⬇️ PEMASUKAN'!$I$5:$I1181,'⬇️ PEMASUKAN'!$K$5:$K1181,,0,-1)</f>
        <v/>
      </c>
      <c r="F540" s="145" t="str">
        <f t="shared" si="2"/>
        <v/>
      </c>
      <c r="G540" s="145" t="str">
        <f t="shared" si="3"/>
        <v/>
      </c>
      <c r="H540" s="145"/>
      <c r="I540" s="145"/>
      <c r="J540" s="145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</row>
    <row r="541" ht="22.5" customHeight="1">
      <c r="A541" s="145"/>
      <c r="B541" s="145" t="str">
        <f t="shared" si="1"/>
        <v/>
      </c>
      <c r="C541" s="145"/>
      <c r="D541" s="145" t="str">
        <f t="array" ref="D541">IFNA(XLOOKUP(C541,'👥 Daftar Nama Pasien'!$B$6:$B1181,'👥 Daftar Nama Pasien'!$D$6:$D1181),"")</f>
        <v/>
      </c>
      <c r="E541" s="145" t="str">
        <f t="array" ref="E541">XLOOKUP(C541,'⬇️ PEMASUKAN'!$I$5:$I1181,'⬇️ PEMASUKAN'!$K$5:$K1181,,0,-1)</f>
        <v/>
      </c>
      <c r="F541" s="145" t="str">
        <f t="shared" si="2"/>
        <v/>
      </c>
      <c r="G541" s="145" t="str">
        <f t="shared" si="3"/>
        <v/>
      </c>
      <c r="H541" s="145"/>
      <c r="I541" s="145"/>
      <c r="J541" s="145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</row>
    <row r="542" ht="22.5" customHeight="1">
      <c r="A542" s="145"/>
      <c r="B542" s="145" t="str">
        <f t="shared" si="1"/>
        <v/>
      </c>
      <c r="C542" s="145"/>
      <c r="D542" s="145" t="str">
        <f t="array" ref="D542">IFNA(XLOOKUP(C542,'👥 Daftar Nama Pasien'!$B$6:$B1181,'👥 Daftar Nama Pasien'!$D$6:$D1181),"")</f>
        <v/>
      </c>
      <c r="E542" s="145" t="str">
        <f t="array" ref="E542">XLOOKUP(C542,'⬇️ PEMASUKAN'!$I$5:$I1181,'⬇️ PEMASUKAN'!$K$5:$K1181,,0,-1)</f>
        <v/>
      </c>
      <c r="F542" s="145" t="str">
        <f t="shared" si="2"/>
        <v/>
      </c>
      <c r="G542" s="145" t="str">
        <f t="shared" si="3"/>
        <v/>
      </c>
      <c r="H542" s="145"/>
      <c r="I542" s="145"/>
      <c r="J542" s="145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</row>
    <row r="543" ht="22.5" customHeight="1">
      <c r="A543" s="145"/>
      <c r="B543" s="145" t="str">
        <f t="shared" si="1"/>
        <v/>
      </c>
      <c r="C543" s="145"/>
      <c r="D543" s="145" t="str">
        <f t="array" ref="D543">IFNA(XLOOKUP(C543,'👥 Daftar Nama Pasien'!$B$6:$B1181,'👥 Daftar Nama Pasien'!$D$6:$D1181),"")</f>
        <v/>
      </c>
      <c r="E543" s="145" t="str">
        <f t="array" ref="E543">XLOOKUP(C543,'⬇️ PEMASUKAN'!$I$5:$I1181,'⬇️ PEMASUKAN'!$K$5:$K1181,,0,-1)</f>
        <v/>
      </c>
      <c r="F543" s="145" t="str">
        <f t="shared" si="2"/>
        <v/>
      </c>
      <c r="G543" s="145" t="str">
        <f t="shared" si="3"/>
        <v/>
      </c>
      <c r="H543" s="145"/>
      <c r="I543" s="145"/>
      <c r="J543" s="145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</row>
    <row r="544" ht="22.5" customHeight="1">
      <c r="A544" s="145"/>
      <c r="B544" s="145" t="str">
        <f t="shared" si="1"/>
        <v/>
      </c>
      <c r="C544" s="145"/>
      <c r="D544" s="145" t="str">
        <f t="array" ref="D544">IFNA(XLOOKUP(C544,'👥 Daftar Nama Pasien'!$B$6:$B1181,'👥 Daftar Nama Pasien'!$D$6:$D1181),"")</f>
        <v/>
      </c>
      <c r="E544" s="145" t="str">
        <f t="array" ref="E544">XLOOKUP(C544,'⬇️ PEMASUKAN'!$I$5:$I1181,'⬇️ PEMASUKAN'!$K$5:$K1181,,0,-1)</f>
        <v/>
      </c>
      <c r="F544" s="145" t="str">
        <f t="shared" si="2"/>
        <v/>
      </c>
      <c r="G544" s="145" t="str">
        <f t="shared" si="3"/>
        <v/>
      </c>
      <c r="H544" s="145"/>
      <c r="I544" s="145"/>
      <c r="J544" s="145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</row>
    <row r="545" ht="22.5" customHeight="1">
      <c r="A545" s="145"/>
      <c r="B545" s="145" t="str">
        <f t="shared" si="1"/>
        <v/>
      </c>
      <c r="C545" s="145"/>
      <c r="D545" s="145" t="str">
        <f t="array" ref="D545">IFNA(XLOOKUP(C545,'👥 Daftar Nama Pasien'!$B$6:$B1181,'👥 Daftar Nama Pasien'!$D$6:$D1181),"")</f>
        <v/>
      </c>
      <c r="E545" s="145" t="str">
        <f t="array" ref="E545">XLOOKUP(C545,'⬇️ PEMASUKAN'!$I$5:$I1181,'⬇️ PEMASUKAN'!$K$5:$K1181,,0,-1)</f>
        <v/>
      </c>
      <c r="F545" s="145" t="str">
        <f t="shared" si="2"/>
        <v/>
      </c>
      <c r="G545" s="145" t="str">
        <f t="shared" si="3"/>
        <v/>
      </c>
      <c r="H545" s="145"/>
      <c r="I545" s="145"/>
      <c r="J545" s="145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</row>
    <row r="546" ht="22.5" customHeight="1">
      <c r="A546" s="145"/>
      <c r="B546" s="145" t="str">
        <f t="shared" si="1"/>
        <v/>
      </c>
      <c r="C546" s="145"/>
      <c r="D546" s="145" t="str">
        <f t="array" ref="D546">IFNA(XLOOKUP(C546,'👥 Daftar Nama Pasien'!$B$6:$B1181,'👥 Daftar Nama Pasien'!$D$6:$D1181),"")</f>
        <v/>
      </c>
      <c r="E546" s="145" t="str">
        <f t="array" ref="E546">XLOOKUP(C546,'⬇️ PEMASUKAN'!$I$5:$I1181,'⬇️ PEMASUKAN'!$K$5:$K1181,,0,-1)</f>
        <v/>
      </c>
      <c r="F546" s="145" t="str">
        <f t="shared" si="2"/>
        <v/>
      </c>
      <c r="G546" s="145" t="str">
        <f t="shared" si="3"/>
        <v/>
      </c>
      <c r="H546" s="145"/>
      <c r="I546" s="145"/>
      <c r="J546" s="145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</row>
    <row r="547" ht="22.5" customHeight="1">
      <c r="A547" s="145"/>
      <c r="B547" s="145" t="str">
        <f t="shared" si="1"/>
        <v/>
      </c>
      <c r="C547" s="145"/>
      <c r="D547" s="145" t="str">
        <f t="array" ref="D547">IFNA(XLOOKUP(C547,'👥 Daftar Nama Pasien'!$B$6:$B1181,'👥 Daftar Nama Pasien'!$D$6:$D1181),"")</f>
        <v/>
      </c>
      <c r="E547" s="145" t="str">
        <f t="array" ref="E547">XLOOKUP(C547,'⬇️ PEMASUKAN'!$I$5:$I1181,'⬇️ PEMASUKAN'!$K$5:$K1181,,0,-1)</f>
        <v/>
      </c>
      <c r="F547" s="145" t="str">
        <f t="shared" si="2"/>
        <v/>
      </c>
      <c r="G547" s="145" t="str">
        <f t="shared" si="3"/>
        <v/>
      </c>
      <c r="H547" s="145"/>
      <c r="I547" s="145"/>
      <c r="J547" s="145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</row>
    <row r="548" ht="22.5" customHeight="1">
      <c r="A548" s="145"/>
      <c r="B548" s="145" t="str">
        <f t="shared" si="1"/>
        <v/>
      </c>
      <c r="C548" s="145"/>
      <c r="D548" s="145" t="str">
        <f t="array" ref="D548">IFNA(XLOOKUP(C548,'👥 Daftar Nama Pasien'!$B$6:$B1181,'👥 Daftar Nama Pasien'!$D$6:$D1181),"")</f>
        <v/>
      </c>
      <c r="E548" s="145" t="str">
        <f t="array" ref="E548">XLOOKUP(C548,'⬇️ PEMASUKAN'!$I$5:$I1181,'⬇️ PEMASUKAN'!$K$5:$K1181,,0,-1)</f>
        <v/>
      </c>
      <c r="F548" s="145" t="str">
        <f t="shared" si="2"/>
        <v/>
      </c>
      <c r="G548" s="145" t="str">
        <f t="shared" si="3"/>
        <v/>
      </c>
      <c r="H548" s="145"/>
      <c r="I548" s="145"/>
      <c r="J548" s="145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</row>
    <row r="549" ht="22.5" customHeight="1">
      <c r="A549" s="145"/>
      <c r="B549" s="145" t="str">
        <f t="shared" si="1"/>
        <v/>
      </c>
      <c r="C549" s="145"/>
      <c r="D549" s="145" t="str">
        <f t="array" ref="D549">IFNA(XLOOKUP(C549,'👥 Daftar Nama Pasien'!$B$6:$B1181,'👥 Daftar Nama Pasien'!$D$6:$D1181),"")</f>
        <v/>
      </c>
      <c r="E549" s="145" t="str">
        <f t="array" ref="E549">XLOOKUP(C549,'⬇️ PEMASUKAN'!$I$5:$I1181,'⬇️ PEMASUKAN'!$K$5:$K1181,,0,-1)</f>
        <v/>
      </c>
      <c r="F549" s="145" t="str">
        <f t="shared" si="2"/>
        <v/>
      </c>
      <c r="G549" s="145" t="str">
        <f t="shared" si="3"/>
        <v/>
      </c>
      <c r="H549" s="145"/>
      <c r="I549" s="145"/>
      <c r="J549" s="145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</row>
    <row r="550" ht="22.5" customHeight="1">
      <c r="A550" s="145"/>
      <c r="B550" s="145" t="str">
        <f t="shared" si="1"/>
        <v/>
      </c>
      <c r="C550" s="145"/>
      <c r="D550" s="145" t="str">
        <f t="array" ref="D550">IFNA(XLOOKUP(C550,'👥 Daftar Nama Pasien'!$B$6:$B1181,'👥 Daftar Nama Pasien'!$D$6:$D1181),"")</f>
        <v/>
      </c>
      <c r="E550" s="145" t="str">
        <f t="array" ref="E550">XLOOKUP(C550,'⬇️ PEMASUKAN'!$I$5:$I1181,'⬇️ PEMASUKAN'!$K$5:$K1181,,0,-1)</f>
        <v/>
      </c>
      <c r="F550" s="145" t="str">
        <f t="shared" si="2"/>
        <v/>
      </c>
      <c r="G550" s="145" t="str">
        <f t="shared" si="3"/>
        <v/>
      </c>
      <c r="H550" s="145"/>
      <c r="I550" s="145"/>
      <c r="J550" s="145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</row>
    <row r="551" ht="22.5" customHeight="1">
      <c r="A551" s="145"/>
      <c r="B551" s="145" t="str">
        <f t="shared" si="1"/>
        <v/>
      </c>
      <c r="C551" s="145"/>
      <c r="D551" s="145" t="str">
        <f t="array" ref="D551">IFNA(XLOOKUP(C551,'👥 Daftar Nama Pasien'!$B$6:$B1181,'👥 Daftar Nama Pasien'!$D$6:$D1181),"")</f>
        <v/>
      </c>
      <c r="E551" s="145" t="str">
        <f t="array" ref="E551">XLOOKUP(C551,'⬇️ PEMASUKAN'!$I$5:$I1181,'⬇️ PEMASUKAN'!$K$5:$K1181,,0,-1)</f>
        <v/>
      </c>
      <c r="F551" s="145" t="str">
        <f t="shared" si="2"/>
        <v/>
      </c>
      <c r="G551" s="145" t="str">
        <f t="shared" si="3"/>
        <v/>
      </c>
      <c r="H551" s="145"/>
      <c r="I551" s="145"/>
      <c r="J551" s="145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</row>
    <row r="552" ht="22.5" customHeight="1">
      <c r="A552" s="145"/>
      <c r="B552" s="145" t="str">
        <f t="shared" si="1"/>
        <v/>
      </c>
      <c r="C552" s="145"/>
      <c r="D552" s="145" t="str">
        <f t="array" ref="D552">IFNA(XLOOKUP(C552,'👥 Daftar Nama Pasien'!$B$6:$B1181,'👥 Daftar Nama Pasien'!$D$6:$D1181),"")</f>
        <v/>
      </c>
      <c r="E552" s="145" t="str">
        <f t="array" ref="E552">XLOOKUP(C552,'⬇️ PEMASUKAN'!$I$5:$I1181,'⬇️ PEMASUKAN'!$K$5:$K1181,,0,-1)</f>
        <v/>
      </c>
      <c r="F552" s="145" t="str">
        <f t="shared" si="2"/>
        <v/>
      </c>
      <c r="G552" s="145" t="str">
        <f t="shared" si="3"/>
        <v/>
      </c>
      <c r="H552" s="145"/>
      <c r="I552" s="145"/>
      <c r="J552" s="145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</row>
    <row r="553" ht="22.5" customHeight="1">
      <c r="A553" s="145"/>
      <c r="B553" s="145" t="str">
        <f t="shared" si="1"/>
        <v/>
      </c>
      <c r="C553" s="145"/>
      <c r="D553" s="145" t="str">
        <f t="array" ref="D553">IFNA(XLOOKUP(C553,'👥 Daftar Nama Pasien'!$B$6:$B1181,'👥 Daftar Nama Pasien'!$D$6:$D1181),"")</f>
        <v/>
      </c>
      <c r="E553" s="145" t="str">
        <f t="array" ref="E553">XLOOKUP(C553,'⬇️ PEMASUKAN'!$I$5:$I1181,'⬇️ PEMASUKAN'!$K$5:$K1181,,0,-1)</f>
        <v/>
      </c>
      <c r="F553" s="145" t="str">
        <f t="shared" si="2"/>
        <v/>
      </c>
      <c r="G553" s="145" t="str">
        <f t="shared" si="3"/>
        <v/>
      </c>
      <c r="H553" s="145"/>
      <c r="I553" s="145"/>
      <c r="J553" s="145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</row>
    <row r="554" ht="22.5" customHeight="1">
      <c r="A554" s="145"/>
      <c r="B554" s="145" t="str">
        <f t="shared" si="1"/>
        <v/>
      </c>
      <c r="C554" s="145"/>
      <c r="D554" s="145" t="str">
        <f t="array" ref="D554">IFNA(XLOOKUP(C554,'👥 Daftar Nama Pasien'!$B$6:$B1181,'👥 Daftar Nama Pasien'!$D$6:$D1181),"")</f>
        <v/>
      </c>
      <c r="E554" s="145" t="str">
        <f t="array" ref="E554">XLOOKUP(C554,'⬇️ PEMASUKAN'!$I$5:$I1181,'⬇️ PEMASUKAN'!$K$5:$K1181,,0,-1)</f>
        <v/>
      </c>
      <c r="F554" s="145" t="str">
        <f t="shared" si="2"/>
        <v/>
      </c>
      <c r="G554" s="145" t="str">
        <f t="shared" si="3"/>
        <v/>
      </c>
      <c r="H554" s="145"/>
      <c r="I554" s="145"/>
      <c r="J554" s="145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</row>
    <row r="555" ht="22.5" customHeight="1">
      <c r="A555" s="145"/>
      <c r="B555" s="145" t="str">
        <f t="shared" si="1"/>
        <v/>
      </c>
      <c r="C555" s="145"/>
      <c r="D555" s="145" t="str">
        <f t="array" ref="D555">IFNA(XLOOKUP(C555,'👥 Daftar Nama Pasien'!$B$6:$B1181,'👥 Daftar Nama Pasien'!$D$6:$D1181),"")</f>
        <v/>
      </c>
      <c r="E555" s="145" t="str">
        <f t="array" ref="E555">XLOOKUP(C555,'⬇️ PEMASUKAN'!$I$5:$I1181,'⬇️ PEMASUKAN'!$K$5:$K1181,,0,-1)</f>
        <v/>
      </c>
      <c r="F555" s="145" t="str">
        <f t="shared" si="2"/>
        <v/>
      </c>
      <c r="G555" s="145" t="str">
        <f t="shared" si="3"/>
        <v/>
      </c>
      <c r="H555" s="145"/>
      <c r="I555" s="145"/>
      <c r="J555" s="145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</row>
    <row r="556" ht="22.5" customHeight="1">
      <c r="A556" s="145"/>
      <c r="B556" s="145" t="str">
        <f t="shared" si="1"/>
        <v/>
      </c>
      <c r="C556" s="145"/>
      <c r="D556" s="145" t="str">
        <f t="array" ref="D556">IFNA(XLOOKUP(C556,'👥 Daftar Nama Pasien'!$B$6:$B1181,'👥 Daftar Nama Pasien'!$D$6:$D1181),"")</f>
        <v/>
      </c>
      <c r="E556" s="145" t="str">
        <f t="array" ref="E556">XLOOKUP(C556,'⬇️ PEMASUKAN'!$I$5:$I1181,'⬇️ PEMASUKAN'!$K$5:$K1181,,0,-1)</f>
        <v/>
      </c>
      <c r="F556" s="145" t="str">
        <f t="shared" si="2"/>
        <v/>
      </c>
      <c r="G556" s="145" t="str">
        <f t="shared" si="3"/>
        <v/>
      </c>
      <c r="H556" s="145"/>
      <c r="I556" s="145"/>
      <c r="J556" s="145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</row>
    <row r="557" ht="22.5" customHeight="1">
      <c r="A557" s="145"/>
      <c r="B557" s="145" t="str">
        <f t="shared" si="1"/>
        <v/>
      </c>
      <c r="C557" s="145"/>
      <c r="D557" s="145" t="str">
        <f t="array" ref="D557">IFNA(XLOOKUP(C557,'👥 Daftar Nama Pasien'!$B$6:$B1181,'👥 Daftar Nama Pasien'!$D$6:$D1181),"")</f>
        <v/>
      </c>
      <c r="E557" s="145" t="str">
        <f t="array" ref="E557">XLOOKUP(C557,'⬇️ PEMASUKAN'!$I$5:$I1181,'⬇️ PEMASUKAN'!$K$5:$K1181,,0,-1)</f>
        <v/>
      </c>
      <c r="F557" s="145" t="str">
        <f t="shared" si="2"/>
        <v/>
      </c>
      <c r="G557" s="145" t="str">
        <f t="shared" si="3"/>
        <v/>
      </c>
      <c r="H557" s="145"/>
      <c r="I557" s="145"/>
      <c r="J557" s="145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</row>
    <row r="558" ht="22.5" customHeight="1">
      <c r="A558" s="145"/>
      <c r="B558" s="145" t="str">
        <f t="shared" si="1"/>
        <v/>
      </c>
      <c r="C558" s="145"/>
      <c r="D558" s="145" t="str">
        <f t="array" ref="D558">IFNA(XLOOKUP(C558,'👥 Daftar Nama Pasien'!$B$6:$B1181,'👥 Daftar Nama Pasien'!$D$6:$D1181),"")</f>
        <v/>
      </c>
      <c r="E558" s="145" t="str">
        <f t="array" ref="E558">XLOOKUP(C558,'⬇️ PEMASUKAN'!$I$5:$I1181,'⬇️ PEMASUKAN'!$K$5:$K1181,,0,-1)</f>
        <v/>
      </c>
      <c r="F558" s="145" t="str">
        <f t="shared" si="2"/>
        <v/>
      </c>
      <c r="G558" s="145" t="str">
        <f t="shared" si="3"/>
        <v/>
      </c>
      <c r="H558" s="145"/>
      <c r="I558" s="145"/>
      <c r="J558" s="145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</row>
    <row r="559" ht="22.5" customHeight="1">
      <c r="A559" s="145"/>
      <c r="B559" s="145" t="str">
        <f t="shared" si="1"/>
        <v/>
      </c>
      <c r="C559" s="145"/>
      <c r="D559" s="145" t="str">
        <f t="array" ref="D559">IFNA(XLOOKUP(C559,'👥 Daftar Nama Pasien'!$B$6:$B1181,'👥 Daftar Nama Pasien'!$D$6:$D1181),"")</f>
        <v/>
      </c>
      <c r="E559" s="145" t="str">
        <f t="array" ref="E559">XLOOKUP(C559,'⬇️ PEMASUKAN'!$I$5:$I1181,'⬇️ PEMASUKAN'!$K$5:$K1181,,0,-1)</f>
        <v/>
      </c>
      <c r="F559" s="145" t="str">
        <f t="shared" si="2"/>
        <v/>
      </c>
      <c r="G559" s="145" t="str">
        <f t="shared" si="3"/>
        <v/>
      </c>
      <c r="H559" s="145"/>
      <c r="I559" s="145"/>
      <c r="J559" s="145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</row>
    <row r="560" ht="22.5" customHeight="1">
      <c r="A560" s="145"/>
      <c r="B560" s="145" t="str">
        <f t="shared" si="1"/>
        <v/>
      </c>
      <c r="C560" s="145"/>
      <c r="D560" s="145" t="str">
        <f t="array" ref="D560">IFNA(XLOOKUP(C560,'👥 Daftar Nama Pasien'!$B$6:$B1181,'👥 Daftar Nama Pasien'!$D$6:$D1181),"")</f>
        <v/>
      </c>
      <c r="E560" s="145" t="str">
        <f t="array" ref="E560">XLOOKUP(C560,'⬇️ PEMASUKAN'!$I$5:$I1181,'⬇️ PEMASUKAN'!$K$5:$K1181,,0,-1)</f>
        <v/>
      </c>
      <c r="F560" s="145" t="str">
        <f t="shared" si="2"/>
        <v/>
      </c>
      <c r="G560" s="145" t="str">
        <f t="shared" si="3"/>
        <v/>
      </c>
      <c r="H560" s="145"/>
      <c r="I560" s="145"/>
      <c r="J560" s="145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</row>
    <row r="561" ht="22.5" customHeight="1">
      <c r="A561" s="145"/>
      <c r="B561" s="145" t="str">
        <f t="shared" si="1"/>
        <v/>
      </c>
      <c r="C561" s="145"/>
      <c r="D561" s="145" t="str">
        <f t="array" ref="D561">IFNA(XLOOKUP(C561,'👥 Daftar Nama Pasien'!$B$6:$B1181,'👥 Daftar Nama Pasien'!$D$6:$D1181),"")</f>
        <v/>
      </c>
      <c r="E561" s="145" t="str">
        <f t="array" ref="E561">XLOOKUP(C561,'⬇️ PEMASUKAN'!$I$5:$I1181,'⬇️ PEMASUKAN'!$K$5:$K1181,,0,-1)</f>
        <v/>
      </c>
      <c r="F561" s="145" t="str">
        <f t="shared" si="2"/>
        <v/>
      </c>
      <c r="G561" s="145" t="str">
        <f t="shared" si="3"/>
        <v/>
      </c>
      <c r="H561" s="145"/>
      <c r="I561" s="145"/>
      <c r="J561" s="145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</row>
    <row r="562" ht="22.5" customHeight="1">
      <c r="A562" s="145"/>
      <c r="B562" s="145" t="str">
        <f t="shared" si="1"/>
        <v/>
      </c>
      <c r="C562" s="145"/>
      <c r="D562" s="145" t="str">
        <f t="array" ref="D562">IFNA(XLOOKUP(C562,'👥 Daftar Nama Pasien'!$B$6:$B1181,'👥 Daftar Nama Pasien'!$D$6:$D1181),"")</f>
        <v/>
      </c>
      <c r="E562" s="145" t="str">
        <f t="array" ref="E562">XLOOKUP(C562,'⬇️ PEMASUKAN'!$I$5:$I1181,'⬇️ PEMASUKAN'!$K$5:$K1181,,0,-1)</f>
        <v/>
      </c>
      <c r="F562" s="145" t="str">
        <f t="shared" si="2"/>
        <v/>
      </c>
      <c r="G562" s="145" t="str">
        <f t="shared" si="3"/>
        <v/>
      </c>
      <c r="H562" s="145"/>
      <c r="I562" s="145"/>
      <c r="J562" s="145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</row>
    <row r="563" ht="22.5" customHeight="1">
      <c r="A563" s="145"/>
      <c r="B563" s="145" t="str">
        <f t="shared" si="1"/>
        <v/>
      </c>
      <c r="C563" s="145"/>
      <c r="D563" s="145" t="str">
        <f t="array" ref="D563">IFNA(XLOOKUP(C563,'👥 Daftar Nama Pasien'!$B$6:$B1181,'👥 Daftar Nama Pasien'!$D$6:$D1181),"")</f>
        <v/>
      </c>
      <c r="E563" s="145" t="str">
        <f t="array" ref="E563">XLOOKUP(C563,'⬇️ PEMASUKAN'!$I$5:$I1181,'⬇️ PEMASUKAN'!$K$5:$K1181,,0,-1)</f>
        <v/>
      </c>
      <c r="F563" s="145" t="str">
        <f t="shared" si="2"/>
        <v/>
      </c>
      <c r="G563" s="145" t="str">
        <f t="shared" si="3"/>
        <v/>
      </c>
      <c r="H563" s="145"/>
      <c r="I563" s="145"/>
      <c r="J563" s="145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</row>
    <row r="564" ht="22.5" customHeight="1">
      <c r="A564" s="145"/>
      <c r="B564" s="145" t="str">
        <f t="shared" si="1"/>
        <v/>
      </c>
      <c r="C564" s="145"/>
      <c r="D564" s="145" t="str">
        <f t="array" ref="D564">IFNA(XLOOKUP(C564,'👥 Daftar Nama Pasien'!$B$6:$B1181,'👥 Daftar Nama Pasien'!$D$6:$D1181),"")</f>
        <v/>
      </c>
      <c r="E564" s="145" t="str">
        <f t="array" ref="E564">XLOOKUP(C564,'⬇️ PEMASUKAN'!$I$5:$I1181,'⬇️ PEMASUKAN'!$K$5:$K1181,,0,-1)</f>
        <v/>
      </c>
      <c r="F564" s="145" t="str">
        <f t="shared" si="2"/>
        <v/>
      </c>
      <c r="G564" s="145" t="str">
        <f t="shared" si="3"/>
        <v/>
      </c>
      <c r="H564" s="145"/>
      <c r="I564" s="145"/>
      <c r="J564" s="145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</row>
    <row r="565" ht="22.5" customHeight="1">
      <c r="A565" s="145"/>
      <c r="B565" s="145" t="str">
        <f t="shared" si="1"/>
        <v/>
      </c>
      <c r="C565" s="145"/>
      <c r="D565" s="145" t="str">
        <f t="array" ref="D565">IFNA(XLOOKUP(C565,'👥 Daftar Nama Pasien'!$B$6:$B1181,'👥 Daftar Nama Pasien'!$D$6:$D1181),"")</f>
        <v/>
      </c>
      <c r="E565" s="145" t="str">
        <f t="array" ref="E565">XLOOKUP(C565,'⬇️ PEMASUKAN'!$I$5:$I1181,'⬇️ PEMASUKAN'!$K$5:$K1181,,0,-1)</f>
        <v/>
      </c>
      <c r="F565" s="145" t="str">
        <f t="shared" si="2"/>
        <v/>
      </c>
      <c r="G565" s="145" t="str">
        <f t="shared" si="3"/>
        <v/>
      </c>
      <c r="H565" s="145"/>
      <c r="I565" s="145"/>
      <c r="J565" s="145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</row>
    <row r="566" ht="22.5" customHeight="1">
      <c r="A566" s="145"/>
      <c r="B566" s="145" t="str">
        <f t="shared" si="1"/>
        <v/>
      </c>
      <c r="C566" s="145"/>
      <c r="D566" s="145" t="str">
        <f t="array" ref="D566">IFNA(XLOOKUP(C566,'👥 Daftar Nama Pasien'!$B$6:$B1181,'👥 Daftar Nama Pasien'!$D$6:$D1181),"")</f>
        <v/>
      </c>
      <c r="E566" s="145" t="str">
        <f t="array" ref="E566">XLOOKUP(C566,'⬇️ PEMASUKAN'!$I$5:$I1181,'⬇️ PEMASUKAN'!$K$5:$K1181,,0,-1)</f>
        <v/>
      </c>
      <c r="F566" s="145" t="str">
        <f t="shared" si="2"/>
        <v/>
      </c>
      <c r="G566" s="145" t="str">
        <f t="shared" si="3"/>
        <v/>
      </c>
      <c r="H566" s="145"/>
      <c r="I566" s="145"/>
      <c r="J566" s="145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</row>
    <row r="567" ht="22.5" customHeight="1">
      <c r="A567" s="145"/>
      <c r="B567" s="145" t="str">
        <f t="shared" si="1"/>
        <v/>
      </c>
      <c r="C567" s="145"/>
      <c r="D567" s="145" t="str">
        <f t="array" ref="D567">IFNA(XLOOKUP(C567,'👥 Daftar Nama Pasien'!$B$6:$B1181,'👥 Daftar Nama Pasien'!$D$6:$D1181),"")</f>
        <v/>
      </c>
      <c r="E567" s="145" t="str">
        <f t="array" ref="E567">XLOOKUP(C567,'⬇️ PEMASUKAN'!$I$5:$I1181,'⬇️ PEMASUKAN'!$K$5:$K1181,,0,-1)</f>
        <v/>
      </c>
      <c r="F567" s="145" t="str">
        <f t="shared" si="2"/>
        <v/>
      </c>
      <c r="G567" s="145" t="str">
        <f t="shared" si="3"/>
        <v/>
      </c>
      <c r="H567" s="145"/>
      <c r="I567" s="145"/>
      <c r="J567" s="145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</row>
    <row r="568" ht="22.5" customHeight="1">
      <c r="A568" s="145"/>
      <c r="B568" s="145" t="str">
        <f t="shared" si="1"/>
        <v/>
      </c>
      <c r="C568" s="145"/>
      <c r="D568" s="145" t="str">
        <f t="array" ref="D568">IFNA(XLOOKUP(C568,'👥 Daftar Nama Pasien'!$B$6:$B1181,'👥 Daftar Nama Pasien'!$D$6:$D1181),"")</f>
        <v/>
      </c>
      <c r="E568" s="145" t="str">
        <f t="array" ref="E568">XLOOKUP(C568,'⬇️ PEMASUKAN'!$I$5:$I1181,'⬇️ PEMASUKAN'!$K$5:$K1181,,0,-1)</f>
        <v/>
      </c>
      <c r="F568" s="145" t="str">
        <f t="shared" si="2"/>
        <v/>
      </c>
      <c r="G568" s="145" t="str">
        <f t="shared" si="3"/>
        <v/>
      </c>
      <c r="H568" s="145"/>
      <c r="I568" s="145"/>
      <c r="J568" s="145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</row>
    <row r="569" ht="22.5" customHeight="1">
      <c r="A569" s="145"/>
      <c r="B569" s="145" t="str">
        <f t="shared" si="1"/>
        <v/>
      </c>
      <c r="C569" s="145"/>
      <c r="D569" s="145" t="str">
        <f t="array" ref="D569">IFNA(XLOOKUP(C569,'👥 Daftar Nama Pasien'!$B$6:$B1181,'👥 Daftar Nama Pasien'!$D$6:$D1181),"")</f>
        <v/>
      </c>
      <c r="E569" s="145" t="str">
        <f t="array" ref="E569">XLOOKUP(C569,'⬇️ PEMASUKAN'!$I$5:$I1181,'⬇️ PEMASUKAN'!$K$5:$K1181,,0,-1)</f>
        <v/>
      </c>
      <c r="F569" s="145" t="str">
        <f t="shared" si="2"/>
        <v/>
      </c>
      <c r="G569" s="145" t="str">
        <f t="shared" si="3"/>
        <v/>
      </c>
      <c r="H569" s="145"/>
      <c r="I569" s="145"/>
      <c r="J569" s="145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</row>
    <row r="570" ht="22.5" customHeight="1">
      <c r="A570" s="145"/>
      <c r="B570" s="145" t="str">
        <f t="shared" si="1"/>
        <v/>
      </c>
      <c r="C570" s="145"/>
      <c r="D570" s="145" t="str">
        <f t="array" ref="D570">IFNA(XLOOKUP(C570,'👥 Daftar Nama Pasien'!$B$6:$B1181,'👥 Daftar Nama Pasien'!$D$6:$D1181),"")</f>
        <v/>
      </c>
      <c r="E570" s="145" t="str">
        <f t="array" ref="E570">XLOOKUP(C570,'⬇️ PEMASUKAN'!$I$5:$I1181,'⬇️ PEMASUKAN'!$K$5:$K1181,,0,-1)</f>
        <v/>
      </c>
      <c r="F570" s="145" t="str">
        <f t="shared" si="2"/>
        <v/>
      </c>
      <c r="G570" s="145" t="str">
        <f t="shared" si="3"/>
        <v/>
      </c>
      <c r="H570" s="145"/>
      <c r="I570" s="145"/>
      <c r="J570" s="145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</row>
    <row r="571" ht="22.5" customHeight="1">
      <c r="A571" s="145"/>
      <c r="B571" s="145" t="str">
        <f t="shared" si="1"/>
        <v/>
      </c>
      <c r="C571" s="145"/>
      <c r="D571" s="145" t="str">
        <f t="array" ref="D571">IFNA(XLOOKUP(C571,'👥 Daftar Nama Pasien'!$B$6:$B1181,'👥 Daftar Nama Pasien'!$D$6:$D1181),"")</f>
        <v/>
      </c>
      <c r="E571" s="145" t="str">
        <f t="array" ref="E571">XLOOKUP(C571,'⬇️ PEMASUKAN'!$I$5:$I1181,'⬇️ PEMASUKAN'!$K$5:$K1181,,0,-1)</f>
        <v/>
      </c>
      <c r="F571" s="145" t="str">
        <f t="shared" si="2"/>
        <v/>
      </c>
      <c r="G571" s="145" t="str">
        <f t="shared" si="3"/>
        <v/>
      </c>
      <c r="H571" s="145"/>
      <c r="I571" s="145"/>
      <c r="J571" s="145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</row>
    <row r="572" ht="22.5" customHeight="1">
      <c r="A572" s="145"/>
      <c r="B572" s="145" t="str">
        <f t="shared" si="1"/>
        <v/>
      </c>
      <c r="C572" s="145"/>
      <c r="D572" s="145" t="str">
        <f t="array" ref="D572">IFNA(XLOOKUP(C572,'👥 Daftar Nama Pasien'!$B$6:$B1181,'👥 Daftar Nama Pasien'!$D$6:$D1181),"")</f>
        <v/>
      </c>
      <c r="E572" s="145" t="str">
        <f t="array" ref="E572">XLOOKUP(C572,'⬇️ PEMASUKAN'!$I$5:$I1181,'⬇️ PEMASUKAN'!$K$5:$K1181,,0,-1)</f>
        <v/>
      </c>
      <c r="F572" s="145" t="str">
        <f t="shared" si="2"/>
        <v/>
      </c>
      <c r="G572" s="145" t="str">
        <f t="shared" si="3"/>
        <v/>
      </c>
      <c r="H572" s="145"/>
      <c r="I572" s="145"/>
      <c r="J572" s="145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</row>
    <row r="573" ht="22.5" customHeight="1">
      <c r="A573" s="145"/>
      <c r="B573" s="145" t="str">
        <f t="shared" si="1"/>
        <v/>
      </c>
      <c r="C573" s="145"/>
      <c r="D573" s="145" t="str">
        <f t="array" ref="D573">IFNA(XLOOKUP(C573,'👥 Daftar Nama Pasien'!$B$6:$B1181,'👥 Daftar Nama Pasien'!$D$6:$D1181),"")</f>
        <v/>
      </c>
      <c r="E573" s="145" t="str">
        <f t="array" ref="E573">XLOOKUP(C573,'⬇️ PEMASUKAN'!$I$5:$I1181,'⬇️ PEMASUKAN'!$K$5:$K1181,,0,-1)</f>
        <v/>
      </c>
      <c r="F573" s="145" t="str">
        <f t="shared" si="2"/>
        <v/>
      </c>
      <c r="G573" s="145" t="str">
        <f t="shared" si="3"/>
        <v/>
      </c>
      <c r="H573" s="145"/>
      <c r="I573" s="145"/>
      <c r="J573" s="145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</row>
    <row r="574" ht="22.5" customHeight="1">
      <c r="A574" s="145"/>
      <c r="B574" s="145" t="str">
        <f t="shared" si="1"/>
        <v/>
      </c>
      <c r="C574" s="145"/>
      <c r="D574" s="145" t="str">
        <f t="array" ref="D574">IFNA(XLOOKUP(C574,'👥 Daftar Nama Pasien'!$B$6:$B1181,'👥 Daftar Nama Pasien'!$D$6:$D1181),"")</f>
        <v/>
      </c>
      <c r="E574" s="145" t="str">
        <f t="array" ref="E574">XLOOKUP(C574,'⬇️ PEMASUKAN'!$I$5:$I1181,'⬇️ PEMASUKAN'!$K$5:$K1181,,0,-1)</f>
        <v/>
      </c>
      <c r="F574" s="145" t="str">
        <f t="shared" si="2"/>
        <v/>
      </c>
      <c r="G574" s="145" t="str">
        <f t="shared" si="3"/>
        <v/>
      </c>
      <c r="H574" s="145"/>
      <c r="I574" s="145"/>
      <c r="J574" s="145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</row>
    <row r="575" ht="22.5" customHeight="1">
      <c r="A575" s="145"/>
      <c r="B575" s="145" t="str">
        <f t="shared" si="1"/>
        <v/>
      </c>
      <c r="C575" s="145"/>
      <c r="D575" s="145" t="str">
        <f t="array" ref="D575">IFNA(XLOOKUP(C575,'👥 Daftar Nama Pasien'!$B$6:$B1181,'👥 Daftar Nama Pasien'!$D$6:$D1181),"")</f>
        <v/>
      </c>
      <c r="E575" s="145" t="str">
        <f t="array" ref="E575">XLOOKUP(C575,'⬇️ PEMASUKAN'!$I$5:$I1181,'⬇️ PEMASUKAN'!$K$5:$K1181,,0,-1)</f>
        <v/>
      </c>
      <c r="F575" s="145" t="str">
        <f t="shared" si="2"/>
        <v/>
      </c>
      <c r="G575" s="145" t="str">
        <f t="shared" si="3"/>
        <v/>
      </c>
      <c r="H575" s="145"/>
      <c r="I575" s="145"/>
      <c r="J575" s="145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</row>
    <row r="576" ht="22.5" customHeight="1">
      <c r="A576" s="145"/>
      <c r="B576" s="145" t="str">
        <f t="shared" si="1"/>
        <v/>
      </c>
      <c r="C576" s="145"/>
      <c r="D576" s="145" t="str">
        <f t="array" ref="D576">IFNA(XLOOKUP(C576,'👥 Daftar Nama Pasien'!$B$6:$B1181,'👥 Daftar Nama Pasien'!$D$6:$D1181),"")</f>
        <v/>
      </c>
      <c r="E576" s="145" t="str">
        <f t="array" ref="E576">XLOOKUP(C576,'⬇️ PEMASUKAN'!$I$5:$I1181,'⬇️ PEMASUKAN'!$K$5:$K1181,,0,-1)</f>
        <v/>
      </c>
      <c r="F576" s="145" t="str">
        <f t="shared" si="2"/>
        <v/>
      </c>
      <c r="G576" s="145" t="str">
        <f t="shared" si="3"/>
        <v/>
      </c>
      <c r="H576" s="145"/>
      <c r="I576" s="145"/>
      <c r="J576" s="145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</row>
    <row r="577" ht="22.5" customHeight="1">
      <c r="A577" s="145"/>
      <c r="B577" s="145" t="str">
        <f t="shared" si="1"/>
        <v/>
      </c>
      <c r="C577" s="145"/>
      <c r="D577" s="145" t="str">
        <f t="array" ref="D577">IFNA(XLOOKUP(C577,'👥 Daftar Nama Pasien'!$B$6:$B1181,'👥 Daftar Nama Pasien'!$D$6:$D1181),"")</f>
        <v/>
      </c>
      <c r="E577" s="145" t="str">
        <f t="array" ref="E577">XLOOKUP(C577,'⬇️ PEMASUKAN'!$I$5:$I1181,'⬇️ PEMASUKAN'!$K$5:$K1181,,0,-1)</f>
        <v/>
      </c>
      <c r="F577" s="145" t="str">
        <f t="shared" si="2"/>
        <v/>
      </c>
      <c r="G577" s="145" t="str">
        <f t="shared" si="3"/>
        <v/>
      </c>
      <c r="H577" s="145"/>
      <c r="I577" s="145"/>
      <c r="J577" s="145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</row>
    <row r="578" ht="22.5" customHeight="1">
      <c r="A578" s="145"/>
      <c r="B578" s="145" t="str">
        <f t="shared" si="1"/>
        <v/>
      </c>
      <c r="C578" s="145"/>
      <c r="D578" s="145" t="str">
        <f t="array" ref="D578">IFNA(XLOOKUP(C578,'👥 Daftar Nama Pasien'!$B$6:$B1181,'👥 Daftar Nama Pasien'!$D$6:$D1181),"")</f>
        <v/>
      </c>
      <c r="E578" s="145" t="str">
        <f t="array" ref="E578">XLOOKUP(C578,'⬇️ PEMASUKAN'!$I$5:$I1181,'⬇️ PEMASUKAN'!$K$5:$K1181,,0,-1)</f>
        <v/>
      </c>
      <c r="F578" s="145" t="str">
        <f t="shared" si="2"/>
        <v/>
      </c>
      <c r="G578" s="145" t="str">
        <f t="shared" si="3"/>
        <v/>
      </c>
      <c r="H578" s="145"/>
      <c r="I578" s="145"/>
      <c r="J578" s="145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</row>
    <row r="579" ht="22.5" customHeight="1">
      <c r="A579" s="145"/>
      <c r="B579" s="145" t="str">
        <f t="shared" si="1"/>
        <v/>
      </c>
      <c r="C579" s="145"/>
      <c r="D579" s="145" t="str">
        <f t="array" ref="D579">IFNA(XLOOKUP(C579,'👥 Daftar Nama Pasien'!$B$6:$B1181,'👥 Daftar Nama Pasien'!$D$6:$D1181),"")</f>
        <v/>
      </c>
      <c r="E579" s="145" t="str">
        <f t="array" ref="E579">XLOOKUP(C579,'⬇️ PEMASUKAN'!$I$5:$I1181,'⬇️ PEMASUKAN'!$K$5:$K1181,,0,-1)</f>
        <v/>
      </c>
      <c r="F579" s="145" t="str">
        <f t="shared" si="2"/>
        <v/>
      </c>
      <c r="G579" s="145" t="str">
        <f t="shared" si="3"/>
        <v/>
      </c>
      <c r="H579" s="145"/>
      <c r="I579" s="145"/>
      <c r="J579" s="145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</row>
    <row r="580" ht="22.5" customHeight="1">
      <c r="A580" s="145"/>
      <c r="B580" s="145" t="str">
        <f t="shared" si="1"/>
        <v/>
      </c>
      <c r="C580" s="145"/>
      <c r="D580" s="145" t="str">
        <f t="array" ref="D580">IFNA(XLOOKUP(C580,'👥 Daftar Nama Pasien'!$B$6:$B1181,'👥 Daftar Nama Pasien'!$D$6:$D1181),"")</f>
        <v/>
      </c>
      <c r="E580" s="145" t="str">
        <f t="array" ref="E580">XLOOKUP(C580,'⬇️ PEMASUKAN'!$I$5:$I1181,'⬇️ PEMASUKAN'!$K$5:$K1181,,0,-1)</f>
        <v/>
      </c>
      <c r="F580" s="145" t="str">
        <f t="shared" si="2"/>
        <v/>
      </c>
      <c r="G580" s="145" t="str">
        <f t="shared" si="3"/>
        <v/>
      </c>
      <c r="H580" s="145"/>
      <c r="I580" s="145"/>
      <c r="J580" s="145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</row>
    <row r="581" ht="22.5" customHeight="1">
      <c r="A581" s="145"/>
      <c r="B581" s="145" t="str">
        <f t="shared" si="1"/>
        <v/>
      </c>
      <c r="C581" s="145"/>
      <c r="D581" s="145" t="str">
        <f t="array" ref="D581">IFNA(XLOOKUP(C581,'👥 Daftar Nama Pasien'!$B$6:$B1181,'👥 Daftar Nama Pasien'!$D$6:$D1181),"")</f>
        <v/>
      </c>
      <c r="E581" s="145" t="str">
        <f t="array" ref="E581">XLOOKUP(C581,'⬇️ PEMASUKAN'!$I$5:$I1181,'⬇️ PEMASUKAN'!$K$5:$K1181,,0,-1)</f>
        <v/>
      </c>
      <c r="F581" s="145" t="str">
        <f t="shared" si="2"/>
        <v/>
      </c>
      <c r="G581" s="145" t="str">
        <f t="shared" si="3"/>
        <v/>
      </c>
      <c r="H581" s="145"/>
      <c r="I581" s="145"/>
      <c r="J581" s="145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</row>
    <row r="582" ht="22.5" customHeight="1">
      <c r="A582" s="145"/>
      <c r="B582" s="145" t="str">
        <f t="shared" si="1"/>
        <v/>
      </c>
      <c r="C582" s="145"/>
      <c r="D582" s="145" t="str">
        <f t="array" ref="D582">IFNA(XLOOKUP(C582,'👥 Daftar Nama Pasien'!$B$6:$B1181,'👥 Daftar Nama Pasien'!$D$6:$D1181),"")</f>
        <v/>
      </c>
      <c r="E582" s="145" t="str">
        <f t="array" ref="E582">XLOOKUP(C582,'⬇️ PEMASUKAN'!$I$5:$I1181,'⬇️ PEMASUKAN'!$K$5:$K1181,,0,-1)</f>
        <v/>
      </c>
      <c r="F582" s="145" t="str">
        <f t="shared" si="2"/>
        <v/>
      </c>
      <c r="G582" s="145" t="str">
        <f t="shared" si="3"/>
        <v/>
      </c>
      <c r="H582" s="145"/>
      <c r="I582" s="145"/>
      <c r="J582" s="145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</row>
    <row r="583" ht="22.5" customHeight="1">
      <c r="A583" s="145"/>
      <c r="B583" s="145" t="str">
        <f t="shared" si="1"/>
        <v/>
      </c>
      <c r="C583" s="145"/>
      <c r="D583" s="145" t="str">
        <f t="array" ref="D583">IFNA(XLOOKUP(C583,'👥 Daftar Nama Pasien'!$B$6:$B1181,'👥 Daftar Nama Pasien'!$D$6:$D1181),"")</f>
        <v/>
      </c>
      <c r="E583" s="145" t="str">
        <f t="array" ref="E583">XLOOKUP(C583,'⬇️ PEMASUKAN'!$I$5:$I1181,'⬇️ PEMASUKAN'!$K$5:$K1181,,0,-1)</f>
        <v/>
      </c>
      <c r="F583" s="145" t="str">
        <f t="shared" si="2"/>
        <v/>
      </c>
      <c r="G583" s="145" t="str">
        <f t="shared" si="3"/>
        <v/>
      </c>
      <c r="H583" s="145"/>
      <c r="I583" s="145"/>
      <c r="J583" s="145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</row>
    <row r="584" ht="22.5" customHeight="1">
      <c r="A584" s="145"/>
      <c r="B584" s="145" t="str">
        <f t="shared" si="1"/>
        <v/>
      </c>
      <c r="C584" s="145"/>
      <c r="D584" s="145" t="str">
        <f t="array" ref="D584">IFNA(XLOOKUP(C584,'👥 Daftar Nama Pasien'!$B$6:$B1181,'👥 Daftar Nama Pasien'!$D$6:$D1181),"")</f>
        <v/>
      </c>
      <c r="E584" s="145" t="str">
        <f t="array" ref="E584">XLOOKUP(C584,'⬇️ PEMASUKAN'!$I$5:$I1181,'⬇️ PEMASUKAN'!$K$5:$K1181,,0,-1)</f>
        <v/>
      </c>
      <c r="F584" s="145" t="str">
        <f t="shared" si="2"/>
        <v/>
      </c>
      <c r="G584" s="145" t="str">
        <f t="shared" si="3"/>
        <v/>
      </c>
      <c r="H584" s="145"/>
      <c r="I584" s="145"/>
      <c r="J584" s="145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</row>
    <row r="585" ht="22.5" customHeight="1">
      <c r="A585" s="145"/>
      <c r="B585" s="145" t="str">
        <f t="shared" si="1"/>
        <v/>
      </c>
      <c r="C585" s="145"/>
      <c r="D585" s="145" t="str">
        <f t="array" ref="D585">IFNA(XLOOKUP(C585,'👥 Daftar Nama Pasien'!$B$6:$B1181,'👥 Daftar Nama Pasien'!$D$6:$D1181),"")</f>
        <v/>
      </c>
      <c r="E585" s="145" t="str">
        <f t="array" ref="E585">XLOOKUP(C585,'⬇️ PEMASUKAN'!$I$5:$I1181,'⬇️ PEMASUKAN'!$K$5:$K1181,,0,-1)</f>
        <v/>
      </c>
      <c r="F585" s="145" t="str">
        <f t="shared" si="2"/>
        <v/>
      </c>
      <c r="G585" s="145" t="str">
        <f t="shared" si="3"/>
        <v/>
      </c>
      <c r="H585" s="145"/>
      <c r="I585" s="145"/>
      <c r="J585" s="145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</row>
    <row r="586" ht="22.5" customHeight="1">
      <c r="A586" s="145"/>
      <c r="B586" s="145" t="str">
        <f t="shared" si="1"/>
        <v/>
      </c>
      <c r="C586" s="145"/>
      <c r="D586" s="145" t="str">
        <f t="array" ref="D586">IFNA(XLOOKUP(C586,'👥 Daftar Nama Pasien'!$B$6:$B1181,'👥 Daftar Nama Pasien'!$D$6:$D1181),"")</f>
        <v/>
      </c>
      <c r="E586" s="145" t="str">
        <f t="array" ref="E586">XLOOKUP(C586,'⬇️ PEMASUKAN'!$I$5:$I1181,'⬇️ PEMASUKAN'!$K$5:$K1181,,0,-1)</f>
        <v/>
      </c>
      <c r="F586" s="145" t="str">
        <f t="shared" si="2"/>
        <v/>
      </c>
      <c r="G586" s="145" t="str">
        <f t="shared" si="3"/>
        <v/>
      </c>
      <c r="H586" s="145"/>
      <c r="I586" s="145"/>
      <c r="J586" s="145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</row>
    <row r="587" ht="22.5" customHeight="1">
      <c r="A587" s="145"/>
      <c r="B587" s="145" t="str">
        <f t="shared" si="1"/>
        <v/>
      </c>
      <c r="C587" s="145"/>
      <c r="D587" s="145" t="str">
        <f t="array" ref="D587">IFNA(XLOOKUP(C587,'👥 Daftar Nama Pasien'!$B$6:$B1181,'👥 Daftar Nama Pasien'!$D$6:$D1181),"")</f>
        <v/>
      </c>
      <c r="E587" s="145" t="str">
        <f t="array" ref="E587">XLOOKUP(C587,'⬇️ PEMASUKAN'!$I$5:$I1181,'⬇️ PEMASUKAN'!$K$5:$K1181,,0,-1)</f>
        <v/>
      </c>
      <c r="F587" s="145" t="str">
        <f t="shared" si="2"/>
        <v/>
      </c>
      <c r="G587" s="145" t="str">
        <f t="shared" si="3"/>
        <v/>
      </c>
      <c r="H587" s="145"/>
      <c r="I587" s="145"/>
      <c r="J587" s="145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</row>
    <row r="588" ht="22.5" customHeight="1">
      <c r="A588" s="145"/>
      <c r="B588" s="145" t="str">
        <f t="shared" si="1"/>
        <v/>
      </c>
      <c r="C588" s="145"/>
      <c r="D588" s="145" t="str">
        <f t="array" ref="D588">IFNA(XLOOKUP(C588,'👥 Daftar Nama Pasien'!$B$6:$B1181,'👥 Daftar Nama Pasien'!$D$6:$D1181),"")</f>
        <v/>
      </c>
      <c r="E588" s="145" t="str">
        <f t="array" ref="E588">XLOOKUP(C588,'⬇️ PEMASUKAN'!$I$5:$I1181,'⬇️ PEMASUKAN'!$K$5:$K1181,,0,-1)</f>
        <v/>
      </c>
      <c r="F588" s="145" t="str">
        <f t="shared" si="2"/>
        <v/>
      </c>
      <c r="G588" s="145" t="str">
        <f t="shared" si="3"/>
        <v/>
      </c>
      <c r="H588" s="145"/>
      <c r="I588" s="145"/>
      <c r="J588" s="145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</row>
    <row r="589" ht="22.5" customHeight="1">
      <c r="A589" s="145"/>
      <c r="B589" s="145" t="str">
        <f t="shared" si="1"/>
        <v/>
      </c>
      <c r="C589" s="145"/>
      <c r="D589" s="145" t="str">
        <f t="array" ref="D589">IFNA(XLOOKUP(C589,'👥 Daftar Nama Pasien'!$B$6:$B1181,'👥 Daftar Nama Pasien'!$D$6:$D1181),"")</f>
        <v/>
      </c>
      <c r="E589" s="145" t="str">
        <f t="array" ref="E589">XLOOKUP(C589,'⬇️ PEMASUKAN'!$I$5:$I1181,'⬇️ PEMASUKAN'!$K$5:$K1181,,0,-1)</f>
        <v/>
      </c>
      <c r="F589" s="145" t="str">
        <f t="shared" si="2"/>
        <v/>
      </c>
      <c r="G589" s="145" t="str">
        <f t="shared" si="3"/>
        <v/>
      </c>
      <c r="H589" s="145"/>
      <c r="I589" s="145"/>
      <c r="J589" s="145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</row>
    <row r="590" ht="22.5" customHeight="1">
      <c r="A590" s="145"/>
      <c r="B590" s="145" t="str">
        <f t="shared" si="1"/>
        <v/>
      </c>
      <c r="C590" s="145"/>
      <c r="D590" s="145" t="str">
        <f t="array" ref="D590">IFNA(XLOOKUP(C590,'👥 Daftar Nama Pasien'!$B$6:$B1181,'👥 Daftar Nama Pasien'!$D$6:$D1181),"")</f>
        <v/>
      </c>
      <c r="E590" s="145" t="str">
        <f t="array" ref="E590">XLOOKUP(C590,'⬇️ PEMASUKAN'!$I$5:$I1181,'⬇️ PEMASUKAN'!$K$5:$K1181,,0,-1)</f>
        <v/>
      </c>
      <c r="F590" s="145" t="str">
        <f t="shared" si="2"/>
        <v/>
      </c>
      <c r="G590" s="145" t="str">
        <f t="shared" si="3"/>
        <v/>
      </c>
      <c r="H590" s="145"/>
      <c r="I590" s="145"/>
      <c r="J590" s="145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</row>
    <row r="591" ht="22.5" customHeight="1">
      <c r="A591" s="145"/>
      <c r="B591" s="145" t="str">
        <f t="shared" si="1"/>
        <v/>
      </c>
      <c r="C591" s="145"/>
      <c r="D591" s="145" t="str">
        <f t="array" ref="D591">IFNA(XLOOKUP(C591,'👥 Daftar Nama Pasien'!$B$6:$B1181,'👥 Daftar Nama Pasien'!$D$6:$D1181),"")</f>
        <v/>
      </c>
      <c r="E591" s="145" t="str">
        <f t="array" ref="E591">XLOOKUP(C591,'⬇️ PEMASUKAN'!$I$5:$I1181,'⬇️ PEMASUKAN'!$K$5:$K1181,,0,-1)</f>
        <v/>
      </c>
      <c r="F591" s="145" t="str">
        <f t="shared" si="2"/>
        <v/>
      </c>
      <c r="G591" s="145" t="str">
        <f t="shared" si="3"/>
        <v/>
      </c>
      <c r="H591" s="145"/>
      <c r="I591" s="145"/>
      <c r="J591" s="145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</row>
    <row r="592" ht="22.5" customHeight="1">
      <c r="A592" s="145"/>
      <c r="B592" s="145" t="str">
        <f t="shared" si="1"/>
        <v/>
      </c>
      <c r="C592" s="145"/>
      <c r="D592" s="145" t="str">
        <f t="array" ref="D592">IFNA(XLOOKUP(C592,'👥 Daftar Nama Pasien'!$B$6:$B1181,'👥 Daftar Nama Pasien'!$D$6:$D1181),"")</f>
        <v/>
      </c>
      <c r="E592" s="145" t="str">
        <f t="array" ref="E592">XLOOKUP(C592,'⬇️ PEMASUKAN'!$I$5:$I1181,'⬇️ PEMASUKAN'!$K$5:$K1181,,0,-1)</f>
        <v/>
      </c>
      <c r="F592" s="145" t="str">
        <f t="shared" si="2"/>
        <v/>
      </c>
      <c r="G592" s="145" t="str">
        <f t="shared" si="3"/>
        <v/>
      </c>
      <c r="H592" s="145"/>
      <c r="I592" s="145"/>
      <c r="J592" s="145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</row>
    <row r="593" ht="22.5" customHeight="1">
      <c r="A593" s="145"/>
      <c r="B593" s="145" t="str">
        <f t="shared" si="1"/>
        <v/>
      </c>
      <c r="C593" s="145"/>
      <c r="D593" s="145" t="str">
        <f t="array" ref="D593">IFNA(XLOOKUP(C593,'👥 Daftar Nama Pasien'!$B$6:$B1181,'👥 Daftar Nama Pasien'!$D$6:$D1181),"")</f>
        <v/>
      </c>
      <c r="E593" s="145" t="str">
        <f t="array" ref="E593">XLOOKUP(C593,'⬇️ PEMASUKAN'!$I$5:$I1181,'⬇️ PEMASUKAN'!$K$5:$K1181,,0,-1)</f>
        <v/>
      </c>
      <c r="F593" s="145" t="str">
        <f t="shared" si="2"/>
        <v/>
      </c>
      <c r="G593" s="145" t="str">
        <f t="shared" si="3"/>
        <v/>
      </c>
      <c r="H593" s="145"/>
      <c r="I593" s="145"/>
      <c r="J593" s="145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</row>
    <row r="594" ht="22.5" customHeight="1">
      <c r="A594" s="145"/>
      <c r="B594" s="145" t="str">
        <f t="shared" si="1"/>
        <v/>
      </c>
      <c r="C594" s="145"/>
      <c r="D594" s="145" t="str">
        <f t="array" ref="D594">IFNA(XLOOKUP(C594,'👥 Daftar Nama Pasien'!$B$6:$B1181,'👥 Daftar Nama Pasien'!$D$6:$D1181),"")</f>
        <v/>
      </c>
      <c r="E594" s="145" t="str">
        <f t="array" ref="E594">XLOOKUP(C594,'⬇️ PEMASUKAN'!$I$5:$I1181,'⬇️ PEMASUKAN'!$K$5:$K1181,,0,-1)</f>
        <v/>
      </c>
      <c r="F594" s="145" t="str">
        <f t="shared" si="2"/>
        <v/>
      </c>
      <c r="G594" s="145" t="str">
        <f t="shared" si="3"/>
        <v/>
      </c>
      <c r="H594" s="145"/>
      <c r="I594" s="145"/>
      <c r="J594" s="145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</row>
    <row r="595" ht="22.5" customHeight="1">
      <c r="A595" s="145"/>
      <c r="B595" s="145" t="str">
        <f t="shared" si="1"/>
        <v/>
      </c>
      <c r="C595" s="145"/>
      <c r="D595" s="145" t="str">
        <f t="array" ref="D595">IFNA(XLOOKUP(C595,'👥 Daftar Nama Pasien'!$B$6:$B1181,'👥 Daftar Nama Pasien'!$D$6:$D1181),"")</f>
        <v/>
      </c>
      <c r="E595" s="145" t="str">
        <f t="array" ref="E595">XLOOKUP(C595,'⬇️ PEMASUKAN'!$I$5:$I1181,'⬇️ PEMASUKAN'!$K$5:$K1181,,0,-1)</f>
        <v/>
      </c>
      <c r="F595" s="145" t="str">
        <f t="shared" si="2"/>
        <v/>
      </c>
      <c r="G595" s="145" t="str">
        <f t="shared" si="3"/>
        <v/>
      </c>
      <c r="H595" s="145"/>
      <c r="I595" s="145"/>
      <c r="J595" s="145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</row>
    <row r="596" ht="22.5" customHeight="1">
      <c r="A596" s="145"/>
      <c r="B596" s="145" t="str">
        <f t="shared" si="1"/>
        <v/>
      </c>
      <c r="C596" s="145"/>
      <c r="D596" s="145" t="str">
        <f t="array" ref="D596">IFNA(XLOOKUP(C596,'👥 Daftar Nama Pasien'!$B$6:$B1181,'👥 Daftar Nama Pasien'!$D$6:$D1181),"")</f>
        <v/>
      </c>
      <c r="E596" s="145" t="str">
        <f t="array" ref="E596">XLOOKUP(C596,'⬇️ PEMASUKAN'!$I$5:$I1181,'⬇️ PEMASUKAN'!$K$5:$K1181,,0,-1)</f>
        <v/>
      </c>
      <c r="F596" s="145" t="str">
        <f t="shared" si="2"/>
        <v/>
      </c>
      <c r="G596" s="145" t="str">
        <f t="shared" si="3"/>
        <v/>
      </c>
      <c r="H596" s="145"/>
      <c r="I596" s="145"/>
      <c r="J596" s="145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</row>
    <row r="597" ht="22.5" customHeight="1">
      <c r="A597" s="145"/>
      <c r="B597" s="145" t="str">
        <f t="shared" si="1"/>
        <v/>
      </c>
      <c r="C597" s="145"/>
      <c r="D597" s="145" t="str">
        <f t="array" ref="D597">IFNA(XLOOKUP(C597,'👥 Daftar Nama Pasien'!$B$6:$B1181,'👥 Daftar Nama Pasien'!$D$6:$D1181),"")</f>
        <v/>
      </c>
      <c r="E597" s="145" t="str">
        <f t="array" ref="E597">XLOOKUP(C597,'⬇️ PEMASUKAN'!$I$5:$I1181,'⬇️ PEMASUKAN'!$K$5:$K1181,,0,-1)</f>
        <v/>
      </c>
      <c r="F597" s="145" t="str">
        <f t="shared" si="2"/>
        <v/>
      </c>
      <c r="G597" s="145" t="str">
        <f t="shared" si="3"/>
        <v/>
      </c>
      <c r="H597" s="145"/>
      <c r="I597" s="145"/>
      <c r="J597" s="145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</row>
    <row r="598" ht="22.5" customHeight="1">
      <c r="A598" s="145"/>
      <c r="B598" s="145" t="str">
        <f t="shared" si="1"/>
        <v/>
      </c>
      <c r="C598" s="145"/>
      <c r="D598" s="145" t="str">
        <f t="array" ref="D598">IFNA(XLOOKUP(C598,'👥 Daftar Nama Pasien'!$B$6:$B1181,'👥 Daftar Nama Pasien'!$D$6:$D1181),"")</f>
        <v/>
      </c>
      <c r="E598" s="145" t="str">
        <f t="array" ref="E598">XLOOKUP(C598,'⬇️ PEMASUKAN'!$I$5:$I1181,'⬇️ PEMASUKAN'!$K$5:$K1181,,0,-1)</f>
        <v/>
      </c>
      <c r="F598" s="145" t="str">
        <f t="shared" si="2"/>
        <v/>
      </c>
      <c r="G598" s="145" t="str">
        <f t="shared" si="3"/>
        <v/>
      </c>
      <c r="H598" s="145"/>
      <c r="I598" s="145"/>
      <c r="J598" s="145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</row>
    <row r="599" ht="22.5" customHeight="1">
      <c r="A599" s="145"/>
      <c r="B599" s="145" t="str">
        <f t="shared" si="1"/>
        <v/>
      </c>
      <c r="C599" s="145"/>
      <c r="D599" s="145" t="str">
        <f t="array" ref="D599">IFNA(XLOOKUP(C599,'👥 Daftar Nama Pasien'!$B$6:$B1181,'👥 Daftar Nama Pasien'!$D$6:$D1181),"")</f>
        <v/>
      </c>
      <c r="E599" s="145" t="str">
        <f t="array" ref="E599">XLOOKUP(C599,'⬇️ PEMASUKAN'!$I$5:$I1181,'⬇️ PEMASUKAN'!$K$5:$K1181,,0,-1)</f>
        <v/>
      </c>
      <c r="F599" s="145" t="str">
        <f t="shared" si="2"/>
        <v/>
      </c>
      <c r="G599" s="145" t="str">
        <f t="shared" si="3"/>
        <v/>
      </c>
      <c r="H599" s="145"/>
      <c r="I599" s="145"/>
      <c r="J599" s="145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</row>
    <row r="600" ht="22.5" customHeight="1">
      <c r="A600" s="145"/>
      <c r="B600" s="145" t="str">
        <f t="shared" si="1"/>
        <v/>
      </c>
      <c r="C600" s="145"/>
      <c r="D600" s="145" t="str">
        <f t="array" ref="D600">IFNA(XLOOKUP(C600,'👥 Daftar Nama Pasien'!$B$6:$B1181,'👥 Daftar Nama Pasien'!$D$6:$D1181),"")</f>
        <v/>
      </c>
      <c r="E600" s="145" t="str">
        <f t="array" ref="E600">XLOOKUP(C600,'⬇️ PEMASUKAN'!$I$5:$I1181,'⬇️ PEMASUKAN'!$K$5:$K1181,,0,-1)</f>
        <v/>
      </c>
      <c r="F600" s="145" t="str">
        <f t="shared" si="2"/>
        <v/>
      </c>
      <c r="G600" s="145" t="str">
        <f t="shared" si="3"/>
        <v/>
      </c>
      <c r="H600" s="145"/>
      <c r="I600" s="145"/>
      <c r="J600" s="145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</row>
    <row r="601" ht="22.5" customHeight="1">
      <c r="A601" s="145"/>
      <c r="B601" s="145" t="str">
        <f t="shared" si="1"/>
        <v/>
      </c>
      <c r="C601" s="145"/>
      <c r="D601" s="145" t="str">
        <f t="array" ref="D601">IFNA(XLOOKUP(C601,'👥 Daftar Nama Pasien'!$B$6:$B1181,'👥 Daftar Nama Pasien'!$D$6:$D1181),"")</f>
        <v/>
      </c>
      <c r="E601" s="145" t="str">
        <f t="array" ref="E601">XLOOKUP(C601,'⬇️ PEMASUKAN'!$I$5:$I1181,'⬇️ PEMASUKAN'!$K$5:$K1181,,0,-1)</f>
        <v/>
      </c>
      <c r="F601" s="145" t="str">
        <f t="shared" si="2"/>
        <v/>
      </c>
      <c r="G601" s="145" t="str">
        <f t="shared" si="3"/>
        <v/>
      </c>
      <c r="H601" s="145"/>
      <c r="I601" s="145"/>
      <c r="J601" s="145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</row>
    <row r="602" ht="22.5" customHeight="1">
      <c r="A602" s="145"/>
      <c r="B602" s="145" t="str">
        <f t="shared" si="1"/>
        <v/>
      </c>
      <c r="C602" s="145"/>
      <c r="D602" s="145" t="str">
        <f t="array" ref="D602">IFNA(XLOOKUP(C602,'👥 Daftar Nama Pasien'!$B$6:$B1181,'👥 Daftar Nama Pasien'!$D$6:$D1181),"")</f>
        <v/>
      </c>
      <c r="E602" s="145" t="str">
        <f t="array" ref="E602">XLOOKUP(C602,'⬇️ PEMASUKAN'!$I$5:$I1181,'⬇️ PEMASUKAN'!$K$5:$K1181,,0,-1)</f>
        <v/>
      </c>
      <c r="F602" s="145" t="str">
        <f t="shared" si="2"/>
        <v/>
      </c>
      <c r="G602" s="145" t="str">
        <f t="shared" si="3"/>
        <v/>
      </c>
      <c r="H602" s="145"/>
      <c r="I602" s="145"/>
      <c r="J602" s="145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</row>
    <row r="603" ht="22.5" customHeight="1">
      <c r="A603" s="145"/>
      <c r="B603" s="145" t="str">
        <f t="shared" si="1"/>
        <v/>
      </c>
      <c r="C603" s="145"/>
      <c r="D603" s="145" t="str">
        <f t="array" ref="D603">IFNA(XLOOKUP(C603,'👥 Daftar Nama Pasien'!$B$6:$B1181,'👥 Daftar Nama Pasien'!$D$6:$D1181),"")</f>
        <v/>
      </c>
      <c r="E603" s="145" t="str">
        <f t="array" ref="E603">XLOOKUP(C603,'⬇️ PEMASUKAN'!$I$5:$I1181,'⬇️ PEMASUKAN'!$K$5:$K1181,,0,-1)</f>
        <v/>
      </c>
      <c r="F603" s="145" t="str">
        <f t="shared" si="2"/>
        <v/>
      </c>
      <c r="G603" s="145" t="str">
        <f t="shared" si="3"/>
        <v/>
      </c>
      <c r="H603" s="145"/>
      <c r="I603" s="145"/>
      <c r="J603" s="145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</row>
    <row r="604" ht="22.5" customHeight="1">
      <c r="A604" s="145"/>
      <c r="B604" s="145" t="str">
        <f t="shared" si="1"/>
        <v/>
      </c>
      <c r="C604" s="145"/>
      <c r="D604" s="145" t="str">
        <f t="array" ref="D604">IFNA(XLOOKUP(C604,'👥 Daftar Nama Pasien'!$B$6:$B1181,'👥 Daftar Nama Pasien'!$D$6:$D1181),"")</f>
        <v/>
      </c>
      <c r="E604" s="145" t="str">
        <f t="array" ref="E604">XLOOKUP(C604,'⬇️ PEMASUKAN'!$I$5:$I1181,'⬇️ PEMASUKAN'!$K$5:$K1181,,0,-1)</f>
        <v/>
      </c>
      <c r="F604" s="145" t="str">
        <f t="shared" si="2"/>
        <v/>
      </c>
      <c r="G604" s="145" t="str">
        <f t="shared" si="3"/>
        <v/>
      </c>
      <c r="H604" s="145"/>
      <c r="I604" s="145"/>
      <c r="J604" s="145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</row>
    <row r="605" ht="22.5" customHeight="1">
      <c r="A605" s="145"/>
      <c r="B605" s="145" t="str">
        <f t="shared" si="1"/>
        <v/>
      </c>
      <c r="C605" s="145"/>
      <c r="D605" s="145" t="str">
        <f t="array" ref="D605">IFNA(XLOOKUP(C605,'👥 Daftar Nama Pasien'!$B$6:$B1181,'👥 Daftar Nama Pasien'!$D$6:$D1181),"")</f>
        <v/>
      </c>
      <c r="E605" s="145" t="str">
        <f t="array" ref="E605">XLOOKUP(C605,'⬇️ PEMASUKAN'!$I$5:$I1181,'⬇️ PEMASUKAN'!$K$5:$K1181,,0,-1)</f>
        <v/>
      </c>
      <c r="F605" s="145" t="str">
        <f t="shared" si="2"/>
        <v/>
      </c>
      <c r="G605" s="145" t="str">
        <f t="shared" si="3"/>
        <v/>
      </c>
      <c r="H605" s="145"/>
      <c r="I605" s="145"/>
      <c r="J605" s="145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</row>
    <row r="606" ht="22.5" customHeight="1">
      <c r="A606" s="145"/>
      <c r="B606" s="145" t="str">
        <f t="shared" si="1"/>
        <v/>
      </c>
      <c r="C606" s="145"/>
      <c r="D606" s="145" t="str">
        <f t="array" ref="D606">IFNA(XLOOKUP(C606,'👥 Daftar Nama Pasien'!$B$6:$B1181,'👥 Daftar Nama Pasien'!$D$6:$D1181),"")</f>
        <v/>
      </c>
      <c r="E606" s="145" t="str">
        <f t="array" ref="E606">XLOOKUP(C606,'⬇️ PEMASUKAN'!$I$5:$I1181,'⬇️ PEMASUKAN'!$K$5:$K1181,,0,-1)</f>
        <v/>
      </c>
      <c r="F606" s="145" t="str">
        <f t="shared" si="2"/>
        <v/>
      </c>
      <c r="G606" s="145" t="str">
        <f t="shared" si="3"/>
        <v/>
      </c>
      <c r="H606" s="145"/>
      <c r="I606" s="145"/>
      <c r="J606" s="145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</row>
    <row r="607" ht="22.5" customHeight="1">
      <c r="A607" s="145"/>
      <c r="B607" s="145" t="str">
        <f t="shared" si="1"/>
        <v/>
      </c>
      <c r="C607" s="145"/>
      <c r="D607" s="145" t="str">
        <f t="array" ref="D607">IFNA(XLOOKUP(C607,'👥 Daftar Nama Pasien'!$B$6:$B1181,'👥 Daftar Nama Pasien'!$D$6:$D1181),"")</f>
        <v/>
      </c>
      <c r="E607" s="145" t="str">
        <f t="array" ref="E607">XLOOKUP(C607,'⬇️ PEMASUKAN'!$I$5:$I1181,'⬇️ PEMASUKAN'!$K$5:$K1181,,0,-1)</f>
        <v/>
      </c>
      <c r="F607" s="145" t="str">
        <f t="shared" si="2"/>
        <v/>
      </c>
      <c r="G607" s="145" t="str">
        <f t="shared" si="3"/>
        <v/>
      </c>
      <c r="H607" s="145"/>
      <c r="I607" s="145"/>
      <c r="J607" s="145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</row>
    <row r="608" ht="22.5" customHeight="1">
      <c r="A608" s="145"/>
      <c r="B608" s="145" t="str">
        <f t="shared" si="1"/>
        <v/>
      </c>
      <c r="C608" s="145"/>
      <c r="D608" s="145" t="str">
        <f t="array" ref="D608">IFNA(XLOOKUP(C608,'👥 Daftar Nama Pasien'!$B$6:$B1181,'👥 Daftar Nama Pasien'!$D$6:$D1181),"")</f>
        <v/>
      </c>
      <c r="E608" s="145" t="str">
        <f t="array" ref="E608">XLOOKUP(C608,'⬇️ PEMASUKAN'!$I$5:$I1181,'⬇️ PEMASUKAN'!$K$5:$K1181,,0,-1)</f>
        <v/>
      </c>
      <c r="F608" s="145" t="str">
        <f t="shared" si="2"/>
        <v/>
      </c>
      <c r="G608" s="145" t="str">
        <f t="shared" si="3"/>
        <v/>
      </c>
      <c r="H608" s="145"/>
      <c r="I608" s="145"/>
      <c r="J608" s="145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</row>
    <row r="609" ht="22.5" customHeight="1">
      <c r="A609" s="145"/>
      <c r="B609" s="145" t="str">
        <f t="shared" si="1"/>
        <v/>
      </c>
      <c r="C609" s="145"/>
      <c r="D609" s="145" t="str">
        <f t="array" ref="D609">IFNA(XLOOKUP(C609,'👥 Daftar Nama Pasien'!$B$6:$B1181,'👥 Daftar Nama Pasien'!$D$6:$D1181),"")</f>
        <v/>
      </c>
      <c r="E609" s="145" t="str">
        <f t="array" ref="E609">XLOOKUP(C609,'⬇️ PEMASUKAN'!$I$5:$I1181,'⬇️ PEMASUKAN'!$K$5:$K1181,,0,-1)</f>
        <v/>
      </c>
      <c r="F609" s="145" t="str">
        <f t="shared" si="2"/>
        <v/>
      </c>
      <c r="G609" s="145" t="str">
        <f t="shared" si="3"/>
        <v/>
      </c>
      <c r="H609" s="145"/>
      <c r="I609" s="145"/>
      <c r="J609" s="145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</row>
    <row r="610" ht="22.5" customHeight="1">
      <c r="A610" s="145"/>
      <c r="B610" s="145" t="str">
        <f t="shared" si="1"/>
        <v/>
      </c>
      <c r="C610" s="145"/>
      <c r="D610" s="145" t="str">
        <f t="array" ref="D610">IFNA(XLOOKUP(C610,'👥 Daftar Nama Pasien'!$B$6:$B1181,'👥 Daftar Nama Pasien'!$D$6:$D1181),"")</f>
        <v/>
      </c>
      <c r="E610" s="145" t="str">
        <f t="array" ref="E610">XLOOKUP(C610,'⬇️ PEMASUKAN'!$I$5:$I1181,'⬇️ PEMASUKAN'!$K$5:$K1181,,0,-1)</f>
        <v/>
      </c>
      <c r="F610" s="145" t="str">
        <f t="shared" si="2"/>
        <v/>
      </c>
      <c r="G610" s="145" t="str">
        <f t="shared" si="3"/>
        <v/>
      </c>
      <c r="H610" s="145"/>
      <c r="I610" s="145"/>
      <c r="J610" s="145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</row>
    <row r="611" ht="22.5" customHeight="1">
      <c r="A611" s="145"/>
      <c r="B611" s="145" t="str">
        <f t="shared" si="1"/>
        <v/>
      </c>
      <c r="C611" s="145"/>
      <c r="D611" s="145" t="str">
        <f t="array" ref="D611">IFNA(XLOOKUP(C611,'👥 Daftar Nama Pasien'!$B$6:$B1181,'👥 Daftar Nama Pasien'!$D$6:$D1181),"")</f>
        <v/>
      </c>
      <c r="E611" s="145" t="str">
        <f t="array" ref="E611">XLOOKUP(C611,'⬇️ PEMASUKAN'!$I$5:$I1181,'⬇️ PEMASUKAN'!$K$5:$K1181,,0,-1)</f>
        <v/>
      </c>
      <c r="F611" s="145" t="str">
        <f t="shared" si="2"/>
        <v/>
      </c>
      <c r="G611" s="145" t="str">
        <f t="shared" si="3"/>
        <v/>
      </c>
      <c r="H611" s="145"/>
      <c r="I611" s="145"/>
      <c r="J611" s="145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</row>
    <row r="612" ht="22.5" customHeight="1">
      <c r="A612" s="145"/>
      <c r="B612" s="145" t="str">
        <f t="shared" si="1"/>
        <v/>
      </c>
      <c r="C612" s="145"/>
      <c r="D612" s="145" t="str">
        <f t="array" ref="D612">IFNA(XLOOKUP(C612,'👥 Daftar Nama Pasien'!$B$6:$B1181,'👥 Daftar Nama Pasien'!$D$6:$D1181),"")</f>
        <v/>
      </c>
      <c r="E612" s="145" t="str">
        <f t="array" ref="E612">XLOOKUP(C612,'⬇️ PEMASUKAN'!$I$5:$I1181,'⬇️ PEMASUKAN'!$K$5:$K1181,,0,-1)</f>
        <v/>
      </c>
      <c r="F612" s="145" t="str">
        <f t="shared" si="2"/>
        <v/>
      </c>
      <c r="G612" s="145" t="str">
        <f t="shared" si="3"/>
        <v/>
      </c>
      <c r="H612" s="145"/>
      <c r="I612" s="145"/>
      <c r="J612" s="145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</row>
    <row r="613" ht="22.5" customHeight="1">
      <c r="A613" s="145"/>
      <c r="B613" s="145" t="str">
        <f t="shared" si="1"/>
        <v/>
      </c>
      <c r="C613" s="145"/>
      <c r="D613" s="145" t="str">
        <f t="array" ref="D613">IFNA(XLOOKUP(C613,'👥 Daftar Nama Pasien'!$B$6:$B1181,'👥 Daftar Nama Pasien'!$D$6:$D1181),"")</f>
        <v/>
      </c>
      <c r="E613" s="145" t="str">
        <f t="array" ref="E613">XLOOKUP(C613,'⬇️ PEMASUKAN'!$I$5:$I1181,'⬇️ PEMASUKAN'!$K$5:$K1181,,0,-1)</f>
        <v/>
      </c>
      <c r="F613" s="145" t="str">
        <f t="shared" si="2"/>
        <v/>
      </c>
      <c r="G613" s="145" t="str">
        <f t="shared" si="3"/>
        <v/>
      </c>
      <c r="H613" s="145"/>
      <c r="I613" s="145"/>
      <c r="J613" s="145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</row>
    <row r="614" ht="22.5" customHeight="1">
      <c r="A614" s="145"/>
      <c r="B614" s="145" t="str">
        <f t="shared" si="1"/>
        <v/>
      </c>
      <c r="C614" s="145"/>
      <c r="D614" s="145" t="str">
        <f t="array" ref="D614">IFNA(XLOOKUP(C614,'👥 Daftar Nama Pasien'!$B$6:$B1181,'👥 Daftar Nama Pasien'!$D$6:$D1181),"")</f>
        <v/>
      </c>
      <c r="E614" s="145" t="str">
        <f t="array" ref="E614">XLOOKUP(C614,'⬇️ PEMASUKAN'!$I$5:$I1181,'⬇️ PEMASUKAN'!$K$5:$K1181,,0,-1)</f>
        <v/>
      </c>
      <c r="F614" s="145" t="str">
        <f t="shared" si="2"/>
        <v/>
      </c>
      <c r="G614" s="145" t="str">
        <f t="shared" si="3"/>
        <v/>
      </c>
      <c r="H614" s="145"/>
      <c r="I614" s="145"/>
      <c r="J614" s="145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</row>
    <row r="615" ht="22.5" customHeight="1">
      <c r="A615" s="145"/>
      <c r="B615" s="145" t="str">
        <f t="shared" si="1"/>
        <v/>
      </c>
      <c r="C615" s="145"/>
      <c r="D615" s="145" t="str">
        <f t="array" ref="D615">IFNA(XLOOKUP(C615,'👥 Daftar Nama Pasien'!$B$6:$B1181,'👥 Daftar Nama Pasien'!$D$6:$D1181),"")</f>
        <v/>
      </c>
      <c r="E615" s="145" t="str">
        <f t="array" ref="E615">XLOOKUP(C615,'⬇️ PEMASUKAN'!$I$5:$I1181,'⬇️ PEMASUKAN'!$K$5:$K1181,,0,-1)</f>
        <v/>
      </c>
      <c r="F615" s="145" t="str">
        <f t="shared" si="2"/>
        <v/>
      </c>
      <c r="G615" s="145" t="str">
        <f t="shared" si="3"/>
        <v/>
      </c>
      <c r="H615" s="145"/>
      <c r="I615" s="145"/>
      <c r="J615" s="145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</row>
    <row r="616" ht="22.5" customHeight="1">
      <c r="A616" s="145"/>
      <c r="B616" s="145" t="str">
        <f t="shared" si="1"/>
        <v/>
      </c>
      <c r="C616" s="145"/>
      <c r="D616" s="145" t="str">
        <f t="array" ref="D616">IFNA(XLOOKUP(C616,'👥 Daftar Nama Pasien'!$B$6:$B1181,'👥 Daftar Nama Pasien'!$D$6:$D1181),"")</f>
        <v/>
      </c>
      <c r="E616" s="145" t="str">
        <f t="array" ref="E616">XLOOKUP(C616,'⬇️ PEMASUKAN'!$I$5:$I1181,'⬇️ PEMASUKAN'!$K$5:$K1181,,0,-1)</f>
        <v/>
      </c>
      <c r="F616" s="145" t="str">
        <f t="shared" si="2"/>
        <v/>
      </c>
      <c r="G616" s="145" t="str">
        <f t="shared" si="3"/>
        <v/>
      </c>
      <c r="H616" s="145"/>
      <c r="I616" s="145"/>
      <c r="J616" s="145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</row>
    <row r="617" ht="22.5" customHeight="1">
      <c r="A617" s="145"/>
      <c r="B617" s="145" t="str">
        <f t="shared" si="1"/>
        <v/>
      </c>
      <c r="C617" s="145"/>
      <c r="D617" s="145" t="str">
        <f t="array" ref="D617">IFNA(XLOOKUP(C617,'👥 Daftar Nama Pasien'!$B$6:$B1181,'👥 Daftar Nama Pasien'!$D$6:$D1181),"")</f>
        <v/>
      </c>
      <c r="E617" s="145" t="str">
        <f t="array" ref="E617">XLOOKUP(C617,'⬇️ PEMASUKAN'!$I$5:$I1181,'⬇️ PEMASUKAN'!$K$5:$K1181,,0,-1)</f>
        <v/>
      </c>
      <c r="F617" s="145" t="str">
        <f t="shared" si="2"/>
        <v/>
      </c>
      <c r="G617" s="145" t="str">
        <f t="shared" si="3"/>
        <v/>
      </c>
      <c r="H617" s="145"/>
      <c r="I617" s="145"/>
      <c r="J617" s="145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</row>
    <row r="618" ht="22.5" customHeight="1">
      <c r="A618" s="145"/>
      <c r="B618" s="145" t="str">
        <f t="shared" si="1"/>
        <v/>
      </c>
      <c r="C618" s="145"/>
      <c r="D618" s="145" t="str">
        <f t="array" ref="D618">IFNA(XLOOKUP(C618,'👥 Daftar Nama Pasien'!$B$6:$B1181,'👥 Daftar Nama Pasien'!$D$6:$D1181),"")</f>
        <v/>
      </c>
      <c r="E618" s="145" t="str">
        <f t="array" ref="E618">XLOOKUP(C618,'⬇️ PEMASUKAN'!$I$5:$I1181,'⬇️ PEMASUKAN'!$K$5:$K1181,,0,-1)</f>
        <v/>
      </c>
      <c r="F618" s="145" t="str">
        <f t="shared" si="2"/>
        <v/>
      </c>
      <c r="G618" s="145" t="str">
        <f t="shared" si="3"/>
        <v/>
      </c>
      <c r="H618" s="145"/>
      <c r="I618" s="145"/>
      <c r="J618" s="145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</row>
    <row r="619" ht="22.5" customHeight="1">
      <c r="A619" s="145"/>
      <c r="B619" s="145" t="str">
        <f t="shared" si="1"/>
        <v/>
      </c>
      <c r="C619" s="145"/>
      <c r="D619" s="145" t="str">
        <f t="array" ref="D619">IFNA(XLOOKUP(C619,'👥 Daftar Nama Pasien'!$B$6:$B1181,'👥 Daftar Nama Pasien'!$D$6:$D1181),"")</f>
        <v/>
      </c>
      <c r="E619" s="145" t="str">
        <f t="array" ref="E619">XLOOKUP(C619,'⬇️ PEMASUKAN'!$I$5:$I1181,'⬇️ PEMASUKAN'!$K$5:$K1181,,0,-1)</f>
        <v/>
      </c>
      <c r="F619" s="145" t="str">
        <f t="shared" si="2"/>
        <v/>
      </c>
      <c r="G619" s="145" t="str">
        <f t="shared" si="3"/>
        <v/>
      </c>
      <c r="H619" s="145"/>
      <c r="I619" s="145"/>
      <c r="J619" s="145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</row>
    <row r="620" ht="22.5" customHeight="1">
      <c r="A620" s="145"/>
      <c r="B620" s="145" t="str">
        <f t="shared" si="1"/>
        <v/>
      </c>
      <c r="C620" s="145"/>
      <c r="D620" s="145" t="str">
        <f t="array" ref="D620">IFNA(XLOOKUP(C620,'👥 Daftar Nama Pasien'!$B$6:$B1181,'👥 Daftar Nama Pasien'!$D$6:$D1181),"")</f>
        <v/>
      </c>
      <c r="E620" s="145" t="str">
        <f t="array" ref="E620">XLOOKUP(C620,'⬇️ PEMASUKAN'!$I$5:$I1181,'⬇️ PEMASUKAN'!$K$5:$K1181,,0,-1)</f>
        <v/>
      </c>
      <c r="F620" s="145" t="str">
        <f t="shared" si="2"/>
        <v/>
      </c>
      <c r="G620" s="145" t="str">
        <f t="shared" si="3"/>
        <v/>
      </c>
      <c r="H620" s="145"/>
      <c r="I620" s="145"/>
      <c r="J620" s="145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</row>
    <row r="621" ht="22.5" customHeight="1">
      <c r="A621" s="145"/>
      <c r="B621" s="145" t="str">
        <f t="shared" si="1"/>
        <v/>
      </c>
      <c r="C621" s="145"/>
      <c r="D621" s="145" t="str">
        <f t="array" ref="D621">IFNA(XLOOKUP(C621,'👥 Daftar Nama Pasien'!$B$6:$B1181,'👥 Daftar Nama Pasien'!$D$6:$D1181),"")</f>
        <v/>
      </c>
      <c r="E621" s="145" t="str">
        <f t="array" ref="E621">XLOOKUP(C621,'⬇️ PEMASUKAN'!$I$5:$I1181,'⬇️ PEMASUKAN'!$K$5:$K1181,,0,-1)</f>
        <v/>
      </c>
      <c r="F621" s="145" t="str">
        <f t="shared" si="2"/>
        <v/>
      </c>
      <c r="G621" s="145" t="str">
        <f t="shared" si="3"/>
        <v/>
      </c>
      <c r="H621" s="145"/>
      <c r="I621" s="145"/>
      <c r="J621" s="145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</row>
    <row r="622" ht="22.5" customHeight="1">
      <c r="A622" s="145"/>
      <c r="B622" s="145" t="str">
        <f t="shared" si="1"/>
        <v/>
      </c>
      <c r="C622" s="145"/>
      <c r="D622" s="145" t="str">
        <f t="array" ref="D622">IFNA(XLOOKUP(C622,'👥 Daftar Nama Pasien'!$B$6:$B1181,'👥 Daftar Nama Pasien'!$D$6:$D1181),"")</f>
        <v/>
      </c>
      <c r="E622" s="145" t="str">
        <f t="array" ref="E622">XLOOKUP(C622,'⬇️ PEMASUKAN'!$I$5:$I1181,'⬇️ PEMASUKAN'!$K$5:$K1181,,0,-1)</f>
        <v/>
      </c>
      <c r="F622" s="145" t="str">
        <f t="shared" si="2"/>
        <v/>
      </c>
      <c r="G622" s="145" t="str">
        <f t="shared" si="3"/>
        <v/>
      </c>
      <c r="H622" s="145"/>
      <c r="I622" s="145"/>
      <c r="J622" s="145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</row>
    <row r="623" ht="22.5" customHeight="1">
      <c r="A623" s="145"/>
      <c r="B623" s="145" t="str">
        <f t="shared" si="1"/>
        <v/>
      </c>
      <c r="C623" s="145"/>
      <c r="D623" s="145" t="str">
        <f t="array" ref="D623">IFNA(XLOOKUP(C623,'👥 Daftar Nama Pasien'!$B$6:$B1181,'👥 Daftar Nama Pasien'!$D$6:$D1181),"")</f>
        <v/>
      </c>
      <c r="E623" s="145" t="str">
        <f t="array" ref="E623">XLOOKUP(C623,'⬇️ PEMASUKAN'!$I$5:$I1181,'⬇️ PEMASUKAN'!$K$5:$K1181,,0,-1)</f>
        <v/>
      </c>
      <c r="F623" s="145" t="str">
        <f t="shared" si="2"/>
        <v/>
      </c>
      <c r="G623" s="145" t="str">
        <f t="shared" si="3"/>
        <v/>
      </c>
      <c r="H623" s="145"/>
      <c r="I623" s="145"/>
      <c r="J623" s="145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</row>
    <row r="624" ht="22.5" customHeight="1">
      <c r="A624" s="145"/>
      <c r="B624" s="145" t="str">
        <f t="shared" si="1"/>
        <v/>
      </c>
      <c r="C624" s="145"/>
      <c r="D624" s="145" t="str">
        <f t="array" ref="D624">IFNA(XLOOKUP(C624,'👥 Daftar Nama Pasien'!$B$6:$B1181,'👥 Daftar Nama Pasien'!$D$6:$D1181),"")</f>
        <v/>
      </c>
      <c r="E624" s="145" t="str">
        <f t="array" ref="E624">XLOOKUP(C624,'⬇️ PEMASUKAN'!$I$5:$I1181,'⬇️ PEMASUKAN'!$K$5:$K1181,,0,-1)</f>
        <v/>
      </c>
      <c r="F624" s="145" t="str">
        <f t="shared" si="2"/>
        <v/>
      </c>
      <c r="G624" s="145" t="str">
        <f t="shared" si="3"/>
        <v/>
      </c>
      <c r="H624" s="145"/>
      <c r="I624" s="145"/>
      <c r="J624" s="145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</row>
    <row r="625" ht="22.5" customHeight="1">
      <c r="A625" s="145"/>
      <c r="B625" s="145" t="str">
        <f t="shared" si="1"/>
        <v/>
      </c>
      <c r="C625" s="145"/>
      <c r="D625" s="145" t="str">
        <f t="array" ref="D625">IFNA(XLOOKUP(C625,'👥 Daftar Nama Pasien'!$B$6:$B1181,'👥 Daftar Nama Pasien'!$D$6:$D1181),"")</f>
        <v/>
      </c>
      <c r="E625" s="145" t="str">
        <f t="array" ref="E625">XLOOKUP(C625,'⬇️ PEMASUKAN'!$I$5:$I1181,'⬇️ PEMASUKAN'!$K$5:$K1181,,0,-1)</f>
        <v/>
      </c>
      <c r="F625" s="145" t="str">
        <f t="shared" si="2"/>
        <v/>
      </c>
      <c r="G625" s="145" t="str">
        <f t="shared" si="3"/>
        <v/>
      </c>
      <c r="H625" s="145"/>
      <c r="I625" s="145"/>
      <c r="J625" s="145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</row>
    <row r="626" ht="22.5" customHeight="1">
      <c r="A626" s="145"/>
      <c r="B626" s="145" t="str">
        <f t="shared" si="1"/>
        <v/>
      </c>
      <c r="C626" s="145"/>
      <c r="D626" s="145" t="str">
        <f t="array" ref="D626">IFNA(XLOOKUP(C626,'👥 Daftar Nama Pasien'!$B$6:$B1181,'👥 Daftar Nama Pasien'!$D$6:$D1181),"")</f>
        <v/>
      </c>
      <c r="E626" s="145" t="str">
        <f t="array" ref="E626">XLOOKUP(C626,'⬇️ PEMASUKAN'!$I$5:$I1181,'⬇️ PEMASUKAN'!$K$5:$K1181,,0,-1)</f>
        <v/>
      </c>
      <c r="F626" s="145" t="str">
        <f t="shared" si="2"/>
        <v/>
      </c>
      <c r="G626" s="145" t="str">
        <f t="shared" si="3"/>
        <v/>
      </c>
      <c r="H626" s="145"/>
      <c r="I626" s="145"/>
      <c r="J626" s="145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</row>
    <row r="627" ht="22.5" customHeight="1">
      <c r="A627" s="145"/>
      <c r="B627" s="145" t="str">
        <f t="shared" si="1"/>
        <v/>
      </c>
      <c r="C627" s="145"/>
      <c r="D627" s="145" t="str">
        <f t="array" ref="D627">IFNA(XLOOKUP(C627,'👥 Daftar Nama Pasien'!$B$6:$B1181,'👥 Daftar Nama Pasien'!$D$6:$D1181),"")</f>
        <v/>
      </c>
      <c r="E627" s="145" t="str">
        <f t="array" ref="E627">XLOOKUP(C627,'⬇️ PEMASUKAN'!$I$5:$I1181,'⬇️ PEMASUKAN'!$K$5:$K1181,,0,-1)</f>
        <v/>
      </c>
      <c r="F627" s="145" t="str">
        <f t="shared" si="2"/>
        <v/>
      </c>
      <c r="G627" s="145" t="str">
        <f t="shared" si="3"/>
        <v/>
      </c>
      <c r="H627" s="145"/>
      <c r="I627" s="145"/>
      <c r="J627" s="145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</row>
    <row r="628" ht="22.5" customHeight="1">
      <c r="A628" s="145"/>
      <c r="B628" s="145" t="str">
        <f t="shared" si="1"/>
        <v/>
      </c>
      <c r="C628" s="145"/>
      <c r="D628" s="145" t="str">
        <f t="array" ref="D628">IFNA(XLOOKUP(C628,'👥 Daftar Nama Pasien'!$B$6:$B1181,'👥 Daftar Nama Pasien'!$D$6:$D1181),"")</f>
        <v/>
      </c>
      <c r="E628" s="145" t="str">
        <f t="array" ref="E628">XLOOKUP(C628,'⬇️ PEMASUKAN'!$I$5:$I1181,'⬇️ PEMASUKAN'!$K$5:$K1181,,0,-1)</f>
        <v/>
      </c>
      <c r="F628" s="145" t="str">
        <f t="shared" si="2"/>
        <v/>
      </c>
      <c r="G628" s="145" t="str">
        <f t="shared" si="3"/>
        <v/>
      </c>
      <c r="H628" s="145"/>
      <c r="I628" s="145"/>
      <c r="J628" s="145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</row>
    <row r="629" ht="22.5" customHeight="1">
      <c r="A629" s="145"/>
      <c r="B629" s="145" t="str">
        <f t="shared" si="1"/>
        <v/>
      </c>
      <c r="C629" s="145"/>
      <c r="D629" s="145" t="str">
        <f t="array" ref="D629">IFNA(XLOOKUP(C629,'👥 Daftar Nama Pasien'!$B$6:$B1181,'👥 Daftar Nama Pasien'!$D$6:$D1181),"")</f>
        <v/>
      </c>
      <c r="E629" s="145" t="str">
        <f t="array" ref="E629">XLOOKUP(C629,'⬇️ PEMASUKAN'!$I$5:$I1181,'⬇️ PEMASUKAN'!$K$5:$K1181,,0,-1)</f>
        <v/>
      </c>
      <c r="F629" s="145" t="str">
        <f t="shared" si="2"/>
        <v/>
      </c>
      <c r="G629" s="145" t="str">
        <f t="shared" si="3"/>
        <v/>
      </c>
      <c r="H629" s="145"/>
      <c r="I629" s="145"/>
      <c r="J629" s="145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</row>
    <row r="630" ht="22.5" customHeight="1">
      <c r="A630" s="145"/>
      <c r="B630" s="145" t="str">
        <f t="shared" si="1"/>
        <v/>
      </c>
      <c r="C630" s="145"/>
      <c r="D630" s="145" t="str">
        <f t="array" ref="D630">IFNA(XLOOKUP(C630,'👥 Daftar Nama Pasien'!$B$6:$B1181,'👥 Daftar Nama Pasien'!$D$6:$D1181),"")</f>
        <v/>
      </c>
      <c r="E630" s="145" t="str">
        <f t="array" ref="E630">XLOOKUP(C630,'⬇️ PEMASUKAN'!$I$5:$I1181,'⬇️ PEMASUKAN'!$K$5:$K1181,,0,-1)</f>
        <v/>
      </c>
      <c r="F630" s="145" t="str">
        <f t="shared" si="2"/>
        <v/>
      </c>
      <c r="G630" s="145" t="str">
        <f t="shared" si="3"/>
        <v/>
      </c>
      <c r="H630" s="145"/>
      <c r="I630" s="145"/>
      <c r="J630" s="145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</row>
    <row r="631" ht="22.5" customHeight="1">
      <c r="A631" s="145"/>
      <c r="B631" s="145" t="str">
        <f t="shared" si="1"/>
        <v/>
      </c>
      <c r="C631" s="145"/>
      <c r="D631" s="145" t="str">
        <f t="array" ref="D631">IFNA(XLOOKUP(C631,'👥 Daftar Nama Pasien'!$B$6:$B1181,'👥 Daftar Nama Pasien'!$D$6:$D1181),"")</f>
        <v/>
      </c>
      <c r="E631" s="145" t="str">
        <f t="array" ref="E631">XLOOKUP(C631,'⬇️ PEMASUKAN'!$I$5:$I1181,'⬇️ PEMASUKAN'!$K$5:$K1181,,0,-1)</f>
        <v/>
      </c>
      <c r="F631" s="145" t="str">
        <f t="shared" si="2"/>
        <v/>
      </c>
      <c r="G631" s="145" t="str">
        <f t="shared" si="3"/>
        <v/>
      </c>
      <c r="H631" s="145"/>
      <c r="I631" s="145"/>
      <c r="J631" s="145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</row>
    <row r="632" ht="22.5" customHeight="1">
      <c r="A632" s="145"/>
      <c r="B632" s="145" t="str">
        <f t="shared" si="1"/>
        <v/>
      </c>
      <c r="C632" s="145"/>
      <c r="D632" s="145" t="str">
        <f t="array" ref="D632">IFNA(XLOOKUP(C632,'👥 Daftar Nama Pasien'!$B$6:$B1181,'👥 Daftar Nama Pasien'!$D$6:$D1181),"")</f>
        <v/>
      </c>
      <c r="E632" s="145" t="str">
        <f t="array" ref="E632">XLOOKUP(C632,'⬇️ PEMASUKAN'!$I$5:$I1181,'⬇️ PEMASUKAN'!$K$5:$K1181,,0,-1)</f>
        <v/>
      </c>
      <c r="F632" s="145" t="str">
        <f t="shared" si="2"/>
        <v/>
      </c>
      <c r="G632" s="145" t="str">
        <f t="shared" si="3"/>
        <v/>
      </c>
      <c r="H632" s="145"/>
      <c r="I632" s="145"/>
      <c r="J632" s="145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</row>
    <row r="633" ht="22.5" customHeight="1">
      <c r="A633" s="145"/>
      <c r="B633" s="145" t="str">
        <f t="shared" si="1"/>
        <v/>
      </c>
      <c r="C633" s="145"/>
      <c r="D633" s="145" t="str">
        <f t="array" ref="D633">IFNA(XLOOKUP(C633,'👥 Daftar Nama Pasien'!$B$6:$B1181,'👥 Daftar Nama Pasien'!$D$6:$D1181),"")</f>
        <v/>
      </c>
      <c r="E633" s="145" t="str">
        <f t="array" ref="E633">XLOOKUP(C633,'⬇️ PEMASUKAN'!$I$5:$I1181,'⬇️ PEMASUKAN'!$K$5:$K1181,,0,-1)</f>
        <v/>
      </c>
      <c r="F633" s="145" t="str">
        <f t="shared" si="2"/>
        <v/>
      </c>
      <c r="G633" s="145" t="str">
        <f t="shared" si="3"/>
        <v/>
      </c>
      <c r="H633" s="145"/>
      <c r="I633" s="145"/>
      <c r="J633" s="145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</row>
    <row r="634" ht="22.5" customHeight="1">
      <c r="A634" s="145"/>
      <c r="B634" s="145" t="str">
        <f t="shared" si="1"/>
        <v/>
      </c>
      <c r="C634" s="145"/>
      <c r="D634" s="145" t="str">
        <f t="array" ref="D634">IFNA(XLOOKUP(C634,'👥 Daftar Nama Pasien'!$B$6:$B1181,'👥 Daftar Nama Pasien'!$D$6:$D1181),"")</f>
        <v/>
      </c>
      <c r="E634" s="145" t="str">
        <f t="array" ref="E634">XLOOKUP(C634,'⬇️ PEMASUKAN'!$I$5:$I1181,'⬇️ PEMASUKAN'!$K$5:$K1181,,0,-1)</f>
        <v/>
      </c>
      <c r="F634" s="145" t="str">
        <f t="shared" si="2"/>
        <v/>
      </c>
      <c r="G634" s="145" t="str">
        <f t="shared" si="3"/>
        <v/>
      </c>
      <c r="H634" s="145"/>
      <c r="I634" s="145"/>
      <c r="J634" s="145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</row>
    <row r="635" ht="22.5" customHeight="1">
      <c r="A635" s="145"/>
      <c r="B635" s="145" t="str">
        <f t="shared" si="1"/>
        <v/>
      </c>
      <c r="C635" s="145"/>
      <c r="D635" s="145" t="str">
        <f t="array" ref="D635">IFNA(XLOOKUP(C635,'👥 Daftar Nama Pasien'!$B$6:$B1181,'👥 Daftar Nama Pasien'!$D$6:$D1181),"")</f>
        <v/>
      </c>
      <c r="E635" s="145" t="str">
        <f t="array" ref="E635">XLOOKUP(C635,'⬇️ PEMASUKAN'!$I$5:$I1181,'⬇️ PEMASUKAN'!$K$5:$K1181,,0,-1)</f>
        <v/>
      </c>
      <c r="F635" s="145" t="str">
        <f t="shared" si="2"/>
        <v/>
      </c>
      <c r="G635" s="145" t="str">
        <f t="shared" si="3"/>
        <v/>
      </c>
      <c r="H635" s="145"/>
      <c r="I635" s="145"/>
      <c r="J635" s="145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</row>
    <row r="636" ht="22.5" customHeight="1">
      <c r="A636" s="145"/>
      <c r="B636" s="145" t="str">
        <f t="shared" si="1"/>
        <v/>
      </c>
      <c r="C636" s="145"/>
      <c r="D636" s="145" t="str">
        <f t="array" ref="D636">IFNA(XLOOKUP(C636,'👥 Daftar Nama Pasien'!$B$6:$B1181,'👥 Daftar Nama Pasien'!$D$6:$D1181),"")</f>
        <v/>
      </c>
      <c r="E636" s="145" t="str">
        <f t="array" ref="E636">XLOOKUP(C636,'⬇️ PEMASUKAN'!$I$5:$I1181,'⬇️ PEMASUKAN'!$K$5:$K1181,,0,-1)</f>
        <v/>
      </c>
      <c r="F636" s="145" t="str">
        <f t="shared" si="2"/>
        <v/>
      </c>
      <c r="G636" s="145" t="str">
        <f t="shared" si="3"/>
        <v/>
      </c>
      <c r="H636" s="145"/>
      <c r="I636" s="145"/>
      <c r="J636" s="145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</row>
    <row r="637" ht="22.5" customHeight="1">
      <c r="A637" s="145"/>
      <c r="B637" s="145" t="str">
        <f t="shared" si="1"/>
        <v/>
      </c>
      <c r="C637" s="145"/>
      <c r="D637" s="145" t="str">
        <f t="array" ref="D637">IFNA(XLOOKUP(C637,'👥 Daftar Nama Pasien'!$B$6:$B1181,'👥 Daftar Nama Pasien'!$D$6:$D1181),"")</f>
        <v/>
      </c>
      <c r="E637" s="145" t="str">
        <f t="array" ref="E637">XLOOKUP(C637,'⬇️ PEMASUKAN'!$I$5:$I1181,'⬇️ PEMASUKAN'!$K$5:$K1181,,0,-1)</f>
        <v/>
      </c>
      <c r="F637" s="145" t="str">
        <f t="shared" si="2"/>
        <v/>
      </c>
      <c r="G637" s="145" t="str">
        <f t="shared" si="3"/>
        <v/>
      </c>
      <c r="H637" s="145"/>
      <c r="I637" s="145"/>
      <c r="J637" s="145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</row>
    <row r="638" ht="22.5" customHeight="1">
      <c r="A638" s="145"/>
      <c r="B638" s="145" t="str">
        <f t="shared" si="1"/>
        <v/>
      </c>
      <c r="C638" s="145"/>
      <c r="D638" s="145" t="str">
        <f t="array" ref="D638">IFNA(XLOOKUP(C638,'👥 Daftar Nama Pasien'!$B$6:$B1181,'👥 Daftar Nama Pasien'!$D$6:$D1181),"")</f>
        <v/>
      </c>
      <c r="E638" s="145" t="str">
        <f t="array" ref="E638">XLOOKUP(C638,'⬇️ PEMASUKAN'!$I$5:$I1181,'⬇️ PEMASUKAN'!$K$5:$K1181,,0,-1)</f>
        <v/>
      </c>
      <c r="F638" s="145" t="str">
        <f t="shared" si="2"/>
        <v/>
      </c>
      <c r="G638" s="145" t="str">
        <f t="shared" si="3"/>
        <v/>
      </c>
      <c r="H638" s="145"/>
      <c r="I638" s="145"/>
      <c r="J638" s="145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</row>
    <row r="639" ht="22.5" customHeight="1">
      <c r="A639" s="145"/>
      <c r="B639" s="145" t="str">
        <f t="shared" si="1"/>
        <v/>
      </c>
      <c r="C639" s="145"/>
      <c r="D639" s="145" t="str">
        <f t="array" ref="D639">IFNA(XLOOKUP(C639,'👥 Daftar Nama Pasien'!$B$6:$B1181,'👥 Daftar Nama Pasien'!$D$6:$D1181),"")</f>
        <v/>
      </c>
      <c r="E639" s="145" t="str">
        <f t="array" ref="E639">XLOOKUP(C639,'⬇️ PEMASUKAN'!$I$5:$I1181,'⬇️ PEMASUKAN'!$K$5:$K1181,,0,-1)</f>
        <v/>
      </c>
      <c r="F639" s="145" t="str">
        <f t="shared" si="2"/>
        <v/>
      </c>
      <c r="G639" s="145" t="str">
        <f t="shared" si="3"/>
        <v/>
      </c>
      <c r="H639" s="145"/>
      <c r="I639" s="145"/>
      <c r="J639" s="145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</row>
    <row r="640" ht="22.5" customHeight="1">
      <c r="A640" s="145"/>
      <c r="B640" s="145" t="str">
        <f t="shared" si="1"/>
        <v/>
      </c>
      <c r="C640" s="145"/>
      <c r="D640" s="145" t="str">
        <f t="array" ref="D640">IFNA(XLOOKUP(C640,'👥 Daftar Nama Pasien'!$B$6:$B1181,'👥 Daftar Nama Pasien'!$D$6:$D1181),"")</f>
        <v/>
      </c>
      <c r="E640" s="145" t="str">
        <f t="array" ref="E640">XLOOKUP(C640,'⬇️ PEMASUKAN'!$I$5:$I1181,'⬇️ PEMASUKAN'!$K$5:$K1181,,0,-1)</f>
        <v/>
      </c>
      <c r="F640" s="145" t="str">
        <f t="shared" si="2"/>
        <v/>
      </c>
      <c r="G640" s="145" t="str">
        <f t="shared" si="3"/>
        <v/>
      </c>
      <c r="H640" s="145"/>
      <c r="I640" s="145"/>
      <c r="J640" s="145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</row>
    <row r="641" ht="22.5" customHeight="1">
      <c r="A641" s="145"/>
      <c r="B641" s="145" t="str">
        <f t="shared" si="1"/>
        <v/>
      </c>
      <c r="C641" s="145"/>
      <c r="D641" s="145" t="str">
        <f t="array" ref="D641">IFNA(XLOOKUP(C641,'👥 Daftar Nama Pasien'!$B$6:$B1181,'👥 Daftar Nama Pasien'!$D$6:$D1181),"")</f>
        <v/>
      </c>
      <c r="E641" s="145" t="str">
        <f t="array" ref="E641">XLOOKUP(C641,'⬇️ PEMASUKAN'!$I$5:$I1181,'⬇️ PEMASUKAN'!$K$5:$K1181,,0,-1)</f>
        <v/>
      </c>
      <c r="F641" s="145" t="str">
        <f t="shared" si="2"/>
        <v/>
      </c>
      <c r="G641" s="145" t="str">
        <f t="shared" si="3"/>
        <v/>
      </c>
      <c r="H641" s="145"/>
      <c r="I641" s="145"/>
      <c r="J641" s="145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</row>
    <row r="642" ht="22.5" customHeight="1">
      <c r="A642" s="145"/>
      <c r="B642" s="145" t="str">
        <f t="shared" si="1"/>
        <v/>
      </c>
      <c r="C642" s="145"/>
      <c r="D642" s="145" t="str">
        <f t="array" ref="D642">IFNA(XLOOKUP(C642,'👥 Daftar Nama Pasien'!$B$6:$B1181,'👥 Daftar Nama Pasien'!$D$6:$D1181),"")</f>
        <v/>
      </c>
      <c r="E642" s="145" t="str">
        <f t="array" ref="E642">XLOOKUP(C642,'⬇️ PEMASUKAN'!$I$5:$I1181,'⬇️ PEMASUKAN'!$K$5:$K1181,,0,-1)</f>
        <v/>
      </c>
      <c r="F642" s="145" t="str">
        <f t="shared" si="2"/>
        <v/>
      </c>
      <c r="G642" s="145" t="str">
        <f t="shared" si="3"/>
        <v/>
      </c>
      <c r="H642" s="145"/>
      <c r="I642" s="145"/>
      <c r="J642" s="145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</row>
    <row r="643" ht="22.5" customHeight="1">
      <c r="A643" s="145"/>
      <c r="B643" s="145" t="str">
        <f t="shared" si="1"/>
        <v/>
      </c>
      <c r="C643" s="145"/>
      <c r="D643" s="145" t="str">
        <f t="array" ref="D643">IFNA(XLOOKUP(C643,'👥 Daftar Nama Pasien'!$B$6:$B1181,'👥 Daftar Nama Pasien'!$D$6:$D1181),"")</f>
        <v/>
      </c>
      <c r="E643" s="145" t="str">
        <f t="array" ref="E643">XLOOKUP(C643,'⬇️ PEMASUKAN'!$I$5:$I1181,'⬇️ PEMASUKAN'!$K$5:$K1181,,0,-1)</f>
        <v/>
      </c>
      <c r="F643" s="145" t="str">
        <f t="shared" si="2"/>
        <v/>
      </c>
      <c r="G643" s="145" t="str">
        <f t="shared" si="3"/>
        <v/>
      </c>
      <c r="H643" s="145"/>
      <c r="I643" s="145"/>
      <c r="J643" s="145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</row>
    <row r="644" ht="22.5" customHeight="1">
      <c r="A644" s="145"/>
      <c r="B644" s="145" t="str">
        <f t="shared" si="1"/>
        <v/>
      </c>
      <c r="C644" s="145"/>
      <c r="D644" s="145" t="str">
        <f t="array" ref="D644">IFNA(XLOOKUP(C644,'👥 Daftar Nama Pasien'!$B$6:$B1181,'👥 Daftar Nama Pasien'!$D$6:$D1181),"")</f>
        <v/>
      </c>
      <c r="E644" s="145" t="str">
        <f t="array" ref="E644">XLOOKUP(C644,'⬇️ PEMASUKAN'!$I$5:$I1181,'⬇️ PEMASUKAN'!$K$5:$K1181,,0,-1)</f>
        <v/>
      </c>
      <c r="F644" s="145" t="str">
        <f t="shared" si="2"/>
        <v/>
      </c>
      <c r="G644" s="145" t="str">
        <f t="shared" si="3"/>
        <v/>
      </c>
      <c r="H644" s="145"/>
      <c r="I644" s="145"/>
      <c r="J644" s="145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</row>
    <row r="645" ht="22.5" customHeight="1">
      <c r="A645" s="145"/>
      <c r="B645" s="145" t="str">
        <f t="shared" si="1"/>
        <v/>
      </c>
      <c r="C645" s="145"/>
      <c r="D645" s="145" t="str">
        <f t="array" ref="D645">IFNA(XLOOKUP(C645,'👥 Daftar Nama Pasien'!$B$6:$B1181,'👥 Daftar Nama Pasien'!$D$6:$D1181),"")</f>
        <v/>
      </c>
      <c r="E645" s="145" t="str">
        <f t="array" ref="E645">XLOOKUP(C645,'⬇️ PEMASUKAN'!$I$5:$I1181,'⬇️ PEMASUKAN'!$K$5:$K1181,,0,-1)</f>
        <v/>
      </c>
      <c r="F645" s="145" t="str">
        <f t="shared" si="2"/>
        <v/>
      </c>
      <c r="G645" s="145" t="str">
        <f t="shared" si="3"/>
        <v/>
      </c>
      <c r="H645" s="145"/>
      <c r="I645" s="145"/>
      <c r="J645" s="145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</row>
    <row r="646" ht="22.5" customHeight="1">
      <c r="A646" s="145"/>
      <c r="B646" s="145" t="str">
        <f t="shared" si="1"/>
        <v/>
      </c>
      <c r="C646" s="145"/>
      <c r="D646" s="145" t="str">
        <f t="array" ref="D646">IFNA(XLOOKUP(C646,'👥 Daftar Nama Pasien'!$B$6:$B1181,'👥 Daftar Nama Pasien'!$D$6:$D1181),"")</f>
        <v/>
      </c>
      <c r="E646" s="145" t="str">
        <f t="array" ref="E646">XLOOKUP(C646,'⬇️ PEMASUKAN'!$I$5:$I1181,'⬇️ PEMASUKAN'!$K$5:$K1181,,0,-1)</f>
        <v/>
      </c>
      <c r="F646" s="145" t="str">
        <f t="shared" si="2"/>
        <v/>
      </c>
      <c r="G646" s="145" t="str">
        <f t="shared" si="3"/>
        <v/>
      </c>
      <c r="H646" s="145"/>
      <c r="I646" s="145"/>
      <c r="J646" s="145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</row>
    <row r="647" ht="22.5" customHeight="1">
      <c r="A647" s="145"/>
      <c r="B647" s="145" t="str">
        <f t="shared" si="1"/>
        <v/>
      </c>
      <c r="C647" s="145"/>
      <c r="D647" s="145" t="str">
        <f t="array" ref="D647">IFNA(XLOOKUP(C647,'👥 Daftar Nama Pasien'!$B$6:$B1181,'👥 Daftar Nama Pasien'!$D$6:$D1181),"")</f>
        <v/>
      </c>
      <c r="E647" s="145" t="str">
        <f t="array" ref="E647">XLOOKUP(C647,'⬇️ PEMASUKAN'!$I$5:$I1181,'⬇️ PEMASUKAN'!$K$5:$K1181,,0,-1)</f>
        <v/>
      </c>
      <c r="F647" s="145" t="str">
        <f t="shared" si="2"/>
        <v/>
      </c>
      <c r="G647" s="145" t="str">
        <f t="shared" si="3"/>
        <v/>
      </c>
      <c r="H647" s="145"/>
      <c r="I647" s="145"/>
      <c r="J647" s="145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</row>
    <row r="648" ht="22.5" customHeight="1">
      <c r="A648" s="145"/>
      <c r="B648" s="145" t="str">
        <f t="shared" si="1"/>
        <v/>
      </c>
      <c r="C648" s="145"/>
      <c r="D648" s="145" t="str">
        <f t="array" ref="D648">IFNA(XLOOKUP(C648,'👥 Daftar Nama Pasien'!$B$6:$B1181,'👥 Daftar Nama Pasien'!$D$6:$D1181),"")</f>
        <v/>
      </c>
      <c r="E648" s="145" t="str">
        <f t="array" ref="E648">XLOOKUP(C648,'⬇️ PEMASUKAN'!$I$5:$I1181,'⬇️ PEMASUKAN'!$K$5:$K1181,,0,-1)</f>
        <v/>
      </c>
      <c r="F648" s="145" t="str">
        <f t="shared" si="2"/>
        <v/>
      </c>
      <c r="G648" s="145" t="str">
        <f t="shared" si="3"/>
        <v/>
      </c>
      <c r="H648" s="145"/>
      <c r="I648" s="145"/>
      <c r="J648" s="145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</row>
    <row r="649" ht="22.5" customHeight="1">
      <c r="A649" s="145"/>
      <c r="B649" s="145" t="str">
        <f t="shared" si="1"/>
        <v/>
      </c>
      <c r="C649" s="145"/>
      <c r="D649" s="145" t="str">
        <f t="array" ref="D649">IFNA(XLOOKUP(C649,'👥 Daftar Nama Pasien'!$B$6:$B1181,'👥 Daftar Nama Pasien'!$D$6:$D1181),"")</f>
        <v/>
      </c>
      <c r="E649" s="145" t="str">
        <f t="array" ref="E649">XLOOKUP(C649,'⬇️ PEMASUKAN'!$I$5:$I1181,'⬇️ PEMASUKAN'!$K$5:$K1181,,0,-1)</f>
        <v/>
      </c>
      <c r="F649" s="145" t="str">
        <f t="shared" si="2"/>
        <v/>
      </c>
      <c r="G649" s="145" t="str">
        <f t="shared" si="3"/>
        <v/>
      </c>
      <c r="H649" s="145"/>
      <c r="I649" s="145"/>
      <c r="J649" s="145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</row>
    <row r="650" ht="22.5" customHeight="1">
      <c r="A650" s="145"/>
      <c r="B650" s="145" t="str">
        <f t="shared" si="1"/>
        <v/>
      </c>
      <c r="C650" s="145"/>
      <c r="D650" s="145" t="str">
        <f t="array" ref="D650">IFNA(XLOOKUP(C650,'👥 Daftar Nama Pasien'!$B$6:$B1181,'👥 Daftar Nama Pasien'!$D$6:$D1181),"")</f>
        <v/>
      </c>
      <c r="E650" s="145" t="str">
        <f t="array" ref="E650">XLOOKUP(C650,'⬇️ PEMASUKAN'!$I$5:$I1181,'⬇️ PEMASUKAN'!$K$5:$K1181,,0,-1)</f>
        <v/>
      </c>
      <c r="F650" s="145" t="str">
        <f t="shared" si="2"/>
        <v/>
      </c>
      <c r="G650" s="145" t="str">
        <f t="shared" si="3"/>
        <v/>
      </c>
      <c r="H650" s="145"/>
      <c r="I650" s="145"/>
      <c r="J650" s="145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</row>
    <row r="651" ht="22.5" customHeight="1">
      <c r="A651" s="145"/>
      <c r="B651" s="145" t="str">
        <f t="shared" si="1"/>
        <v/>
      </c>
      <c r="C651" s="145"/>
      <c r="D651" s="145" t="str">
        <f t="array" ref="D651">IFNA(XLOOKUP(C651,'👥 Daftar Nama Pasien'!$B$6:$B1181,'👥 Daftar Nama Pasien'!$D$6:$D1181),"")</f>
        <v/>
      </c>
      <c r="E651" s="145" t="str">
        <f t="array" ref="E651">XLOOKUP(C651,'⬇️ PEMASUKAN'!$I$5:$I1181,'⬇️ PEMASUKAN'!$K$5:$K1181,,0,-1)</f>
        <v/>
      </c>
      <c r="F651" s="145" t="str">
        <f t="shared" si="2"/>
        <v/>
      </c>
      <c r="G651" s="145" t="str">
        <f t="shared" si="3"/>
        <v/>
      </c>
      <c r="H651" s="145"/>
      <c r="I651" s="145"/>
      <c r="J651" s="145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</row>
    <row r="652" ht="22.5" customHeight="1">
      <c r="A652" s="145"/>
      <c r="B652" s="145" t="str">
        <f t="shared" si="1"/>
        <v/>
      </c>
      <c r="C652" s="145"/>
      <c r="D652" s="145" t="str">
        <f t="array" ref="D652">IFNA(XLOOKUP(C652,'👥 Daftar Nama Pasien'!$B$6:$B1181,'👥 Daftar Nama Pasien'!$D$6:$D1181),"")</f>
        <v/>
      </c>
      <c r="E652" s="145" t="str">
        <f t="array" ref="E652">XLOOKUP(C652,'⬇️ PEMASUKAN'!$I$5:$I1181,'⬇️ PEMASUKAN'!$K$5:$K1181,,0,-1)</f>
        <v/>
      </c>
      <c r="F652" s="145" t="str">
        <f t="shared" si="2"/>
        <v/>
      </c>
      <c r="G652" s="145" t="str">
        <f t="shared" si="3"/>
        <v/>
      </c>
      <c r="H652" s="145"/>
      <c r="I652" s="145"/>
      <c r="J652" s="145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</row>
    <row r="653" ht="22.5" customHeight="1">
      <c r="A653" s="145"/>
      <c r="B653" s="145" t="str">
        <f t="shared" si="1"/>
        <v/>
      </c>
      <c r="C653" s="145"/>
      <c r="D653" s="145" t="str">
        <f t="array" ref="D653">IFNA(XLOOKUP(C653,'👥 Daftar Nama Pasien'!$B$6:$B1181,'👥 Daftar Nama Pasien'!$D$6:$D1181),"")</f>
        <v/>
      </c>
      <c r="E653" s="145" t="str">
        <f t="array" ref="E653">XLOOKUP(C653,'⬇️ PEMASUKAN'!$I$5:$I1181,'⬇️ PEMASUKAN'!$K$5:$K1181,,0,-1)</f>
        <v/>
      </c>
      <c r="F653" s="145" t="str">
        <f t="shared" si="2"/>
        <v/>
      </c>
      <c r="G653" s="145" t="str">
        <f t="shared" si="3"/>
        <v/>
      </c>
      <c r="H653" s="145"/>
      <c r="I653" s="145"/>
      <c r="J653" s="145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</row>
    <row r="654" ht="22.5" customHeight="1">
      <c r="A654" s="145"/>
      <c r="B654" s="145" t="str">
        <f t="shared" si="1"/>
        <v/>
      </c>
      <c r="C654" s="145"/>
      <c r="D654" s="145" t="str">
        <f t="array" ref="D654">IFNA(XLOOKUP(C654,'👥 Daftar Nama Pasien'!$B$6:$B1181,'👥 Daftar Nama Pasien'!$D$6:$D1181),"")</f>
        <v/>
      </c>
      <c r="E654" s="145" t="str">
        <f t="array" ref="E654">XLOOKUP(C654,'⬇️ PEMASUKAN'!$I$5:$I1181,'⬇️ PEMASUKAN'!$K$5:$K1181,,0,-1)</f>
        <v/>
      </c>
      <c r="F654" s="145" t="str">
        <f t="shared" si="2"/>
        <v/>
      </c>
      <c r="G654" s="145" t="str">
        <f t="shared" si="3"/>
        <v/>
      </c>
      <c r="H654" s="145"/>
      <c r="I654" s="145"/>
      <c r="J654" s="145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</row>
    <row r="655" ht="22.5" customHeight="1">
      <c r="A655" s="145"/>
      <c r="B655" s="145" t="str">
        <f t="shared" si="1"/>
        <v/>
      </c>
      <c r="C655" s="145"/>
      <c r="D655" s="145" t="str">
        <f t="array" ref="D655">IFNA(XLOOKUP(C655,'👥 Daftar Nama Pasien'!$B$6:$B1181,'👥 Daftar Nama Pasien'!$D$6:$D1181),"")</f>
        <v/>
      </c>
      <c r="E655" s="145" t="str">
        <f t="array" ref="E655">XLOOKUP(C655,'⬇️ PEMASUKAN'!$I$5:$I1181,'⬇️ PEMASUKAN'!$K$5:$K1181,,0,-1)</f>
        <v/>
      </c>
      <c r="F655" s="145" t="str">
        <f t="shared" si="2"/>
        <v/>
      </c>
      <c r="G655" s="145" t="str">
        <f t="shared" si="3"/>
        <v/>
      </c>
      <c r="H655" s="145"/>
      <c r="I655" s="145"/>
      <c r="J655" s="145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</row>
    <row r="656" ht="22.5" customHeight="1">
      <c r="A656" s="145"/>
      <c r="B656" s="145" t="str">
        <f t="shared" si="1"/>
        <v/>
      </c>
      <c r="C656" s="145"/>
      <c r="D656" s="145" t="str">
        <f t="array" ref="D656">IFNA(XLOOKUP(C656,'👥 Daftar Nama Pasien'!$B$6:$B1181,'👥 Daftar Nama Pasien'!$D$6:$D1181),"")</f>
        <v/>
      </c>
      <c r="E656" s="145" t="str">
        <f t="array" ref="E656">XLOOKUP(C656,'⬇️ PEMASUKAN'!$I$5:$I1181,'⬇️ PEMASUKAN'!$K$5:$K1181,,0,-1)</f>
        <v/>
      </c>
      <c r="F656" s="145" t="str">
        <f t="shared" si="2"/>
        <v/>
      </c>
      <c r="G656" s="145" t="str">
        <f t="shared" si="3"/>
        <v/>
      </c>
      <c r="H656" s="145"/>
      <c r="I656" s="145"/>
      <c r="J656" s="145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</row>
    <row r="657" ht="22.5" customHeight="1">
      <c r="A657" s="145"/>
      <c r="B657" s="145" t="str">
        <f t="shared" si="1"/>
        <v/>
      </c>
      <c r="C657" s="145"/>
      <c r="D657" s="145" t="str">
        <f t="array" ref="D657">IFNA(XLOOKUP(C657,'👥 Daftar Nama Pasien'!$B$6:$B1181,'👥 Daftar Nama Pasien'!$D$6:$D1181),"")</f>
        <v/>
      </c>
      <c r="E657" s="145" t="str">
        <f t="array" ref="E657">XLOOKUP(C657,'⬇️ PEMASUKAN'!$I$5:$I1181,'⬇️ PEMASUKAN'!$K$5:$K1181,,0,-1)</f>
        <v/>
      </c>
      <c r="F657" s="145" t="str">
        <f t="shared" si="2"/>
        <v/>
      </c>
      <c r="G657" s="145" t="str">
        <f t="shared" si="3"/>
        <v/>
      </c>
      <c r="H657" s="145"/>
      <c r="I657" s="145"/>
      <c r="J657" s="145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</row>
    <row r="658" ht="22.5" customHeight="1">
      <c r="A658" s="145"/>
      <c r="B658" s="145" t="str">
        <f t="shared" si="1"/>
        <v/>
      </c>
      <c r="C658" s="145"/>
      <c r="D658" s="145" t="str">
        <f t="array" ref="D658">IFNA(XLOOKUP(C658,'👥 Daftar Nama Pasien'!$B$6:$B1181,'👥 Daftar Nama Pasien'!$D$6:$D1181),"")</f>
        <v/>
      </c>
      <c r="E658" s="145" t="str">
        <f t="array" ref="E658">XLOOKUP(C658,'⬇️ PEMASUKAN'!$I$5:$I1181,'⬇️ PEMASUKAN'!$K$5:$K1181,,0,-1)</f>
        <v/>
      </c>
      <c r="F658" s="145" t="str">
        <f t="shared" si="2"/>
        <v/>
      </c>
      <c r="G658" s="145" t="str">
        <f t="shared" si="3"/>
        <v/>
      </c>
      <c r="H658" s="145"/>
      <c r="I658" s="145"/>
      <c r="J658" s="145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</row>
    <row r="659" ht="22.5" customHeight="1">
      <c r="A659" s="145"/>
      <c r="B659" s="145" t="str">
        <f t="shared" si="1"/>
        <v/>
      </c>
      <c r="C659" s="145"/>
      <c r="D659" s="145" t="str">
        <f t="array" ref="D659">IFNA(XLOOKUP(C659,'👥 Daftar Nama Pasien'!$B$6:$B1181,'👥 Daftar Nama Pasien'!$D$6:$D1181),"")</f>
        <v/>
      </c>
      <c r="E659" s="145" t="str">
        <f t="array" ref="E659">XLOOKUP(C659,'⬇️ PEMASUKAN'!$I$5:$I1181,'⬇️ PEMASUKAN'!$K$5:$K1181,,0,-1)</f>
        <v/>
      </c>
      <c r="F659" s="145" t="str">
        <f t="shared" si="2"/>
        <v/>
      </c>
      <c r="G659" s="145" t="str">
        <f t="shared" si="3"/>
        <v/>
      </c>
      <c r="H659" s="145"/>
      <c r="I659" s="145"/>
      <c r="J659" s="145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</row>
    <row r="660" ht="22.5" customHeight="1">
      <c r="A660" s="145"/>
      <c r="B660" s="145" t="str">
        <f t="shared" si="1"/>
        <v/>
      </c>
      <c r="C660" s="145"/>
      <c r="D660" s="145" t="str">
        <f t="array" ref="D660">IFNA(XLOOKUP(C660,'👥 Daftar Nama Pasien'!$B$6:$B1181,'👥 Daftar Nama Pasien'!$D$6:$D1181),"")</f>
        <v/>
      </c>
      <c r="E660" s="145" t="str">
        <f t="array" ref="E660">XLOOKUP(C660,'⬇️ PEMASUKAN'!$I$5:$I1181,'⬇️ PEMASUKAN'!$K$5:$K1181,,0,-1)</f>
        <v/>
      </c>
      <c r="F660" s="145" t="str">
        <f t="shared" si="2"/>
        <v/>
      </c>
      <c r="G660" s="145" t="str">
        <f t="shared" si="3"/>
        <v/>
      </c>
      <c r="H660" s="145"/>
      <c r="I660" s="145"/>
      <c r="J660" s="145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</row>
    <row r="661" ht="22.5" customHeight="1">
      <c r="A661" s="145"/>
      <c r="B661" s="145" t="str">
        <f t="shared" si="1"/>
        <v/>
      </c>
      <c r="C661" s="145"/>
      <c r="D661" s="145" t="str">
        <f t="array" ref="D661">IFNA(XLOOKUP(C661,'👥 Daftar Nama Pasien'!$B$6:$B1181,'👥 Daftar Nama Pasien'!$D$6:$D1181),"")</f>
        <v/>
      </c>
      <c r="E661" s="145" t="str">
        <f t="array" ref="E661">XLOOKUP(C661,'⬇️ PEMASUKAN'!$I$5:$I1181,'⬇️ PEMASUKAN'!$K$5:$K1181,,0,-1)</f>
        <v/>
      </c>
      <c r="F661" s="145" t="str">
        <f t="shared" si="2"/>
        <v/>
      </c>
      <c r="G661" s="145" t="str">
        <f t="shared" si="3"/>
        <v/>
      </c>
      <c r="H661" s="145"/>
      <c r="I661" s="145"/>
      <c r="J661" s="145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</row>
    <row r="662" ht="22.5" customHeight="1">
      <c r="A662" s="145"/>
      <c r="B662" s="145" t="str">
        <f t="shared" si="1"/>
        <v/>
      </c>
      <c r="C662" s="145"/>
      <c r="D662" s="145" t="str">
        <f t="array" ref="D662">IFNA(XLOOKUP(C662,'👥 Daftar Nama Pasien'!$B$6:$B1181,'👥 Daftar Nama Pasien'!$D$6:$D1181),"")</f>
        <v/>
      </c>
      <c r="E662" s="145" t="str">
        <f t="array" ref="E662">XLOOKUP(C662,'⬇️ PEMASUKAN'!$I$5:$I1181,'⬇️ PEMASUKAN'!$K$5:$K1181,,0,-1)</f>
        <v/>
      </c>
      <c r="F662" s="145" t="str">
        <f t="shared" si="2"/>
        <v/>
      </c>
      <c r="G662" s="145" t="str">
        <f t="shared" si="3"/>
        <v/>
      </c>
      <c r="H662" s="145"/>
      <c r="I662" s="145"/>
      <c r="J662" s="145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</row>
    <row r="663" ht="22.5" customHeight="1">
      <c r="A663" s="145"/>
      <c r="B663" s="145" t="str">
        <f t="shared" si="1"/>
        <v/>
      </c>
      <c r="C663" s="145"/>
      <c r="D663" s="145" t="str">
        <f t="array" ref="D663">IFNA(XLOOKUP(C663,'👥 Daftar Nama Pasien'!$B$6:$B1181,'👥 Daftar Nama Pasien'!$D$6:$D1181),"")</f>
        <v/>
      </c>
      <c r="E663" s="145" t="str">
        <f t="array" ref="E663">XLOOKUP(C663,'⬇️ PEMASUKAN'!$I$5:$I1181,'⬇️ PEMASUKAN'!$K$5:$K1181,,0,-1)</f>
        <v/>
      </c>
      <c r="F663" s="145" t="str">
        <f t="shared" si="2"/>
        <v/>
      </c>
      <c r="G663" s="145" t="str">
        <f t="shared" si="3"/>
        <v/>
      </c>
      <c r="H663" s="145"/>
      <c r="I663" s="145"/>
      <c r="J663" s="145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</row>
    <row r="664" ht="22.5" customHeight="1">
      <c r="A664" s="145"/>
      <c r="B664" s="145" t="str">
        <f t="shared" si="1"/>
        <v/>
      </c>
      <c r="C664" s="145"/>
      <c r="D664" s="145" t="str">
        <f t="array" ref="D664">IFNA(XLOOKUP(C664,'👥 Daftar Nama Pasien'!$B$6:$B1181,'👥 Daftar Nama Pasien'!$D$6:$D1181),"")</f>
        <v/>
      </c>
      <c r="E664" s="145" t="str">
        <f t="array" ref="E664">XLOOKUP(C664,'⬇️ PEMASUKAN'!$I$5:$I1181,'⬇️ PEMASUKAN'!$K$5:$K1181,,0,-1)</f>
        <v/>
      </c>
      <c r="F664" s="145" t="str">
        <f t="shared" si="2"/>
        <v/>
      </c>
      <c r="G664" s="145" t="str">
        <f t="shared" si="3"/>
        <v/>
      </c>
      <c r="H664" s="145"/>
      <c r="I664" s="145"/>
      <c r="J664" s="145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</row>
    <row r="665" ht="22.5" customHeight="1">
      <c r="A665" s="145"/>
      <c r="B665" s="145" t="str">
        <f t="shared" si="1"/>
        <v/>
      </c>
      <c r="C665" s="145"/>
      <c r="D665" s="145" t="str">
        <f t="array" ref="D665">IFNA(XLOOKUP(C665,'👥 Daftar Nama Pasien'!$B$6:$B1181,'👥 Daftar Nama Pasien'!$D$6:$D1181),"")</f>
        <v/>
      </c>
      <c r="E665" s="145" t="str">
        <f t="array" ref="E665">XLOOKUP(C665,'⬇️ PEMASUKAN'!$I$5:$I1181,'⬇️ PEMASUKAN'!$K$5:$K1181,,0,-1)</f>
        <v/>
      </c>
      <c r="F665" s="145" t="str">
        <f t="shared" si="2"/>
        <v/>
      </c>
      <c r="G665" s="145" t="str">
        <f t="shared" si="3"/>
        <v/>
      </c>
      <c r="H665" s="145"/>
      <c r="I665" s="145"/>
      <c r="J665" s="145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</row>
    <row r="666" ht="22.5" customHeight="1">
      <c r="A666" s="145"/>
      <c r="B666" s="145" t="str">
        <f t="shared" si="1"/>
        <v/>
      </c>
      <c r="C666" s="145"/>
      <c r="D666" s="145" t="str">
        <f t="array" ref="D666">IFNA(XLOOKUP(C666,'👥 Daftar Nama Pasien'!$B$6:$B1181,'👥 Daftar Nama Pasien'!$D$6:$D1181),"")</f>
        <v/>
      </c>
      <c r="E666" s="145" t="str">
        <f t="array" ref="E666">XLOOKUP(C666,'⬇️ PEMASUKAN'!$I$5:$I1181,'⬇️ PEMASUKAN'!$K$5:$K1181,,0,-1)</f>
        <v/>
      </c>
      <c r="F666" s="145" t="str">
        <f t="shared" si="2"/>
        <v/>
      </c>
      <c r="G666" s="145" t="str">
        <f t="shared" si="3"/>
        <v/>
      </c>
      <c r="H666" s="145"/>
      <c r="I666" s="145"/>
      <c r="J666" s="145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</row>
    <row r="667" ht="22.5" customHeight="1">
      <c r="A667" s="145"/>
      <c r="B667" s="145" t="str">
        <f t="shared" si="1"/>
        <v/>
      </c>
      <c r="C667" s="145"/>
      <c r="D667" s="145" t="str">
        <f t="array" ref="D667">IFNA(XLOOKUP(C667,'👥 Daftar Nama Pasien'!$B$6:$B1181,'👥 Daftar Nama Pasien'!$D$6:$D1181),"")</f>
        <v/>
      </c>
      <c r="E667" s="145" t="str">
        <f t="array" ref="E667">XLOOKUP(C667,'⬇️ PEMASUKAN'!$I$5:$I1181,'⬇️ PEMASUKAN'!$K$5:$K1181,,0,-1)</f>
        <v/>
      </c>
      <c r="F667" s="145" t="str">
        <f t="shared" si="2"/>
        <v/>
      </c>
      <c r="G667" s="145" t="str">
        <f t="shared" si="3"/>
        <v/>
      </c>
      <c r="H667" s="145"/>
      <c r="I667" s="145"/>
      <c r="J667" s="145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</row>
    <row r="668" ht="22.5" customHeight="1">
      <c r="A668" s="145"/>
      <c r="B668" s="145" t="str">
        <f t="shared" si="1"/>
        <v/>
      </c>
      <c r="C668" s="145"/>
      <c r="D668" s="145" t="str">
        <f t="array" ref="D668">IFNA(XLOOKUP(C668,'👥 Daftar Nama Pasien'!$B$6:$B1181,'👥 Daftar Nama Pasien'!$D$6:$D1181),"")</f>
        <v/>
      </c>
      <c r="E668" s="145" t="str">
        <f t="array" ref="E668">XLOOKUP(C668,'⬇️ PEMASUKAN'!$I$5:$I1181,'⬇️ PEMASUKAN'!$K$5:$K1181,,0,-1)</f>
        <v/>
      </c>
      <c r="F668" s="145" t="str">
        <f t="shared" si="2"/>
        <v/>
      </c>
      <c r="G668" s="145" t="str">
        <f t="shared" si="3"/>
        <v/>
      </c>
      <c r="H668" s="145"/>
      <c r="I668" s="145"/>
      <c r="J668" s="145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</row>
    <row r="669" ht="22.5" customHeight="1">
      <c r="A669" s="145"/>
      <c r="B669" s="145" t="str">
        <f t="shared" si="1"/>
        <v/>
      </c>
      <c r="C669" s="145"/>
      <c r="D669" s="145" t="str">
        <f t="array" ref="D669">IFNA(XLOOKUP(C669,'👥 Daftar Nama Pasien'!$B$6:$B1181,'👥 Daftar Nama Pasien'!$D$6:$D1181),"")</f>
        <v/>
      </c>
      <c r="E669" s="145" t="str">
        <f t="array" ref="E669">XLOOKUP(C669,'⬇️ PEMASUKAN'!$I$5:$I1181,'⬇️ PEMASUKAN'!$K$5:$K1181,,0,-1)</f>
        <v/>
      </c>
      <c r="F669" s="145" t="str">
        <f t="shared" si="2"/>
        <v/>
      </c>
      <c r="G669" s="145" t="str">
        <f t="shared" si="3"/>
        <v/>
      </c>
      <c r="H669" s="145"/>
      <c r="I669" s="145"/>
      <c r="J669" s="145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</row>
    <row r="670" ht="22.5" customHeight="1">
      <c r="A670" s="145"/>
      <c r="B670" s="145" t="str">
        <f t="shared" si="1"/>
        <v/>
      </c>
      <c r="C670" s="145"/>
      <c r="D670" s="145" t="str">
        <f t="array" ref="D670">IFNA(XLOOKUP(C670,'👥 Daftar Nama Pasien'!$B$6:$B1181,'👥 Daftar Nama Pasien'!$D$6:$D1181),"")</f>
        <v/>
      </c>
      <c r="E670" s="145" t="str">
        <f t="array" ref="E670">XLOOKUP(C670,'⬇️ PEMASUKAN'!$I$5:$I1181,'⬇️ PEMASUKAN'!$K$5:$K1181,,0,-1)</f>
        <v/>
      </c>
      <c r="F670" s="145" t="str">
        <f t="shared" si="2"/>
        <v/>
      </c>
      <c r="G670" s="145" t="str">
        <f t="shared" si="3"/>
        <v/>
      </c>
      <c r="H670" s="145"/>
      <c r="I670" s="145"/>
      <c r="J670" s="145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</row>
    <row r="671" ht="22.5" customHeight="1">
      <c r="A671" s="145"/>
      <c r="B671" s="145" t="str">
        <f t="shared" si="1"/>
        <v/>
      </c>
      <c r="C671" s="145"/>
      <c r="D671" s="145" t="str">
        <f t="array" ref="D671">IFNA(XLOOKUP(C671,'👥 Daftar Nama Pasien'!$B$6:$B1181,'👥 Daftar Nama Pasien'!$D$6:$D1181),"")</f>
        <v/>
      </c>
      <c r="E671" s="145" t="str">
        <f t="array" ref="E671">XLOOKUP(C671,'⬇️ PEMASUKAN'!$I$5:$I1181,'⬇️ PEMASUKAN'!$K$5:$K1181,,0,-1)</f>
        <v/>
      </c>
      <c r="F671" s="145" t="str">
        <f t="shared" si="2"/>
        <v/>
      </c>
      <c r="G671" s="145" t="str">
        <f t="shared" si="3"/>
        <v/>
      </c>
      <c r="H671" s="145"/>
      <c r="I671" s="145"/>
      <c r="J671" s="145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</row>
    <row r="672" ht="22.5" customHeight="1">
      <c r="A672" s="145"/>
      <c r="B672" s="145" t="str">
        <f t="shared" si="1"/>
        <v/>
      </c>
      <c r="C672" s="145"/>
      <c r="D672" s="145" t="str">
        <f t="array" ref="D672">IFNA(XLOOKUP(C672,'👥 Daftar Nama Pasien'!$B$6:$B1181,'👥 Daftar Nama Pasien'!$D$6:$D1181),"")</f>
        <v/>
      </c>
      <c r="E672" s="145" t="str">
        <f t="array" ref="E672">XLOOKUP(C672,'⬇️ PEMASUKAN'!$I$5:$I1181,'⬇️ PEMASUKAN'!$K$5:$K1181,,0,-1)</f>
        <v/>
      </c>
      <c r="F672" s="145" t="str">
        <f t="shared" si="2"/>
        <v/>
      </c>
      <c r="G672" s="145" t="str">
        <f t="shared" si="3"/>
        <v/>
      </c>
      <c r="H672" s="145"/>
      <c r="I672" s="145"/>
      <c r="J672" s="145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</row>
    <row r="673" ht="22.5" customHeight="1">
      <c r="A673" s="145"/>
      <c r="B673" s="145" t="str">
        <f t="shared" si="1"/>
        <v/>
      </c>
      <c r="C673" s="145"/>
      <c r="D673" s="145" t="str">
        <f t="array" ref="D673">IFNA(XLOOKUP(C673,'👥 Daftar Nama Pasien'!$B$6:$B1181,'👥 Daftar Nama Pasien'!$D$6:$D1181),"")</f>
        <v/>
      </c>
      <c r="E673" s="145" t="str">
        <f t="array" ref="E673">XLOOKUP(C673,'⬇️ PEMASUKAN'!$I$5:$I1181,'⬇️ PEMASUKAN'!$K$5:$K1181,,0,-1)</f>
        <v/>
      </c>
      <c r="F673" s="145" t="str">
        <f t="shared" si="2"/>
        <v/>
      </c>
      <c r="G673" s="145" t="str">
        <f t="shared" si="3"/>
        <v/>
      </c>
      <c r="H673" s="145"/>
      <c r="I673" s="145"/>
      <c r="J673" s="145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</row>
    <row r="674" ht="22.5" customHeight="1">
      <c r="A674" s="145"/>
      <c r="B674" s="145" t="str">
        <f t="shared" si="1"/>
        <v/>
      </c>
      <c r="C674" s="145"/>
      <c r="D674" s="145" t="str">
        <f t="array" ref="D674">IFNA(XLOOKUP(C674,'👥 Daftar Nama Pasien'!$B$6:$B1181,'👥 Daftar Nama Pasien'!$D$6:$D1181),"")</f>
        <v/>
      </c>
      <c r="E674" s="145" t="str">
        <f t="array" ref="E674">XLOOKUP(C674,'⬇️ PEMASUKAN'!$I$5:$I1181,'⬇️ PEMASUKAN'!$K$5:$K1181,,0,-1)</f>
        <v/>
      </c>
      <c r="F674" s="145" t="str">
        <f t="shared" si="2"/>
        <v/>
      </c>
      <c r="G674" s="145" t="str">
        <f t="shared" si="3"/>
        <v/>
      </c>
      <c r="H674" s="145"/>
      <c r="I674" s="145"/>
      <c r="J674" s="145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</row>
    <row r="675" ht="22.5" customHeight="1">
      <c r="A675" s="145"/>
      <c r="B675" s="145" t="str">
        <f t="shared" si="1"/>
        <v/>
      </c>
      <c r="C675" s="145"/>
      <c r="D675" s="145" t="str">
        <f t="array" ref="D675">IFNA(XLOOKUP(C675,'👥 Daftar Nama Pasien'!$B$6:$B1181,'👥 Daftar Nama Pasien'!$D$6:$D1181),"")</f>
        <v/>
      </c>
      <c r="E675" s="145" t="str">
        <f t="array" ref="E675">XLOOKUP(C675,'⬇️ PEMASUKAN'!$I$5:$I1181,'⬇️ PEMASUKAN'!$K$5:$K1181,,0,-1)</f>
        <v/>
      </c>
      <c r="F675" s="145" t="str">
        <f t="shared" si="2"/>
        <v/>
      </c>
      <c r="G675" s="145" t="str">
        <f t="shared" si="3"/>
        <v/>
      </c>
      <c r="H675" s="145"/>
      <c r="I675" s="145"/>
      <c r="J675" s="145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</row>
    <row r="676" ht="22.5" customHeight="1">
      <c r="A676" s="145"/>
      <c r="B676" s="145" t="str">
        <f t="shared" si="1"/>
        <v/>
      </c>
      <c r="C676" s="145"/>
      <c r="D676" s="145" t="str">
        <f t="array" ref="D676">IFNA(XLOOKUP(C676,'👥 Daftar Nama Pasien'!$B$6:$B1181,'👥 Daftar Nama Pasien'!$D$6:$D1181),"")</f>
        <v/>
      </c>
      <c r="E676" s="145" t="str">
        <f t="array" ref="E676">XLOOKUP(C676,'⬇️ PEMASUKAN'!$I$5:$I1181,'⬇️ PEMASUKAN'!$K$5:$K1181,,0,-1)</f>
        <v/>
      </c>
      <c r="F676" s="145" t="str">
        <f t="shared" si="2"/>
        <v/>
      </c>
      <c r="G676" s="145" t="str">
        <f t="shared" si="3"/>
        <v/>
      </c>
      <c r="H676" s="145"/>
      <c r="I676" s="145"/>
      <c r="J676" s="145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</row>
    <row r="677" ht="22.5" customHeight="1">
      <c r="A677" s="145"/>
      <c r="B677" s="145" t="str">
        <f t="shared" si="1"/>
        <v/>
      </c>
      <c r="C677" s="145"/>
      <c r="D677" s="145" t="str">
        <f t="array" ref="D677">IFNA(XLOOKUP(C677,'👥 Daftar Nama Pasien'!$B$6:$B1181,'👥 Daftar Nama Pasien'!$D$6:$D1181),"")</f>
        <v/>
      </c>
      <c r="E677" s="145" t="str">
        <f t="array" ref="E677">XLOOKUP(C677,'⬇️ PEMASUKAN'!$I$5:$I1181,'⬇️ PEMASUKAN'!$K$5:$K1181,,0,-1)</f>
        <v/>
      </c>
      <c r="F677" s="145" t="str">
        <f t="shared" si="2"/>
        <v/>
      </c>
      <c r="G677" s="145" t="str">
        <f t="shared" si="3"/>
        <v/>
      </c>
      <c r="H677" s="145"/>
      <c r="I677" s="145"/>
      <c r="J677" s="145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</row>
    <row r="678" ht="22.5" customHeight="1">
      <c r="A678" s="145"/>
      <c r="B678" s="145" t="str">
        <f t="shared" si="1"/>
        <v/>
      </c>
      <c r="C678" s="145"/>
      <c r="D678" s="145" t="str">
        <f t="array" ref="D678">IFNA(XLOOKUP(C678,'👥 Daftar Nama Pasien'!$B$6:$B1181,'👥 Daftar Nama Pasien'!$D$6:$D1181),"")</f>
        <v/>
      </c>
      <c r="E678" s="145" t="str">
        <f t="array" ref="E678">XLOOKUP(C678,'⬇️ PEMASUKAN'!$I$5:$I1181,'⬇️ PEMASUKAN'!$K$5:$K1181,,0,-1)</f>
        <v/>
      </c>
      <c r="F678" s="145" t="str">
        <f t="shared" si="2"/>
        <v/>
      </c>
      <c r="G678" s="145" t="str">
        <f t="shared" si="3"/>
        <v/>
      </c>
      <c r="H678" s="145"/>
      <c r="I678" s="145"/>
      <c r="J678" s="145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</row>
    <row r="679" ht="22.5" customHeight="1">
      <c r="A679" s="145"/>
      <c r="B679" s="145" t="str">
        <f t="shared" si="1"/>
        <v/>
      </c>
      <c r="C679" s="145"/>
      <c r="D679" s="145" t="str">
        <f t="array" ref="D679">IFNA(XLOOKUP(C679,'👥 Daftar Nama Pasien'!$B$6:$B1181,'👥 Daftar Nama Pasien'!$D$6:$D1181),"")</f>
        <v/>
      </c>
      <c r="E679" s="145" t="str">
        <f t="array" ref="E679">XLOOKUP(C679,'⬇️ PEMASUKAN'!$I$5:$I1181,'⬇️ PEMASUKAN'!$K$5:$K1181,,0,-1)</f>
        <v/>
      </c>
      <c r="F679" s="145" t="str">
        <f t="shared" si="2"/>
        <v/>
      </c>
      <c r="G679" s="145" t="str">
        <f t="shared" si="3"/>
        <v/>
      </c>
      <c r="H679" s="145"/>
      <c r="I679" s="145"/>
      <c r="J679" s="145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</row>
    <row r="680" ht="22.5" customHeight="1">
      <c r="A680" s="145"/>
      <c r="B680" s="145" t="str">
        <f t="shared" si="1"/>
        <v/>
      </c>
      <c r="C680" s="145"/>
      <c r="D680" s="145" t="str">
        <f t="array" ref="D680">IFNA(XLOOKUP(C680,'👥 Daftar Nama Pasien'!$B$6:$B1181,'👥 Daftar Nama Pasien'!$D$6:$D1181),"")</f>
        <v/>
      </c>
      <c r="E680" s="145" t="str">
        <f t="array" ref="E680">XLOOKUP(C680,'⬇️ PEMASUKAN'!$I$5:$I1181,'⬇️ PEMASUKAN'!$K$5:$K1181,,0,-1)</f>
        <v/>
      </c>
      <c r="F680" s="145" t="str">
        <f t="shared" si="2"/>
        <v/>
      </c>
      <c r="G680" s="145" t="str">
        <f t="shared" si="3"/>
        <v/>
      </c>
      <c r="H680" s="145"/>
      <c r="I680" s="145"/>
      <c r="J680" s="145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</row>
    <row r="681" ht="22.5" customHeight="1">
      <c r="A681" s="145"/>
      <c r="B681" s="145" t="str">
        <f t="shared" si="1"/>
        <v/>
      </c>
      <c r="C681" s="145"/>
      <c r="D681" s="145" t="str">
        <f t="array" ref="D681">IFNA(XLOOKUP(C681,'👥 Daftar Nama Pasien'!$B$6:$B1181,'👥 Daftar Nama Pasien'!$D$6:$D1181),"")</f>
        <v/>
      </c>
      <c r="E681" s="145" t="str">
        <f t="array" ref="E681">XLOOKUP(C681,'⬇️ PEMASUKAN'!$I$5:$I1181,'⬇️ PEMASUKAN'!$K$5:$K1181,,0,-1)</f>
        <v/>
      </c>
      <c r="F681" s="145" t="str">
        <f t="shared" si="2"/>
        <v/>
      </c>
      <c r="G681" s="145" t="str">
        <f t="shared" si="3"/>
        <v/>
      </c>
      <c r="H681" s="145"/>
      <c r="I681" s="145"/>
      <c r="J681" s="145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</row>
    <row r="682" ht="22.5" customHeight="1">
      <c r="A682" s="145"/>
      <c r="B682" s="145" t="str">
        <f t="shared" si="1"/>
        <v/>
      </c>
      <c r="C682" s="145"/>
      <c r="D682" s="145" t="str">
        <f t="array" ref="D682">IFNA(XLOOKUP(C682,'👥 Daftar Nama Pasien'!$B$6:$B1181,'👥 Daftar Nama Pasien'!$D$6:$D1181),"")</f>
        <v/>
      </c>
      <c r="E682" s="145" t="str">
        <f t="array" ref="E682">XLOOKUP(C682,'⬇️ PEMASUKAN'!$I$5:$I1181,'⬇️ PEMASUKAN'!$K$5:$K1181,,0,-1)</f>
        <v/>
      </c>
      <c r="F682" s="145" t="str">
        <f t="shared" si="2"/>
        <v/>
      </c>
      <c r="G682" s="145" t="str">
        <f t="shared" si="3"/>
        <v/>
      </c>
      <c r="H682" s="145"/>
      <c r="I682" s="145"/>
      <c r="J682" s="145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</row>
    <row r="683" ht="22.5" customHeight="1">
      <c r="A683" s="145"/>
      <c r="B683" s="145" t="str">
        <f t="shared" si="1"/>
        <v/>
      </c>
      <c r="C683" s="145"/>
      <c r="D683" s="145" t="str">
        <f t="array" ref="D683">IFNA(XLOOKUP(C683,'👥 Daftar Nama Pasien'!$B$6:$B1181,'👥 Daftar Nama Pasien'!$D$6:$D1181),"")</f>
        <v/>
      </c>
      <c r="E683" s="145" t="str">
        <f t="array" ref="E683">XLOOKUP(C683,'⬇️ PEMASUKAN'!$I$5:$I1181,'⬇️ PEMASUKAN'!$K$5:$K1181,,0,-1)</f>
        <v/>
      </c>
      <c r="F683" s="145" t="str">
        <f t="shared" si="2"/>
        <v/>
      </c>
      <c r="G683" s="145" t="str">
        <f t="shared" si="3"/>
        <v/>
      </c>
      <c r="H683" s="145"/>
      <c r="I683" s="145"/>
      <c r="J683" s="145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</row>
    <row r="684" ht="22.5" customHeight="1">
      <c r="A684" s="145"/>
      <c r="B684" s="145" t="str">
        <f t="shared" si="1"/>
        <v/>
      </c>
      <c r="C684" s="145"/>
      <c r="D684" s="145" t="str">
        <f t="array" ref="D684">IFNA(XLOOKUP(C684,'👥 Daftar Nama Pasien'!$B$6:$B1181,'👥 Daftar Nama Pasien'!$D$6:$D1181),"")</f>
        <v/>
      </c>
      <c r="E684" s="145" t="str">
        <f t="array" ref="E684">XLOOKUP(C684,'⬇️ PEMASUKAN'!$I$5:$I1181,'⬇️ PEMASUKAN'!$K$5:$K1181,,0,-1)</f>
        <v/>
      </c>
      <c r="F684" s="145" t="str">
        <f t="shared" si="2"/>
        <v/>
      </c>
      <c r="G684" s="145" t="str">
        <f t="shared" si="3"/>
        <v/>
      </c>
      <c r="H684" s="145"/>
      <c r="I684" s="145"/>
      <c r="J684" s="145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</row>
    <row r="685" ht="22.5" customHeight="1">
      <c r="A685" s="145"/>
      <c r="B685" s="145" t="str">
        <f t="shared" si="1"/>
        <v/>
      </c>
      <c r="C685" s="145"/>
      <c r="D685" s="145" t="str">
        <f t="array" ref="D685">IFNA(XLOOKUP(C685,'👥 Daftar Nama Pasien'!$B$6:$B1181,'👥 Daftar Nama Pasien'!$D$6:$D1181),"")</f>
        <v/>
      </c>
      <c r="E685" s="145" t="str">
        <f t="array" ref="E685">XLOOKUP(C685,'⬇️ PEMASUKAN'!$I$5:$I1181,'⬇️ PEMASUKAN'!$K$5:$K1181,,0,-1)</f>
        <v/>
      </c>
      <c r="F685" s="145" t="str">
        <f t="shared" si="2"/>
        <v/>
      </c>
      <c r="G685" s="145" t="str">
        <f t="shared" si="3"/>
        <v/>
      </c>
      <c r="H685" s="145"/>
      <c r="I685" s="145"/>
      <c r="J685" s="145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</row>
    <row r="686" ht="22.5" customHeight="1">
      <c r="A686" s="145"/>
      <c r="B686" s="145" t="str">
        <f t="shared" si="1"/>
        <v/>
      </c>
      <c r="C686" s="145"/>
      <c r="D686" s="145" t="str">
        <f t="array" ref="D686">IFNA(XLOOKUP(C686,'👥 Daftar Nama Pasien'!$B$6:$B1181,'👥 Daftar Nama Pasien'!$D$6:$D1181),"")</f>
        <v/>
      </c>
      <c r="E686" s="145" t="str">
        <f t="array" ref="E686">XLOOKUP(C686,'⬇️ PEMASUKAN'!$I$5:$I1181,'⬇️ PEMASUKAN'!$K$5:$K1181,,0,-1)</f>
        <v/>
      </c>
      <c r="F686" s="145" t="str">
        <f t="shared" si="2"/>
        <v/>
      </c>
      <c r="G686" s="145" t="str">
        <f t="shared" si="3"/>
        <v/>
      </c>
      <c r="H686" s="145"/>
      <c r="I686" s="145"/>
      <c r="J686" s="145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</row>
    <row r="687" ht="22.5" customHeight="1">
      <c r="A687" s="145"/>
      <c r="B687" s="145" t="str">
        <f t="shared" si="1"/>
        <v/>
      </c>
      <c r="C687" s="145"/>
      <c r="D687" s="145" t="str">
        <f t="array" ref="D687">IFNA(XLOOKUP(C687,'👥 Daftar Nama Pasien'!$B$6:$B1181,'👥 Daftar Nama Pasien'!$D$6:$D1181),"")</f>
        <v/>
      </c>
      <c r="E687" s="145" t="str">
        <f t="array" ref="E687">XLOOKUP(C687,'⬇️ PEMASUKAN'!$I$5:$I1181,'⬇️ PEMASUKAN'!$K$5:$K1181,,0,-1)</f>
        <v/>
      </c>
      <c r="F687" s="145" t="str">
        <f t="shared" si="2"/>
        <v/>
      </c>
      <c r="G687" s="145" t="str">
        <f t="shared" si="3"/>
        <v/>
      </c>
      <c r="H687" s="145"/>
      <c r="I687" s="145"/>
      <c r="J687" s="145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</row>
    <row r="688" ht="22.5" customHeight="1">
      <c r="A688" s="145"/>
      <c r="B688" s="145" t="str">
        <f t="shared" si="1"/>
        <v/>
      </c>
      <c r="C688" s="145"/>
      <c r="D688" s="145" t="str">
        <f t="array" ref="D688">IFNA(XLOOKUP(C688,'👥 Daftar Nama Pasien'!$B$6:$B1181,'👥 Daftar Nama Pasien'!$D$6:$D1181),"")</f>
        <v/>
      </c>
      <c r="E688" s="145" t="str">
        <f t="array" ref="E688">XLOOKUP(C688,'⬇️ PEMASUKAN'!$I$5:$I1181,'⬇️ PEMASUKAN'!$K$5:$K1181,,0,-1)</f>
        <v/>
      </c>
      <c r="F688" s="145" t="str">
        <f t="shared" si="2"/>
        <v/>
      </c>
      <c r="G688" s="145" t="str">
        <f t="shared" si="3"/>
        <v/>
      </c>
      <c r="H688" s="145"/>
      <c r="I688" s="145"/>
      <c r="J688" s="145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</row>
    <row r="689" ht="22.5" customHeight="1">
      <c r="A689" s="145"/>
      <c r="B689" s="145" t="str">
        <f t="shared" si="1"/>
        <v/>
      </c>
      <c r="C689" s="145"/>
      <c r="D689" s="145" t="str">
        <f t="array" ref="D689">IFNA(XLOOKUP(C689,'👥 Daftar Nama Pasien'!$B$6:$B1181,'👥 Daftar Nama Pasien'!$D$6:$D1181),"")</f>
        <v/>
      </c>
      <c r="E689" s="145" t="str">
        <f t="array" ref="E689">XLOOKUP(C689,'⬇️ PEMASUKAN'!$I$5:$I1181,'⬇️ PEMASUKAN'!$K$5:$K1181,,0,-1)</f>
        <v/>
      </c>
      <c r="F689" s="145" t="str">
        <f t="shared" si="2"/>
        <v/>
      </c>
      <c r="G689" s="145" t="str">
        <f t="shared" si="3"/>
        <v/>
      </c>
      <c r="H689" s="145"/>
      <c r="I689" s="145"/>
      <c r="J689" s="145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</row>
    <row r="690" ht="22.5" customHeight="1">
      <c r="A690" s="145"/>
      <c r="B690" s="145" t="str">
        <f t="shared" si="1"/>
        <v/>
      </c>
      <c r="C690" s="145"/>
      <c r="D690" s="145" t="str">
        <f t="array" ref="D690">IFNA(XLOOKUP(C690,'👥 Daftar Nama Pasien'!$B$6:$B1181,'👥 Daftar Nama Pasien'!$D$6:$D1181),"")</f>
        <v/>
      </c>
      <c r="E690" s="145" t="str">
        <f t="array" ref="E690">XLOOKUP(C690,'⬇️ PEMASUKAN'!$I$5:$I1181,'⬇️ PEMASUKAN'!$K$5:$K1181,,0,-1)</f>
        <v/>
      </c>
      <c r="F690" s="145" t="str">
        <f t="shared" si="2"/>
        <v/>
      </c>
      <c r="G690" s="145" t="str">
        <f t="shared" si="3"/>
        <v/>
      </c>
      <c r="H690" s="145"/>
      <c r="I690" s="145"/>
      <c r="J690" s="145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</row>
    <row r="691" ht="22.5" customHeight="1">
      <c r="A691" s="145"/>
      <c r="B691" s="145" t="str">
        <f t="shared" si="1"/>
        <v/>
      </c>
      <c r="C691" s="145"/>
      <c r="D691" s="145" t="str">
        <f t="array" ref="D691">IFNA(XLOOKUP(C691,'👥 Daftar Nama Pasien'!$B$6:$B1181,'👥 Daftar Nama Pasien'!$D$6:$D1181),"")</f>
        <v/>
      </c>
      <c r="E691" s="145" t="str">
        <f t="array" ref="E691">XLOOKUP(C691,'⬇️ PEMASUKAN'!$I$5:$I1181,'⬇️ PEMASUKAN'!$K$5:$K1181,,0,-1)</f>
        <v/>
      </c>
      <c r="F691" s="145" t="str">
        <f t="shared" si="2"/>
        <v/>
      </c>
      <c r="G691" s="145" t="str">
        <f t="shared" si="3"/>
        <v/>
      </c>
      <c r="H691" s="145"/>
      <c r="I691" s="145"/>
      <c r="J691" s="145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</row>
    <row r="692" ht="22.5" customHeight="1">
      <c r="A692" s="145"/>
      <c r="B692" s="145" t="str">
        <f t="shared" si="1"/>
        <v/>
      </c>
      <c r="C692" s="145"/>
      <c r="D692" s="145" t="str">
        <f t="array" ref="D692">IFNA(XLOOKUP(C692,'👥 Daftar Nama Pasien'!$B$6:$B1181,'👥 Daftar Nama Pasien'!$D$6:$D1181),"")</f>
        <v/>
      </c>
      <c r="E692" s="145" t="str">
        <f t="array" ref="E692">XLOOKUP(C692,'⬇️ PEMASUKAN'!$I$5:$I1181,'⬇️ PEMASUKAN'!$K$5:$K1181,,0,-1)</f>
        <v/>
      </c>
      <c r="F692" s="145" t="str">
        <f t="shared" si="2"/>
        <v/>
      </c>
      <c r="G692" s="145" t="str">
        <f t="shared" si="3"/>
        <v/>
      </c>
      <c r="H692" s="145"/>
      <c r="I692" s="145"/>
      <c r="J692" s="145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</row>
    <row r="693" ht="22.5" customHeight="1">
      <c r="A693" s="145"/>
      <c r="B693" s="145" t="str">
        <f t="shared" si="1"/>
        <v/>
      </c>
      <c r="C693" s="145"/>
      <c r="D693" s="145" t="str">
        <f t="array" ref="D693">IFNA(XLOOKUP(C693,'👥 Daftar Nama Pasien'!$B$6:$B1181,'👥 Daftar Nama Pasien'!$D$6:$D1181),"")</f>
        <v/>
      </c>
      <c r="E693" s="145" t="str">
        <f t="array" ref="E693">XLOOKUP(C693,'⬇️ PEMASUKAN'!$I$5:$I1181,'⬇️ PEMASUKAN'!$K$5:$K1181,,0,-1)</f>
        <v/>
      </c>
      <c r="F693" s="145" t="str">
        <f t="shared" si="2"/>
        <v/>
      </c>
      <c r="G693" s="145" t="str">
        <f t="shared" si="3"/>
        <v/>
      </c>
      <c r="H693" s="145"/>
      <c r="I693" s="145"/>
      <c r="J693" s="145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</row>
    <row r="694" ht="22.5" customHeight="1">
      <c r="A694" s="145"/>
      <c r="B694" s="145" t="str">
        <f t="shared" si="1"/>
        <v/>
      </c>
      <c r="C694" s="145"/>
      <c r="D694" s="145" t="str">
        <f t="array" ref="D694">IFNA(XLOOKUP(C694,'👥 Daftar Nama Pasien'!$B$6:$B1181,'👥 Daftar Nama Pasien'!$D$6:$D1181),"")</f>
        <v/>
      </c>
      <c r="E694" s="145" t="str">
        <f t="array" ref="E694">XLOOKUP(C694,'⬇️ PEMASUKAN'!$I$5:$I1181,'⬇️ PEMASUKAN'!$K$5:$K1181,,0,-1)</f>
        <v/>
      </c>
      <c r="F694" s="145" t="str">
        <f t="shared" si="2"/>
        <v/>
      </c>
      <c r="G694" s="145" t="str">
        <f t="shared" si="3"/>
        <v/>
      </c>
      <c r="H694" s="145"/>
      <c r="I694" s="145"/>
      <c r="J694" s="145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</row>
    <row r="695" ht="22.5" customHeight="1">
      <c r="A695" s="145"/>
      <c r="B695" s="145" t="str">
        <f t="shared" si="1"/>
        <v/>
      </c>
      <c r="C695" s="145"/>
      <c r="D695" s="145" t="str">
        <f t="array" ref="D695">IFNA(XLOOKUP(C695,'👥 Daftar Nama Pasien'!$B$6:$B1181,'👥 Daftar Nama Pasien'!$D$6:$D1181),"")</f>
        <v/>
      </c>
      <c r="E695" s="145" t="str">
        <f t="array" ref="E695">XLOOKUP(C695,'⬇️ PEMASUKAN'!$I$5:$I1181,'⬇️ PEMASUKAN'!$K$5:$K1181,,0,-1)</f>
        <v/>
      </c>
      <c r="F695" s="145" t="str">
        <f t="shared" si="2"/>
        <v/>
      </c>
      <c r="G695" s="145" t="str">
        <f t="shared" si="3"/>
        <v/>
      </c>
      <c r="H695" s="145"/>
      <c r="I695" s="145"/>
      <c r="J695" s="145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</row>
    <row r="696" ht="22.5" customHeight="1">
      <c r="A696" s="145"/>
      <c r="B696" s="145" t="str">
        <f t="shared" si="1"/>
        <v/>
      </c>
      <c r="C696" s="145"/>
      <c r="D696" s="145" t="str">
        <f t="array" ref="D696">IFNA(XLOOKUP(C696,'👥 Daftar Nama Pasien'!$B$6:$B1181,'👥 Daftar Nama Pasien'!$D$6:$D1181),"")</f>
        <v/>
      </c>
      <c r="E696" s="145" t="str">
        <f t="array" ref="E696">XLOOKUP(C696,'⬇️ PEMASUKAN'!$I$5:$I1181,'⬇️ PEMASUKAN'!$K$5:$K1181,,0,-1)</f>
        <v/>
      </c>
      <c r="F696" s="145" t="str">
        <f t="shared" si="2"/>
        <v/>
      </c>
      <c r="G696" s="145" t="str">
        <f t="shared" si="3"/>
        <v/>
      </c>
      <c r="H696" s="145"/>
      <c r="I696" s="145"/>
      <c r="J696" s="145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</row>
    <row r="697" ht="22.5" customHeight="1">
      <c r="A697" s="145"/>
      <c r="B697" s="145" t="str">
        <f t="shared" si="1"/>
        <v/>
      </c>
      <c r="C697" s="145"/>
      <c r="D697" s="145" t="str">
        <f t="array" ref="D697">IFNA(XLOOKUP(C697,'👥 Daftar Nama Pasien'!$B$6:$B1181,'👥 Daftar Nama Pasien'!$D$6:$D1181),"")</f>
        <v/>
      </c>
      <c r="E697" s="145" t="str">
        <f t="array" ref="E697">XLOOKUP(C697,'⬇️ PEMASUKAN'!$I$5:$I1181,'⬇️ PEMASUKAN'!$K$5:$K1181,,0,-1)</f>
        <v/>
      </c>
      <c r="F697" s="145" t="str">
        <f t="shared" si="2"/>
        <v/>
      </c>
      <c r="G697" s="145" t="str">
        <f t="shared" si="3"/>
        <v/>
      </c>
      <c r="H697" s="145"/>
      <c r="I697" s="145"/>
      <c r="J697" s="145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</row>
    <row r="698" ht="22.5" customHeight="1">
      <c r="A698" s="145"/>
      <c r="B698" s="145" t="str">
        <f t="shared" si="1"/>
        <v/>
      </c>
      <c r="C698" s="145"/>
      <c r="D698" s="145" t="str">
        <f t="array" ref="D698">IFNA(XLOOKUP(C698,'👥 Daftar Nama Pasien'!$B$6:$B1181,'👥 Daftar Nama Pasien'!$D$6:$D1181),"")</f>
        <v/>
      </c>
      <c r="E698" s="145" t="str">
        <f t="array" ref="E698">XLOOKUP(C698,'⬇️ PEMASUKAN'!$I$5:$I1181,'⬇️ PEMASUKAN'!$K$5:$K1181,,0,-1)</f>
        <v/>
      </c>
      <c r="F698" s="145" t="str">
        <f t="shared" si="2"/>
        <v/>
      </c>
      <c r="G698" s="145" t="str">
        <f t="shared" si="3"/>
        <v/>
      </c>
      <c r="H698" s="145"/>
      <c r="I698" s="145"/>
      <c r="J698" s="145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</row>
    <row r="699" ht="22.5" customHeight="1">
      <c r="A699" s="145"/>
      <c r="B699" s="145" t="str">
        <f t="shared" si="1"/>
        <v/>
      </c>
      <c r="C699" s="145"/>
      <c r="D699" s="145" t="str">
        <f t="array" ref="D699">IFNA(XLOOKUP(C699,'👥 Daftar Nama Pasien'!$B$6:$B1181,'👥 Daftar Nama Pasien'!$D$6:$D1181),"")</f>
        <v/>
      </c>
      <c r="E699" s="145" t="str">
        <f t="array" ref="E699">XLOOKUP(C699,'⬇️ PEMASUKAN'!$I$5:$I1181,'⬇️ PEMASUKAN'!$K$5:$K1181,,0,-1)</f>
        <v/>
      </c>
      <c r="F699" s="145" t="str">
        <f t="shared" si="2"/>
        <v/>
      </c>
      <c r="G699" s="145" t="str">
        <f t="shared" si="3"/>
        <v/>
      </c>
      <c r="H699" s="145"/>
      <c r="I699" s="145"/>
      <c r="J699" s="145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</row>
    <row r="700" ht="22.5" customHeight="1">
      <c r="A700" s="145"/>
      <c r="B700" s="145" t="str">
        <f t="shared" si="1"/>
        <v/>
      </c>
      <c r="C700" s="145"/>
      <c r="D700" s="145" t="str">
        <f t="array" ref="D700">IFNA(XLOOKUP(C700,'👥 Daftar Nama Pasien'!$B$6:$B1181,'👥 Daftar Nama Pasien'!$D$6:$D1181),"")</f>
        <v/>
      </c>
      <c r="E700" s="145" t="str">
        <f t="array" ref="E700">XLOOKUP(C700,'⬇️ PEMASUKAN'!$I$5:$I1181,'⬇️ PEMASUKAN'!$K$5:$K1181,,0,-1)</f>
        <v/>
      </c>
      <c r="F700" s="145" t="str">
        <f t="shared" si="2"/>
        <v/>
      </c>
      <c r="G700" s="145" t="str">
        <f t="shared" si="3"/>
        <v/>
      </c>
      <c r="H700" s="145"/>
      <c r="I700" s="145"/>
      <c r="J700" s="145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</row>
    <row r="701" ht="22.5" customHeight="1">
      <c r="A701" s="145"/>
      <c r="B701" s="145" t="str">
        <f t="shared" si="1"/>
        <v/>
      </c>
      <c r="C701" s="145"/>
      <c r="D701" s="145" t="str">
        <f t="array" ref="D701">IFNA(XLOOKUP(C701,'👥 Daftar Nama Pasien'!$B$6:$B1181,'👥 Daftar Nama Pasien'!$D$6:$D1181),"")</f>
        <v/>
      </c>
      <c r="E701" s="145" t="str">
        <f t="array" ref="E701">XLOOKUP(C701,'⬇️ PEMASUKAN'!$I$5:$I1181,'⬇️ PEMASUKAN'!$K$5:$K1181,,0,-1)</f>
        <v/>
      </c>
      <c r="F701" s="145" t="str">
        <f t="shared" si="2"/>
        <v/>
      </c>
      <c r="G701" s="145" t="str">
        <f t="shared" si="3"/>
        <v/>
      </c>
      <c r="H701" s="145"/>
      <c r="I701" s="145"/>
      <c r="J701" s="145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</row>
    <row r="702" ht="22.5" customHeight="1">
      <c r="A702" s="145"/>
      <c r="B702" s="145" t="str">
        <f t="shared" si="1"/>
        <v/>
      </c>
      <c r="C702" s="145"/>
      <c r="D702" s="145" t="str">
        <f t="array" ref="D702">IFNA(XLOOKUP(C702,'👥 Daftar Nama Pasien'!$B$6:$B1181,'👥 Daftar Nama Pasien'!$D$6:$D1181),"")</f>
        <v/>
      </c>
      <c r="E702" s="145" t="str">
        <f t="array" ref="E702">XLOOKUP(C702,'⬇️ PEMASUKAN'!$I$5:$I1181,'⬇️ PEMASUKAN'!$K$5:$K1181,,0,-1)</f>
        <v/>
      </c>
      <c r="F702" s="145" t="str">
        <f t="shared" si="2"/>
        <v/>
      </c>
      <c r="G702" s="145" t="str">
        <f t="shared" si="3"/>
        <v/>
      </c>
      <c r="H702" s="145"/>
      <c r="I702" s="145"/>
      <c r="J702" s="145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</row>
    <row r="703" ht="22.5" customHeight="1">
      <c r="A703" s="145"/>
      <c r="B703" s="145" t="str">
        <f t="shared" si="1"/>
        <v/>
      </c>
      <c r="C703" s="145"/>
      <c r="D703" s="145" t="str">
        <f t="array" ref="D703">IFNA(XLOOKUP(C703,'👥 Daftar Nama Pasien'!$B$6:$B1181,'👥 Daftar Nama Pasien'!$D$6:$D1181),"")</f>
        <v/>
      </c>
      <c r="E703" s="145" t="str">
        <f t="array" ref="E703">XLOOKUP(C703,'⬇️ PEMASUKAN'!$I$5:$I1181,'⬇️ PEMASUKAN'!$K$5:$K1181,,0,-1)</f>
        <v/>
      </c>
      <c r="F703" s="145" t="str">
        <f t="shared" si="2"/>
        <v/>
      </c>
      <c r="G703" s="145" t="str">
        <f t="shared" si="3"/>
        <v/>
      </c>
      <c r="H703" s="145"/>
      <c r="I703" s="145"/>
      <c r="J703" s="145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</row>
    <row r="704" ht="22.5" customHeight="1">
      <c r="A704" s="145"/>
      <c r="B704" s="145" t="str">
        <f t="shared" si="1"/>
        <v/>
      </c>
      <c r="C704" s="145"/>
      <c r="D704" s="145" t="str">
        <f t="array" ref="D704">IFNA(XLOOKUP(C704,'👥 Daftar Nama Pasien'!$B$6:$B1181,'👥 Daftar Nama Pasien'!$D$6:$D1181),"")</f>
        <v/>
      </c>
      <c r="E704" s="145" t="str">
        <f t="array" ref="E704">XLOOKUP(C704,'⬇️ PEMASUKAN'!$I$5:$I1181,'⬇️ PEMASUKAN'!$K$5:$K1181,,0,-1)</f>
        <v/>
      </c>
      <c r="F704" s="145" t="str">
        <f t="shared" si="2"/>
        <v/>
      </c>
      <c r="G704" s="145" t="str">
        <f t="shared" si="3"/>
        <v/>
      </c>
      <c r="H704" s="145"/>
      <c r="I704" s="145"/>
      <c r="J704" s="145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</row>
    <row r="705" ht="22.5" customHeight="1">
      <c r="A705" s="145"/>
      <c r="B705" s="145" t="str">
        <f t="shared" si="1"/>
        <v/>
      </c>
      <c r="C705" s="145"/>
      <c r="D705" s="145" t="str">
        <f t="array" ref="D705">IFNA(XLOOKUP(C705,'👥 Daftar Nama Pasien'!$B$6:$B1181,'👥 Daftar Nama Pasien'!$D$6:$D1181),"")</f>
        <v/>
      </c>
      <c r="E705" s="145" t="str">
        <f t="array" ref="E705">XLOOKUP(C705,'⬇️ PEMASUKAN'!$I$5:$I1181,'⬇️ PEMASUKAN'!$K$5:$K1181,,0,-1)</f>
        <v/>
      </c>
      <c r="F705" s="145" t="str">
        <f t="shared" si="2"/>
        <v/>
      </c>
      <c r="G705" s="145" t="str">
        <f t="shared" si="3"/>
        <v/>
      </c>
      <c r="H705" s="145"/>
      <c r="I705" s="145"/>
      <c r="J705" s="145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</row>
    <row r="706" ht="22.5" customHeight="1">
      <c r="A706" s="145"/>
      <c r="B706" s="145" t="str">
        <f t="shared" si="1"/>
        <v/>
      </c>
      <c r="C706" s="145"/>
      <c r="D706" s="145" t="str">
        <f t="array" ref="D706">IFNA(XLOOKUP(C706,'👥 Daftar Nama Pasien'!$B$6:$B1181,'👥 Daftar Nama Pasien'!$D$6:$D1181),"")</f>
        <v/>
      </c>
      <c r="E706" s="145" t="str">
        <f t="array" ref="E706">XLOOKUP(C706,'⬇️ PEMASUKAN'!$I$5:$I1181,'⬇️ PEMASUKAN'!$K$5:$K1181,,0,-1)</f>
        <v/>
      </c>
      <c r="F706" s="145" t="str">
        <f t="shared" si="2"/>
        <v/>
      </c>
      <c r="G706" s="145" t="str">
        <f t="shared" si="3"/>
        <v/>
      </c>
      <c r="H706" s="145"/>
      <c r="I706" s="145"/>
      <c r="J706" s="145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</row>
    <row r="707" ht="22.5" customHeight="1">
      <c r="A707" s="145"/>
      <c r="B707" s="145" t="str">
        <f t="shared" si="1"/>
        <v/>
      </c>
      <c r="C707" s="145"/>
      <c r="D707" s="145" t="str">
        <f t="array" ref="D707">IFNA(XLOOKUP(C707,'👥 Daftar Nama Pasien'!$B$6:$B1181,'👥 Daftar Nama Pasien'!$D$6:$D1181),"")</f>
        <v/>
      </c>
      <c r="E707" s="145" t="str">
        <f t="array" ref="E707">XLOOKUP(C707,'⬇️ PEMASUKAN'!$I$5:$I1181,'⬇️ PEMASUKAN'!$K$5:$K1181,,0,-1)</f>
        <v/>
      </c>
      <c r="F707" s="145" t="str">
        <f t="shared" si="2"/>
        <v/>
      </c>
      <c r="G707" s="145" t="str">
        <f t="shared" si="3"/>
        <v/>
      </c>
      <c r="H707" s="145"/>
      <c r="I707" s="145"/>
      <c r="J707" s="145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</row>
    <row r="708" ht="22.5" customHeight="1">
      <c r="A708" s="145"/>
      <c r="B708" s="145" t="str">
        <f t="shared" si="1"/>
        <v/>
      </c>
      <c r="C708" s="145"/>
      <c r="D708" s="145" t="str">
        <f t="array" ref="D708">IFNA(XLOOKUP(C708,'👥 Daftar Nama Pasien'!$B$6:$B1181,'👥 Daftar Nama Pasien'!$D$6:$D1181),"")</f>
        <v/>
      </c>
      <c r="E708" s="145" t="str">
        <f t="array" ref="E708">XLOOKUP(C708,'⬇️ PEMASUKAN'!$I$5:$I1181,'⬇️ PEMASUKAN'!$K$5:$K1181,,0,-1)</f>
        <v/>
      </c>
      <c r="F708" s="145" t="str">
        <f t="shared" si="2"/>
        <v/>
      </c>
      <c r="G708" s="145" t="str">
        <f t="shared" si="3"/>
        <v/>
      </c>
      <c r="H708" s="145"/>
      <c r="I708" s="145"/>
      <c r="J708" s="145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</row>
    <row r="709" ht="22.5" customHeight="1">
      <c r="A709" s="145"/>
      <c r="B709" s="145" t="str">
        <f t="shared" si="1"/>
        <v/>
      </c>
      <c r="C709" s="145"/>
      <c r="D709" s="145" t="str">
        <f t="array" ref="D709">IFNA(XLOOKUP(C709,'👥 Daftar Nama Pasien'!$B$6:$B1181,'👥 Daftar Nama Pasien'!$D$6:$D1181),"")</f>
        <v/>
      </c>
      <c r="E709" s="145" t="str">
        <f t="array" ref="E709">XLOOKUP(C709,'⬇️ PEMASUKAN'!$I$5:$I1181,'⬇️ PEMASUKAN'!$K$5:$K1181,,0,-1)</f>
        <v/>
      </c>
      <c r="F709" s="145" t="str">
        <f t="shared" si="2"/>
        <v/>
      </c>
      <c r="G709" s="145" t="str">
        <f t="shared" si="3"/>
        <v/>
      </c>
      <c r="H709" s="145"/>
      <c r="I709" s="145"/>
      <c r="J709" s="145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</row>
    <row r="710" ht="22.5" customHeight="1">
      <c r="A710" s="145"/>
      <c r="B710" s="145" t="str">
        <f t="shared" si="1"/>
        <v/>
      </c>
      <c r="C710" s="145"/>
      <c r="D710" s="145" t="str">
        <f t="array" ref="D710">IFNA(XLOOKUP(C710,'👥 Daftar Nama Pasien'!$B$6:$B1181,'👥 Daftar Nama Pasien'!$D$6:$D1181),"")</f>
        <v/>
      </c>
      <c r="E710" s="145" t="str">
        <f t="array" ref="E710">XLOOKUP(C710,'⬇️ PEMASUKAN'!$I$5:$I1181,'⬇️ PEMASUKAN'!$K$5:$K1181,,0,-1)</f>
        <v/>
      </c>
      <c r="F710" s="145" t="str">
        <f t="shared" si="2"/>
        <v/>
      </c>
      <c r="G710" s="145" t="str">
        <f t="shared" si="3"/>
        <v/>
      </c>
      <c r="H710" s="145"/>
      <c r="I710" s="145"/>
      <c r="J710" s="145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</row>
    <row r="711" ht="22.5" customHeight="1">
      <c r="A711" s="145"/>
      <c r="B711" s="145" t="str">
        <f t="shared" si="1"/>
        <v/>
      </c>
      <c r="C711" s="145"/>
      <c r="D711" s="145" t="str">
        <f t="array" ref="D711">IFNA(XLOOKUP(C711,'👥 Daftar Nama Pasien'!$B$6:$B1181,'👥 Daftar Nama Pasien'!$D$6:$D1181),"")</f>
        <v/>
      </c>
      <c r="E711" s="145" t="str">
        <f t="array" ref="E711">XLOOKUP(C711,'⬇️ PEMASUKAN'!$I$5:$I1181,'⬇️ PEMASUKAN'!$K$5:$K1181,,0,-1)</f>
        <v/>
      </c>
      <c r="F711" s="145" t="str">
        <f t="shared" si="2"/>
        <v/>
      </c>
      <c r="G711" s="145" t="str">
        <f t="shared" si="3"/>
        <v/>
      </c>
      <c r="H711" s="145"/>
      <c r="I711" s="145"/>
      <c r="J711" s="145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</row>
    <row r="712" ht="22.5" customHeight="1">
      <c r="A712" s="145"/>
      <c r="B712" s="145" t="str">
        <f t="shared" si="1"/>
        <v/>
      </c>
      <c r="C712" s="145"/>
      <c r="D712" s="145" t="str">
        <f t="array" ref="D712">IFNA(XLOOKUP(C712,'👥 Daftar Nama Pasien'!$B$6:$B1181,'👥 Daftar Nama Pasien'!$D$6:$D1181),"")</f>
        <v/>
      </c>
      <c r="E712" s="145" t="str">
        <f t="array" ref="E712">XLOOKUP(C712,'⬇️ PEMASUKAN'!$I$5:$I1181,'⬇️ PEMASUKAN'!$K$5:$K1181,,0,-1)</f>
        <v/>
      </c>
      <c r="F712" s="145" t="str">
        <f t="shared" si="2"/>
        <v/>
      </c>
      <c r="G712" s="145" t="str">
        <f t="shared" si="3"/>
        <v/>
      </c>
      <c r="H712" s="145"/>
      <c r="I712" s="145"/>
      <c r="J712" s="145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</row>
    <row r="713" ht="22.5" customHeight="1">
      <c r="A713" s="145"/>
      <c r="B713" s="145" t="str">
        <f t="shared" si="1"/>
        <v/>
      </c>
      <c r="C713" s="145"/>
      <c r="D713" s="145" t="str">
        <f t="array" ref="D713">IFNA(XLOOKUP(C713,'👥 Daftar Nama Pasien'!$B$6:$B1181,'👥 Daftar Nama Pasien'!$D$6:$D1181),"")</f>
        <v/>
      </c>
      <c r="E713" s="145" t="str">
        <f t="array" ref="E713">XLOOKUP(C713,'⬇️ PEMASUKAN'!$I$5:$I1181,'⬇️ PEMASUKAN'!$K$5:$K1181,,0,-1)</f>
        <v/>
      </c>
      <c r="F713" s="145" t="str">
        <f t="shared" si="2"/>
        <v/>
      </c>
      <c r="G713" s="145" t="str">
        <f t="shared" si="3"/>
        <v/>
      </c>
      <c r="H713" s="145"/>
      <c r="I713" s="145"/>
      <c r="J713" s="145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</row>
    <row r="714" ht="22.5" customHeight="1">
      <c r="A714" s="145"/>
      <c r="B714" s="145" t="str">
        <f t="shared" si="1"/>
        <v/>
      </c>
      <c r="C714" s="145"/>
      <c r="D714" s="145" t="str">
        <f t="array" ref="D714">IFNA(XLOOKUP(C714,'👥 Daftar Nama Pasien'!$B$6:$B1181,'👥 Daftar Nama Pasien'!$D$6:$D1181),"")</f>
        <v/>
      </c>
      <c r="E714" s="145" t="str">
        <f t="array" ref="E714">XLOOKUP(C714,'⬇️ PEMASUKAN'!$I$5:$I1181,'⬇️ PEMASUKAN'!$K$5:$K1181,,0,-1)</f>
        <v/>
      </c>
      <c r="F714" s="145" t="str">
        <f t="shared" si="2"/>
        <v/>
      </c>
      <c r="G714" s="145" t="str">
        <f t="shared" si="3"/>
        <v/>
      </c>
      <c r="H714" s="145"/>
      <c r="I714" s="145"/>
      <c r="J714" s="145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</row>
    <row r="715" ht="22.5" customHeight="1">
      <c r="A715" s="145"/>
      <c r="B715" s="145" t="str">
        <f t="shared" si="1"/>
        <v/>
      </c>
      <c r="C715" s="145"/>
      <c r="D715" s="145" t="str">
        <f t="array" ref="D715">IFNA(XLOOKUP(C715,'👥 Daftar Nama Pasien'!$B$6:$B1181,'👥 Daftar Nama Pasien'!$D$6:$D1181),"")</f>
        <v/>
      </c>
      <c r="E715" s="145" t="str">
        <f t="array" ref="E715">XLOOKUP(C715,'⬇️ PEMASUKAN'!$I$5:$I1181,'⬇️ PEMASUKAN'!$K$5:$K1181,,0,-1)</f>
        <v/>
      </c>
      <c r="F715" s="145" t="str">
        <f t="shared" si="2"/>
        <v/>
      </c>
      <c r="G715" s="145" t="str">
        <f t="shared" si="3"/>
        <v/>
      </c>
      <c r="H715" s="145"/>
      <c r="I715" s="145"/>
      <c r="J715" s="145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</row>
    <row r="716" ht="22.5" customHeight="1">
      <c r="A716" s="145"/>
      <c r="B716" s="145" t="str">
        <f t="shared" si="1"/>
        <v/>
      </c>
      <c r="C716" s="145"/>
      <c r="D716" s="145" t="str">
        <f t="array" ref="D716">IFNA(XLOOKUP(C716,'👥 Daftar Nama Pasien'!$B$6:$B1181,'👥 Daftar Nama Pasien'!$D$6:$D1181),"")</f>
        <v/>
      </c>
      <c r="E716" s="145" t="str">
        <f t="array" ref="E716">XLOOKUP(C716,'⬇️ PEMASUKAN'!$I$5:$I1181,'⬇️ PEMASUKAN'!$K$5:$K1181,,0,-1)</f>
        <v/>
      </c>
      <c r="F716" s="145" t="str">
        <f t="shared" si="2"/>
        <v/>
      </c>
      <c r="G716" s="145" t="str">
        <f t="shared" si="3"/>
        <v/>
      </c>
      <c r="H716" s="145"/>
      <c r="I716" s="145"/>
      <c r="J716" s="145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</row>
    <row r="717" ht="22.5" customHeight="1">
      <c r="A717" s="145"/>
      <c r="B717" s="145" t="str">
        <f t="shared" si="1"/>
        <v/>
      </c>
      <c r="C717" s="145"/>
      <c r="D717" s="145" t="str">
        <f t="array" ref="D717">IFNA(XLOOKUP(C717,'👥 Daftar Nama Pasien'!$B$6:$B1181,'👥 Daftar Nama Pasien'!$D$6:$D1181),"")</f>
        <v/>
      </c>
      <c r="E717" s="145" t="str">
        <f t="array" ref="E717">XLOOKUP(C717,'⬇️ PEMASUKAN'!$I$5:$I1181,'⬇️ PEMASUKAN'!$K$5:$K1181,,0,-1)</f>
        <v/>
      </c>
      <c r="F717" s="145" t="str">
        <f t="shared" si="2"/>
        <v/>
      </c>
      <c r="G717" s="145" t="str">
        <f t="shared" si="3"/>
        <v/>
      </c>
      <c r="H717" s="145"/>
      <c r="I717" s="145"/>
      <c r="J717" s="145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</row>
    <row r="718" ht="22.5" customHeight="1">
      <c r="A718" s="145"/>
      <c r="B718" s="145" t="str">
        <f t="shared" si="1"/>
        <v/>
      </c>
      <c r="C718" s="145"/>
      <c r="D718" s="145" t="str">
        <f t="array" ref="D718">IFNA(XLOOKUP(C718,'👥 Daftar Nama Pasien'!$B$6:$B1181,'👥 Daftar Nama Pasien'!$D$6:$D1181),"")</f>
        <v/>
      </c>
      <c r="E718" s="145" t="str">
        <f t="array" ref="E718">XLOOKUP(C718,'⬇️ PEMASUKAN'!$I$5:$I1181,'⬇️ PEMASUKAN'!$K$5:$K1181,,0,-1)</f>
        <v/>
      </c>
      <c r="F718" s="145" t="str">
        <f t="shared" si="2"/>
        <v/>
      </c>
      <c r="G718" s="145" t="str">
        <f t="shared" si="3"/>
        <v/>
      </c>
      <c r="H718" s="145"/>
      <c r="I718" s="145"/>
      <c r="J718" s="145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</row>
    <row r="719" ht="22.5" customHeight="1">
      <c r="A719" s="145"/>
      <c r="B719" s="145" t="str">
        <f t="shared" si="1"/>
        <v/>
      </c>
      <c r="C719" s="145"/>
      <c r="D719" s="145" t="str">
        <f t="array" ref="D719">IFNA(XLOOKUP(C719,'👥 Daftar Nama Pasien'!$B$6:$B1181,'👥 Daftar Nama Pasien'!$D$6:$D1181),"")</f>
        <v/>
      </c>
      <c r="E719" s="145" t="str">
        <f t="array" ref="E719">XLOOKUP(C719,'⬇️ PEMASUKAN'!$I$5:$I1181,'⬇️ PEMASUKAN'!$K$5:$K1181,,0,-1)</f>
        <v/>
      </c>
      <c r="F719" s="145" t="str">
        <f t="shared" si="2"/>
        <v/>
      </c>
      <c r="G719" s="145" t="str">
        <f t="shared" si="3"/>
        <v/>
      </c>
      <c r="H719" s="145"/>
      <c r="I719" s="145"/>
      <c r="J719" s="145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</row>
    <row r="720" ht="22.5" customHeight="1">
      <c r="A720" s="145"/>
      <c r="B720" s="145" t="str">
        <f t="shared" si="1"/>
        <v/>
      </c>
      <c r="C720" s="145"/>
      <c r="D720" s="145" t="str">
        <f t="array" ref="D720">IFNA(XLOOKUP(C720,'👥 Daftar Nama Pasien'!$B$6:$B1181,'👥 Daftar Nama Pasien'!$D$6:$D1181),"")</f>
        <v/>
      </c>
      <c r="E720" s="145" t="str">
        <f t="array" ref="E720">XLOOKUP(C720,'⬇️ PEMASUKAN'!$I$5:$I1181,'⬇️ PEMASUKAN'!$K$5:$K1181,,0,-1)</f>
        <v/>
      </c>
      <c r="F720" s="145" t="str">
        <f t="shared" si="2"/>
        <v/>
      </c>
      <c r="G720" s="145" t="str">
        <f t="shared" si="3"/>
        <v/>
      </c>
      <c r="H720" s="145"/>
      <c r="I720" s="145"/>
      <c r="J720" s="145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</row>
    <row r="721" ht="22.5" customHeight="1">
      <c r="A721" s="145"/>
      <c r="B721" s="145" t="str">
        <f t="shared" si="1"/>
        <v/>
      </c>
      <c r="C721" s="145"/>
      <c r="D721" s="145" t="str">
        <f t="array" ref="D721">IFNA(XLOOKUP(C721,'👥 Daftar Nama Pasien'!$B$6:$B1181,'👥 Daftar Nama Pasien'!$D$6:$D1181),"")</f>
        <v/>
      </c>
      <c r="E721" s="145" t="str">
        <f t="array" ref="E721">XLOOKUP(C721,'⬇️ PEMASUKAN'!$I$5:$I1181,'⬇️ PEMASUKAN'!$K$5:$K1181,,0,-1)</f>
        <v/>
      </c>
      <c r="F721" s="145" t="str">
        <f t="shared" si="2"/>
        <v/>
      </c>
      <c r="G721" s="145" t="str">
        <f t="shared" si="3"/>
        <v/>
      </c>
      <c r="H721" s="145"/>
      <c r="I721" s="145"/>
      <c r="J721" s="145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</row>
    <row r="722" ht="22.5" customHeight="1">
      <c r="A722" s="145"/>
      <c r="B722" s="145" t="str">
        <f t="shared" si="1"/>
        <v/>
      </c>
      <c r="C722" s="145"/>
      <c r="D722" s="145" t="str">
        <f t="array" ref="D722">IFNA(XLOOKUP(C722,'👥 Daftar Nama Pasien'!$B$6:$B1181,'👥 Daftar Nama Pasien'!$D$6:$D1181),"")</f>
        <v/>
      </c>
      <c r="E722" s="145" t="str">
        <f t="array" ref="E722">XLOOKUP(C722,'⬇️ PEMASUKAN'!$I$5:$I1181,'⬇️ PEMASUKAN'!$K$5:$K1181,,0,-1)</f>
        <v/>
      </c>
      <c r="F722" s="145" t="str">
        <f t="shared" si="2"/>
        <v/>
      </c>
      <c r="G722" s="145" t="str">
        <f t="shared" si="3"/>
        <v/>
      </c>
      <c r="H722" s="145"/>
      <c r="I722" s="145"/>
      <c r="J722" s="145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</row>
    <row r="723" ht="22.5" customHeight="1">
      <c r="A723" s="145"/>
      <c r="B723" s="145" t="str">
        <f t="shared" si="1"/>
        <v/>
      </c>
      <c r="C723" s="145"/>
      <c r="D723" s="145" t="str">
        <f t="array" ref="D723">IFNA(XLOOKUP(C723,'👥 Daftar Nama Pasien'!$B$6:$B1181,'👥 Daftar Nama Pasien'!$D$6:$D1181),"")</f>
        <v/>
      </c>
      <c r="E723" s="145" t="str">
        <f t="array" ref="E723">XLOOKUP(C723,'⬇️ PEMASUKAN'!$I$5:$I1181,'⬇️ PEMASUKAN'!$K$5:$K1181,,0,-1)</f>
        <v/>
      </c>
      <c r="F723" s="145" t="str">
        <f t="shared" si="2"/>
        <v/>
      </c>
      <c r="G723" s="145" t="str">
        <f t="shared" si="3"/>
        <v/>
      </c>
      <c r="H723" s="145"/>
      <c r="I723" s="145"/>
      <c r="J723" s="145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</row>
    <row r="724" ht="22.5" customHeight="1">
      <c r="A724" s="145"/>
      <c r="B724" s="145" t="str">
        <f t="shared" si="1"/>
        <v/>
      </c>
      <c r="C724" s="145"/>
      <c r="D724" s="145" t="str">
        <f t="array" ref="D724">IFNA(XLOOKUP(C724,'👥 Daftar Nama Pasien'!$B$6:$B1181,'👥 Daftar Nama Pasien'!$D$6:$D1181),"")</f>
        <v/>
      </c>
      <c r="E724" s="145" t="str">
        <f t="array" ref="E724">XLOOKUP(C724,'⬇️ PEMASUKAN'!$I$5:$I1181,'⬇️ PEMASUKAN'!$K$5:$K1181,,0,-1)</f>
        <v/>
      </c>
      <c r="F724" s="145" t="str">
        <f t="shared" si="2"/>
        <v/>
      </c>
      <c r="G724" s="145" t="str">
        <f t="shared" si="3"/>
        <v/>
      </c>
      <c r="H724" s="145"/>
      <c r="I724" s="145"/>
      <c r="J724" s="145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</row>
    <row r="725" ht="22.5" customHeight="1">
      <c r="A725" s="145"/>
      <c r="B725" s="145" t="str">
        <f t="shared" si="1"/>
        <v/>
      </c>
      <c r="C725" s="145"/>
      <c r="D725" s="145" t="str">
        <f t="array" ref="D725">IFNA(XLOOKUP(C725,'👥 Daftar Nama Pasien'!$B$6:$B1181,'👥 Daftar Nama Pasien'!$D$6:$D1181),"")</f>
        <v/>
      </c>
      <c r="E725" s="145" t="str">
        <f t="array" ref="E725">XLOOKUP(C725,'⬇️ PEMASUKAN'!$I$5:$I1181,'⬇️ PEMASUKAN'!$K$5:$K1181,,0,-1)</f>
        <v/>
      </c>
      <c r="F725" s="145" t="str">
        <f t="shared" si="2"/>
        <v/>
      </c>
      <c r="G725" s="145" t="str">
        <f t="shared" si="3"/>
        <v/>
      </c>
      <c r="H725" s="145"/>
      <c r="I725" s="145"/>
      <c r="J725" s="145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</row>
    <row r="726" ht="22.5" customHeight="1">
      <c r="A726" s="145"/>
      <c r="B726" s="145" t="str">
        <f t="shared" si="1"/>
        <v/>
      </c>
      <c r="C726" s="145"/>
      <c r="D726" s="145" t="str">
        <f t="array" ref="D726">IFNA(XLOOKUP(C726,'👥 Daftar Nama Pasien'!$B$6:$B1181,'👥 Daftar Nama Pasien'!$D$6:$D1181),"")</f>
        <v/>
      </c>
      <c r="E726" s="145" t="str">
        <f t="array" ref="E726">XLOOKUP(C726,'⬇️ PEMASUKAN'!$I$5:$I1181,'⬇️ PEMASUKAN'!$K$5:$K1181,,0,-1)</f>
        <v/>
      </c>
      <c r="F726" s="145" t="str">
        <f t="shared" si="2"/>
        <v/>
      </c>
      <c r="G726" s="145" t="str">
        <f t="shared" si="3"/>
        <v/>
      </c>
      <c r="H726" s="145"/>
      <c r="I726" s="145"/>
      <c r="J726" s="145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</row>
    <row r="727" ht="22.5" customHeight="1">
      <c r="A727" s="145"/>
      <c r="B727" s="145" t="str">
        <f t="shared" si="1"/>
        <v/>
      </c>
      <c r="C727" s="145"/>
      <c r="D727" s="145" t="str">
        <f t="array" ref="D727">IFNA(XLOOKUP(C727,'👥 Daftar Nama Pasien'!$B$6:$B1181,'👥 Daftar Nama Pasien'!$D$6:$D1181),"")</f>
        <v/>
      </c>
      <c r="E727" s="145" t="str">
        <f t="array" ref="E727">XLOOKUP(C727,'⬇️ PEMASUKAN'!$I$5:$I1181,'⬇️ PEMASUKAN'!$K$5:$K1181,,0,-1)</f>
        <v/>
      </c>
      <c r="F727" s="145" t="str">
        <f t="shared" si="2"/>
        <v/>
      </c>
      <c r="G727" s="145" t="str">
        <f t="shared" si="3"/>
        <v/>
      </c>
      <c r="H727" s="145"/>
      <c r="I727" s="145"/>
      <c r="J727" s="145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</row>
    <row r="728" ht="22.5" customHeight="1">
      <c r="A728" s="145"/>
      <c r="B728" s="145" t="str">
        <f t="shared" si="1"/>
        <v/>
      </c>
      <c r="C728" s="145"/>
      <c r="D728" s="145" t="str">
        <f t="array" ref="D728">IFNA(XLOOKUP(C728,'👥 Daftar Nama Pasien'!$B$6:$B1181,'👥 Daftar Nama Pasien'!$D$6:$D1181),"")</f>
        <v/>
      </c>
      <c r="E728" s="145" t="str">
        <f t="array" ref="E728">XLOOKUP(C728,'⬇️ PEMASUKAN'!$I$5:$I1181,'⬇️ PEMASUKAN'!$K$5:$K1181,,0,-1)</f>
        <v/>
      </c>
      <c r="F728" s="145" t="str">
        <f t="shared" si="2"/>
        <v/>
      </c>
      <c r="G728" s="145" t="str">
        <f t="shared" si="3"/>
        <v/>
      </c>
      <c r="H728" s="145"/>
      <c r="I728" s="145"/>
      <c r="J728" s="145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</row>
    <row r="729" ht="22.5" customHeight="1">
      <c r="A729" s="145"/>
      <c r="B729" s="145" t="str">
        <f t="shared" si="1"/>
        <v/>
      </c>
      <c r="C729" s="145"/>
      <c r="D729" s="145" t="str">
        <f t="array" ref="D729">IFNA(XLOOKUP(C729,'👥 Daftar Nama Pasien'!$B$6:$B1181,'👥 Daftar Nama Pasien'!$D$6:$D1181),"")</f>
        <v/>
      </c>
      <c r="E729" s="145" t="str">
        <f t="array" ref="E729">XLOOKUP(C729,'⬇️ PEMASUKAN'!$I$5:$I1181,'⬇️ PEMASUKAN'!$K$5:$K1181,,0,-1)</f>
        <v/>
      </c>
      <c r="F729" s="145" t="str">
        <f t="shared" si="2"/>
        <v/>
      </c>
      <c r="G729" s="145" t="str">
        <f t="shared" si="3"/>
        <v/>
      </c>
      <c r="H729" s="145"/>
      <c r="I729" s="145"/>
      <c r="J729" s="145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</row>
    <row r="730" ht="22.5" customHeight="1">
      <c r="A730" s="145"/>
      <c r="B730" s="145" t="str">
        <f t="shared" si="1"/>
        <v/>
      </c>
      <c r="C730" s="145"/>
      <c r="D730" s="145" t="str">
        <f t="array" ref="D730">IFNA(XLOOKUP(C730,'👥 Daftar Nama Pasien'!$B$6:$B1181,'👥 Daftar Nama Pasien'!$D$6:$D1181),"")</f>
        <v/>
      </c>
      <c r="E730" s="145" t="str">
        <f t="array" ref="E730">XLOOKUP(C730,'⬇️ PEMASUKAN'!$I$5:$I1181,'⬇️ PEMASUKAN'!$K$5:$K1181,,0,-1)</f>
        <v/>
      </c>
      <c r="F730" s="145" t="str">
        <f t="shared" si="2"/>
        <v/>
      </c>
      <c r="G730" s="145" t="str">
        <f t="shared" si="3"/>
        <v/>
      </c>
      <c r="H730" s="145"/>
      <c r="I730" s="145"/>
      <c r="J730" s="145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</row>
    <row r="731" ht="22.5" customHeight="1">
      <c r="A731" s="145"/>
      <c r="B731" s="145" t="str">
        <f t="shared" si="1"/>
        <v/>
      </c>
      <c r="C731" s="145"/>
      <c r="D731" s="145" t="str">
        <f t="array" ref="D731">IFNA(XLOOKUP(C731,'👥 Daftar Nama Pasien'!$B$6:$B1181,'👥 Daftar Nama Pasien'!$D$6:$D1181),"")</f>
        <v/>
      </c>
      <c r="E731" s="145" t="str">
        <f t="array" ref="E731">XLOOKUP(C731,'⬇️ PEMASUKAN'!$I$5:$I1181,'⬇️ PEMASUKAN'!$K$5:$K1181,,0,-1)</f>
        <v/>
      </c>
      <c r="F731" s="145" t="str">
        <f t="shared" si="2"/>
        <v/>
      </c>
      <c r="G731" s="145" t="str">
        <f t="shared" si="3"/>
        <v/>
      </c>
      <c r="H731" s="145"/>
      <c r="I731" s="145"/>
      <c r="J731" s="145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</row>
    <row r="732" ht="22.5" customHeight="1">
      <c r="A732" s="145"/>
      <c r="B732" s="145" t="str">
        <f t="shared" si="1"/>
        <v/>
      </c>
      <c r="C732" s="145"/>
      <c r="D732" s="145" t="str">
        <f t="array" ref="D732">IFNA(XLOOKUP(C732,'👥 Daftar Nama Pasien'!$B$6:$B1181,'👥 Daftar Nama Pasien'!$D$6:$D1181),"")</f>
        <v/>
      </c>
      <c r="E732" s="145" t="str">
        <f t="array" ref="E732">XLOOKUP(C732,'⬇️ PEMASUKAN'!$I$5:$I1181,'⬇️ PEMASUKAN'!$K$5:$K1181,,0,-1)</f>
        <v/>
      </c>
      <c r="F732" s="145" t="str">
        <f t="shared" si="2"/>
        <v/>
      </c>
      <c r="G732" s="145" t="str">
        <f t="shared" si="3"/>
        <v/>
      </c>
      <c r="H732" s="145"/>
      <c r="I732" s="145"/>
      <c r="J732" s="145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</row>
    <row r="733" ht="22.5" customHeight="1">
      <c r="A733" s="145"/>
      <c r="B733" s="145" t="str">
        <f t="shared" si="1"/>
        <v/>
      </c>
      <c r="C733" s="145"/>
      <c r="D733" s="145" t="str">
        <f t="array" ref="D733">IFNA(XLOOKUP(C733,'👥 Daftar Nama Pasien'!$B$6:$B1181,'👥 Daftar Nama Pasien'!$D$6:$D1181),"")</f>
        <v/>
      </c>
      <c r="E733" s="145" t="str">
        <f t="array" ref="E733">XLOOKUP(C733,'⬇️ PEMASUKAN'!$I$5:$I1181,'⬇️ PEMASUKAN'!$K$5:$K1181,,0,-1)</f>
        <v/>
      </c>
      <c r="F733" s="145" t="str">
        <f t="shared" si="2"/>
        <v/>
      </c>
      <c r="G733" s="145" t="str">
        <f t="shared" si="3"/>
        <v/>
      </c>
      <c r="H733" s="145"/>
      <c r="I733" s="145"/>
      <c r="J733" s="145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</row>
    <row r="734" ht="22.5" customHeight="1">
      <c r="A734" s="145"/>
      <c r="B734" s="145" t="str">
        <f t="shared" si="1"/>
        <v/>
      </c>
      <c r="C734" s="145"/>
      <c r="D734" s="145" t="str">
        <f t="array" ref="D734">IFNA(XLOOKUP(C734,'👥 Daftar Nama Pasien'!$B$6:$B1181,'👥 Daftar Nama Pasien'!$D$6:$D1181),"")</f>
        <v/>
      </c>
      <c r="E734" s="145" t="str">
        <f t="array" ref="E734">XLOOKUP(C734,'⬇️ PEMASUKAN'!$I$5:$I1181,'⬇️ PEMASUKAN'!$K$5:$K1181,,0,-1)</f>
        <v/>
      </c>
      <c r="F734" s="145" t="str">
        <f t="shared" si="2"/>
        <v/>
      </c>
      <c r="G734" s="145" t="str">
        <f t="shared" si="3"/>
        <v/>
      </c>
      <c r="H734" s="145"/>
      <c r="I734" s="145"/>
      <c r="J734" s="145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</row>
    <row r="735" ht="22.5" customHeight="1">
      <c r="A735" s="145"/>
      <c r="B735" s="145" t="str">
        <f t="shared" si="1"/>
        <v/>
      </c>
      <c r="C735" s="145"/>
      <c r="D735" s="145" t="str">
        <f t="array" ref="D735">IFNA(XLOOKUP(C735,'👥 Daftar Nama Pasien'!$B$6:$B1181,'👥 Daftar Nama Pasien'!$D$6:$D1181),"")</f>
        <v/>
      </c>
      <c r="E735" s="145" t="str">
        <f t="array" ref="E735">XLOOKUP(C735,'⬇️ PEMASUKAN'!$I$5:$I1181,'⬇️ PEMASUKAN'!$K$5:$K1181,,0,-1)</f>
        <v/>
      </c>
      <c r="F735" s="145" t="str">
        <f t="shared" si="2"/>
        <v/>
      </c>
      <c r="G735" s="145" t="str">
        <f t="shared" si="3"/>
        <v/>
      </c>
      <c r="H735" s="145"/>
      <c r="I735" s="145"/>
      <c r="J735" s="145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</row>
    <row r="736" ht="22.5" customHeight="1">
      <c r="A736" s="145"/>
      <c r="B736" s="145" t="str">
        <f t="shared" si="1"/>
        <v/>
      </c>
      <c r="C736" s="145"/>
      <c r="D736" s="145" t="str">
        <f t="array" ref="D736">IFNA(XLOOKUP(C736,'👥 Daftar Nama Pasien'!$B$6:$B1181,'👥 Daftar Nama Pasien'!$D$6:$D1181),"")</f>
        <v/>
      </c>
      <c r="E736" s="145" t="str">
        <f t="array" ref="E736">XLOOKUP(C736,'⬇️ PEMASUKAN'!$I$5:$I1181,'⬇️ PEMASUKAN'!$K$5:$K1181,,0,-1)</f>
        <v/>
      </c>
      <c r="F736" s="145" t="str">
        <f t="shared" si="2"/>
        <v/>
      </c>
      <c r="G736" s="145" t="str">
        <f t="shared" si="3"/>
        <v/>
      </c>
      <c r="H736" s="145"/>
      <c r="I736" s="145"/>
      <c r="J736" s="145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</row>
    <row r="737" ht="22.5" customHeight="1">
      <c r="A737" s="145"/>
      <c r="B737" s="145" t="str">
        <f t="shared" si="1"/>
        <v/>
      </c>
      <c r="C737" s="145"/>
      <c r="D737" s="145" t="str">
        <f t="array" ref="D737">IFNA(XLOOKUP(C737,'👥 Daftar Nama Pasien'!$B$6:$B1181,'👥 Daftar Nama Pasien'!$D$6:$D1181),"")</f>
        <v/>
      </c>
      <c r="E737" s="145" t="str">
        <f t="array" ref="E737">XLOOKUP(C737,'⬇️ PEMASUKAN'!$I$5:$I1181,'⬇️ PEMASUKAN'!$K$5:$K1181,,0,-1)</f>
        <v/>
      </c>
      <c r="F737" s="145" t="str">
        <f t="shared" si="2"/>
        <v/>
      </c>
      <c r="G737" s="145" t="str">
        <f t="shared" si="3"/>
        <v/>
      </c>
      <c r="H737" s="145"/>
      <c r="I737" s="145"/>
      <c r="J737" s="145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</row>
    <row r="738" ht="22.5" customHeight="1">
      <c r="A738" s="145"/>
      <c r="B738" s="145" t="str">
        <f t="shared" si="1"/>
        <v/>
      </c>
      <c r="C738" s="145"/>
      <c r="D738" s="145" t="str">
        <f t="array" ref="D738">IFNA(XLOOKUP(C738,'👥 Daftar Nama Pasien'!$B$6:$B1181,'👥 Daftar Nama Pasien'!$D$6:$D1181),"")</f>
        <v/>
      </c>
      <c r="E738" s="145" t="str">
        <f t="array" ref="E738">XLOOKUP(C738,'⬇️ PEMASUKAN'!$I$5:$I1181,'⬇️ PEMASUKAN'!$K$5:$K1181,,0,-1)</f>
        <v/>
      </c>
      <c r="F738" s="145" t="str">
        <f t="shared" si="2"/>
        <v/>
      </c>
      <c r="G738" s="145" t="str">
        <f t="shared" si="3"/>
        <v/>
      </c>
      <c r="H738" s="145"/>
      <c r="I738" s="145"/>
      <c r="J738" s="145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</row>
    <row r="739" ht="22.5" customHeight="1">
      <c r="A739" s="145"/>
      <c r="B739" s="145" t="str">
        <f t="shared" si="1"/>
        <v/>
      </c>
      <c r="C739" s="145"/>
      <c r="D739" s="145" t="str">
        <f t="array" ref="D739">IFNA(XLOOKUP(C739,'👥 Daftar Nama Pasien'!$B$6:$B1181,'👥 Daftar Nama Pasien'!$D$6:$D1181),"")</f>
        <v/>
      </c>
      <c r="E739" s="145" t="str">
        <f t="array" ref="E739">XLOOKUP(C739,'⬇️ PEMASUKAN'!$I$5:$I1181,'⬇️ PEMASUKAN'!$K$5:$K1181,,0,-1)</f>
        <v/>
      </c>
      <c r="F739" s="145" t="str">
        <f t="shared" si="2"/>
        <v/>
      </c>
      <c r="G739" s="145" t="str">
        <f t="shared" si="3"/>
        <v/>
      </c>
      <c r="H739" s="145"/>
      <c r="I739" s="145"/>
      <c r="J739" s="145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</row>
    <row r="740" ht="22.5" customHeight="1">
      <c r="A740" s="145"/>
      <c r="B740" s="145" t="str">
        <f t="shared" si="1"/>
        <v/>
      </c>
      <c r="C740" s="145"/>
      <c r="D740" s="145" t="str">
        <f t="array" ref="D740">IFNA(XLOOKUP(C740,'👥 Daftar Nama Pasien'!$B$6:$B1181,'👥 Daftar Nama Pasien'!$D$6:$D1181),"")</f>
        <v/>
      </c>
      <c r="E740" s="145" t="str">
        <f t="array" ref="E740">XLOOKUP(C740,'⬇️ PEMASUKAN'!$I$5:$I1181,'⬇️ PEMASUKAN'!$K$5:$K1181,,0,-1)</f>
        <v/>
      </c>
      <c r="F740" s="145" t="str">
        <f t="shared" si="2"/>
        <v/>
      </c>
      <c r="G740" s="145" t="str">
        <f t="shared" si="3"/>
        <v/>
      </c>
      <c r="H740" s="145"/>
      <c r="I740" s="145"/>
      <c r="J740" s="145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</row>
    <row r="741" ht="22.5" customHeight="1">
      <c r="A741" s="145"/>
      <c r="B741" s="145" t="str">
        <f t="shared" si="1"/>
        <v/>
      </c>
      <c r="C741" s="145"/>
      <c r="D741" s="145" t="str">
        <f t="array" ref="D741">IFNA(XLOOKUP(C741,'👥 Daftar Nama Pasien'!$B$6:$B1181,'👥 Daftar Nama Pasien'!$D$6:$D1181),"")</f>
        <v/>
      </c>
      <c r="E741" s="145" t="str">
        <f t="array" ref="E741">XLOOKUP(C741,'⬇️ PEMASUKAN'!$I$5:$I1181,'⬇️ PEMASUKAN'!$K$5:$K1181,,0,-1)</f>
        <v/>
      </c>
      <c r="F741" s="145" t="str">
        <f t="shared" si="2"/>
        <v/>
      </c>
      <c r="G741" s="145" t="str">
        <f t="shared" si="3"/>
        <v/>
      </c>
      <c r="H741" s="145"/>
      <c r="I741" s="145"/>
      <c r="J741" s="145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</row>
    <row r="742" ht="22.5" customHeight="1">
      <c r="A742" s="145"/>
      <c r="B742" s="145" t="str">
        <f t="shared" si="1"/>
        <v/>
      </c>
      <c r="C742" s="145"/>
      <c r="D742" s="145" t="str">
        <f t="array" ref="D742">IFNA(XLOOKUP(C742,'👥 Daftar Nama Pasien'!$B$6:$B1181,'👥 Daftar Nama Pasien'!$D$6:$D1181),"")</f>
        <v/>
      </c>
      <c r="E742" s="145" t="str">
        <f t="array" ref="E742">XLOOKUP(C742,'⬇️ PEMASUKAN'!$I$5:$I1181,'⬇️ PEMASUKAN'!$K$5:$K1181,,0,-1)</f>
        <v/>
      </c>
      <c r="F742" s="145" t="str">
        <f t="shared" si="2"/>
        <v/>
      </c>
      <c r="G742" s="145" t="str">
        <f t="shared" si="3"/>
        <v/>
      </c>
      <c r="H742" s="145"/>
      <c r="I742" s="145"/>
      <c r="J742" s="145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</row>
    <row r="743" ht="22.5" customHeight="1">
      <c r="A743" s="145"/>
      <c r="B743" s="145" t="str">
        <f t="shared" si="1"/>
        <v/>
      </c>
      <c r="C743" s="145"/>
      <c r="D743" s="145" t="str">
        <f t="array" ref="D743">IFNA(XLOOKUP(C743,'👥 Daftar Nama Pasien'!$B$6:$B1181,'👥 Daftar Nama Pasien'!$D$6:$D1181),"")</f>
        <v/>
      </c>
      <c r="E743" s="145" t="str">
        <f t="array" ref="E743">XLOOKUP(C743,'⬇️ PEMASUKAN'!$I$5:$I1181,'⬇️ PEMASUKAN'!$K$5:$K1181,,0,-1)</f>
        <v/>
      </c>
      <c r="F743" s="145" t="str">
        <f t="shared" si="2"/>
        <v/>
      </c>
      <c r="G743" s="145" t="str">
        <f t="shared" si="3"/>
        <v/>
      </c>
      <c r="H743" s="145"/>
      <c r="I743" s="145"/>
      <c r="J743" s="145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</row>
    <row r="744" ht="22.5" customHeight="1">
      <c r="A744" s="145"/>
      <c r="B744" s="145" t="str">
        <f t="shared" si="1"/>
        <v/>
      </c>
      <c r="C744" s="145"/>
      <c r="D744" s="145" t="str">
        <f t="array" ref="D744">IFNA(XLOOKUP(C744,'👥 Daftar Nama Pasien'!$B$6:$B1181,'👥 Daftar Nama Pasien'!$D$6:$D1181),"")</f>
        <v/>
      </c>
      <c r="E744" s="145" t="str">
        <f t="array" ref="E744">XLOOKUP(C744,'⬇️ PEMASUKAN'!$I$5:$I1181,'⬇️ PEMASUKAN'!$K$5:$K1181,,0,-1)</f>
        <v/>
      </c>
      <c r="F744" s="145" t="str">
        <f t="shared" si="2"/>
        <v/>
      </c>
      <c r="G744" s="145" t="str">
        <f t="shared" si="3"/>
        <v/>
      </c>
      <c r="H744" s="145"/>
      <c r="I744" s="145"/>
      <c r="J744" s="145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</row>
    <row r="745" ht="22.5" customHeight="1">
      <c r="A745" s="145"/>
      <c r="B745" s="145" t="str">
        <f t="shared" si="1"/>
        <v/>
      </c>
      <c r="C745" s="145"/>
      <c r="D745" s="145" t="str">
        <f t="array" ref="D745">IFNA(XLOOKUP(C745,'👥 Daftar Nama Pasien'!$B$6:$B1181,'👥 Daftar Nama Pasien'!$D$6:$D1181),"")</f>
        <v/>
      </c>
      <c r="E745" s="145" t="str">
        <f t="array" ref="E745">XLOOKUP(C745,'⬇️ PEMASUKAN'!$I$5:$I1181,'⬇️ PEMASUKAN'!$K$5:$K1181,,0,-1)</f>
        <v/>
      </c>
      <c r="F745" s="145" t="str">
        <f t="shared" si="2"/>
        <v/>
      </c>
      <c r="G745" s="145" t="str">
        <f t="shared" si="3"/>
        <v/>
      </c>
      <c r="H745" s="145"/>
      <c r="I745" s="145"/>
      <c r="J745" s="145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</row>
    <row r="746" ht="22.5" customHeight="1">
      <c r="A746" s="145"/>
      <c r="B746" s="145" t="str">
        <f t="shared" si="1"/>
        <v/>
      </c>
      <c r="C746" s="145"/>
      <c r="D746" s="145" t="str">
        <f t="array" ref="D746">IFNA(XLOOKUP(C746,'👥 Daftar Nama Pasien'!$B$6:$B1181,'👥 Daftar Nama Pasien'!$D$6:$D1181),"")</f>
        <v/>
      </c>
      <c r="E746" s="145" t="str">
        <f t="array" ref="E746">XLOOKUP(C746,'⬇️ PEMASUKAN'!$I$5:$I1181,'⬇️ PEMASUKAN'!$K$5:$K1181,,0,-1)</f>
        <v/>
      </c>
      <c r="F746" s="145" t="str">
        <f t="shared" si="2"/>
        <v/>
      </c>
      <c r="G746" s="145" t="str">
        <f t="shared" si="3"/>
        <v/>
      </c>
      <c r="H746" s="145"/>
      <c r="I746" s="145"/>
      <c r="J746" s="145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</row>
    <row r="747" ht="22.5" customHeight="1">
      <c r="A747" s="145"/>
      <c r="B747" s="145" t="str">
        <f t="shared" si="1"/>
        <v/>
      </c>
      <c r="C747" s="145"/>
      <c r="D747" s="145" t="str">
        <f t="array" ref="D747">IFNA(XLOOKUP(C747,'👥 Daftar Nama Pasien'!$B$6:$B1181,'👥 Daftar Nama Pasien'!$D$6:$D1181),"")</f>
        <v/>
      </c>
      <c r="E747" s="145" t="str">
        <f t="array" ref="E747">XLOOKUP(C747,'⬇️ PEMASUKAN'!$I$5:$I1181,'⬇️ PEMASUKAN'!$K$5:$K1181,,0,-1)</f>
        <v/>
      </c>
      <c r="F747" s="145" t="str">
        <f t="shared" si="2"/>
        <v/>
      </c>
      <c r="G747" s="145" t="str">
        <f t="shared" si="3"/>
        <v/>
      </c>
      <c r="H747" s="145"/>
      <c r="I747" s="145"/>
      <c r="J747" s="145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</row>
    <row r="748" ht="22.5" customHeight="1">
      <c r="A748" s="145"/>
      <c r="B748" s="145" t="str">
        <f t="shared" si="1"/>
        <v/>
      </c>
      <c r="C748" s="145"/>
      <c r="D748" s="145" t="str">
        <f t="array" ref="D748">IFNA(XLOOKUP(C748,'👥 Daftar Nama Pasien'!$B$6:$B1181,'👥 Daftar Nama Pasien'!$D$6:$D1181),"")</f>
        <v/>
      </c>
      <c r="E748" s="145" t="str">
        <f t="array" ref="E748">XLOOKUP(C748,'⬇️ PEMASUKAN'!$I$5:$I1181,'⬇️ PEMASUKAN'!$K$5:$K1181,,0,-1)</f>
        <v/>
      </c>
      <c r="F748" s="145" t="str">
        <f t="shared" si="2"/>
        <v/>
      </c>
      <c r="G748" s="145" t="str">
        <f t="shared" si="3"/>
        <v/>
      </c>
      <c r="H748" s="145"/>
      <c r="I748" s="145"/>
      <c r="J748" s="145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</row>
    <row r="749" ht="22.5" customHeight="1">
      <c r="A749" s="145"/>
      <c r="B749" s="145" t="str">
        <f t="shared" si="1"/>
        <v/>
      </c>
      <c r="C749" s="145"/>
      <c r="D749" s="145" t="str">
        <f t="array" ref="D749">IFNA(XLOOKUP(C749,'👥 Daftar Nama Pasien'!$B$6:$B1181,'👥 Daftar Nama Pasien'!$D$6:$D1181),"")</f>
        <v/>
      </c>
      <c r="E749" s="145" t="str">
        <f t="array" ref="E749">XLOOKUP(C749,'⬇️ PEMASUKAN'!$I$5:$I1181,'⬇️ PEMASUKAN'!$K$5:$K1181,,0,-1)</f>
        <v/>
      </c>
      <c r="F749" s="145" t="str">
        <f t="shared" si="2"/>
        <v/>
      </c>
      <c r="G749" s="145" t="str">
        <f t="shared" si="3"/>
        <v/>
      </c>
      <c r="H749" s="145"/>
      <c r="I749" s="145"/>
      <c r="J749" s="145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</row>
    <row r="750" ht="22.5" customHeight="1">
      <c r="A750" s="145"/>
      <c r="B750" s="145" t="str">
        <f t="shared" si="1"/>
        <v/>
      </c>
      <c r="C750" s="145"/>
      <c r="D750" s="145" t="str">
        <f t="array" ref="D750">IFNA(XLOOKUP(C750,'👥 Daftar Nama Pasien'!$B$6:$B1181,'👥 Daftar Nama Pasien'!$D$6:$D1181),"")</f>
        <v/>
      </c>
      <c r="E750" s="145" t="str">
        <f t="array" ref="E750">XLOOKUP(C750,'⬇️ PEMASUKAN'!$I$5:$I1181,'⬇️ PEMASUKAN'!$K$5:$K1181,,0,-1)</f>
        <v/>
      </c>
      <c r="F750" s="145" t="str">
        <f t="shared" si="2"/>
        <v/>
      </c>
      <c r="G750" s="145" t="str">
        <f t="shared" si="3"/>
        <v/>
      </c>
      <c r="H750" s="145"/>
      <c r="I750" s="145"/>
      <c r="J750" s="145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</row>
    <row r="751" ht="22.5" customHeight="1">
      <c r="A751" s="145"/>
      <c r="B751" s="145" t="str">
        <f t="shared" si="1"/>
        <v/>
      </c>
      <c r="C751" s="145"/>
      <c r="D751" s="145" t="str">
        <f t="array" ref="D751">IFNA(XLOOKUP(C751,'👥 Daftar Nama Pasien'!$B$6:$B1181,'👥 Daftar Nama Pasien'!$D$6:$D1181),"")</f>
        <v/>
      </c>
      <c r="E751" s="145" t="str">
        <f t="array" ref="E751">XLOOKUP(C751,'⬇️ PEMASUKAN'!$I$5:$I1181,'⬇️ PEMASUKAN'!$K$5:$K1181,,0,-1)</f>
        <v/>
      </c>
      <c r="F751" s="145" t="str">
        <f t="shared" si="2"/>
        <v/>
      </c>
      <c r="G751" s="145" t="str">
        <f t="shared" si="3"/>
        <v/>
      </c>
      <c r="H751" s="145"/>
      <c r="I751" s="145"/>
      <c r="J751" s="145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</row>
    <row r="752" ht="22.5" customHeight="1">
      <c r="A752" s="145"/>
      <c r="B752" s="145" t="str">
        <f t="shared" si="1"/>
        <v/>
      </c>
      <c r="C752" s="145"/>
      <c r="D752" s="145" t="str">
        <f t="array" ref="D752">IFNA(XLOOKUP(C752,'👥 Daftar Nama Pasien'!$B$6:$B1181,'👥 Daftar Nama Pasien'!$D$6:$D1181),"")</f>
        <v/>
      </c>
      <c r="E752" s="145" t="str">
        <f t="array" ref="E752">XLOOKUP(C752,'⬇️ PEMASUKAN'!$I$5:$I1181,'⬇️ PEMASUKAN'!$K$5:$K1181,,0,-1)</f>
        <v/>
      </c>
      <c r="F752" s="145" t="str">
        <f t="shared" si="2"/>
        <v/>
      </c>
      <c r="G752" s="145" t="str">
        <f t="shared" si="3"/>
        <v/>
      </c>
      <c r="H752" s="145"/>
      <c r="I752" s="145"/>
      <c r="J752" s="145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</row>
    <row r="753" ht="22.5" customHeight="1">
      <c r="A753" s="145"/>
      <c r="B753" s="145" t="str">
        <f t="shared" si="1"/>
        <v/>
      </c>
      <c r="C753" s="145"/>
      <c r="D753" s="145" t="str">
        <f t="array" ref="D753">IFNA(XLOOKUP(C753,'👥 Daftar Nama Pasien'!$B$6:$B1181,'👥 Daftar Nama Pasien'!$D$6:$D1181),"")</f>
        <v/>
      </c>
      <c r="E753" s="145" t="str">
        <f t="array" ref="E753">XLOOKUP(C753,'⬇️ PEMASUKAN'!$I$5:$I1181,'⬇️ PEMASUKAN'!$K$5:$K1181,,0,-1)</f>
        <v/>
      </c>
      <c r="F753" s="145" t="str">
        <f t="shared" si="2"/>
        <v/>
      </c>
      <c r="G753" s="145" t="str">
        <f t="shared" si="3"/>
        <v/>
      </c>
      <c r="H753" s="145"/>
      <c r="I753" s="145"/>
      <c r="J753" s="145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</row>
    <row r="754" ht="22.5" customHeight="1">
      <c r="A754" s="145"/>
      <c r="B754" s="145" t="str">
        <f t="shared" si="1"/>
        <v/>
      </c>
      <c r="C754" s="145"/>
      <c r="D754" s="145" t="str">
        <f t="array" ref="D754">IFNA(XLOOKUP(C754,'👥 Daftar Nama Pasien'!$B$6:$B1181,'👥 Daftar Nama Pasien'!$D$6:$D1181),"")</f>
        <v/>
      </c>
      <c r="E754" s="145" t="str">
        <f t="array" ref="E754">XLOOKUP(C754,'⬇️ PEMASUKAN'!$I$5:$I1181,'⬇️ PEMASUKAN'!$K$5:$K1181,,0,-1)</f>
        <v/>
      </c>
      <c r="F754" s="145" t="str">
        <f t="shared" si="2"/>
        <v/>
      </c>
      <c r="G754" s="145" t="str">
        <f t="shared" si="3"/>
        <v/>
      </c>
      <c r="H754" s="145"/>
      <c r="I754" s="145"/>
      <c r="J754" s="145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</row>
    <row r="755" ht="22.5" customHeight="1">
      <c r="A755" s="145"/>
      <c r="B755" s="145" t="str">
        <f t="shared" si="1"/>
        <v/>
      </c>
      <c r="C755" s="145"/>
      <c r="D755" s="145" t="str">
        <f t="array" ref="D755">IFNA(XLOOKUP(C755,'👥 Daftar Nama Pasien'!$B$6:$B1181,'👥 Daftar Nama Pasien'!$D$6:$D1181),"")</f>
        <v/>
      </c>
      <c r="E755" s="145" t="str">
        <f t="array" ref="E755">XLOOKUP(C755,'⬇️ PEMASUKAN'!$I$5:$I1181,'⬇️ PEMASUKAN'!$K$5:$K1181,,0,-1)</f>
        <v/>
      </c>
      <c r="F755" s="145" t="str">
        <f t="shared" si="2"/>
        <v/>
      </c>
      <c r="G755" s="145" t="str">
        <f t="shared" si="3"/>
        <v/>
      </c>
      <c r="H755" s="145"/>
      <c r="I755" s="145"/>
      <c r="J755" s="145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</row>
    <row r="756" ht="22.5" customHeight="1">
      <c r="A756" s="145"/>
      <c r="B756" s="145" t="str">
        <f t="shared" si="1"/>
        <v/>
      </c>
      <c r="C756" s="145"/>
      <c r="D756" s="145" t="str">
        <f t="array" ref="D756">IFNA(XLOOKUP(C756,'👥 Daftar Nama Pasien'!$B$6:$B1181,'👥 Daftar Nama Pasien'!$D$6:$D1181),"")</f>
        <v/>
      </c>
      <c r="E756" s="145" t="str">
        <f t="array" ref="E756">XLOOKUP(C756,'⬇️ PEMASUKAN'!$I$5:$I1181,'⬇️ PEMASUKAN'!$K$5:$K1181,,0,-1)</f>
        <v/>
      </c>
      <c r="F756" s="145" t="str">
        <f t="shared" si="2"/>
        <v/>
      </c>
      <c r="G756" s="145" t="str">
        <f t="shared" si="3"/>
        <v/>
      </c>
      <c r="H756" s="145"/>
      <c r="I756" s="145"/>
      <c r="J756" s="145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</row>
    <row r="757" ht="22.5" customHeight="1">
      <c r="A757" s="145"/>
      <c r="B757" s="145" t="str">
        <f t="shared" si="1"/>
        <v/>
      </c>
      <c r="C757" s="145"/>
      <c r="D757" s="145" t="str">
        <f t="array" ref="D757">IFNA(XLOOKUP(C757,'👥 Daftar Nama Pasien'!$B$6:$B1181,'👥 Daftar Nama Pasien'!$D$6:$D1181),"")</f>
        <v/>
      </c>
      <c r="E757" s="145" t="str">
        <f t="array" ref="E757">XLOOKUP(C757,'⬇️ PEMASUKAN'!$I$5:$I1181,'⬇️ PEMASUKAN'!$K$5:$K1181,,0,-1)</f>
        <v/>
      </c>
      <c r="F757" s="145" t="str">
        <f t="shared" si="2"/>
        <v/>
      </c>
      <c r="G757" s="145" t="str">
        <f t="shared" si="3"/>
        <v/>
      </c>
      <c r="H757" s="145"/>
      <c r="I757" s="145"/>
      <c r="J757" s="145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</row>
    <row r="758" ht="22.5" customHeight="1">
      <c r="A758" s="145"/>
      <c r="B758" s="145" t="str">
        <f t="shared" si="1"/>
        <v/>
      </c>
      <c r="C758" s="145"/>
      <c r="D758" s="145" t="str">
        <f t="array" ref="D758">IFNA(XLOOKUP(C758,'👥 Daftar Nama Pasien'!$B$6:$B1181,'👥 Daftar Nama Pasien'!$D$6:$D1181),"")</f>
        <v/>
      </c>
      <c r="E758" s="145" t="str">
        <f t="array" ref="E758">XLOOKUP(C758,'⬇️ PEMASUKAN'!$I$5:$I1181,'⬇️ PEMASUKAN'!$K$5:$K1181,,0,-1)</f>
        <v/>
      </c>
      <c r="F758" s="145" t="str">
        <f t="shared" si="2"/>
        <v/>
      </c>
      <c r="G758" s="145" t="str">
        <f t="shared" si="3"/>
        <v/>
      </c>
      <c r="H758" s="145"/>
      <c r="I758" s="145"/>
      <c r="J758" s="145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</row>
    <row r="759" ht="22.5" customHeight="1">
      <c r="A759" s="145"/>
      <c r="B759" s="145" t="str">
        <f t="shared" si="1"/>
        <v/>
      </c>
      <c r="C759" s="145"/>
      <c r="D759" s="145" t="str">
        <f t="array" ref="D759">IFNA(XLOOKUP(C759,'👥 Daftar Nama Pasien'!$B$6:$B1181,'👥 Daftar Nama Pasien'!$D$6:$D1181),"")</f>
        <v/>
      </c>
      <c r="E759" s="145" t="str">
        <f t="array" ref="E759">XLOOKUP(C759,'⬇️ PEMASUKAN'!$I$5:$I1181,'⬇️ PEMASUKAN'!$K$5:$K1181,,0,-1)</f>
        <v/>
      </c>
      <c r="F759" s="145" t="str">
        <f t="shared" si="2"/>
        <v/>
      </c>
      <c r="G759" s="145" t="str">
        <f t="shared" si="3"/>
        <v/>
      </c>
      <c r="H759" s="145"/>
      <c r="I759" s="145"/>
      <c r="J759" s="145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</row>
    <row r="760" ht="22.5" customHeight="1">
      <c r="A760" s="145"/>
      <c r="B760" s="145" t="str">
        <f t="shared" si="1"/>
        <v/>
      </c>
      <c r="C760" s="145"/>
      <c r="D760" s="145" t="str">
        <f t="array" ref="D760">IFNA(XLOOKUP(C760,'👥 Daftar Nama Pasien'!$B$6:$B1181,'👥 Daftar Nama Pasien'!$D$6:$D1181),"")</f>
        <v/>
      </c>
      <c r="E760" s="145" t="str">
        <f t="array" ref="E760">XLOOKUP(C760,'⬇️ PEMASUKAN'!$I$5:$I1181,'⬇️ PEMASUKAN'!$K$5:$K1181,,0,-1)</f>
        <v/>
      </c>
      <c r="F760" s="145" t="str">
        <f t="shared" si="2"/>
        <v/>
      </c>
      <c r="G760" s="145" t="str">
        <f t="shared" si="3"/>
        <v/>
      </c>
      <c r="H760" s="145"/>
      <c r="I760" s="145"/>
      <c r="J760" s="145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</row>
    <row r="761" ht="22.5" customHeight="1">
      <c r="A761" s="145"/>
      <c r="B761" s="145" t="str">
        <f t="shared" si="1"/>
        <v/>
      </c>
      <c r="C761" s="145"/>
      <c r="D761" s="145" t="str">
        <f t="array" ref="D761">IFNA(XLOOKUP(C761,'👥 Daftar Nama Pasien'!$B$6:$B1181,'👥 Daftar Nama Pasien'!$D$6:$D1181),"")</f>
        <v/>
      </c>
      <c r="E761" s="145" t="str">
        <f t="array" ref="E761">XLOOKUP(C761,'⬇️ PEMASUKAN'!$I$5:$I1181,'⬇️ PEMASUKAN'!$K$5:$K1181,,0,-1)</f>
        <v/>
      </c>
      <c r="F761" s="145" t="str">
        <f t="shared" si="2"/>
        <v/>
      </c>
      <c r="G761" s="145" t="str">
        <f t="shared" si="3"/>
        <v/>
      </c>
      <c r="H761" s="145"/>
      <c r="I761" s="145"/>
      <c r="J761" s="145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</row>
    <row r="762" ht="22.5" customHeight="1">
      <c r="A762" s="145"/>
      <c r="B762" s="145" t="str">
        <f t="shared" si="1"/>
        <v/>
      </c>
      <c r="C762" s="145"/>
      <c r="D762" s="145" t="str">
        <f t="array" ref="D762">IFNA(XLOOKUP(C762,'👥 Daftar Nama Pasien'!$B$6:$B1181,'👥 Daftar Nama Pasien'!$D$6:$D1181),"")</f>
        <v/>
      </c>
      <c r="E762" s="145" t="str">
        <f t="array" ref="E762">XLOOKUP(C762,'⬇️ PEMASUKAN'!$I$5:$I1181,'⬇️ PEMASUKAN'!$K$5:$K1181,,0,-1)</f>
        <v/>
      </c>
      <c r="F762" s="145" t="str">
        <f t="shared" si="2"/>
        <v/>
      </c>
      <c r="G762" s="145" t="str">
        <f t="shared" si="3"/>
        <v/>
      </c>
      <c r="H762" s="145"/>
      <c r="I762" s="145"/>
      <c r="J762" s="145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</row>
    <row r="763" ht="22.5" customHeight="1">
      <c r="A763" s="145"/>
      <c r="B763" s="145" t="str">
        <f t="shared" si="1"/>
        <v/>
      </c>
      <c r="C763" s="145"/>
      <c r="D763" s="145" t="str">
        <f t="array" ref="D763">IFNA(XLOOKUP(C763,'👥 Daftar Nama Pasien'!$B$6:$B1181,'👥 Daftar Nama Pasien'!$D$6:$D1181),"")</f>
        <v/>
      </c>
      <c r="E763" s="145" t="str">
        <f t="array" ref="E763">XLOOKUP(C763,'⬇️ PEMASUKAN'!$I$5:$I1181,'⬇️ PEMASUKAN'!$K$5:$K1181,,0,-1)</f>
        <v/>
      </c>
      <c r="F763" s="145" t="str">
        <f t="shared" si="2"/>
        <v/>
      </c>
      <c r="G763" s="145" t="str">
        <f t="shared" si="3"/>
        <v/>
      </c>
      <c r="H763" s="145"/>
      <c r="I763" s="145"/>
      <c r="J763" s="145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</row>
    <row r="764" ht="22.5" customHeight="1">
      <c r="A764" s="145"/>
      <c r="B764" s="145" t="str">
        <f t="shared" si="1"/>
        <v/>
      </c>
      <c r="C764" s="145"/>
      <c r="D764" s="145" t="str">
        <f t="array" ref="D764">IFNA(XLOOKUP(C764,'👥 Daftar Nama Pasien'!$B$6:$B1181,'👥 Daftar Nama Pasien'!$D$6:$D1181),"")</f>
        <v/>
      </c>
      <c r="E764" s="145" t="str">
        <f t="array" ref="E764">XLOOKUP(C764,'⬇️ PEMASUKAN'!$I$5:$I1181,'⬇️ PEMASUKAN'!$K$5:$K1181,,0,-1)</f>
        <v/>
      </c>
      <c r="F764" s="145" t="str">
        <f t="shared" si="2"/>
        <v/>
      </c>
      <c r="G764" s="145" t="str">
        <f t="shared" si="3"/>
        <v/>
      </c>
      <c r="H764" s="145"/>
      <c r="I764" s="145"/>
      <c r="J764" s="145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</row>
    <row r="765" ht="22.5" customHeight="1">
      <c r="A765" s="145"/>
      <c r="B765" s="145" t="str">
        <f t="shared" si="1"/>
        <v/>
      </c>
      <c r="C765" s="145"/>
      <c r="D765" s="145" t="str">
        <f t="array" ref="D765">IFNA(XLOOKUP(C765,'👥 Daftar Nama Pasien'!$B$6:$B1181,'👥 Daftar Nama Pasien'!$D$6:$D1181),"")</f>
        <v/>
      </c>
      <c r="E765" s="145" t="str">
        <f t="array" ref="E765">XLOOKUP(C765,'⬇️ PEMASUKAN'!$I$5:$I1181,'⬇️ PEMASUKAN'!$K$5:$K1181,,0,-1)</f>
        <v/>
      </c>
      <c r="F765" s="145" t="str">
        <f t="shared" si="2"/>
        <v/>
      </c>
      <c r="G765" s="145" t="str">
        <f t="shared" si="3"/>
        <v/>
      </c>
      <c r="H765" s="145"/>
      <c r="I765" s="145"/>
      <c r="J765" s="145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</row>
    <row r="766" ht="22.5" customHeight="1">
      <c r="A766" s="145"/>
      <c r="B766" s="145" t="str">
        <f t="shared" si="1"/>
        <v/>
      </c>
      <c r="C766" s="145"/>
      <c r="D766" s="145" t="str">
        <f t="array" ref="D766">IFNA(XLOOKUP(C766,'👥 Daftar Nama Pasien'!$B$6:$B1181,'👥 Daftar Nama Pasien'!$D$6:$D1181),"")</f>
        <v/>
      </c>
      <c r="E766" s="145" t="str">
        <f t="array" ref="E766">XLOOKUP(C766,'⬇️ PEMASUKAN'!$I$5:$I1181,'⬇️ PEMASUKAN'!$K$5:$K1181,,0,-1)</f>
        <v/>
      </c>
      <c r="F766" s="145" t="str">
        <f t="shared" si="2"/>
        <v/>
      </c>
      <c r="G766" s="145" t="str">
        <f t="shared" si="3"/>
        <v/>
      </c>
      <c r="H766" s="145"/>
      <c r="I766" s="145"/>
      <c r="J766" s="145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</row>
    <row r="767" ht="22.5" customHeight="1">
      <c r="A767" s="145"/>
      <c r="B767" s="145" t="str">
        <f t="shared" si="1"/>
        <v/>
      </c>
      <c r="C767" s="145"/>
      <c r="D767" s="145" t="str">
        <f t="array" ref="D767">IFNA(XLOOKUP(C767,'👥 Daftar Nama Pasien'!$B$6:$B1181,'👥 Daftar Nama Pasien'!$D$6:$D1181),"")</f>
        <v/>
      </c>
      <c r="E767" s="145" t="str">
        <f t="array" ref="E767">XLOOKUP(C767,'⬇️ PEMASUKAN'!$I$5:$I1181,'⬇️ PEMASUKAN'!$K$5:$K1181,,0,-1)</f>
        <v/>
      </c>
      <c r="F767" s="145" t="str">
        <f t="shared" si="2"/>
        <v/>
      </c>
      <c r="G767" s="145" t="str">
        <f t="shared" si="3"/>
        <v/>
      </c>
      <c r="H767" s="145"/>
      <c r="I767" s="145"/>
      <c r="J767" s="145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</row>
    <row r="768" ht="22.5" customHeight="1">
      <c r="A768" s="145"/>
      <c r="B768" s="145" t="str">
        <f t="shared" si="1"/>
        <v/>
      </c>
      <c r="C768" s="145"/>
      <c r="D768" s="145" t="str">
        <f t="array" ref="D768">IFNA(XLOOKUP(C768,'👥 Daftar Nama Pasien'!$B$6:$B1181,'👥 Daftar Nama Pasien'!$D$6:$D1181),"")</f>
        <v/>
      </c>
      <c r="E768" s="145" t="str">
        <f t="array" ref="E768">XLOOKUP(C768,'⬇️ PEMASUKAN'!$I$5:$I1181,'⬇️ PEMASUKAN'!$K$5:$K1181,,0,-1)</f>
        <v/>
      </c>
      <c r="F768" s="145" t="str">
        <f t="shared" si="2"/>
        <v/>
      </c>
      <c r="G768" s="145" t="str">
        <f t="shared" si="3"/>
        <v/>
      </c>
      <c r="H768" s="145"/>
      <c r="I768" s="145"/>
      <c r="J768" s="145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</row>
    <row r="769" ht="22.5" customHeight="1">
      <c r="A769" s="145"/>
      <c r="B769" s="145" t="str">
        <f t="shared" si="1"/>
        <v/>
      </c>
      <c r="C769" s="145"/>
      <c r="D769" s="145" t="str">
        <f t="array" ref="D769">IFNA(XLOOKUP(C769,'👥 Daftar Nama Pasien'!$B$6:$B1181,'👥 Daftar Nama Pasien'!$D$6:$D1181),"")</f>
        <v/>
      </c>
      <c r="E769" s="145" t="str">
        <f t="array" ref="E769">XLOOKUP(C769,'⬇️ PEMASUKAN'!$I$5:$I1181,'⬇️ PEMASUKAN'!$K$5:$K1181,,0,-1)</f>
        <v/>
      </c>
      <c r="F769" s="145" t="str">
        <f t="shared" si="2"/>
        <v/>
      </c>
      <c r="G769" s="145" t="str">
        <f t="shared" si="3"/>
        <v/>
      </c>
      <c r="H769" s="145"/>
      <c r="I769" s="145"/>
      <c r="J769" s="145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</row>
    <row r="770" ht="22.5" customHeight="1">
      <c r="A770" s="145"/>
      <c r="B770" s="145" t="str">
        <f t="shared" si="1"/>
        <v/>
      </c>
      <c r="C770" s="145"/>
      <c r="D770" s="145" t="str">
        <f t="array" ref="D770">IFNA(XLOOKUP(C770,'👥 Daftar Nama Pasien'!$B$6:$B1181,'👥 Daftar Nama Pasien'!$D$6:$D1181),"")</f>
        <v/>
      </c>
      <c r="E770" s="145" t="str">
        <f t="array" ref="E770">XLOOKUP(C770,'⬇️ PEMASUKAN'!$I$5:$I1181,'⬇️ PEMASUKAN'!$K$5:$K1181,,0,-1)</f>
        <v/>
      </c>
      <c r="F770" s="145" t="str">
        <f t="shared" si="2"/>
        <v/>
      </c>
      <c r="G770" s="145" t="str">
        <f t="shared" si="3"/>
        <v/>
      </c>
      <c r="H770" s="145"/>
      <c r="I770" s="145"/>
      <c r="J770" s="145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</row>
    <row r="771" ht="22.5" customHeight="1">
      <c r="A771" s="145"/>
      <c r="B771" s="145" t="str">
        <f t="shared" si="1"/>
        <v/>
      </c>
      <c r="C771" s="145"/>
      <c r="D771" s="145" t="str">
        <f t="array" ref="D771">IFNA(XLOOKUP(C771,'👥 Daftar Nama Pasien'!$B$6:$B1181,'👥 Daftar Nama Pasien'!$D$6:$D1181),"")</f>
        <v/>
      </c>
      <c r="E771" s="145" t="str">
        <f t="array" ref="E771">XLOOKUP(C771,'⬇️ PEMASUKAN'!$I$5:$I1181,'⬇️ PEMASUKAN'!$K$5:$K1181,,0,-1)</f>
        <v/>
      </c>
      <c r="F771" s="145" t="str">
        <f t="shared" si="2"/>
        <v/>
      </c>
      <c r="G771" s="145" t="str">
        <f t="shared" si="3"/>
        <v/>
      </c>
      <c r="H771" s="145"/>
      <c r="I771" s="145"/>
      <c r="J771" s="145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</row>
    <row r="772" ht="22.5" customHeight="1">
      <c r="A772" s="145"/>
      <c r="B772" s="145" t="str">
        <f t="shared" si="1"/>
        <v/>
      </c>
      <c r="C772" s="145"/>
      <c r="D772" s="145" t="str">
        <f t="array" ref="D772">IFNA(XLOOKUP(C772,'👥 Daftar Nama Pasien'!$B$6:$B1181,'👥 Daftar Nama Pasien'!$D$6:$D1181),"")</f>
        <v/>
      </c>
      <c r="E772" s="145" t="str">
        <f t="array" ref="E772">XLOOKUP(C772,'⬇️ PEMASUKAN'!$I$5:$I1181,'⬇️ PEMASUKAN'!$K$5:$K1181,,0,-1)</f>
        <v/>
      </c>
      <c r="F772" s="145" t="str">
        <f t="shared" si="2"/>
        <v/>
      </c>
      <c r="G772" s="145" t="str">
        <f t="shared" si="3"/>
        <v/>
      </c>
      <c r="H772" s="145"/>
      <c r="I772" s="145"/>
      <c r="J772" s="145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</row>
    <row r="773" ht="22.5" customHeight="1">
      <c r="A773" s="145"/>
      <c r="B773" s="145" t="str">
        <f t="shared" si="1"/>
        <v/>
      </c>
      <c r="C773" s="145"/>
      <c r="D773" s="145" t="str">
        <f t="array" ref="D773">IFNA(XLOOKUP(C773,'👥 Daftar Nama Pasien'!$B$6:$B1181,'👥 Daftar Nama Pasien'!$D$6:$D1181),"")</f>
        <v/>
      </c>
      <c r="E773" s="145" t="str">
        <f t="array" ref="E773">XLOOKUP(C773,'⬇️ PEMASUKAN'!$I$5:$I1181,'⬇️ PEMASUKAN'!$K$5:$K1181,,0,-1)</f>
        <v/>
      </c>
      <c r="F773" s="145" t="str">
        <f t="shared" si="2"/>
        <v/>
      </c>
      <c r="G773" s="145" t="str">
        <f t="shared" si="3"/>
        <v/>
      </c>
      <c r="H773" s="145"/>
      <c r="I773" s="145"/>
      <c r="J773" s="145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</row>
    <row r="774" ht="22.5" customHeight="1">
      <c r="A774" s="145"/>
      <c r="B774" s="145" t="str">
        <f t="shared" si="1"/>
        <v/>
      </c>
      <c r="C774" s="145"/>
      <c r="D774" s="145" t="str">
        <f t="array" ref="D774">IFNA(XLOOKUP(C774,'👥 Daftar Nama Pasien'!$B$6:$B1181,'👥 Daftar Nama Pasien'!$D$6:$D1181),"")</f>
        <v/>
      </c>
      <c r="E774" s="145" t="str">
        <f t="array" ref="E774">XLOOKUP(C774,'⬇️ PEMASUKAN'!$I$5:$I1181,'⬇️ PEMASUKAN'!$K$5:$K1181,,0,-1)</f>
        <v/>
      </c>
      <c r="F774" s="145" t="str">
        <f t="shared" si="2"/>
        <v/>
      </c>
      <c r="G774" s="145" t="str">
        <f t="shared" si="3"/>
        <v/>
      </c>
      <c r="H774" s="145"/>
      <c r="I774" s="145"/>
      <c r="J774" s="145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</row>
    <row r="775" ht="22.5" customHeight="1">
      <c r="A775" s="145"/>
      <c r="B775" s="145" t="str">
        <f t="shared" si="1"/>
        <v/>
      </c>
      <c r="C775" s="145"/>
      <c r="D775" s="145" t="str">
        <f t="array" ref="D775">IFNA(XLOOKUP(C775,'👥 Daftar Nama Pasien'!$B$6:$B1181,'👥 Daftar Nama Pasien'!$D$6:$D1181),"")</f>
        <v/>
      </c>
      <c r="E775" s="145" t="str">
        <f t="array" ref="E775">XLOOKUP(C775,'⬇️ PEMASUKAN'!$I$5:$I1181,'⬇️ PEMASUKAN'!$K$5:$K1181,,0,-1)</f>
        <v/>
      </c>
      <c r="F775" s="145" t="str">
        <f t="shared" si="2"/>
        <v/>
      </c>
      <c r="G775" s="145" t="str">
        <f t="shared" si="3"/>
        <v/>
      </c>
      <c r="H775" s="145"/>
      <c r="I775" s="145"/>
      <c r="J775" s="145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</row>
    <row r="776" ht="22.5" customHeight="1">
      <c r="A776" s="145"/>
      <c r="B776" s="145" t="str">
        <f t="shared" si="1"/>
        <v/>
      </c>
      <c r="C776" s="145"/>
      <c r="D776" s="145" t="str">
        <f t="array" ref="D776">IFNA(XLOOKUP(C776,'👥 Daftar Nama Pasien'!$B$6:$B1181,'👥 Daftar Nama Pasien'!$D$6:$D1181),"")</f>
        <v/>
      </c>
      <c r="E776" s="145" t="str">
        <f t="array" ref="E776">XLOOKUP(C776,'⬇️ PEMASUKAN'!$I$5:$I1181,'⬇️ PEMASUKAN'!$K$5:$K1181,,0,-1)</f>
        <v/>
      </c>
      <c r="F776" s="145" t="str">
        <f t="shared" si="2"/>
        <v/>
      </c>
      <c r="G776" s="145" t="str">
        <f t="shared" si="3"/>
        <v/>
      </c>
      <c r="H776" s="145"/>
      <c r="I776" s="145"/>
      <c r="J776" s="145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</row>
    <row r="777" ht="22.5" customHeight="1">
      <c r="A777" s="145"/>
      <c r="B777" s="145" t="str">
        <f t="shared" si="1"/>
        <v/>
      </c>
      <c r="C777" s="145"/>
      <c r="D777" s="145" t="str">
        <f t="array" ref="D777">IFNA(XLOOKUP(C777,'👥 Daftar Nama Pasien'!$B$6:$B1181,'👥 Daftar Nama Pasien'!$D$6:$D1181),"")</f>
        <v/>
      </c>
      <c r="E777" s="145" t="str">
        <f t="array" ref="E777">XLOOKUP(C777,'⬇️ PEMASUKAN'!$I$5:$I1181,'⬇️ PEMASUKAN'!$K$5:$K1181,,0,-1)</f>
        <v/>
      </c>
      <c r="F777" s="145" t="str">
        <f t="shared" si="2"/>
        <v/>
      </c>
      <c r="G777" s="145" t="str">
        <f t="shared" si="3"/>
        <v/>
      </c>
      <c r="H777" s="145"/>
      <c r="I777" s="145"/>
      <c r="J777" s="145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</row>
    <row r="778" ht="22.5" customHeight="1">
      <c r="A778" s="145"/>
      <c r="B778" s="145" t="str">
        <f t="shared" si="1"/>
        <v/>
      </c>
      <c r="C778" s="145"/>
      <c r="D778" s="145" t="str">
        <f t="array" ref="D778">IFNA(XLOOKUP(C778,'👥 Daftar Nama Pasien'!$B$6:$B1181,'👥 Daftar Nama Pasien'!$D$6:$D1181),"")</f>
        <v/>
      </c>
      <c r="E778" s="145" t="str">
        <f t="array" ref="E778">XLOOKUP(C778,'⬇️ PEMASUKAN'!$I$5:$I1181,'⬇️ PEMASUKAN'!$K$5:$K1181,,0,-1)</f>
        <v/>
      </c>
      <c r="F778" s="145" t="str">
        <f t="shared" si="2"/>
        <v/>
      </c>
      <c r="G778" s="145" t="str">
        <f t="shared" si="3"/>
        <v/>
      </c>
      <c r="H778" s="145"/>
      <c r="I778" s="145"/>
      <c r="J778" s="145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</row>
    <row r="779" ht="22.5" customHeight="1">
      <c r="A779" s="145"/>
      <c r="B779" s="145" t="str">
        <f t="shared" si="1"/>
        <v/>
      </c>
      <c r="C779" s="145"/>
      <c r="D779" s="145" t="str">
        <f t="array" ref="D779">IFNA(XLOOKUP(C779,'👥 Daftar Nama Pasien'!$B$6:$B1181,'👥 Daftar Nama Pasien'!$D$6:$D1181),"")</f>
        <v/>
      </c>
      <c r="E779" s="145" t="str">
        <f t="array" ref="E779">XLOOKUP(C779,'⬇️ PEMASUKAN'!$I$5:$I1181,'⬇️ PEMASUKAN'!$K$5:$K1181,,0,-1)</f>
        <v/>
      </c>
      <c r="F779" s="145" t="str">
        <f t="shared" si="2"/>
        <v/>
      </c>
      <c r="G779" s="145" t="str">
        <f t="shared" si="3"/>
        <v/>
      </c>
      <c r="H779" s="145"/>
      <c r="I779" s="145"/>
      <c r="J779" s="145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</row>
    <row r="780" ht="22.5" customHeight="1">
      <c r="A780" s="145"/>
      <c r="B780" s="145" t="str">
        <f t="shared" si="1"/>
        <v/>
      </c>
      <c r="C780" s="145"/>
      <c r="D780" s="145" t="str">
        <f t="array" ref="D780">IFNA(XLOOKUP(C780,'👥 Daftar Nama Pasien'!$B$6:$B1181,'👥 Daftar Nama Pasien'!$D$6:$D1181),"")</f>
        <v/>
      </c>
      <c r="E780" s="145" t="str">
        <f t="array" ref="E780">XLOOKUP(C780,'⬇️ PEMASUKAN'!$I$5:$I1181,'⬇️ PEMASUKAN'!$K$5:$K1181,,0,-1)</f>
        <v/>
      </c>
      <c r="F780" s="145" t="str">
        <f t="shared" si="2"/>
        <v/>
      </c>
      <c r="G780" s="145" t="str">
        <f t="shared" si="3"/>
        <v/>
      </c>
      <c r="H780" s="145"/>
      <c r="I780" s="145"/>
      <c r="J780" s="145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</row>
    <row r="781" ht="22.5" customHeight="1">
      <c r="A781" s="145"/>
      <c r="B781" s="145" t="str">
        <f t="shared" si="1"/>
        <v/>
      </c>
      <c r="C781" s="145"/>
      <c r="D781" s="145" t="str">
        <f t="array" ref="D781">IFNA(XLOOKUP(C781,'👥 Daftar Nama Pasien'!$B$6:$B1181,'👥 Daftar Nama Pasien'!$D$6:$D1181),"")</f>
        <v/>
      </c>
      <c r="E781" s="145" t="str">
        <f t="array" ref="E781">XLOOKUP(C781,'⬇️ PEMASUKAN'!$I$5:$I1181,'⬇️ PEMASUKAN'!$K$5:$K1181,,0,-1)</f>
        <v/>
      </c>
      <c r="F781" s="145" t="str">
        <f t="shared" si="2"/>
        <v/>
      </c>
      <c r="G781" s="145" t="str">
        <f t="shared" si="3"/>
        <v/>
      </c>
      <c r="H781" s="145"/>
      <c r="I781" s="145"/>
      <c r="J781" s="145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</row>
    <row r="782" ht="22.5" customHeight="1">
      <c r="A782" s="145"/>
      <c r="B782" s="145" t="str">
        <f t="shared" si="1"/>
        <v/>
      </c>
      <c r="C782" s="145"/>
      <c r="D782" s="145" t="str">
        <f t="array" ref="D782">IFNA(XLOOKUP(C782,'👥 Daftar Nama Pasien'!$B$6:$B1181,'👥 Daftar Nama Pasien'!$D$6:$D1181),"")</f>
        <v/>
      </c>
      <c r="E782" s="145" t="str">
        <f t="array" ref="E782">XLOOKUP(C782,'⬇️ PEMASUKAN'!$I$5:$I1181,'⬇️ PEMASUKAN'!$K$5:$K1181,,0,-1)</f>
        <v/>
      </c>
      <c r="F782" s="145" t="str">
        <f t="shared" si="2"/>
        <v/>
      </c>
      <c r="G782" s="145" t="str">
        <f t="shared" si="3"/>
        <v/>
      </c>
      <c r="H782" s="145"/>
      <c r="I782" s="145"/>
      <c r="J782" s="145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</row>
    <row r="783" ht="22.5" customHeight="1">
      <c r="A783" s="145"/>
      <c r="B783" s="145" t="str">
        <f t="shared" si="1"/>
        <v/>
      </c>
      <c r="C783" s="145"/>
      <c r="D783" s="145" t="str">
        <f t="array" ref="D783">IFNA(XLOOKUP(C783,'👥 Daftar Nama Pasien'!$B$6:$B1181,'👥 Daftar Nama Pasien'!$D$6:$D1181),"")</f>
        <v/>
      </c>
      <c r="E783" s="145" t="str">
        <f t="array" ref="E783">XLOOKUP(C783,'⬇️ PEMASUKAN'!$I$5:$I1181,'⬇️ PEMASUKAN'!$K$5:$K1181,,0,-1)</f>
        <v/>
      </c>
      <c r="F783" s="145" t="str">
        <f t="shared" si="2"/>
        <v/>
      </c>
      <c r="G783" s="145" t="str">
        <f t="shared" si="3"/>
        <v/>
      </c>
      <c r="H783" s="145"/>
      <c r="I783" s="145"/>
      <c r="J783" s="145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</row>
    <row r="784" ht="22.5" customHeight="1">
      <c r="A784" s="145"/>
      <c r="B784" s="145" t="str">
        <f t="shared" si="1"/>
        <v/>
      </c>
      <c r="C784" s="145"/>
      <c r="D784" s="145" t="str">
        <f t="array" ref="D784">IFNA(XLOOKUP(C784,'👥 Daftar Nama Pasien'!$B$6:$B1181,'👥 Daftar Nama Pasien'!$D$6:$D1181),"")</f>
        <v/>
      </c>
      <c r="E784" s="145" t="str">
        <f t="array" ref="E784">XLOOKUP(C784,'⬇️ PEMASUKAN'!$I$5:$I1181,'⬇️ PEMASUKAN'!$K$5:$K1181,,0,-1)</f>
        <v/>
      </c>
      <c r="F784" s="145" t="str">
        <f t="shared" si="2"/>
        <v/>
      </c>
      <c r="G784" s="145" t="str">
        <f t="shared" si="3"/>
        <v/>
      </c>
      <c r="H784" s="145"/>
      <c r="I784" s="145"/>
      <c r="J784" s="145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</row>
    <row r="785" ht="22.5" customHeight="1">
      <c r="A785" s="145"/>
      <c r="B785" s="145" t="str">
        <f t="shared" si="1"/>
        <v/>
      </c>
      <c r="C785" s="145"/>
      <c r="D785" s="145" t="str">
        <f t="array" ref="D785">IFNA(XLOOKUP(C785,'👥 Daftar Nama Pasien'!$B$6:$B1181,'👥 Daftar Nama Pasien'!$D$6:$D1181),"")</f>
        <v/>
      </c>
      <c r="E785" s="145" t="str">
        <f t="array" ref="E785">XLOOKUP(C785,'⬇️ PEMASUKAN'!$I$5:$I1181,'⬇️ PEMASUKAN'!$K$5:$K1181,,0,-1)</f>
        <v/>
      </c>
      <c r="F785" s="145" t="str">
        <f t="shared" si="2"/>
        <v/>
      </c>
      <c r="G785" s="145" t="str">
        <f t="shared" si="3"/>
        <v/>
      </c>
      <c r="H785" s="145"/>
      <c r="I785" s="145"/>
      <c r="J785" s="145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</row>
    <row r="786" ht="22.5" customHeight="1">
      <c r="A786" s="145"/>
      <c r="B786" s="145" t="str">
        <f t="shared" si="1"/>
        <v/>
      </c>
      <c r="C786" s="145"/>
      <c r="D786" s="145" t="str">
        <f t="array" ref="D786">IFNA(XLOOKUP(C786,'👥 Daftar Nama Pasien'!$B$6:$B1181,'👥 Daftar Nama Pasien'!$D$6:$D1181),"")</f>
        <v/>
      </c>
      <c r="E786" s="145" t="str">
        <f t="array" ref="E786">XLOOKUP(C786,'⬇️ PEMASUKAN'!$I$5:$I1181,'⬇️ PEMASUKAN'!$K$5:$K1181,,0,-1)</f>
        <v/>
      </c>
      <c r="F786" s="145" t="str">
        <f t="shared" si="2"/>
        <v/>
      </c>
      <c r="G786" s="145" t="str">
        <f t="shared" si="3"/>
        <v/>
      </c>
      <c r="H786" s="145"/>
      <c r="I786" s="145"/>
      <c r="J786" s="145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</row>
    <row r="787" ht="22.5" customHeight="1">
      <c r="A787" s="145"/>
      <c r="B787" s="145" t="str">
        <f t="shared" si="1"/>
        <v/>
      </c>
      <c r="C787" s="145"/>
      <c r="D787" s="145" t="str">
        <f t="array" ref="D787">IFNA(XLOOKUP(C787,'👥 Daftar Nama Pasien'!$B$6:$B1181,'👥 Daftar Nama Pasien'!$D$6:$D1181),"")</f>
        <v/>
      </c>
      <c r="E787" s="145" t="str">
        <f t="array" ref="E787">XLOOKUP(C787,'⬇️ PEMASUKAN'!$I$5:$I1181,'⬇️ PEMASUKAN'!$K$5:$K1181,,0,-1)</f>
        <v/>
      </c>
      <c r="F787" s="145" t="str">
        <f t="shared" si="2"/>
        <v/>
      </c>
      <c r="G787" s="145" t="str">
        <f t="shared" si="3"/>
        <v/>
      </c>
      <c r="H787" s="145"/>
      <c r="I787" s="145"/>
      <c r="J787" s="145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</row>
    <row r="788" ht="22.5" customHeight="1">
      <c r="A788" s="145"/>
      <c r="B788" s="145" t="str">
        <f t="shared" si="1"/>
        <v/>
      </c>
      <c r="C788" s="145"/>
      <c r="D788" s="145" t="str">
        <f t="array" ref="D788">IFNA(XLOOKUP(C788,'👥 Daftar Nama Pasien'!$B$6:$B1181,'👥 Daftar Nama Pasien'!$D$6:$D1181),"")</f>
        <v/>
      </c>
      <c r="E788" s="145" t="str">
        <f t="array" ref="E788">XLOOKUP(C788,'⬇️ PEMASUKAN'!$I$5:$I1181,'⬇️ PEMASUKAN'!$K$5:$K1181,,0,-1)</f>
        <v/>
      </c>
      <c r="F788" s="145" t="str">
        <f t="shared" si="2"/>
        <v/>
      </c>
      <c r="G788" s="145" t="str">
        <f t="shared" si="3"/>
        <v/>
      </c>
      <c r="H788" s="145"/>
      <c r="I788" s="145"/>
      <c r="J788" s="145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</row>
    <row r="789" ht="22.5" customHeight="1">
      <c r="A789" s="145"/>
      <c r="B789" s="145" t="str">
        <f t="shared" si="1"/>
        <v/>
      </c>
      <c r="C789" s="145"/>
      <c r="D789" s="145" t="str">
        <f t="array" ref="D789">IFNA(XLOOKUP(C789,'👥 Daftar Nama Pasien'!$B$6:$B1181,'👥 Daftar Nama Pasien'!$D$6:$D1181),"")</f>
        <v/>
      </c>
      <c r="E789" s="145" t="str">
        <f t="array" ref="E789">XLOOKUP(C789,'⬇️ PEMASUKAN'!$I$5:$I1181,'⬇️ PEMASUKAN'!$K$5:$K1181,,0,-1)</f>
        <v/>
      </c>
      <c r="F789" s="145" t="str">
        <f t="shared" si="2"/>
        <v/>
      </c>
      <c r="G789" s="145" t="str">
        <f t="shared" si="3"/>
        <v/>
      </c>
      <c r="H789" s="145"/>
      <c r="I789" s="145"/>
      <c r="J789" s="145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</row>
    <row r="790" ht="22.5" customHeight="1">
      <c r="A790" s="145"/>
      <c r="B790" s="145" t="str">
        <f t="shared" si="1"/>
        <v/>
      </c>
      <c r="C790" s="145"/>
      <c r="D790" s="145" t="str">
        <f t="array" ref="D790">IFNA(XLOOKUP(C790,'👥 Daftar Nama Pasien'!$B$6:$B1181,'👥 Daftar Nama Pasien'!$D$6:$D1181),"")</f>
        <v/>
      </c>
      <c r="E790" s="145" t="str">
        <f t="array" ref="E790">XLOOKUP(C790,'⬇️ PEMASUKAN'!$I$5:$I1181,'⬇️ PEMASUKAN'!$K$5:$K1181,,0,-1)</f>
        <v/>
      </c>
      <c r="F790" s="145" t="str">
        <f t="shared" si="2"/>
        <v/>
      </c>
      <c r="G790" s="145" t="str">
        <f t="shared" si="3"/>
        <v/>
      </c>
      <c r="H790" s="145"/>
      <c r="I790" s="145"/>
      <c r="J790" s="145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</row>
    <row r="791" ht="22.5" customHeight="1">
      <c r="A791" s="145"/>
      <c r="B791" s="145" t="str">
        <f t="shared" si="1"/>
        <v/>
      </c>
      <c r="C791" s="145"/>
      <c r="D791" s="145" t="str">
        <f t="array" ref="D791">IFNA(XLOOKUP(C791,'👥 Daftar Nama Pasien'!$B$6:$B1181,'👥 Daftar Nama Pasien'!$D$6:$D1181),"")</f>
        <v/>
      </c>
      <c r="E791" s="145" t="str">
        <f t="array" ref="E791">XLOOKUP(C791,'⬇️ PEMASUKAN'!$I$5:$I1181,'⬇️ PEMASUKAN'!$K$5:$K1181,,0,-1)</f>
        <v/>
      </c>
      <c r="F791" s="145" t="str">
        <f t="shared" si="2"/>
        <v/>
      </c>
      <c r="G791" s="145" t="str">
        <f t="shared" si="3"/>
        <v/>
      </c>
      <c r="H791" s="145"/>
      <c r="I791" s="145"/>
      <c r="J791" s="145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</row>
    <row r="792" ht="22.5" customHeight="1">
      <c r="A792" s="145"/>
      <c r="B792" s="145" t="str">
        <f t="shared" si="1"/>
        <v/>
      </c>
      <c r="C792" s="145"/>
      <c r="D792" s="145" t="str">
        <f t="array" ref="D792">IFNA(XLOOKUP(C792,'👥 Daftar Nama Pasien'!$B$6:$B1181,'👥 Daftar Nama Pasien'!$D$6:$D1181),"")</f>
        <v/>
      </c>
      <c r="E792" s="145" t="str">
        <f t="array" ref="E792">XLOOKUP(C792,'⬇️ PEMASUKAN'!$I$5:$I1181,'⬇️ PEMASUKAN'!$K$5:$K1181,,0,-1)</f>
        <v/>
      </c>
      <c r="F792" s="145" t="str">
        <f t="shared" si="2"/>
        <v/>
      </c>
      <c r="G792" s="145" t="str">
        <f t="shared" si="3"/>
        <v/>
      </c>
      <c r="H792" s="145"/>
      <c r="I792" s="145"/>
      <c r="J792" s="145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</row>
    <row r="793" ht="22.5" customHeight="1">
      <c r="A793" s="145"/>
      <c r="B793" s="145" t="str">
        <f t="shared" si="1"/>
        <v/>
      </c>
      <c r="C793" s="145"/>
      <c r="D793" s="145" t="str">
        <f t="array" ref="D793">IFNA(XLOOKUP(C793,'👥 Daftar Nama Pasien'!$B$6:$B1181,'👥 Daftar Nama Pasien'!$D$6:$D1181),"")</f>
        <v/>
      </c>
      <c r="E793" s="145" t="str">
        <f t="array" ref="E793">XLOOKUP(C793,'⬇️ PEMASUKAN'!$I$5:$I1181,'⬇️ PEMASUKAN'!$K$5:$K1181,,0,-1)</f>
        <v/>
      </c>
      <c r="F793" s="145" t="str">
        <f t="shared" si="2"/>
        <v/>
      </c>
      <c r="G793" s="145" t="str">
        <f t="shared" si="3"/>
        <v/>
      </c>
      <c r="H793" s="145"/>
      <c r="I793" s="145"/>
      <c r="J793" s="145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</row>
    <row r="794" ht="22.5" customHeight="1">
      <c r="A794" s="145"/>
      <c r="B794" s="145" t="str">
        <f t="shared" si="1"/>
        <v/>
      </c>
      <c r="C794" s="145"/>
      <c r="D794" s="145" t="str">
        <f t="array" ref="D794">IFNA(XLOOKUP(C794,'👥 Daftar Nama Pasien'!$B$6:$B1181,'👥 Daftar Nama Pasien'!$D$6:$D1181),"")</f>
        <v/>
      </c>
      <c r="E794" s="145" t="str">
        <f t="array" ref="E794">XLOOKUP(C794,'⬇️ PEMASUKAN'!$I$5:$I1181,'⬇️ PEMASUKAN'!$K$5:$K1181,,0,-1)</f>
        <v/>
      </c>
      <c r="F794" s="145" t="str">
        <f t="shared" si="2"/>
        <v/>
      </c>
      <c r="G794" s="145" t="str">
        <f t="shared" si="3"/>
        <v/>
      </c>
      <c r="H794" s="145"/>
      <c r="I794" s="145"/>
      <c r="J794" s="145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</row>
    <row r="795" ht="22.5" customHeight="1">
      <c r="A795" s="145"/>
      <c r="B795" s="145" t="str">
        <f t="shared" si="1"/>
        <v/>
      </c>
      <c r="C795" s="145"/>
      <c r="D795" s="145" t="str">
        <f t="array" ref="D795">IFNA(XLOOKUP(C795,'👥 Daftar Nama Pasien'!$B$6:$B1181,'👥 Daftar Nama Pasien'!$D$6:$D1181),"")</f>
        <v/>
      </c>
      <c r="E795" s="145" t="str">
        <f t="array" ref="E795">XLOOKUP(C795,'⬇️ PEMASUKAN'!$I$5:$I1181,'⬇️ PEMASUKAN'!$K$5:$K1181,,0,-1)</f>
        <v/>
      </c>
      <c r="F795" s="145" t="str">
        <f t="shared" si="2"/>
        <v/>
      </c>
      <c r="G795" s="145" t="str">
        <f t="shared" si="3"/>
        <v/>
      </c>
      <c r="H795" s="145"/>
      <c r="I795" s="145"/>
      <c r="J795" s="145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</row>
    <row r="796" ht="22.5" customHeight="1">
      <c r="A796" s="145"/>
      <c r="B796" s="145" t="str">
        <f t="shared" si="1"/>
        <v/>
      </c>
      <c r="C796" s="145"/>
      <c r="D796" s="145" t="str">
        <f t="array" ref="D796">IFNA(XLOOKUP(C796,'👥 Daftar Nama Pasien'!$B$6:$B1181,'👥 Daftar Nama Pasien'!$D$6:$D1181),"")</f>
        <v/>
      </c>
      <c r="E796" s="145" t="str">
        <f t="array" ref="E796">XLOOKUP(C796,'⬇️ PEMASUKAN'!$I$5:$I1181,'⬇️ PEMASUKAN'!$K$5:$K1181,,0,-1)</f>
        <v/>
      </c>
      <c r="F796" s="145" t="str">
        <f t="shared" si="2"/>
        <v/>
      </c>
      <c r="G796" s="145" t="str">
        <f t="shared" si="3"/>
        <v/>
      </c>
      <c r="H796" s="145"/>
      <c r="I796" s="145"/>
      <c r="J796" s="145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</row>
    <row r="797" ht="22.5" customHeight="1">
      <c r="A797" s="145"/>
      <c r="B797" s="145" t="str">
        <f t="shared" si="1"/>
        <v/>
      </c>
      <c r="C797" s="145"/>
      <c r="D797" s="145" t="str">
        <f t="array" ref="D797">IFNA(XLOOKUP(C797,'👥 Daftar Nama Pasien'!$B$6:$B1181,'👥 Daftar Nama Pasien'!$D$6:$D1181),"")</f>
        <v/>
      </c>
      <c r="E797" s="145" t="str">
        <f t="array" ref="E797">XLOOKUP(C797,'⬇️ PEMASUKAN'!$I$5:$I1181,'⬇️ PEMASUKAN'!$K$5:$K1181,,0,-1)</f>
        <v/>
      </c>
      <c r="F797" s="145" t="str">
        <f t="shared" si="2"/>
        <v/>
      </c>
      <c r="G797" s="145" t="str">
        <f t="shared" si="3"/>
        <v/>
      </c>
      <c r="H797" s="145"/>
      <c r="I797" s="145"/>
      <c r="J797" s="145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</row>
    <row r="798" ht="22.5" customHeight="1">
      <c r="A798" s="145"/>
      <c r="B798" s="145" t="str">
        <f t="shared" si="1"/>
        <v/>
      </c>
      <c r="C798" s="145"/>
      <c r="D798" s="145" t="str">
        <f t="array" ref="D798">IFNA(XLOOKUP(C798,'👥 Daftar Nama Pasien'!$B$6:$B1181,'👥 Daftar Nama Pasien'!$D$6:$D1181),"")</f>
        <v/>
      </c>
      <c r="E798" s="145" t="str">
        <f t="array" ref="E798">XLOOKUP(C798,'⬇️ PEMASUKAN'!$I$5:$I1181,'⬇️ PEMASUKAN'!$K$5:$K1181,,0,-1)</f>
        <v/>
      </c>
      <c r="F798" s="145" t="str">
        <f t="shared" si="2"/>
        <v/>
      </c>
      <c r="G798" s="145" t="str">
        <f t="shared" si="3"/>
        <v/>
      </c>
      <c r="H798" s="145"/>
      <c r="I798" s="145"/>
      <c r="J798" s="145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</row>
    <row r="799" ht="22.5" customHeight="1">
      <c r="A799" s="145"/>
      <c r="B799" s="145" t="str">
        <f t="shared" si="1"/>
        <v/>
      </c>
      <c r="C799" s="145"/>
      <c r="D799" s="145" t="str">
        <f t="array" ref="D799">IFNA(XLOOKUP(C799,'👥 Daftar Nama Pasien'!$B$6:$B1181,'👥 Daftar Nama Pasien'!$D$6:$D1181),"")</f>
        <v/>
      </c>
      <c r="E799" s="145" t="str">
        <f t="array" ref="E799">XLOOKUP(C799,'⬇️ PEMASUKAN'!$I$5:$I1181,'⬇️ PEMASUKAN'!$K$5:$K1181,,0,-1)</f>
        <v/>
      </c>
      <c r="F799" s="145" t="str">
        <f t="shared" si="2"/>
        <v/>
      </c>
      <c r="G799" s="145" t="str">
        <f t="shared" si="3"/>
        <v/>
      </c>
      <c r="H799" s="145"/>
      <c r="I799" s="145"/>
      <c r="J799" s="145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</row>
    <row r="800" ht="22.5" customHeight="1">
      <c r="A800" s="145"/>
      <c r="B800" s="145" t="str">
        <f t="shared" si="1"/>
        <v/>
      </c>
      <c r="C800" s="145"/>
      <c r="D800" s="145" t="str">
        <f t="array" ref="D800">IFNA(XLOOKUP(C800,'👥 Daftar Nama Pasien'!$B$6:$B1181,'👥 Daftar Nama Pasien'!$D$6:$D1181),"")</f>
        <v/>
      </c>
      <c r="E800" s="145" t="str">
        <f t="array" ref="E800">XLOOKUP(C800,'⬇️ PEMASUKAN'!$I$5:$I1181,'⬇️ PEMASUKAN'!$K$5:$K1181,,0,-1)</f>
        <v/>
      </c>
      <c r="F800" s="145" t="str">
        <f t="shared" si="2"/>
        <v/>
      </c>
      <c r="G800" s="145" t="str">
        <f t="shared" si="3"/>
        <v/>
      </c>
      <c r="H800" s="145"/>
      <c r="I800" s="145"/>
      <c r="J800" s="145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</row>
    <row r="801" ht="22.5" customHeight="1">
      <c r="A801" s="145"/>
      <c r="B801" s="145" t="str">
        <f t="shared" si="1"/>
        <v/>
      </c>
      <c r="C801" s="145"/>
      <c r="D801" s="145" t="str">
        <f t="array" ref="D801">IFNA(XLOOKUP(C801,'👥 Daftar Nama Pasien'!$B$6:$B1181,'👥 Daftar Nama Pasien'!$D$6:$D1181),"")</f>
        <v/>
      </c>
      <c r="E801" s="145" t="str">
        <f t="array" ref="E801">XLOOKUP(C801,'⬇️ PEMASUKAN'!$I$5:$I1181,'⬇️ PEMASUKAN'!$K$5:$K1181,,0,-1)</f>
        <v/>
      </c>
      <c r="F801" s="145" t="str">
        <f t="shared" si="2"/>
        <v/>
      </c>
      <c r="G801" s="145" t="str">
        <f t="shared" si="3"/>
        <v/>
      </c>
      <c r="H801" s="145"/>
      <c r="I801" s="145"/>
      <c r="J801" s="145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</row>
    <row r="802" ht="22.5" customHeight="1">
      <c r="A802" s="145"/>
      <c r="B802" s="145" t="str">
        <f t="shared" si="1"/>
        <v/>
      </c>
      <c r="C802" s="145"/>
      <c r="D802" s="145" t="str">
        <f t="array" ref="D802">IFNA(XLOOKUP(C802,'👥 Daftar Nama Pasien'!$B$6:$B1181,'👥 Daftar Nama Pasien'!$D$6:$D1181),"")</f>
        <v/>
      </c>
      <c r="E802" s="145" t="str">
        <f t="array" ref="E802">XLOOKUP(C802,'⬇️ PEMASUKAN'!$I$5:$I1181,'⬇️ PEMASUKAN'!$K$5:$K1181,,0,-1)</f>
        <v/>
      </c>
      <c r="F802" s="145" t="str">
        <f t="shared" si="2"/>
        <v/>
      </c>
      <c r="G802" s="145" t="str">
        <f t="shared" si="3"/>
        <v/>
      </c>
      <c r="H802" s="145"/>
      <c r="I802" s="145"/>
      <c r="J802" s="145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</row>
    <row r="803" ht="22.5" customHeight="1">
      <c r="A803" s="145"/>
      <c r="B803" s="145" t="str">
        <f t="shared" si="1"/>
        <v/>
      </c>
      <c r="C803" s="145"/>
      <c r="D803" s="145" t="str">
        <f t="array" ref="D803">IFNA(XLOOKUP(C803,'👥 Daftar Nama Pasien'!$B$6:$B1181,'👥 Daftar Nama Pasien'!$D$6:$D1181),"")</f>
        <v/>
      </c>
      <c r="E803" s="145" t="str">
        <f t="array" ref="E803">XLOOKUP(C803,'⬇️ PEMASUKAN'!$I$5:$I1181,'⬇️ PEMASUKAN'!$K$5:$K1181,,0,-1)</f>
        <v/>
      </c>
      <c r="F803" s="145" t="str">
        <f t="shared" si="2"/>
        <v/>
      </c>
      <c r="G803" s="145" t="str">
        <f t="shared" si="3"/>
        <v/>
      </c>
      <c r="H803" s="145"/>
      <c r="I803" s="145"/>
      <c r="J803" s="145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</row>
    <row r="804" ht="22.5" customHeight="1">
      <c r="A804" s="145"/>
      <c r="B804" s="145" t="str">
        <f t="shared" si="1"/>
        <v/>
      </c>
      <c r="C804" s="145"/>
      <c r="D804" s="145" t="str">
        <f t="array" ref="D804">IFNA(XLOOKUP(C804,'👥 Daftar Nama Pasien'!$B$6:$B1181,'👥 Daftar Nama Pasien'!$D$6:$D1181),"")</f>
        <v/>
      </c>
      <c r="E804" s="145" t="str">
        <f t="array" ref="E804">XLOOKUP(C804,'⬇️ PEMASUKAN'!$I$5:$I1181,'⬇️ PEMASUKAN'!$K$5:$K1181,,0,-1)</f>
        <v/>
      </c>
      <c r="F804" s="145" t="str">
        <f t="shared" si="2"/>
        <v/>
      </c>
      <c r="G804" s="145" t="str">
        <f t="shared" si="3"/>
        <v/>
      </c>
      <c r="H804" s="145"/>
      <c r="I804" s="145"/>
      <c r="J804" s="145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</row>
    <row r="805" ht="22.5" customHeight="1">
      <c r="A805" s="145"/>
      <c r="B805" s="145" t="str">
        <f t="shared" si="1"/>
        <v/>
      </c>
      <c r="C805" s="145"/>
      <c r="D805" s="145" t="str">
        <f t="array" ref="D805">IFNA(XLOOKUP(C805,'👥 Daftar Nama Pasien'!$B$6:$B1181,'👥 Daftar Nama Pasien'!$D$6:$D1181),"")</f>
        <v/>
      </c>
      <c r="E805" s="145" t="str">
        <f t="array" ref="E805">XLOOKUP(C805,'⬇️ PEMASUKAN'!$I$5:$I1181,'⬇️ PEMASUKAN'!$K$5:$K1181,,0,-1)</f>
        <v/>
      </c>
      <c r="F805" s="145" t="str">
        <f t="shared" si="2"/>
        <v/>
      </c>
      <c r="G805" s="145" t="str">
        <f t="shared" si="3"/>
        <v/>
      </c>
      <c r="H805" s="145"/>
      <c r="I805" s="145"/>
      <c r="J805" s="145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</row>
    <row r="806" ht="22.5" customHeight="1">
      <c r="A806" s="145"/>
      <c r="B806" s="145" t="str">
        <f t="shared" si="1"/>
        <v/>
      </c>
      <c r="C806" s="145"/>
      <c r="D806" s="145" t="str">
        <f t="array" ref="D806">IFNA(XLOOKUP(C806,'👥 Daftar Nama Pasien'!$B$6:$B1181,'👥 Daftar Nama Pasien'!$D$6:$D1181),"")</f>
        <v/>
      </c>
      <c r="E806" s="145" t="str">
        <f t="array" ref="E806">XLOOKUP(C806,'⬇️ PEMASUKAN'!$I$5:$I1181,'⬇️ PEMASUKAN'!$K$5:$K1181,,0,-1)</f>
        <v/>
      </c>
      <c r="F806" s="145" t="str">
        <f t="shared" si="2"/>
        <v/>
      </c>
      <c r="G806" s="145" t="str">
        <f t="shared" si="3"/>
        <v/>
      </c>
      <c r="H806" s="145"/>
      <c r="I806" s="145"/>
      <c r="J806" s="145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</row>
    <row r="807" ht="22.5" customHeight="1">
      <c r="A807" s="145"/>
      <c r="B807" s="145" t="str">
        <f t="shared" si="1"/>
        <v/>
      </c>
      <c r="C807" s="145"/>
      <c r="D807" s="145" t="str">
        <f t="array" ref="D807">IFNA(XLOOKUP(C807,'👥 Daftar Nama Pasien'!$B$6:$B1181,'👥 Daftar Nama Pasien'!$D$6:$D1181),"")</f>
        <v/>
      </c>
      <c r="E807" s="145" t="str">
        <f t="array" ref="E807">XLOOKUP(C807,'⬇️ PEMASUKAN'!$I$5:$I1181,'⬇️ PEMASUKAN'!$K$5:$K1181,,0,-1)</f>
        <v/>
      </c>
      <c r="F807" s="145" t="str">
        <f t="shared" si="2"/>
        <v/>
      </c>
      <c r="G807" s="145" t="str">
        <f t="shared" si="3"/>
        <v/>
      </c>
      <c r="H807" s="145"/>
      <c r="I807" s="145"/>
      <c r="J807" s="145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</row>
    <row r="808" ht="22.5" customHeight="1">
      <c r="A808" s="145"/>
      <c r="B808" s="145" t="str">
        <f t="shared" si="1"/>
        <v/>
      </c>
      <c r="C808" s="145"/>
      <c r="D808" s="145" t="str">
        <f t="array" ref="D808">IFNA(XLOOKUP(C808,'👥 Daftar Nama Pasien'!$B$6:$B1181,'👥 Daftar Nama Pasien'!$D$6:$D1181),"")</f>
        <v/>
      </c>
      <c r="E808" s="145" t="str">
        <f t="array" ref="E808">XLOOKUP(C808,'⬇️ PEMASUKAN'!$I$5:$I1181,'⬇️ PEMASUKAN'!$K$5:$K1181,,0,-1)</f>
        <v/>
      </c>
      <c r="F808" s="145" t="str">
        <f t="shared" si="2"/>
        <v/>
      </c>
      <c r="G808" s="145" t="str">
        <f t="shared" si="3"/>
        <v/>
      </c>
      <c r="H808" s="145"/>
      <c r="I808" s="145"/>
      <c r="J808" s="145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</row>
    <row r="809" ht="22.5" customHeight="1">
      <c r="A809" s="145"/>
      <c r="B809" s="145" t="str">
        <f t="shared" si="1"/>
        <v/>
      </c>
      <c r="C809" s="145"/>
      <c r="D809" s="145" t="str">
        <f t="array" ref="D809">IFNA(XLOOKUP(C809,'👥 Daftar Nama Pasien'!$B$6:$B1181,'👥 Daftar Nama Pasien'!$D$6:$D1181),"")</f>
        <v/>
      </c>
      <c r="E809" s="145" t="str">
        <f t="array" ref="E809">XLOOKUP(C809,'⬇️ PEMASUKAN'!$I$5:$I1181,'⬇️ PEMASUKAN'!$K$5:$K1181,,0,-1)</f>
        <v/>
      </c>
      <c r="F809" s="145" t="str">
        <f t="shared" si="2"/>
        <v/>
      </c>
      <c r="G809" s="145" t="str">
        <f t="shared" si="3"/>
        <v/>
      </c>
      <c r="H809" s="145"/>
      <c r="I809" s="145"/>
      <c r="J809" s="145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</row>
    <row r="810" ht="22.5" customHeight="1">
      <c r="A810" s="145"/>
      <c r="B810" s="145" t="str">
        <f t="shared" si="1"/>
        <v/>
      </c>
      <c r="C810" s="145"/>
      <c r="D810" s="145" t="str">
        <f t="array" ref="D810">IFNA(XLOOKUP(C810,'👥 Daftar Nama Pasien'!$B$6:$B1181,'👥 Daftar Nama Pasien'!$D$6:$D1181),"")</f>
        <v/>
      </c>
      <c r="E810" s="145" t="str">
        <f t="array" ref="E810">XLOOKUP(C810,'⬇️ PEMASUKAN'!$I$5:$I1181,'⬇️ PEMASUKAN'!$K$5:$K1181,,0,-1)</f>
        <v/>
      </c>
      <c r="F810" s="145" t="str">
        <f t="shared" si="2"/>
        <v/>
      </c>
      <c r="G810" s="145" t="str">
        <f t="shared" si="3"/>
        <v/>
      </c>
      <c r="H810" s="145"/>
      <c r="I810" s="145"/>
      <c r="J810" s="145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</row>
    <row r="811" ht="22.5" customHeight="1">
      <c r="A811" s="145"/>
      <c r="B811" s="145" t="str">
        <f t="shared" si="1"/>
        <v/>
      </c>
      <c r="C811" s="145"/>
      <c r="D811" s="145" t="str">
        <f t="array" ref="D811">IFNA(XLOOKUP(C811,'👥 Daftar Nama Pasien'!$B$6:$B1181,'👥 Daftar Nama Pasien'!$D$6:$D1181),"")</f>
        <v/>
      </c>
      <c r="E811" s="145" t="str">
        <f t="array" ref="E811">XLOOKUP(C811,'⬇️ PEMASUKAN'!$I$5:$I1181,'⬇️ PEMASUKAN'!$K$5:$K1181,,0,-1)</f>
        <v/>
      </c>
      <c r="F811" s="145" t="str">
        <f t="shared" si="2"/>
        <v/>
      </c>
      <c r="G811" s="145" t="str">
        <f t="shared" si="3"/>
        <v/>
      </c>
      <c r="H811" s="145"/>
      <c r="I811" s="145"/>
      <c r="J811" s="145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</row>
    <row r="812" ht="22.5" customHeight="1">
      <c r="A812" s="145"/>
      <c r="B812" s="145" t="str">
        <f t="shared" si="1"/>
        <v/>
      </c>
      <c r="C812" s="145"/>
      <c r="D812" s="145" t="str">
        <f t="array" ref="D812">IFNA(XLOOKUP(C812,'👥 Daftar Nama Pasien'!$B$6:$B1181,'👥 Daftar Nama Pasien'!$D$6:$D1181),"")</f>
        <v/>
      </c>
      <c r="E812" s="145" t="str">
        <f t="array" ref="E812">XLOOKUP(C812,'⬇️ PEMASUKAN'!$I$5:$I1181,'⬇️ PEMASUKAN'!$K$5:$K1181,,0,-1)</f>
        <v/>
      </c>
      <c r="F812" s="145" t="str">
        <f t="shared" si="2"/>
        <v/>
      </c>
      <c r="G812" s="145" t="str">
        <f t="shared" si="3"/>
        <v/>
      </c>
      <c r="H812" s="145"/>
      <c r="I812" s="145"/>
      <c r="J812" s="145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</row>
    <row r="813" ht="22.5" customHeight="1">
      <c r="A813" s="145"/>
      <c r="B813" s="145" t="str">
        <f t="shared" si="1"/>
        <v/>
      </c>
      <c r="C813" s="145"/>
      <c r="D813" s="145" t="str">
        <f t="array" ref="D813">IFNA(XLOOKUP(C813,'👥 Daftar Nama Pasien'!$B$6:$B1181,'👥 Daftar Nama Pasien'!$D$6:$D1181),"")</f>
        <v/>
      </c>
      <c r="E813" s="145" t="str">
        <f t="array" ref="E813">XLOOKUP(C813,'⬇️ PEMASUKAN'!$I$5:$I1181,'⬇️ PEMASUKAN'!$K$5:$K1181,,0,-1)</f>
        <v/>
      </c>
      <c r="F813" s="145" t="str">
        <f t="shared" si="2"/>
        <v/>
      </c>
      <c r="G813" s="145" t="str">
        <f t="shared" si="3"/>
        <v/>
      </c>
      <c r="H813" s="145"/>
      <c r="I813" s="145"/>
      <c r="J813" s="145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</row>
    <row r="814" ht="22.5" customHeight="1">
      <c r="A814" s="145"/>
      <c r="B814" s="145" t="str">
        <f t="shared" si="1"/>
        <v/>
      </c>
      <c r="C814" s="145"/>
      <c r="D814" s="145" t="str">
        <f t="array" ref="D814">IFNA(XLOOKUP(C814,'👥 Daftar Nama Pasien'!$B$6:$B1181,'👥 Daftar Nama Pasien'!$D$6:$D1181),"")</f>
        <v/>
      </c>
      <c r="E814" s="145" t="str">
        <f t="array" ref="E814">XLOOKUP(C814,'⬇️ PEMASUKAN'!$I$5:$I1181,'⬇️ PEMASUKAN'!$K$5:$K1181,,0,-1)</f>
        <v/>
      </c>
      <c r="F814" s="145" t="str">
        <f t="shared" si="2"/>
        <v/>
      </c>
      <c r="G814" s="145" t="str">
        <f t="shared" si="3"/>
        <v/>
      </c>
      <c r="H814" s="145"/>
      <c r="I814" s="145"/>
      <c r="J814" s="145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</row>
    <row r="815" ht="22.5" customHeight="1">
      <c r="A815" s="145"/>
      <c r="B815" s="145" t="str">
        <f t="shared" si="1"/>
        <v/>
      </c>
      <c r="C815" s="145"/>
      <c r="D815" s="145" t="str">
        <f t="array" ref="D815">IFNA(XLOOKUP(C815,'👥 Daftar Nama Pasien'!$B$6:$B1181,'👥 Daftar Nama Pasien'!$D$6:$D1181),"")</f>
        <v/>
      </c>
      <c r="E815" s="145" t="str">
        <f t="array" ref="E815">XLOOKUP(C815,'⬇️ PEMASUKAN'!$I$5:$I1181,'⬇️ PEMASUKAN'!$K$5:$K1181,,0,-1)</f>
        <v/>
      </c>
      <c r="F815" s="145" t="str">
        <f t="shared" si="2"/>
        <v/>
      </c>
      <c r="G815" s="145" t="str">
        <f t="shared" si="3"/>
        <v/>
      </c>
      <c r="H815" s="145"/>
      <c r="I815" s="145"/>
      <c r="J815" s="145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</row>
    <row r="816" ht="22.5" customHeight="1">
      <c r="A816" s="145"/>
      <c r="B816" s="145" t="str">
        <f t="shared" si="1"/>
        <v/>
      </c>
      <c r="C816" s="145"/>
      <c r="D816" s="145" t="str">
        <f t="array" ref="D816">IFNA(XLOOKUP(C816,'👥 Daftar Nama Pasien'!$B$6:$B1181,'👥 Daftar Nama Pasien'!$D$6:$D1181),"")</f>
        <v/>
      </c>
      <c r="E816" s="145" t="str">
        <f t="array" ref="E816">XLOOKUP(C816,'⬇️ PEMASUKAN'!$I$5:$I1181,'⬇️ PEMASUKAN'!$K$5:$K1181,,0,-1)</f>
        <v/>
      </c>
      <c r="F816" s="145" t="str">
        <f t="shared" si="2"/>
        <v/>
      </c>
      <c r="G816" s="145" t="str">
        <f t="shared" si="3"/>
        <v/>
      </c>
      <c r="H816" s="145"/>
      <c r="I816" s="145"/>
      <c r="J816" s="145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</row>
    <row r="817" ht="22.5" customHeight="1">
      <c r="A817" s="145"/>
      <c r="B817" s="145" t="str">
        <f t="shared" si="1"/>
        <v/>
      </c>
      <c r="C817" s="145"/>
      <c r="D817" s="145" t="str">
        <f t="array" ref="D817">IFNA(XLOOKUP(C817,'👥 Daftar Nama Pasien'!$B$6:$B1181,'👥 Daftar Nama Pasien'!$D$6:$D1181),"")</f>
        <v/>
      </c>
      <c r="E817" s="145" t="str">
        <f t="array" ref="E817">XLOOKUP(C817,'⬇️ PEMASUKAN'!$I$5:$I1181,'⬇️ PEMASUKAN'!$K$5:$K1181,,0,-1)</f>
        <v/>
      </c>
      <c r="F817" s="145" t="str">
        <f t="shared" si="2"/>
        <v/>
      </c>
      <c r="G817" s="145" t="str">
        <f t="shared" si="3"/>
        <v/>
      </c>
      <c r="H817" s="145"/>
      <c r="I817" s="145"/>
      <c r="J817" s="145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</row>
    <row r="818" ht="22.5" customHeight="1">
      <c r="A818" s="145"/>
      <c r="B818" s="145" t="str">
        <f t="shared" si="1"/>
        <v/>
      </c>
      <c r="C818" s="145"/>
      <c r="D818" s="145" t="str">
        <f t="array" ref="D818">IFNA(XLOOKUP(C818,'👥 Daftar Nama Pasien'!$B$6:$B1181,'👥 Daftar Nama Pasien'!$D$6:$D1181),"")</f>
        <v/>
      </c>
      <c r="E818" s="145" t="str">
        <f t="array" ref="E818">XLOOKUP(C818,'⬇️ PEMASUKAN'!$I$5:$I1181,'⬇️ PEMASUKAN'!$K$5:$K1181,,0,-1)</f>
        <v/>
      </c>
      <c r="F818" s="145" t="str">
        <f t="shared" si="2"/>
        <v/>
      </c>
      <c r="G818" s="145" t="str">
        <f t="shared" si="3"/>
        <v/>
      </c>
      <c r="H818" s="145"/>
      <c r="I818" s="145"/>
      <c r="J818" s="145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</row>
    <row r="819" ht="22.5" customHeight="1">
      <c r="A819" s="145"/>
      <c r="B819" s="145" t="str">
        <f t="shared" si="1"/>
        <v/>
      </c>
      <c r="C819" s="145"/>
      <c r="D819" s="145" t="str">
        <f t="array" ref="D819">IFNA(XLOOKUP(C819,'👥 Daftar Nama Pasien'!$B$6:$B1181,'👥 Daftar Nama Pasien'!$D$6:$D1181),"")</f>
        <v/>
      </c>
      <c r="E819" s="145" t="str">
        <f t="array" ref="E819">XLOOKUP(C819,'⬇️ PEMASUKAN'!$I$5:$I1181,'⬇️ PEMASUKAN'!$K$5:$K1181,,0,-1)</f>
        <v/>
      </c>
      <c r="F819" s="145" t="str">
        <f t="shared" si="2"/>
        <v/>
      </c>
      <c r="G819" s="145" t="str">
        <f t="shared" si="3"/>
        <v/>
      </c>
      <c r="H819" s="145"/>
      <c r="I819" s="145"/>
      <c r="J819" s="145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</row>
    <row r="820" ht="22.5" customHeight="1">
      <c r="A820" s="145"/>
      <c r="B820" s="145" t="str">
        <f t="shared" si="1"/>
        <v/>
      </c>
      <c r="C820" s="145"/>
      <c r="D820" s="145" t="str">
        <f t="array" ref="D820">IFNA(XLOOKUP(C820,'👥 Daftar Nama Pasien'!$B$6:$B1181,'👥 Daftar Nama Pasien'!$D$6:$D1181),"")</f>
        <v/>
      </c>
      <c r="E820" s="145" t="str">
        <f t="array" ref="E820">XLOOKUP(C820,'⬇️ PEMASUKAN'!$I$5:$I1181,'⬇️ PEMASUKAN'!$K$5:$K1181,,0,-1)</f>
        <v/>
      </c>
      <c r="F820" s="145" t="str">
        <f t="shared" si="2"/>
        <v/>
      </c>
      <c r="G820" s="145" t="str">
        <f t="shared" si="3"/>
        <v/>
      </c>
      <c r="H820" s="145"/>
      <c r="I820" s="145"/>
      <c r="J820" s="145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</row>
    <row r="821" ht="22.5" customHeight="1">
      <c r="A821" s="145"/>
      <c r="B821" s="145" t="str">
        <f t="shared" si="1"/>
        <v/>
      </c>
      <c r="C821" s="145"/>
      <c r="D821" s="145" t="str">
        <f t="array" ref="D821">IFNA(XLOOKUP(C821,'👥 Daftar Nama Pasien'!$B$6:$B1181,'👥 Daftar Nama Pasien'!$D$6:$D1181),"")</f>
        <v/>
      </c>
      <c r="E821" s="145" t="str">
        <f t="array" ref="E821">XLOOKUP(C821,'⬇️ PEMASUKAN'!$I$5:$I1181,'⬇️ PEMASUKAN'!$K$5:$K1181,,0,-1)</f>
        <v/>
      </c>
      <c r="F821" s="145" t="str">
        <f t="shared" si="2"/>
        <v/>
      </c>
      <c r="G821" s="145" t="str">
        <f t="shared" si="3"/>
        <v/>
      </c>
      <c r="H821" s="145"/>
      <c r="I821" s="145"/>
      <c r="J821" s="145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</row>
    <row r="822" ht="22.5" customHeight="1">
      <c r="A822" s="145"/>
      <c r="B822" s="145" t="str">
        <f t="shared" si="1"/>
        <v/>
      </c>
      <c r="C822" s="145"/>
      <c r="D822" s="145" t="str">
        <f t="array" ref="D822">IFNA(XLOOKUP(C822,'👥 Daftar Nama Pasien'!$B$6:$B1181,'👥 Daftar Nama Pasien'!$D$6:$D1181),"")</f>
        <v/>
      </c>
      <c r="E822" s="145" t="str">
        <f t="array" ref="E822">XLOOKUP(C822,'⬇️ PEMASUKAN'!$I$5:$I1181,'⬇️ PEMASUKAN'!$K$5:$K1181,,0,-1)</f>
        <v/>
      </c>
      <c r="F822" s="145" t="str">
        <f t="shared" si="2"/>
        <v/>
      </c>
      <c r="G822" s="145" t="str">
        <f t="shared" si="3"/>
        <v/>
      </c>
      <c r="H822" s="145"/>
      <c r="I822" s="145"/>
      <c r="J822" s="145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</row>
    <row r="823" ht="22.5" customHeight="1">
      <c r="A823" s="145"/>
      <c r="B823" s="145" t="str">
        <f t="shared" si="1"/>
        <v/>
      </c>
      <c r="C823" s="145"/>
      <c r="D823" s="145" t="str">
        <f t="array" ref="D823">IFNA(XLOOKUP(C823,'👥 Daftar Nama Pasien'!$B$6:$B1181,'👥 Daftar Nama Pasien'!$D$6:$D1181),"")</f>
        <v/>
      </c>
      <c r="E823" s="145" t="str">
        <f t="array" ref="E823">XLOOKUP(C823,'⬇️ PEMASUKAN'!$I$5:$I1181,'⬇️ PEMASUKAN'!$K$5:$K1181,,0,-1)</f>
        <v/>
      </c>
      <c r="F823" s="145" t="str">
        <f t="shared" si="2"/>
        <v/>
      </c>
      <c r="G823" s="145" t="str">
        <f t="shared" si="3"/>
        <v/>
      </c>
      <c r="H823" s="145"/>
      <c r="I823" s="145"/>
      <c r="J823" s="145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</row>
    <row r="824" ht="22.5" customHeight="1">
      <c r="A824" s="145"/>
      <c r="B824" s="145" t="str">
        <f t="shared" si="1"/>
        <v/>
      </c>
      <c r="C824" s="145"/>
      <c r="D824" s="145" t="str">
        <f t="array" ref="D824">IFNA(XLOOKUP(C824,'👥 Daftar Nama Pasien'!$B$6:$B1181,'👥 Daftar Nama Pasien'!$D$6:$D1181),"")</f>
        <v/>
      </c>
      <c r="E824" s="145" t="str">
        <f t="array" ref="E824">XLOOKUP(C824,'⬇️ PEMASUKAN'!$I$5:$I1181,'⬇️ PEMASUKAN'!$K$5:$K1181,,0,-1)</f>
        <v/>
      </c>
      <c r="F824" s="145" t="str">
        <f t="shared" si="2"/>
        <v/>
      </c>
      <c r="G824" s="145" t="str">
        <f t="shared" si="3"/>
        <v/>
      </c>
      <c r="H824" s="145"/>
      <c r="I824" s="145"/>
      <c r="J824" s="145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</row>
    <row r="825" ht="22.5" customHeight="1">
      <c r="A825" s="145"/>
      <c r="B825" s="145" t="str">
        <f t="shared" si="1"/>
        <v/>
      </c>
      <c r="C825" s="145"/>
      <c r="D825" s="145" t="str">
        <f t="array" ref="D825">IFNA(XLOOKUP(C825,'👥 Daftar Nama Pasien'!$B$6:$B1181,'👥 Daftar Nama Pasien'!$D$6:$D1181),"")</f>
        <v/>
      </c>
      <c r="E825" s="145" t="str">
        <f t="array" ref="E825">XLOOKUP(C825,'⬇️ PEMASUKAN'!$I$5:$I1181,'⬇️ PEMASUKAN'!$K$5:$K1181,,0,-1)</f>
        <v/>
      </c>
      <c r="F825" s="145" t="str">
        <f t="shared" si="2"/>
        <v/>
      </c>
      <c r="G825" s="145" t="str">
        <f t="shared" si="3"/>
        <v/>
      </c>
      <c r="H825" s="145"/>
      <c r="I825" s="145"/>
      <c r="J825" s="145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</row>
    <row r="826" ht="22.5" customHeight="1">
      <c r="A826" s="145"/>
      <c r="B826" s="145" t="str">
        <f t="shared" si="1"/>
        <v/>
      </c>
      <c r="C826" s="145"/>
      <c r="D826" s="145" t="str">
        <f t="array" ref="D826">IFNA(XLOOKUP(C826,'👥 Daftar Nama Pasien'!$B$6:$B1181,'👥 Daftar Nama Pasien'!$D$6:$D1181),"")</f>
        <v/>
      </c>
      <c r="E826" s="145" t="str">
        <f t="array" ref="E826">XLOOKUP(C826,'⬇️ PEMASUKAN'!$I$5:$I1181,'⬇️ PEMASUKAN'!$K$5:$K1181,,0,-1)</f>
        <v/>
      </c>
      <c r="F826" s="145" t="str">
        <f t="shared" si="2"/>
        <v/>
      </c>
      <c r="G826" s="145" t="str">
        <f t="shared" si="3"/>
        <v/>
      </c>
      <c r="H826" s="145"/>
      <c r="I826" s="145"/>
      <c r="J826" s="145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</row>
    <row r="827" ht="22.5" customHeight="1">
      <c r="A827" s="145"/>
      <c r="B827" s="145" t="str">
        <f t="shared" si="1"/>
        <v/>
      </c>
      <c r="C827" s="145"/>
      <c r="D827" s="145" t="str">
        <f t="array" ref="D827">IFNA(XLOOKUP(C827,'👥 Daftar Nama Pasien'!$B$6:$B1181,'👥 Daftar Nama Pasien'!$D$6:$D1181),"")</f>
        <v/>
      </c>
      <c r="E827" s="145" t="str">
        <f t="array" ref="E827">XLOOKUP(C827,'⬇️ PEMASUKAN'!$I$5:$I1181,'⬇️ PEMASUKAN'!$K$5:$K1181,,0,-1)</f>
        <v/>
      </c>
      <c r="F827" s="145" t="str">
        <f t="shared" si="2"/>
        <v/>
      </c>
      <c r="G827" s="145" t="str">
        <f t="shared" si="3"/>
        <v/>
      </c>
      <c r="H827" s="145"/>
      <c r="I827" s="145"/>
      <c r="J827" s="145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</row>
    <row r="828" ht="22.5" customHeight="1">
      <c r="A828" s="145"/>
      <c r="B828" s="145" t="str">
        <f t="shared" si="1"/>
        <v/>
      </c>
      <c r="C828" s="145"/>
      <c r="D828" s="145" t="str">
        <f t="array" ref="D828">IFNA(XLOOKUP(C828,'👥 Daftar Nama Pasien'!$B$6:$B1181,'👥 Daftar Nama Pasien'!$D$6:$D1181),"")</f>
        <v/>
      </c>
      <c r="E828" s="145" t="str">
        <f t="array" ref="E828">XLOOKUP(C828,'⬇️ PEMASUKAN'!$I$5:$I1181,'⬇️ PEMASUKAN'!$K$5:$K1181,,0,-1)</f>
        <v/>
      </c>
      <c r="F828" s="145" t="str">
        <f t="shared" si="2"/>
        <v/>
      </c>
      <c r="G828" s="145" t="str">
        <f t="shared" si="3"/>
        <v/>
      </c>
      <c r="H828" s="145"/>
      <c r="I828" s="145"/>
      <c r="J828" s="145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</row>
    <row r="829" ht="22.5" customHeight="1">
      <c r="A829" s="145"/>
      <c r="B829" s="145" t="str">
        <f t="shared" si="1"/>
        <v/>
      </c>
      <c r="C829" s="145"/>
      <c r="D829" s="145" t="str">
        <f t="array" ref="D829">IFNA(XLOOKUP(C829,'👥 Daftar Nama Pasien'!$B$6:$B1181,'👥 Daftar Nama Pasien'!$D$6:$D1181),"")</f>
        <v/>
      </c>
      <c r="E829" s="145" t="str">
        <f t="array" ref="E829">XLOOKUP(C829,'⬇️ PEMASUKAN'!$I$5:$I1181,'⬇️ PEMASUKAN'!$K$5:$K1181,,0,-1)</f>
        <v/>
      </c>
      <c r="F829" s="145" t="str">
        <f t="shared" si="2"/>
        <v/>
      </c>
      <c r="G829" s="145" t="str">
        <f t="shared" si="3"/>
        <v/>
      </c>
      <c r="H829" s="145"/>
      <c r="I829" s="145"/>
      <c r="J829" s="145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</row>
    <row r="830" ht="22.5" customHeight="1">
      <c r="A830" s="145"/>
      <c r="B830" s="145" t="str">
        <f t="shared" si="1"/>
        <v/>
      </c>
      <c r="C830" s="145"/>
      <c r="D830" s="145" t="str">
        <f t="array" ref="D830">IFNA(XLOOKUP(C830,'👥 Daftar Nama Pasien'!$B$6:$B1181,'👥 Daftar Nama Pasien'!$D$6:$D1181),"")</f>
        <v/>
      </c>
      <c r="E830" s="145" t="str">
        <f t="array" ref="E830">XLOOKUP(C830,'⬇️ PEMASUKAN'!$I$5:$I1181,'⬇️ PEMASUKAN'!$K$5:$K1181,,0,-1)</f>
        <v/>
      </c>
      <c r="F830" s="145" t="str">
        <f t="shared" si="2"/>
        <v/>
      </c>
      <c r="G830" s="145" t="str">
        <f t="shared" si="3"/>
        <v/>
      </c>
      <c r="H830" s="145"/>
      <c r="I830" s="145"/>
      <c r="J830" s="145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</row>
    <row r="831" ht="22.5" customHeight="1">
      <c r="A831" s="145"/>
      <c r="B831" s="145" t="str">
        <f t="shared" si="1"/>
        <v/>
      </c>
      <c r="C831" s="145"/>
      <c r="D831" s="145" t="str">
        <f t="array" ref="D831">IFNA(XLOOKUP(C831,'👥 Daftar Nama Pasien'!$B$6:$B1181,'👥 Daftar Nama Pasien'!$D$6:$D1181),"")</f>
        <v/>
      </c>
      <c r="E831" s="145" t="str">
        <f t="array" ref="E831">XLOOKUP(C831,'⬇️ PEMASUKAN'!$I$5:$I1181,'⬇️ PEMASUKAN'!$K$5:$K1181,,0,-1)</f>
        <v/>
      </c>
      <c r="F831" s="145" t="str">
        <f t="shared" si="2"/>
        <v/>
      </c>
      <c r="G831" s="145" t="str">
        <f t="shared" si="3"/>
        <v/>
      </c>
      <c r="H831" s="145"/>
      <c r="I831" s="145"/>
      <c r="J831" s="145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</row>
    <row r="832" ht="22.5" customHeight="1">
      <c r="A832" s="145"/>
      <c r="B832" s="145" t="str">
        <f t="shared" si="1"/>
        <v/>
      </c>
      <c r="C832" s="145"/>
      <c r="D832" s="145" t="str">
        <f t="array" ref="D832">IFNA(XLOOKUP(C832,'👥 Daftar Nama Pasien'!$B$6:$B1181,'👥 Daftar Nama Pasien'!$D$6:$D1181),"")</f>
        <v/>
      </c>
      <c r="E832" s="145" t="str">
        <f t="array" ref="E832">XLOOKUP(C832,'⬇️ PEMASUKAN'!$I$5:$I1181,'⬇️ PEMASUKAN'!$K$5:$K1181,,0,-1)</f>
        <v/>
      </c>
      <c r="F832" s="145" t="str">
        <f t="shared" si="2"/>
        <v/>
      </c>
      <c r="G832" s="145" t="str">
        <f t="shared" si="3"/>
        <v/>
      </c>
      <c r="H832" s="145"/>
      <c r="I832" s="145"/>
      <c r="J832" s="145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</row>
    <row r="833" ht="22.5" customHeight="1">
      <c r="A833" s="145"/>
      <c r="B833" s="145" t="str">
        <f t="shared" si="1"/>
        <v/>
      </c>
      <c r="C833" s="145"/>
      <c r="D833" s="145" t="str">
        <f t="array" ref="D833">IFNA(XLOOKUP(C833,'👥 Daftar Nama Pasien'!$B$6:$B1181,'👥 Daftar Nama Pasien'!$D$6:$D1181),"")</f>
        <v/>
      </c>
      <c r="E833" s="145" t="str">
        <f t="array" ref="E833">XLOOKUP(C833,'⬇️ PEMASUKAN'!$I$5:$I1181,'⬇️ PEMASUKAN'!$K$5:$K1181,,0,-1)</f>
        <v/>
      </c>
      <c r="F833" s="145" t="str">
        <f t="shared" si="2"/>
        <v/>
      </c>
      <c r="G833" s="145" t="str">
        <f t="shared" si="3"/>
        <v/>
      </c>
      <c r="H833" s="145"/>
      <c r="I833" s="145"/>
      <c r="J833" s="145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</row>
    <row r="834" ht="22.5" customHeight="1">
      <c r="A834" s="145"/>
      <c r="B834" s="145" t="str">
        <f t="shared" si="1"/>
        <v/>
      </c>
      <c r="C834" s="145"/>
      <c r="D834" s="145" t="str">
        <f t="array" ref="D834">IFNA(XLOOKUP(C834,'👥 Daftar Nama Pasien'!$B$6:$B1181,'👥 Daftar Nama Pasien'!$D$6:$D1181),"")</f>
        <v/>
      </c>
      <c r="E834" s="145" t="str">
        <f t="array" ref="E834">XLOOKUP(C834,'⬇️ PEMASUKAN'!$I$5:$I1181,'⬇️ PEMASUKAN'!$K$5:$K1181,,0,-1)</f>
        <v/>
      </c>
      <c r="F834" s="145" t="str">
        <f t="shared" si="2"/>
        <v/>
      </c>
      <c r="G834" s="145" t="str">
        <f t="shared" si="3"/>
        <v/>
      </c>
      <c r="H834" s="145"/>
      <c r="I834" s="145"/>
      <c r="J834" s="145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</row>
    <row r="835" ht="22.5" customHeight="1">
      <c r="A835" s="145"/>
      <c r="B835" s="145" t="str">
        <f t="shared" si="1"/>
        <v/>
      </c>
      <c r="C835" s="145"/>
      <c r="D835" s="145" t="str">
        <f t="array" ref="D835">IFNA(XLOOKUP(C835,'👥 Daftar Nama Pasien'!$B$6:$B1181,'👥 Daftar Nama Pasien'!$D$6:$D1181),"")</f>
        <v/>
      </c>
      <c r="E835" s="145" t="str">
        <f t="array" ref="E835">XLOOKUP(C835,'⬇️ PEMASUKAN'!$I$5:$I1181,'⬇️ PEMASUKAN'!$K$5:$K1181,,0,-1)</f>
        <v/>
      </c>
      <c r="F835" s="145" t="str">
        <f t="shared" si="2"/>
        <v/>
      </c>
      <c r="G835" s="145" t="str">
        <f t="shared" si="3"/>
        <v/>
      </c>
      <c r="H835" s="145"/>
      <c r="I835" s="145"/>
      <c r="J835" s="145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</row>
    <row r="836" ht="22.5" customHeight="1">
      <c r="A836" s="145"/>
      <c r="B836" s="145" t="str">
        <f t="shared" si="1"/>
        <v/>
      </c>
      <c r="C836" s="145"/>
      <c r="D836" s="145" t="str">
        <f t="array" ref="D836">IFNA(XLOOKUP(C836,'👥 Daftar Nama Pasien'!$B$6:$B1181,'👥 Daftar Nama Pasien'!$D$6:$D1181),"")</f>
        <v/>
      </c>
      <c r="E836" s="145" t="str">
        <f t="array" ref="E836">XLOOKUP(C836,'⬇️ PEMASUKAN'!$I$5:$I1181,'⬇️ PEMASUKAN'!$K$5:$K1181,,0,-1)</f>
        <v/>
      </c>
      <c r="F836" s="145" t="str">
        <f t="shared" si="2"/>
        <v/>
      </c>
      <c r="G836" s="145" t="str">
        <f t="shared" si="3"/>
        <v/>
      </c>
      <c r="H836" s="145"/>
      <c r="I836" s="145"/>
      <c r="J836" s="145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</row>
    <row r="837" ht="22.5" customHeight="1">
      <c r="A837" s="145"/>
      <c r="B837" s="145" t="str">
        <f t="shared" si="1"/>
        <v/>
      </c>
      <c r="C837" s="145"/>
      <c r="D837" s="145" t="str">
        <f t="array" ref="D837">IFNA(XLOOKUP(C837,'👥 Daftar Nama Pasien'!$B$6:$B1181,'👥 Daftar Nama Pasien'!$D$6:$D1181),"")</f>
        <v/>
      </c>
      <c r="E837" s="145" t="str">
        <f t="array" ref="E837">XLOOKUP(C837,'⬇️ PEMASUKAN'!$I$5:$I1181,'⬇️ PEMASUKAN'!$K$5:$K1181,,0,-1)</f>
        <v/>
      </c>
      <c r="F837" s="145" t="str">
        <f t="shared" si="2"/>
        <v/>
      </c>
      <c r="G837" s="145" t="str">
        <f t="shared" si="3"/>
        <v/>
      </c>
      <c r="H837" s="145"/>
      <c r="I837" s="145"/>
      <c r="J837" s="145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</row>
    <row r="838" ht="22.5" customHeight="1">
      <c r="A838" s="145"/>
      <c r="B838" s="145" t="str">
        <f t="shared" si="1"/>
        <v/>
      </c>
      <c r="C838" s="145"/>
      <c r="D838" s="145" t="str">
        <f t="array" ref="D838">IFNA(XLOOKUP(C838,'👥 Daftar Nama Pasien'!$B$6:$B1181,'👥 Daftar Nama Pasien'!$D$6:$D1181),"")</f>
        <v/>
      </c>
      <c r="E838" s="145" t="str">
        <f t="array" ref="E838">XLOOKUP(C838,'⬇️ PEMASUKAN'!$I$5:$I1181,'⬇️ PEMASUKAN'!$K$5:$K1181,,0,-1)</f>
        <v/>
      </c>
      <c r="F838" s="145" t="str">
        <f t="shared" si="2"/>
        <v/>
      </c>
      <c r="G838" s="145" t="str">
        <f t="shared" si="3"/>
        <v/>
      </c>
      <c r="H838" s="145"/>
      <c r="I838" s="145"/>
      <c r="J838" s="145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</row>
    <row r="839" ht="22.5" customHeight="1">
      <c r="A839" s="145"/>
      <c r="B839" s="145" t="str">
        <f t="shared" si="1"/>
        <v/>
      </c>
      <c r="C839" s="145"/>
      <c r="D839" s="145" t="str">
        <f t="array" ref="D839">IFNA(XLOOKUP(C839,'👥 Daftar Nama Pasien'!$B$6:$B1181,'👥 Daftar Nama Pasien'!$D$6:$D1181),"")</f>
        <v/>
      </c>
      <c r="E839" s="145" t="str">
        <f t="array" ref="E839">XLOOKUP(C839,'⬇️ PEMASUKAN'!$I$5:$I1181,'⬇️ PEMASUKAN'!$K$5:$K1181,,0,-1)</f>
        <v/>
      </c>
      <c r="F839" s="145" t="str">
        <f t="shared" si="2"/>
        <v/>
      </c>
      <c r="G839" s="145" t="str">
        <f t="shared" si="3"/>
        <v/>
      </c>
      <c r="H839" s="145"/>
      <c r="I839" s="145"/>
      <c r="J839" s="145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</row>
    <row r="840" ht="22.5" customHeight="1">
      <c r="A840" s="145"/>
      <c r="B840" s="145" t="str">
        <f t="shared" si="1"/>
        <v/>
      </c>
      <c r="C840" s="145"/>
      <c r="D840" s="145" t="str">
        <f t="array" ref="D840">IFNA(XLOOKUP(C840,'👥 Daftar Nama Pasien'!$B$6:$B1181,'👥 Daftar Nama Pasien'!$D$6:$D1181),"")</f>
        <v/>
      </c>
      <c r="E840" s="145" t="str">
        <f t="array" ref="E840">XLOOKUP(C840,'⬇️ PEMASUKAN'!$I$5:$I1181,'⬇️ PEMASUKAN'!$K$5:$K1181,,0,-1)</f>
        <v/>
      </c>
      <c r="F840" s="145" t="str">
        <f t="shared" si="2"/>
        <v/>
      </c>
      <c r="G840" s="145" t="str">
        <f t="shared" si="3"/>
        <v/>
      </c>
      <c r="H840" s="145"/>
      <c r="I840" s="145"/>
      <c r="J840" s="145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</row>
    <row r="841" ht="22.5" customHeight="1">
      <c r="A841" s="145"/>
      <c r="B841" s="145" t="str">
        <f t="shared" si="1"/>
        <v/>
      </c>
      <c r="C841" s="145"/>
      <c r="D841" s="145" t="str">
        <f t="array" ref="D841">IFNA(XLOOKUP(C841,'👥 Daftar Nama Pasien'!$B$6:$B1181,'👥 Daftar Nama Pasien'!$D$6:$D1181),"")</f>
        <v/>
      </c>
      <c r="E841" s="145" t="str">
        <f t="array" ref="E841">XLOOKUP(C841,'⬇️ PEMASUKAN'!$I$5:$I1181,'⬇️ PEMASUKAN'!$K$5:$K1181,,0,-1)</f>
        <v/>
      </c>
      <c r="F841" s="145" t="str">
        <f t="shared" si="2"/>
        <v/>
      </c>
      <c r="G841" s="145" t="str">
        <f t="shared" si="3"/>
        <v/>
      </c>
      <c r="H841" s="145"/>
      <c r="I841" s="145"/>
      <c r="J841" s="145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</row>
    <row r="842" ht="22.5" customHeight="1">
      <c r="A842" s="145"/>
      <c r="B842" s="145" t="str">
        <f t="shared" si="1"/>
        <v/>
      </c>
      <c r="C842" s="145"/>
      <c r="D842" s="145" t="str">
        <f t="array" ref="D842">IFNA(XLOOKUP(C842,'👥 Daftar Nama Pasien'!$B$6:$B1181,'👥 Daftar Nama Pasien'!$D$6:$D1181),"")</f>
        <v/>
      </c>
      <c r="E842" s="145" t="str">
        <f t="array" ref="E842">XLOOKUP(C842,'⬇️ PEMASUKAN'!$I$5:$I1181,'⬇️ PEMASUKAN'!$K$5:$K1181,,0,-1)</f>
        <v/>
      </c>
      <c r="F842" s="145" t="str">
        <f t="shared" si="2"/>
        <v/>
      </c>
      <c r="G842" s="145" t="str">
        <f t="shared" si="3"/>
        <v/>
      </c>
      <c r="H842" s="145"/>
      <c r="I842" s="145"/>
      <c r="J842" s="145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</row>
    <row r="843" ht="22.5" customHeight="1">
      <c r="A843" s="145"/>
      <c r="B843" s="145" t="str">
        <f t="shared" si="1"/>
        <v/>
      </c>
      <c r="C843" s="145"/>
      <c r="D843" s="145" t="str">
        <f t="array" ref="D843">IFNA(XLOOKUP(C843,'👥 Daftar Nama Pasien'!$B$6:$B1181,'👥 Daftar Nama Pasien'!$D$6:$D1181),"")</f>
        <v/>
      </c>
      <c r="E843" s="145" t="str">
        <f t="array" ref="E843">XLOOKUP(C843,'⬇️ PEMASUKAN'!$I$5:$I1181,'⬇️ PEMASUKAN'!$K$5:$K1181,,0,-1)</f>
        <v/>
      </c>
      <c r="F843" s="145" t="str">
        <f t="shared" si="2"/>
        <v/>
      </c>
      <c r="G843" s="145" t="str">
        <f t="shared" si="3"/>
        <v/>
      </c>
      <c r="H843" s="145"/>
      <c r="I843" s="145"/>
      <c r="J843" s="145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</row>
    <row r="844" ht="22.5" customHeight="1">
      <c r="A844" s="145"/>
      <c r="B844" s="145" t="str">
        <f t="shared" si="1"/>
        <v/>
      </c>
      <c r="C844" s="145"/>
      <c r="D844" s="145" t="str">
        <f t="array" ref="D844">IFNA(XLOOKUP(C844,'👥 Daftar Nama Pasien'!$B$6:$B1181,'👥 Daftar Nama Pasien'!$D$6:$D1181),"")</f>
        <v/>
      </c>
      <c r="E844" s="145" t="str">
        <f t="array" ref="E844">XLOOKUP(C844,'⬇️ PEMASUKAN'!$I$5:$I1181,'⬇️ PEMASUKAN'!$K$5:$K1181,,0,-1)</f>
        <v/>
      </c>
      <c r="F844" s="145" t="str">
        <f t="shared" si="2"/>
        <v/>
      </c>
      <c r="G844" s="145" t="str">
        <f t="shared" si="3"/>
        <v/>
      </c>
      <c r="H844" s="145"/>
      <c r="I844" s="145"/>
      <c r="J844" s="145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</row>
    <row r="845" ht="22.5" customHeight="1">
      <c r="A845" s="145"/>
      <c r="B845" s="145" t="str">
        <f t="shared" si="1"/>
        <v/>
      </c>
      <c r="C845" s="145"/>
      <c r="D845" s="145" t="str">
        <f t="array" ref="D845">IFNA(XLOOKUP(C845,'👥 Daftar Nama Pasien'!$B$6:$B1181,'👥 Daftar Nama Pasien'!$D$6:$D1181),"")</f>
        <v/>
      </c>
      <c r="E845" s="145" t="str">
        <f t="array" ref="E845">XLOOKUP(C845,'⬇️ PEMASUKAN'!$I$5:$I1181,'⬇️ PEMASUKAN'!$K$5:$K1181,,0,-1)</f>
        <v/>
      </c>
      <c r="F845" s="145" t="str">
        <f t="shared" si="2"/>
        <v/>
      </c>
      <c r="G845" s="145" t="str">
        <f t="shared" si="3"/>
        <v/>
      </c>
      <c r="H845" s="145"/>
      <c r="I845" s="145"/>
      <c r="J845" s="145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</row>
    <row r="846" ht="22.5" customHeight="1">
      <c r="A846" s="145"/>
      <c r="B846" s="145" t="str">
        <f t="shared" si="1"/>
        <v/>
      </c>
      <c r="C846" s="145"/>
      <c r="D846" s="145" t="str">
        <f t="array" ref="D846">IFNA(XLOOKUP(C846,'👥 Daftar Nama Pasien'!$B$6:$B1181,'👥 Daftar Nama Pasien'!$D$6:$D1181),"")</f>
        <v/>
      </c>
      <c r="E846" s="145" t="str">
        <f t="array" ref="E846">XLOOKUP(C846,'⬇️ PEMASUKAN'!$I$5:$I1181,'⬇️ PEMASUKAN'!$K$5:$K1181,,0,-1)</f>
        <v/>
      </c>
      <c r="F846" s="145" t="str">
        <f t="shared" si="2"/>
        <v/>
      </c>
      <c r="G846" s="145" t="str">
        <f t="shared" si="3"/>
        <v/>
      </c>
      <c r="H846" s="145"/>
      <c r="I846" s="145"/>
      <c r="J846" s="145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</row>
    <row r="847" ht="22.5" customHeight="1">
      <c r="A847" s="145"/>
      <c r="B847" s="145" t="str">
        <f t="shared" si="1"/>
        <v/>
      </c>
      <c r="C847" s="145"/>
      <c r="D847" s="145" t="str">
        <f t="array" ref="D847">IFNA(XLOOKUP(C847,'👥 Daftar Nama Pasien'!$B$6:$B1181,'👥 Daftar Nama Pasien'!$D$6:$D1181),"")</f>
        <v/>
      </c>
      <c r="E847" s="145" t="str">
        <f t="array" ref="E847">XLOOKUP(C847,'⬇️ PEMASUKAN'!$I$5:$I1181,'⬇️ PEMASUKAN'!$K$5:$K1181,,0,-1)</f>
        <v/>
      </c>
      <c r="F847" s="145" t="str">
        <f t="shared" si="2"/>
        <v/>
      </c>
      <c r="G847" s="145" t="str">
        <f t="shared" si="3"/>
        <v/>
      </c>
      <c r="H847" s="145"/>
      <c r="I847" s="145"/>
      <c r="J847" s="145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</row>
    <row r="848" ht="22.5" customHeight="1">
      <c r="A848" s="145"/>
      <c r="B848" s="145" t="str">
        <f t="shared" si="1"/>
        <v/>
      </c>
      <c r="C848" s="145"/>
      <c r="D848" s="145" t="str">
        <f t="array" ref="D848">IFNA(XLOOKUP(C848,'👥 Daftar Nama Pasien'!$B$6:$B1181,'👥 Daftar Nama Pasien'!$D$6:$D1181),"")</f>
        <v/>
      </c>
      <c r="E848" s="145" t="str">
        <f t="array" ref="E848">XLOOKUP(C848,'⬇️ PEMASUKAN'!$I$5:$I1181,'⬇️ PEMASUKAN'!$K$5:$K1181,,0,-1)</f>
        <v/>
      </c>
      <c r="F848" s="145" t="str">
        <f t="shared" si="2"/>
        <v/>
      </c>
      <c r="G848" s="145" t="str">
        <f t="shared" si="3"/>
        <v/>
      </c>
      <c r="H848" s="145"/>
      <c r="I848" s="145"/>
      <c r="J848" s="145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</row>
    <row r="849" ht="22.5" customHeight="1">
      <c r="A849" s="145"/>
      <c r="B849" s="145" t="str">
        <f t="shared" si="1"/>
        <v/>
      </c>
      <c r="C849" s="145"/>
      <c r="D849" s="145" t="str">
        <f t="array" ref="D849">IFNA(XLOOKUP(C849,'👥 Daftar Nama Pasien'!$B$6:$B1181,'👥 Daftar Nama Pasien'!$D$6:$D1181),"")</f>
        <v/>
      </c>
      <c r="E849" s="145" t="str">
        <f t="array" ref="E849">XLOOKUP(C849,'⬇️ PEMASUKAN'!$I$5:$I1181,'⬇️ PEMASUKAN'!$K$5:$K1181,,0,-1)</f>
        <v/>
      </c>
      <c r="F849" s="145" t="str">
        <f t="shared" si="2"/>
        <v/>
      </c>
      <c r="G849" s="145" t="str">
        <f t="shared" si="3"/>
        <v/>
      </c>
      <c r="H849" s="145"/>
      <c r="I849" s="145"/>
      <c r="J849" s="145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</row>
    <row r="850" ht="22.5" customHeight="1">
      <c r="A850" s="145"/>
      <c r="B850" s="145" t="str">
        <f t="shared" si="1"/>
        <v/>
      </c>
      <c r="C850" s="145"/>
      <c r="D850" s="145" t="str">
        <f t="array" ref="D850">IFNA(XLOOKUP(C850,'👥 Daftar Nama Pasien'!$B$6:$B1181,'👥 Daftar Nama Pasien'!$D$6:$D1181),"")</f>
        <v/>
      </c>
      <c r="E850" s="145" t="str">
        <f t="array" ref="E850">XLOOKUP(C850,'⬇️ PEMASUKAN'!$I$5:$I1181,'⬇️ PEMASUKAN'!$K$5:$K1181,,0,-1)</f>
        <v/>
      </c>
      <c r="F850" s="145" t="str">
        <f t="shared" si="2"/>
        <v/>
      </c>
      <c r="G850" s="145" t="str">
        <f t="shared" si="3"/>
        <v/>
      </c>
      <c r="H850" s="145"/>
      <c r="I850" s="145"/>
      <c r="J850" s="145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</row>
    <row r="851" ht="22.5" customHeight="1">
      <c r="A851" s="145"/>
      <c r="B851" s="145" t="str">
        <f t="shared" si="1"/>
        <v/>
      </c>
      <c r="C851" s="145"/>
      <c r="D851" s="145" t="str">
        <f t="array" ref="D851">IFNA(XLOOKUP(C851,'👥 Daftar Nama Pasien'!$B$6:$B1181,'👥 Daftar Nama Pasien'!$D$6:$D1181),"")</f>
        <v/>
      </c>
      <c r="E851" s="145" t="str">
        <f t="array" ref="E851">XLOOKUP(C851,'⬇️ PEMASUKAN'!$I$5:$I1181,'⬇️ PEMASUKAN'!$K$5:$K1181,,0,-1)</f>
        <v/>
      </c>
      <c r="F851" s="145" t="str">
        <f t="shared" si="2"/>
        <v/>
      </c>
      <c r="G851" s="145" t="str">
        <f t="shared" si="3"/>
        <v/>
      </c>
      <c r="H851" s="145"/>
      <c r="I851" s="145"/>
      <c r="J851" s="145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</row>
    <row r="852" ht="22.5" customHeight="1">
      <c r="A852" s="145"/>
      <c r="B852" s="145" t="str">
        <f t="shared" si="1"/>
        <v/>
      </c>
      <c r="C852" s="145"/>
      <c r="D852" s="145" t="str">
        <f t="array" ref="D852">IFNA(XLOOKUP(C852,'👥 Daftar Nama Pasien'!$B$6:$B1181,'👥 Daftar Nama Pasien'!$D$6:$D1181),"")</f>
        <v/>
      </c>
      <c r="E852" s="145" t="str">
        <f t="array" ref="E852">XLOOKUP(C852,'⬇️ PEMASUKAN'!$I$5:$I1181,'⬇️ PEMASUKAN'!$K$5:$K1181,,0,-1)</f>
        <v/>
      </c>
      <c r="F852" s="145" t="str">
        <f t="shared" si="2"/>
        <v/>
      </c>
      <c r="G852" s="145" t="str">
        <f t="shared" si="3"/>
        <v/>
      </c>
      <c r="H852" s="145"/>
      <c r="I852" s="145"/>
      <c r="J852" s="145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</row>
    <row r="853" ht="22.5" customHeight="1">
      <c r="A853" s="145"/>
      <c r="B853" s="145" t="str">
        <f t="shared" si="1"/>
        <v/>
      </c>
      <c r="C853" s="145"/>
      <c r="D853" s="145" t="str">
        <f t="array" ref="D853">IFNA(XLOOKUP(C853,'👥 Daftar Nama Pasien'!$B$6:$B1181,'👥 Daftar Nama Pasien'!$D$6:$D1181),"")</f>
        <v/>
      </c>
      <c r="E853" s="145" t="str">
        <f t="array" ref="E853">XLOOKUP(C853,'⬇️ PEMASUKAN'!$I$5:$I1181,'⬇️ PEMASUKAN'!$K$5:$K1181,,0,-1)</f>
        <v/>
      </c>
      <c r="F853" s="145" t="str">
        <f t="shared" si="2"/>
        <v/>
      </c>
      <c r="G853" s="145" t="str">
        <f t="shared" si="3"/>
        <v/>
      </c>
      <c r="H853" s="145"/>
      <c r="I853" s="145"/>
      <c r="J853" s="145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</row>
    <row r="854" ht="22.5" customHeight="1">
      <c r="A854" s="145"/>
      <c r="B854" s="145" t="str">
        <f t="shared" si="1"/>
        <v/>
      </c>
      <c r="C854" s="145"/>
      <c r="D854" s="145" t="str">
        <f t="array" ref="D854">IFNA(XLOOKUP(C854,'👥 Daftar Nama Pasien'!$B$6:$B1181,'👥 Daftar Nama Pasien'!$D$6:$D1181),"")</f>
        <v/>
      </c>
      <c r="E854" s="145" t="str">
        <f t="array" ref="E854">XLOOKUP(C854,'⬇️ PEMASUKAN'!$I$5:$I1181,'⬇️ PEMASUKAN'!$K$5:$K1181,,0,-1)</f>
        <v/>
      </c>
      <c r="F854" s="145" t="str">
        <f t="shared" si="2"/>
        <v/>
      </c>
      <c r="G854" s="145" t="str">
        <f t="shared" si="3"/>
        <v/>
      </c>
      <c r="H854" s="145"/>
      <c r="I854" s="145"/>
      <c r="J854" s="145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</row>
    <row r="855" ht="22.5" customHeight="1">
      <c r="A855" s="145"/>
      <c r="B855" s="145" t="str">
        <f t="shared" si="1"/>
        <v/>
      </c>
      <c r="C855" s="145"/>
      <c r="D855" s="145" t="str">
        <f t="array" ref="D855">IFNA(XLOOKUP(C855,'👥 Daftar Nama Pasien'!$B$6:$B1181,'👥 Daftar Nama Pasien'!$D$6:$D1181),"")</f>
        <v/>
      </c>
      <c r="E855" s="145" t="str">
        <f t="array" ref="E855">XLOOKUP(C855,'⬇️ PEMASUKAN'!$I$5:$I1181,'⬇️ PEMASUKAN'!$K$5:$K1181,,0,-1)</f>
        <v/>
      </c>
      <c r="F855" s="145" t="str">
        <f t="shared" si="2"/>
        <v/>
      </c>
      <c r="G855" s="145" t="str">
        <f t="shared" si="3"/>
        <v/>
      </c>
      <c r="H855" s="145"/>
      <c r="I855" s="145"/>
      <c r="J855" s="145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</row>
    <row r="856" ht="22.5" customHeight="1">
      <c r="A856" s="145"/>
      <c r="B856" s="145" t="str">
        <f t="shared" si="1"/>
        <v/>
      </c>
      <c r="C856" s="145"/>
      <c r="D856" s="145" t="str">
        <f t="array" ref="D856">IFNA(XLOOKUP(C856,'👥 Daftar Nama Pasien'!$B$6:$B1181,'👥 Daftar Nama Pasien'!$D$6:$D1181),"")</f>
        <v/>
      </c>
      <c r="E856" s="145" t="str">
        <f t="array" ref="E856">XLOOKUP(C856,'⬇️ PEMASUKAN'!$I$5:$I1181,'⬇️ PEMASUKAN'!$K$5:$K1181,,0,-1)</f>
        <v/>
      </c>
      <c r="F856" s="145" t="str">
        <f t="shared" si="2"/>
        <v/>
      </c>
      <c r="G856" s="145" t="str">
        <f t="shared" si="3"/>
        <v/>
      </c>
      <c r="H856" s="145"/>
      <c r="I856" s="145"/>
      <c r="J856" s="145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</row>
    <row r="857" ht="22.5" customHeight="1">
      <c r="A857" s="145"/>
      <c r="B857" s="145" t="str">
        <f t="shared" si="1"/>
        <v/>
      </c>
      <c r="C857" s="145"/>
      <c r="D857" s="145" t="str">
        <f t="array" ref="D857">IFNA(XLOOKUP(C857,'👥 Daftar Nama Pasien'!$B$6:$B1181,'👥 Daftar Nama Pasien'!$D$6:$D1181),"")</f>
        <v/>
      </c>
      <c r="E857" s="145" t="str">
        <f t="array" ref="E857">XLOOKUP(C857,'⬇️ PEMASUKAN'!$I$5:$I1181,'⬇️ PEMASUKAN'!$K$5:$K1181,,0,-1)</f>
        <v/>
      </c>
      <c r="F857" s="145" t="str">
        <f t="shared" si="2"/>
        <v/>
      </c>
      <c r="G857" s="145" t="str">
        <f t="shared" si="3"/>
        <v/>
      </c>
      <c r="H857" s="145"/>
      <c r="I857" s="145"/>
      <c r="J857" s="145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</row>
    <row r="858" ht="22.5" customHeight="1">
      <c r="A858" s="145"/>
      <c r="B858" s="145" t="str">
        <f t="shared" si="1"/>
        <v/>
      </c>
      <c r="C858" s="145"/>
      <c r="D858" s="145" t="str">
        <f t="array" ref="D858">IFNA(XLOOKUP(C858,'👥 Daftar Nama Pasien'!$B$6:$B1181,'👥 Daftar Nama Pasien'!$D$6:$D1181),"")</f>
        <v/>
      </c>
      <c r="E858" s="145" t="str">
        <f t="array" ref="E858">XLOOKUP(C858,'⬇️ PEMASUKAN'!$I$5:$I1181,'⬇️ PEMASUKAN'!$K$5:$K1181,,0,-1)</f>
        <v/>
      </c>
      <c r="F858" s="145" t="str">
        <f t="shared" si="2"/>
        <v/>
      </c>
      <c r="G858" s="145" t="str">
        <f t="shared" si="3"/>
        <v/>
      </c>
      <c r="H858" s="145"/>
      <c r="I858" s="145"/>
      <c r="J858" s="145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</row>
    <row r="859" ht="22.5" customHeight="1">
      <c r="A859" s="145"/>
      <c r="B859" s="145" t="str">
        <f t="shared" si="1"/>
        <v/>
      </c>
      <c r="C859" s="145"/>
      <c r="D859" s="145" t="str">
        <f t="array" ref="D859">IFNA(XLOOKUP(C859,'👥 Daftar Nama Pasien'!$B$6:$B1181,'👥 Daftar Nama Pasien'!$D$6:$D1181),"")</f>
        <v/>
      </c>
      <c r="E859" s="145" t="str">
        <f t="array" ref="E859">XLOOKUP(C859,'⬇️ PEMASUKAN'!$I$5:$I1181,'⬇️ PEMASUKAN'!$K$5:$K1181,,0,-1)</f>
        <v/>
      </c>
      <c r="F859" s="145" t="str">
        <f t="shared" si="2"/>
        <v/>
      </c>
      <c r="G859" s="145" t="str">
        <f t="shared" si="3"/>
        <v/>
      </c>
      <c r="H859" s="145"/>
      <c r="I859" s="145"/>
      <c r="J859" s="145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</row>
    <row r="860" ht="22.5" customHeight="1">
      <c r="A860" s="145"/>
      <c r="B860" s="145" t="str">
        <f t="shared" si="1"/>
        <v/>
      </c>
      <c r="C860" s="145"/>
      <c r="D860" s="145" t="str">
        <f t="array" ref="D860">IFNA(XLOOKUP(C860,'👥 Daftar Nama Pasien'!$B$6:$B1181,'👥 Daftar Nama Pasien'!$D$6:$D1181),"")</f>
        <v/>
      </c>
      <c r="E860" s="145" t="str">
        <f t="array" ref="E860">XLOOKUP(C860,'⬇️ PEMASUKAN'!$I$5:$I1181,'⬇️ PEMASUKAN'!$K$5:$K1181,,0,-1)</f>
        <v/>
      </c>
      <c r="F860" s="145" t="str">
        <f t="shared" si="2"/>
        <v/>
      </c>
      <c r="G860" s="145" t="str">
        <f t="shared" si="3"/>
        <v/>
      </c>
      <c r="H860" s="145"/>
      <c r="I860" s="145"/>
      <c r="J860" s="145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</row>
    <row r="861" ht="22.5" customHeight="1">
      <c r="A861" s="145"/>
      <c r="B861" s="145" t="str">
        <f t="shared" si="1"/>
        <v/>
      </c>
      <c r="C861" s="145"/>
      <c r="D861" s="145" t="str">
        <f t="array" ref="D861">IFNA(XLOOKUP(C861,'👥 Daftar Nama Pasien'!$B$6:$B1181,'👥 Daftar Nama Pasien'!$D$6:$D1181),"")</f>
        <v/>
      </c>
      <c r="E861" s="145" t="str">
        <f t="array" ref="E861">XLOOKUP(C861,'⬇️ PEMASUKAN'!$I$5:$I1181,'⬇️ PEMASUKAN'!$K$5:$K1181,,0,-1)</f>
        <v/>
      </c>
      <c r="F861" s="145" t="str">
        <f t="shared" si="2"/>
        <v/>
      </c>
      <c r="G861" s="145" t="str">
        <f t="shared" si="3"/>
        <v/>
      </c>
      <c r="H861" s="145"/>
      <c r="I861" s="145"/>
      <c r="J861" s="145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</row>
    <row r="862" ht="22.5" customHeight="1">
      <c r="A862" s="145"/>
      <c r="B862" s="145" t="str">
        <f t="shared" si="1"/>
        <v/>
      </c>
      <c r="C862" s="145"/>
      <c r="D862" s="145" t="str">
        <f t="array" ref="D862">IFNA(XLOOKUP(C862,'👥 Daftar Nama Pasien'!$B$6:$B1181,'👥 Daftar Nama Pasien'!$D$6:$D1181),"")</f>
        <v/>
      </c>
      <c r="E862" s="145" t="str">
        <f t="array" ref="E862">XLOOKUP(C862,'⬇️ PEMASUKAN'!$I$5:$I1181,'⬇️ PEMASUKAN'!$K$5:$K1181,,0,-1)</f>
        <v/>
      </c>
      <c r="F862" s="145" t="str">
        <f t="shared" si="2"/>
        <v/>
      </c>
      <c r="G862" s="145" t="str">
        <f t="shared" si="3"/>
        <v/>
      </c>
      <c r="H862" s="145"/>
      <c r="I862" s="145"/>
      <c r="J862" s="145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</row>
    <row r="863" ht="22.5" customHeight="1">
      <c r="A863" s="145"/>
      <c r="B863" s="145" t="str">
        <f t="shared" si="1"/>
        <v/>
      </c>
      <c r="C863" s="145"/>
      <c r="D863" s="145" t="str">
        <f t="array" ref="D863">IFNA(XLOOKUP(C863,'👥 Daftar Nama Pasien'!$B$6:$B1181,'👥 Daftar Nama Pasien'!$D$6:$D1181),"")</f>
        <v/>
      </c>
      <c r="E863" s="145" t="str">
        <f t="array" ref="E863">XLOOKUP(C863,'⬇️ PEMASUKAN'!$I$5:$I1181,'⬇️ PEMASUKAN'!$K$5:$K1181,,0,-1)</f>
        <v/>
      </c>
      <c r="F863" s="145" t="str">
        <f t="shared" si="2"/>
        <v/>
      </c>
      <c r="G863" s="145" t="str">
        <f t="shared" si="3"/>
        <v/>
      </c>
      <c r="H863" s="145"/>
      <c r="I863" s="145"/>
      <c r="J863" s="145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</row>
    <row r="864" ht="22.5" customHeight="1">
      <c r="A864" s="145"/>
      <c r="B864" s="145" t="str">
        <f t="shared" si="1"/>
        <v/>
      </c>
      <c r="C864" s="145"/>
      <c r="D864" s="145" t="str">
        <f t="array" ref="D864">IFNA(XLOOKUP(C864,'👥 Daftar Nama Pasien'!$B$6:$B1181,'👥 Daftar Nama Pasien'!$D$6:$D1181),"")</f>
        <v/>
      </c>
      <c r="E864" s="145" t="str">
        <f t="array" ref="E864">XLOOKUP(C864,'⬇️ PEMASUKAN'!$I$5:$I1181,'⬇️ PEMASUKAN'!$K$5:$K1181,,0,-1)</f>
        <v/>
      </c>
      <c r="F864" s="145" t="str">
        <f t="shared" si="2"/>
        <v/>
      </c>
      <c r="G864" s="145" t="str">
        <f t="shared" si="3"/>
        <v/>
      </c>
      <c r="H864" s="145"/>
      <c r="I864" s="145"/>
      <c r="J864" s="145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</row>
    <row r="865" ht="22.5" customHeight="1">
      <c r="A865" s="145"/>
      <c r="B865" s="145" t="str">
        <f t="shared" si="1"/>
        <v/>
      </c>
      <c r="C865" s="145"/>
      <c r="D865" s="145" t="str">
        <f t="array" ref="D865">IFNA(XLOOKUP(C865,'👥 Daftar Nama Pasien'!$B$6:$B1181,'👥 Daftar Nama Pasien'!$D$6:$D1181),"")</f>
        <v/>
      </c>
      <c r="E865" s="145" t="str">
        <f t="array" ref="E865">XLOOKUP(C865,'⬇️ PEMASUKAN'!$I$5:$I1181,'⬇️ PEMASUKAN'!$K$5:$K1181,,0,-1)</f>
        <v/>
      </c>
      <c r="F865" s="145" t="str">
        <f t="shared" si="2"/>
        <v/>
      </c>
      <c r="G865" s="145" t="str">
        <f t="shared" si="3"/>
        <v/>
      </c>
      <c r="H865" s="145"/>
      <c r="I865" s="145"/>
      <c r="J865" s="145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</row>
    <row r="866" ht="22.5" customHeight="1">
      <c r="A866" s="145"/>
      <c r="B866" s="145" t="str">
        <f t="shared" si="1"/>
        <v/>
      </c>
      <c r="C866" s="145"/>
      <c r="D866" s="145" t="str">
        <f t="array" ref="D866">IFNA(XLOOKUP(C866,'👥 Daftar Nama Pasien'!$B$6:$B1181,'👥 Daftar Nama Pasien'!$D$6:$D1181),"")</f>
        <v/>
      </c>
      <c r="E866" s="145" t="str">
        <f t="array" ref="E866">XLOOKUP(C866,'⬇️ PEMASUKAN'!$I$5:$I1181,'⬇️ PEMASUKAN'!$K$5:$K1181,,0,-1)</f>
        <v/>
      </c>
      <c r="F866" s="145" t="str">
        <f t="shared" si="2"/>
        <v/>
      </c>
      <c r="G866" s="145" t="str">
        <f t="shared" si="3"/>
        <v/>
      </c>
      <c r="H866" s="145"/>
      <c r="I866" s="145"/>
      <c r="J866" s="145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</row>
    <row r="867" ht="22.5" customHeight="1">
      <c r="A867" s="145"/>
      <c r="B867" s="145" t="str">
        <f t="shared" si="1"/>
        <v/>
      </c>
      <c r="C867" s="145"/>
      <c r="D867" s="145" t="str">
        <f t="array" ref="D867">IFNA(XLOOKUP(C867,'👥 Daftar Nama Pasien'!$B$6:$B1181,'👥 Daftar Nama Pasien'!$D$6:$D1181),"")</f>
        <v/>
      </c>
      <c r="E867" s="145" t="str">
        <f t="array" ref="E867">XLOOKUP(C867,'⬇️ PEMASUKAN'!$I$5:$I1181,'⬇️ PEMASUKAN'!$K$5:$K1181,,0,-1)</f>
        <v/>
      </c>
      <c r="F867" s="145" t="str">
        <f t="shared" si="2"/>
        <v/>
      </c>
      <c r="G867" s="145" t="str">
        <f t="shared" si="3"/>
        <v/>
      </c>
      <c r="H867" s="145"/>
      <c r="I867" s="145"/>
      <c r="J867" s="145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</row>
    <row r="868" ht="22.5" customHeight="1">
      <c r="A868" s="145"/>
      <c r="B868" s="145" t="str">
        <f t="shared" si="1"/>
        <v/>
      </c>
      <c r="C868" s="145"/>
      <c r="D868" s="145" t="str">
        <f t="array" ref="D868">IFNA(XLOOKUP(C868,'👥 Daftar Nama Pasien'!$B$6:$B1181,'👥 Daftar Nama Pasien'!$D$6:$D1181),"")</f>
        <v/>
      </c>
      <c r="E868" s="145" t="str">
        <f t="array" ref="E868">XLOOKUP(C868,'⬇️ PEMASUKAN'!$I$5:$I1181,'⬇️ PEMASUKAN'!$K$5:$K1181,,0,-1)</f>
        <v/>
      </c>
      <c r="F868" s="145" t="str">
        <f t="shared" si="2"/>
        <v/>
      </c>
      <c r="G868" s="145" t="str">
        <f t="shared" si="3"/>
        <v/>
      </c>
      <c r="H868" s="145"/>
      <c r="I868" s="145"/>
      <c r="J868" s="145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</row>
    <row r="869" ht="22.5" customHeight="1">
      <c r="A869" s="145"/>
      <c r="B869" s="145" t="str">
        <f t="shared" si="1"/>
        <v/>
      </c>
      <c r="C869" s="145"/>
      <c r="D869" s="145" t="str">
        <f t="array" ref="D869">IFNA(XLOOKUP(C869,'👥 Daftar Nama Pasien'!$B$6:$B1181,'👥 Daftar Nama Pasien'!$D$6:$D1181),"")</f>
        <v/>
      </c>
      <c r="E869" s="145" t="str">
        <f t="array" ref="E869">XLOOKUP(C869,'⬇️ PEMASUKAN'!$I$5:$I1181,'⬇️ PEMASUKAN'!$K$5:$K1181,,0,-1)</f>
        <v/>
      </c>
      <c r="F869" s="145" t="str">
        <f t="shared" si="2"/>
        <v/>
      </c>
      <c r="G869" s="145" t="str">
        <f t="shared" si="3"/>
        <v/>
      </c>
      <c r="H869" s="145"/>
      <c r="I869" s="145"/>
      <c r="J869" s="145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</row>
    <row r="870" ht="22.5" customHeight="1">
      <c r="A870" s="145"/>
      <c r="B870" s="145" t="str">
        <f t="shared" si="1"/>
        <v/>
      </c>
      <c r="C870" s="145"/>
      <c r="D870" s="145" t="str">
        <f t="array" ref="D870">IFNA(XLOOKUP(C870,'👥 Daftar Nama Pasien'!$B$6:$B1181,'👥 Daftar Nama Pasien'!$D$6:$D1181),"")</f>
        <v/>
      </c>
      <c r="E870" s="145" t="str">
        <f t="array" ref="E870">XLOOKUP(C870,'⬇️ PEMASUKAN'!$I$5:$I1181,'⬇️ PEMASUKAN'!$K$5:$K1181,,0,-1)</f>
        <v/>
      </c>
      <c r="F870" s="145" t="str">
        <f t="shared" si="2"/>
        <v/>
      </c>
      <c r="G870" s="145" t="str">
        <f t="shared" si="3"/>
        <v/>
      </c>
      <c r="H870" s="145"/>
      <c r="I870" s="145"/>
      <c r="J870" s="145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</row>
    <row r="871" ht="22.5" customHeight="1">
      <c r="A871" s="145"/>
      <c r="B871" s="145" t="str">
        <f t="shared" si="1"/>
        <v/>
      </c>
      <c r="C871" s="145"/>
      <c r="D871" s="145" t="str">
        <f t="array" ref="D871">IFNA(XLOOKUP(C871,'👥 Daftar Nama Pasien'!$B$6:$B1181,'👥 Daftar Nama Pasien'!$D$6:$D1181),"")</f>
        <v/>
      </c>
      <c r="E871" s="145" t="str">
        <f t="array" ref="E871">XLOOKUP(C871,'⬇️ PEMASUKAN'!$I$5:$I1181,'⬇️ PEMASUKAN'!$K$5:$K1181,,0,-1)</f>
        <v/>
      </c>
      <c r="F871" s="145" t="str">
        <f t="shared" si="2"/>
        <v/>
      </c>
      <c r="G871" s="145" t="str">
        <f t="shared" si="3"/>
        <v/>
      </c>
      <c r="H871" s="145"/>
      <c r="I871" s="145"/>
      <c r="J871" s="145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</row>
    <row r="872" ht="22.5" customHeight="1">
      <c r="A872" s="145"/>
      <c r="B872" s="145" t="str">
        <f t="shared" si="1"/>
        <v/>
      </c>
      <c r="C872" s="145"/>
      <c r="D872" s="145" t="str">
        <f t="array" ref="D872">IFNA(XLOOKUP(C872,'👥 Daftar Nama Pasien'!$B$6:$B1181,'👥 Daftar Nama Pasien'!$D$6:$D1181),"")</f>
        <v/>
      </c>
      <c r="E872" s="145" t="str">
        <f t="array" ref="E872">XLOOKUP(C872,'⬇️ PEMASUKAN'!$I$5:$I1181,'⬇️ PEMASUKAN'!$K$5:$K1181,,0,-1)</f>
        <v/>
      </c>
      <c r="F872" s="145" t="str">
        <f t="shared" si="2"/>
        <v/>
      </c>
      <c r="G872" s="145" t="str">
        <f t="shared" si="3"/>
        <v/>
      </c>
      <c r="H872" s="145"/>
      <c r="I872" s="145"/>
      <c r="J872" s="145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</row>
    <row r="873" ht="22.5" customHeight="1">
      <c r="A873" s="145"/>
      <c r="B873" s="145" t="str">
        <f t="shared" si="1"/>
        <v/>
      </c>
      <c r="C873" s="145"/>
      <c r="D873" s="145" t="str">
        <f t="array" ref="D873">IFNA(XLOOKUP(C873,'👥 Daftar Nama Pasien'!$B$6:$B1181,'👥 Daftar Nama Pasien'!$D$6:$D1181),"")</f>
        <v/>
      </c>
      <c r="E873" s="145" t="str">
        <f t="array" ref="E873">XLOOKUP(C873,'⬇️ PEMASUKAN'!$I$5:$I1181,'⬇️ PEMASUKAN'!$K$5:$K1181,,0,-1)</f>
        <v/>
      </c>
      <c r="F873" s="145" t="str">
        <f t="shared" si="2"/>
        <v/>
      </c>
      <c r="G873" s="145" t="str">
        <f t="shared" si="3"/>
        <v/>
      </c>
      <c r="H873" s="145"/>
      <c r="I873" s="145"/>
      <c r="J873" s="145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</row>
    <row r="874" ht="22.5" customHeight="1">
      <c r="A874" s="145"/>
      <c r="B874" s="145" t="str">
        <f t="shared" si="1"/>
        <v/>
      </c>
      <c r="C874" s="145"/>
      <c r="D874" s="145" t="str">
        <f t="array" ref="D874">IFNA(XLOOKUP(C874,'👥 Daftar Nama Pasien'!$B$6:$B1181,'👥 Daftar Nama Pasien'!$D$6:$D1181),"")</f>
        <v/>
      </c>
      <c r="E874" s="145" t="str">
        <f t="array" ref="E874">XLOOKUP(C874,'⬇️ PEMASUKAN'!$I$5:$I1181,'⬇️ PEMASUKAN'!$K$5:$K1181,,0,-1)</f>
        <v/>
      </c>
      <c r="F874" s="145" t="str">
        <f t="shared" si="2"/>
        <v/>
      </c>
      <c r="G874" s="145" t="str">
        <f t="shared" si="3"/>
        <v/>
      </c>
      <c r="H874" s="145"/>
      <c r="I874" s="145"/>
      <c r="J874" s="145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</row>
    <row r="875" ht="22.5" customHeight="1">
      <c r="A875" s="145"/>
      <c r="B875" s="145" t="str">
        <f t="shared" si="1"/>
        <v/>
      </c>
      <c r="C875" s="145"/>
      <c r="D875" s="145" t="str">
        <f t="array" ref="D875">IFNA(XLOOKUP(C875,'👥 Daftar Nama Pasien'!$B$6:$B1181,'👥 Daftar Nama Pasien'!$D$6:$D1181),"")</f>
        <v/>
      </c>
      <c r="E875" s="145" t="str">
        <f t="array" ref="E875">XLOOKUP(C875,'⬇️ PEMASUKAN'!$I$5:$I1181,'⬇️ PEMASUKAN'!$K$5:$K1181,,0,-1)</f>
        <v/>
      </c>
      <c r="F875" s="145" t="str">
        <f t="shared" si="2"/>
        <v/>
      </c>
      <c r="G875" s="145" t="str">
        <f t="shared" si="3"/>
        <v/>
      </c>
      <c r="H875" s="145"/>
      <c r="I875" s="145"/>
      <c r="J875" s="145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</row>
    <row r="876" ht="22.5" customHeight="1">
      <c r="A876" s="145"/>
      <c r="B876" s="145" t="str">
        <f t="shared" si="1"/>
        <v/>
      </c>
      <c r="C876" s="145"/>
      <c r="D876" s="145" t="str">
        <f t="array" ref="D876">IFNA(XLOOKUP(C876,'👥 Daftar Nama Pasien'!$B$6:$B1181,'👥 Daftar Nama Pasien'!$D$6:$D1181),"")</f>
        <v/>
      </c>
      <c r="E876" s="145" t="str">
        <f t="array" ref="E876">XLOOKUP(C876,'⬇️ PEMASUKAN'!$I$5:$I1181,'⬇️ PEMASUKAN'!$K$5:$K1181,,0,-1)</f>
        <v/>
      </c>
      <c r="F876" s="145" t="str">
        <f t="shared" si="2"/>
        <v/>
      </c>
      <c r="G876" s="145" t="str">
        <f t="shared" si="3"/>
        <v/>
      </c>
      <c r="H876" s="145"/>
      <c r="I876" s="145"/>
      <c r="J876" s="145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</row>
    <row r="877" ht="22.5" customHeight="1">
      <c r="A877" s="145"/>
      <c r="B877" s="145" t="str">
        <f t="shared" si="1"/>
        <v/>
      </c>
      <c r="C877" s="145"/>
      <c r="D877" s="145" t="str">
        <f t="array" ref="D877">IFNA(XLOOKUP(C877,'👥 Daftar Nama Pasien'!$B$6:$B1181,'👥 Daftar Nama Pasien'!$D$6:$D1181),"")</f>
        <v/>
      </c>
      <c r="E877" s="145" t="str">
        <f t="array" ref="E877">XLOOKUP(C877,'⬇️ PEMASUKAN'!$I$5:$I1181,'⬇️ PEMASUKAN'!$K$5:$K1181,,0,-1)</f>
        <v/>
      </c>
      <c r="F877" s="145" t="str">
        <f t="shared" si="2"/>
        <v/>
      </c>
      <c r="G877" s="145" t="str">
        <f t="shared" si="3"/>
        <v/>
      </c>
      <c r="H877" s="145"/>
      <c r="I877" s="145"/>
      <c r="J877" s="145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</row>
    <row r="878" ht="22.5" customHeight="1">
      <c r="A878" s="145"/>
      <c r="B878" s="145" t="str">
        <f t="shared" si="1"/>
        <v/>
      </c>
      <c r="C878" s="145"/>
      <c r="D878" s="145" t="str">
        <f t="array" ref="D878">IFNA(XLOOKUP(C878,'👥 Daftar Nama Pasien'!$B$6:$B1181,'👥 Daftar Nama Pasien'!$D$6:$D1181),"")</f>
        <v/>
      </c>
      <c r="E878" s="145" t="str">
        <f t="array" ref="E878">XLOOKUP(C878,'⬇️ PEMASUKAN'!$I$5:$I1181,'⬇️ PEMASUKAN'!$K$5:$K1181,,0,-1)</f>
        <v/>
      </c>
      <c r="F878" s="145" t="str">
        <f t="shared" si="2"/>
        <v/>
      </c>
      <c r="G878" s="145" t="str">
        <f t="shared" si="3"/>
        <v/>
      </c>
      <c r="H878" s="145"/>
      <c r="I878" s="145"/>
      <c r="J878" s="145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</row>
    <row r="879" ht="22.5" customHeight="1">
      <c r="A879" s="145"/>
      <c r="B879" s="145" t="str">
        <f t="shared" si="1"/>
        <v/>
      </c>
      <c r="C879" s="145"/>
      <c r="D879" s="145" t="str">
        <f t="array" ref="D879">IFNA(XLOOKUP(C879,'👥 Daftar Nama Pasien'!$B$6:$B1181,'👥 Daftar Nama Pasien'!$D$6:$D1181),"")</f>
        <v/>
      </c>
      <c r="E879" s="145" t="str">
        <f t="array" ref="E879">XLOOKUP(C879,'⬇️ PEMASUKAN'!$I$5:$I1181,'⬇️ PEMASUKAN'!$K$5:$K1181,,0,-1)</f>
        <v/>
      </c>
      <c r="F879" s="145" t="str">
        <f t="shared" si="2"/>
        <v/>
      </c>
      <c r="G879" s="145" t="str">
        <f t="shared" si="3"/>
        <v/>
      </c>
      <c r="H879" s="145"/>
      <c r="I879" s="145"/>
      <c r="J879" s="145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</row>
    <row r="880" ht="22.5" customHeight="1">
      <c r="A880" s="145"/>
      <c r="B880" s="145" t="str">
        <f t="shared" si="1"/>
        <v/>
      </c>
      <c r="C880" s="145"/>
      <c r="D880" s="145" t="str">
        <f t="array" ref="D880">IFNA(XLOOKUP(C880,'👥 Daftar Nama Pasien'!$B$6:$B1181,'👥 Daftar Nama Pasien'!$D$6:$D1181),"")</f>
        <v/>
      </c>
      <c r="E880" s="145" t="str">
        <f t="array" ref="E880">XLOOKUP(C880,'⬇️ PEMASUKAN'!$I$5:$I1181,'⬇️ PEMASUKAN'!$K$5:$K1181,,0,-1)</f>
        <v/>
      </c>
      <c r="F880" s="145" t="str">
        <f t="shared" si="2"/>
        <v/>
      </c>
      <c r="G880" s="145" t="str">
        <f t="shared" si="3"/>
        <v/>
      </c>
      <c r="H880" s="145"/>
      <c r="I880" s="145"/>
      <c r="J880" s="145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</row>
    <row r="881" ht="22.5" customHeight="1">
      <c r="A881" s="145"/>
      <c r="B881" s="145" t="str">
        <f t="shared" si="1"/>
        <v/>
      </c>
      <c r="C881" s="145"/>
      <c r="D881" s="145" t="str">
        <f t="array" ref="D881">IFNA(XLOOKUP(C881,'👥 Daftar Nama Pasien'!$B$6:$B1181,'👥 Daftar Nama Pasien'!$D$6:$D1181),"")</f>
        <v/>
      </c>
      <c r="E881" s="145" t="str">
        <f t="array" ref="E881">XLOOKUP(C881,'⬇️ PEMASUKAN'!$I$5:$I1181,'⬇️ PEMASUKAN'!$K$5:$K1181,,0,-1)</f>
        <v/>
      </c>
      <c r="F881" s="145" t="str">
        <f t="shared" si="2"/>
        <v/>
      </c>
      <c r="G881" s="145" t="str">
        <f t="shared" si="3"/>
        <v/>
      </c>
      <c r="H881" s="145"/>
      <c r="I881" s="145"/>
      <c r="J881" s="145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</row>
    <row r="882" ht="22.5" customHeight="1">
      <c r="A882" s="145"/>
      <c r="B882" s="145" t="str">
        <f t="shared" si="1"/>
        <v/>
      </c>
      <c r="C882" s="145"/>
      <c r="D882" s="145" t="str">
        <f t="array" ref="D882">IFNA(XLOOKUP(C882,'👥 Daftar Nama Pasien'!$B$6:$B1181,'👥 Daftar Nama Pasien'!$D$6:$D1181),"")</f>
        <v/>
      </c>
      <c r="E882" s="145" t="str">
        <f t="array" ref="E882">XLOOKUP(C882,'⬇️ PEMASUKAN'!$I$5:$I1181,'⬇️ PEMASUKAN'!$K$5:$K1181,,0,-1)</f>
        <v/>
      </c>
      <c r="F882" s="145" t="str">
        <f t="shared" si="2"/>
        <v/>
      </c>
      <c r="G882" s="145" t="str">
        <f t="shared" si="3"/>
        <v/>
      </c>
      <c r="H882" s="145"/>
      <c r="I882" s="145"/>
      <c r="J882" s="145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</row>
    <row r="883" ht="22.5" customHeight="1">
      <c r="A883" s="145"/>
      <c r="B883" s="145" t="str">
        <f t="shared" si="1"/>
        <v/>
      </c>
      <c r="C883" s="145"/>
      <c r="D883" s="145" t="str">
        <f t="array" ref="D883">IFNA(XLOOKUP(C883,'👥 Daftar Nama Pasien'!$B$6:$B1181,'👥 Daftar Nama Pasien'!$D$6:$D1181),"")</f>
        <v/>
      </c>
      <c r="E883" s="145" t="str">
        <f t="array" ref="E883">XLOOKUP(C883,'⬇️ PEMASUKAN'!$I$5:$I1181,'⬇️ PEMASUKAN'!$K$5:$K1181,,0,-1)</f>
        <v/>
      </c>
      <c r="F883" s="145" t="str">
        <f t="shared" si="2"/>
        <v/>
      </c>
      <c r="G883" s="145" t="str">
        <f t="shared" si="3"/>
        <v/>
      </c>
      <c r="H883" s="145"/>
      <c r="I883" s="145"/>
      <c r="J883" s="145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</row>
    <row r="884" ht="22.5" customHeight="1">
      <c r="A884" s="145"/>
      <c r="B884" s="145" t="str">
        <f t="shared" si="1"/>
        <v/>
      </c>
      <c r="C884" s="145"/>
      <c r="D884" s="145" t="str">
        <f t="array" ref="D884">IFNA(XLOOKUP(C884,'👥 Daftar Nama Pasien'!$B$6:$B1181,'👥 Daftar Nama Pasien'!$D$6:$D1181),"")</f>
        <v/>
      </c>
      <c r="E884" s="145" t="str">
        <f t="array" ref="E884">XLOOKUP(C884,'⬇️ PEMASUKAN'!$I$5:$I1181,'⬇️ PEMASUKAN'!$K$5:$K1181,,0,-1)</f>
        <v/>
      </c>
      <c r="F884" s="145" t="str">
        <f t="shared" si="2"/>
        <v/>
      </c>
      <c r="G884" s="145" t="str">
        <f t="shared" si="3"/>
        <v/>
      </c>
      <c r="H884" s="145"/>
      <c r="I884" s="145"/>
      <c r="J884" s="145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</row>
    <row r="885" ht="22.5" customHeight="1">
      <c r="A885" s="145"/>
      <c r="B885" s="145" t="str">
        <f t="shared" si="1"/>
        <v/>
      </c>
      <c r="C885" s="145"/>
      <c r="D885" s="145" t="str">
        <f t="array" ref="D885">IFNA(XLOOKUP(C885,'👥 Daftar Nama Pasien'!$B$6:$B1181,'👥 Daftar Nama Pasien'!$D$6:$D1181),"")</f>
        <v/>
      </c>
      <c r="E885" s="145" t="str">
        <f t="array" ref="E885">XLOOKUP(C885,'⬇️ PEMASUKAN'!$I$5:$I1181,'⬇️ PEMASUKAN'!$K$5:$K1181,,0,-1)</f>
        <v/>
      </c>
      <c r="F885" s="145" t="str">
        <f t="shared" si="2"/>
        <v/>
      </c>
      <c r="G885" s="145" t="str">
        <f t="shared" si="3"/>
        <v/>
      </c>
      <c r="H885" s="145"/>
      <c r="I885" s="145"/>
      <c r="J885" s="145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</row>
    <row r="886" ht="22.5" customHeight="1">
      <c r="A886" s="145"/>
      <c r="B886" s="145" t="str">
        <f t="shared" si="1"/>
        <v/>
      </c>
      <c r="C886" s="145"/>
      <c r="D886" s="145" t="str">
        <f t="array" ref="D886">IFNA(XLOOKUP(C886,'👥 Daftar Nama Pasien'!$B$6:$B1181,'👥 Daftar Nama Pasien'!$D$6:$D1181),"")</f>
        <v/>
      </c>
      <c r="E886" s="145" t="str">
        <f t="array" ref="E886">XLOOKUP(C886,'⬇️ PEMASUKAN'!$I$5:$I1181,'⬇️ PEMASUKAN'!$K$5:$K1181,,0,-1)</f>
        <v/>
      </c>
      <c r="F886" s="145" t="str">
        <f t="shared" si="2"/>
        <v/>
      </c>
      <c r="G886" s="145" t="str">
        <f t="shared" si="3"/>
        <v/>
      </c>
      <c r="H886" s="145"/>
      <c r="I886" s="145"/>
      <c r="J886" s="145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</row>
    <row r="887" ht="22.5" customHeight="1">
      <c r="A887" s="145"/>
      <c r="B887" s="145" t="str">
        <f t="shared" si="1"/>
        <v/>
      </c>
      <c r="C887" s="145"/>
      <c r="D887" s="145" t="str">
        <f t="array" ref="D887">IFNA(XLOOKUP(C887,'👥 Daftar Nama Pasien'!$B$6:$B1181,'👥 Daftar Nama Pasien'!$D$6:$D1181),"")</f>
        <v/>
      </c>
      <c r="E887" s="145" t="str">
        <f t="array" ref="E887">XLOOKUP(C887,'⬇️ PEMASUKAN'!$I$5:$I1181,'⬇️ PEMASUKAN'!$K$5:$K1181,,0,-1)</f>
        <v/>
      </c>
      <c r="F887" s="145" t="str">
        <f t="shared" si="2"/>
        <v/>
      </c>
      <c r="G887" s="145" t="str">
        <f t="shared" si="3"/>
        <v/>
      </c>
      <c r="H887" s="145"/>
      <c r="I887" s="145"/>
      <c r="J887" s="145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</row>
    <row r="888" ht="22.5" customHeight="1">
      <c r="A888" s="145"/>
      <c r="B888" s="145" t="str">
        <f t="shared" si="1"/>
        <v/>
      </c>
      <c r="C888" s="145"/>
      <c r="D888" s="145" t="str">
        <f t="array" ref="D888">IFNA(XLOOKUP(C888,'👥 Daftar Nama Pasien'!$B$6:$B1181,'👥 Daftar Nama Pasien'!$D$6:$D1181),"")</f>
        <v/>
      </c>
      <c r="E888" s="145" t="str">
        <f t="array" ref="E888">XLOOKUP(C888,'⬇️ PEMASUKAN'!$I$5:$I1181,'⬇️ PEMASUKAN'!$K$5:$K1181,,0,-1)</f>
        <v/>
      </c>
      <c r="F888" s="145" t="str">
        <f t="shared" si="2"/>
        <v/>
      </c>
      <c r="G888" s="145" t="str">
        <f t="shared" si="3"/>
        <v/>
      </c>
      <c r="H888" s="145"/>
      <c r="I888" s="145"/>
      <c r="J888" s="145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</row>
    <row r="889" ht="22.5" customHeight="1">
      <c r="A889" s="145"/>
      <c r="B889" s="145" t="str">
        <f t="shared" si="1"/>
        <v/>
      </c>
      <c r="C889" s="145"/>
      <c r="D889" s="145" t="str">
        <f t="array" ref="D889">IFNA(XLOOKUP(C889,'👥 Daftar Nama Pasien'!$B$6:$B1181,'👥 Daftar Nama Pasien'!$D$6:$D1181),"")</f>
        <v/>
      </c>
      <c r="E889" s="145" t="str">
        <f t="array" ref="E889">XLOOKUP(C889,'⬇️ PEMASUKAN'!$I$5:$I1181,'⬇️ PEMASUKAN'!$K$5:$K1181,,0,-1)</f>
        <v/>
      </c>
      <c r="F889" s="145" t="str">
        <f t="shared" si="2"/>
        <v/>
      </c>
      <c r="G889" s="145" t="str">
        <f t="shared" si="3"/>
        <v/>
      </c>
      <c r="H889" s="145"/>
      <c r="I889" s="145"/>
      <c r="J889" s="145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</row>
    <row r="890" ht="22.5" customHeight="1">
      <c r="A890" s="145"/>
      <c r="B890" s="145" t="str">
        <f t="shared" si="1"/>
        <v/>
      </c>
      <c r="C890" s="145"/>
      <c r="D890" s="145" t="str">
        <f t="array" ref="D890">IFNA(XLOOKUP(C890,'👥 Daftar Nama Pasien'!$B$6:$B1181,'👥 Daftar Nama Pasien'!$D$6:$D1181),"")</f>
        <v/>
      </c>
      <c r="E890" s="145" t="str">
        <f t="array" ref="E890">XLOOKUP(C890,'⬇️ PEMASUKAN'!$I$5:$I1181,'⬇️ PEMASUKAN'!$K$5:$K1181,,0,-1)</f>
        <v/>
      </c>
      <c r="F890" s="145" t="str">
        <f t="shared" si="2"/>
        <v/>
      </c>
      <c r="G890" s="145" t="str">
        <f t="shared" si="3"/>
        <v/>
      </c>
      <c r="H890" s="145"/>
      <c r="I890" s="145"/>
      <c r="J890" s="145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</row>
    <row r="891" ht="22.5" customHeight="1">
      <c r="A891" s="145"/>
      <c r="B891" s="145" t="str">
        <f t="shared" si="1"/>
        <v/>
      </c>
      <c r="C891" s="145"/>
      <c r="D891" s="145" t="str">
        <f t="array" ref="D891">IFNA(XLOOKUP(C891,'👥 Daftar Nama Pasien'!$B$6:$B1181,'👥 Daftar Nama Pasien'!$D$6:$D1181),"")</f>
        <v/>
      </c>
      <c r="E891" s="145" t="str">
        <f t="array" ref="E891">XLOOKUP(C891,'⬇️ PEMASUKAN'!$I$5:$I1181,'⬇️ PEMASUKAN'!$K$5:$K1181,,0,-1)</f>
        <v/>
      </c>
      <c r="F891" s="145" t="str">
        <f t="shared" si="2"/>
        <v/>
      </c>
      <c r="G891" s="145" t="str">
        <f t="shared" si="3"/>
        <v/>
      </c>
      <c r="H891" s="145"/>
      <c r="I891" s="145"/>
      <c r="J891" s="145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</row>
    <row r="892" ht="22.5" customHeight="1">
      <c r="A892" s="145"/>
      <c r="B892" s="145" t="str">
        <f t="shared" si="1"/>
        <v/>
      </c>
      <c r="C892" s="145"/>
      <c r="D892" s="145" t="str">
        <f t="array" ref="D892">IFNA(XLOOKUP(C892,'👥 Daftar Nama Pasien'!$B$6:$B1181,'👥 Daftar Nama Pasien'!$D$6:$D1181),"")</f>
        <v/>
      </c>
      <c r="E892" s="145" t="str">
        <f t="array" ref="E892">XLOOKUP(C892,'⬇️ PEMASUKAN'!$I$5:$I1181,'⬇️ PEMASUKAN'!$K$5:$K1181,,0,-1)</f>
        <v/>
      </c>
      <c r="F892" s="145" t="str">
        <f t="shared" si="2"/>
        <v/>
      </c>
      <c r="G892" s="145" t="str">
        <f t="shared" si="3"/>
        <v/>
      </c>
      <c r="H892" s="145"/>
      <c r="I892" s="145"/>
      <c r="J892" s="145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</row>
    <row r="893" ht="22.5" customHeight="1">
      <c r="A893" s="145"/>
      <c r="B893" s="145" t="str">
        <f t="shared" si="1"/>
        <v/>
      </c>
      <c r="C893" s="145"/>
      <c r="D893" s="145" t="str">
        <f t="array" ref="D893">IFNA(XLOOKUP(C893,'👥 Daftar Nama Pasien'!$B$6:$B1181,'👥 Daftar Nama Pasien'!$D$6:$D1181),"")</f>
        <v/>
      </c>
      <c r="E893" s="145" t="str">
        <f t="array" ref="E893">XLOOKUP(C893,'⬇️ PEMASUKAN'!$I$5:$I1181,'⬇️ PEMASUKAN'!$K$5:$K1181,,0,-1)</f>
        <v/>
      </c>
      <c r="F893" s="145" t="str">
        <f t="shared" si="2"/>
        <v/>
      </c>
      <c r="G893" s="145" t="str">
        <f t="shared" si="3"/>
        <v/>
      </c>
      <c r="H893" s="145"/>
      <c r="I893" s="145"/>
      <c r="J893" s="145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</row>
    <row r="894" ht="22.5" customHeight="1">
      <c r="A894" s="145"/>
      <c r="B894" s="145" t="str">
        <f t="shared" si="1"/>
        <v/>
      </c>
      <c r="C894" s="145"/>
      <c r="D894" s="145" t="str">
        <f t="array" ref="D894">IFNA(XLOOKUP(C894,'👥 Daftar Nama Pasien'!$B$6:$B1181,'👥 Daftar Nama Pasien'!$D$6:$D1181),"")</f>
        <v/>
      </c>
      <c r="E894" s="145" t="str">
        <f t="array" ref="E894">XLOOKUP(C894,'⬇️ PEMASUKAN'!$I$5:$I1181,'⬇️ PEMASUKAN'!$K$5:$K1181,,0,-1)</f>
        <v/>
      </c>
      <c r="F894" s="145" t="str">
        <f t="shared" si="2"/>
        <v/>
      </c>
      <c r="G894" s="145" t="str">
        <f t="shared" si="3"/>
        <v/>
      </c>
      <c r="H894" s="145"/>
      <c r="I894" s="145"/>
      <c r="J894" s="145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</row>
    <row r="895" ht="22.5" customHeight="1">
      <c r="A895" s="145"/>
      <c r="B895" s="145" t="str">
        <f t="shared" si="1"/>
        <v/>
      </c>
      <c r="C895" s="145"/>
      <c r="D895" s="145" t="str">
        <f t="array" ref="D895">IFNA(XLOOKUP(C895,'👥 Daftar Nama Pasien'!$B$6:$B1181,'👥 Daftar Nama Pasien'!$D$6:$D1181),"")</f>
        <v/>
      </c>
      <c r="E895" s="145" t="str">
        <f t="array" ref="E895">XLOOKUP(C895,'⬇️ PEMASUKAN'!$I$5:$I1181,'⬇️ PEMASUKAN'!$K$5:$K1181,,0,-1)</f>
        <v/>
      </c>
      <c r="F895" s="145" t="str">
        <f t="shared" si="2"/>
        <v/>
      </c>
      <c r="G895" s="145" t="str">
        <f t="shared" si="3"/>
        <v/>
      </c>
      <c r="H895" s="145"/>
      <c r="I895" s="145"/>
      <c r="J895" s="145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</row>
    <row r="896" ht="22.5" customHeight="1">
      <c r="A896" s="145"/>
      <c r="B896" s="145" t="str">
        <f t="shared" si="1"/>
        <v/>
      </c>
      <c r="C896" s="145"/>
      <c r="D896" s="145" t="str">
        <f t="array" ref="D896">IFNA(XLOOKUP(C896,'👥 Daftar Nama Pasien'!$B$6:$B1181,'👥 Daftar Nama Pasien'!$D$6:$D1181),"")</f>
        <v/>
      </c>
      <c r="E896" s="145" t="str">
        <f t="array" ref="E896">XLOOKUP(C896,'⬇️ PEMASUKAN'!$I$5:$I1181,'⬇️ PEMASUKAN'!$K$5:$K1181,,0,-1)</f>
        <v/>
      </c>
      <c r="F896" s="145" t="str">
        <f t="shared" si="2"/>
        <v/>
      </c>
      <c r="G896" s="145" t="str">
        <f t="shared" si="3"/>
        <v/>
      </c>
      <c r="H896" s="145"/>
      <c r="I896" s="145"/>
      <c r="J896" s="145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</row>
    <row r="897" ht="22.5" customHeight="1">
      <c r="A897" s="145"/>
      <c r="B897" s="145" t="str">
        <f t="shared" si="1"/>
        <v/>
      </c>
      <c r="C897" s="145"/>
      <c r="D897" s="145" t="str">
        <f t="array" ref="D897">IFNA(XLOOKUP(C897,'👥 Daftar Nama Pasien'!$B$6:$B1181,'👥 Daftar Nama Pasien'!$D$6:$D1181),"")</f>
        <v/>
      </c>
      <c r="E897" s="145" t="str">
        <f t="array" ref="E897">XLOOKUP(C897,'⬇️ PEMASUKAN'!$I$5:$I1181,'⬇️ PEMASUKAN'!$K$5:$K1181,,0,-1)</f>
        <v/>
      </c>
      <c r="F897" s="145" t="str">
        <f t="shared" si="2"/>
        <v/>
      </c>
      <c r="G897" s="145" t="str">
        <f t="shared" si="3"/>
        <v/>
      </c>
      <c r="H897" s="145"/>
      <c r="I897" s="145"/>
      <c r="J897" s="145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</row>
    <row r="898" ht="22.5" customHeight="1">
      <c r="A898" s="145"/>
      <c r="B898" s="145" t="str">
        <f t="shared" si="1"/>
        <v/>
      </c>
      <c r="C898" s="145"/>
      <c r="D898" s="145" t="str">
        <f t="array" ref="D898">IFNA(XLOOKUP(C898,'👥 Daftar Nama Pasien'!$B$6:$B1181,'👥 Daftar Nama Pasien'!$D$6:$D1181),"")</f>
        <v/>
      </c>
      <c r="E898" s="145" t="str">
        <f t="array" ref="E898">XLOOKUP(C898,'⬇️ PEMASUKAN'!$I$5:$I1181,'⬇️ PEMASUKAN'!$K$5:$K1181,,0,-1)</f>
        <v/>
      </c>
      <c r="F898" s="145" t="str">
        <f t="shared" si="2"/>
        <v/>
      </c>
      <c r="G898" s="145" t="str">
        <f t="shared" si="3"/>
        <v/>
      </c>
      <c r="H898" s="145"/>
      <c r="I898" s="145"/>
      <c r="J898" s="145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</row>
    <row r="899" ht="22.5" customHeight="1">
      <c r="A899" s="145"/>
      <c r="B899" s="145" t="str">
        <f t="shared" si="1"/>
        <v/>
      </c>
      <c r="C899" s="145"/>
      <c r="D899" s="145" t="str">
        <f t="array" ref="D899">IFNA(XLOOKUP(C899,'👥 Daftar Nama Pasien'!$B$6:$B1181,'👥 Daftar Nama Pasien'!$D$6:$D1181),"")</f>
        <v/>
      </c>
      <c r="E899" s="145" t="str">
        <f t="array" ref="E899">XLOOKUP(C899,'⬇️ PEMASUKAN'!$I$5:$I1181,'⬇️ PEMASUKAN'!$K$5:$K1181,,0,-1)</f>
        <v/>
      </c>
      <c r="F899" s="145" t="str">
        <f t="shared" si="2"/>
        <v/>
      </c>
      <c r="G899" s="145" t="str">
        <f t="shared" si="3"/>
        <v/>
      </c>
      <c r="H899" s="145"/>
      <c r="I899" s="145"/>
      <c r="J899" s="145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</row>
    <row r="900" ht="22.5" customHeight="1">
      <c r="A900" s="145"/>
      <c r="B900" s="145" t="str">
        <f t="shared" si="1"/>
        <v/>
      </c>
      <c r="C900" s="145"/>
      <c r="D900" s="145" t="str">
        <f t="array" ref="D900">IFNA(XLOOKUP(C900,'👥 Daftar Nama Pasien'!$B$6:$B1181,'👥 Daftar Nama Pasien'!$D$6:$D1181),"")</f>
        <v/>
      </c>
      <c r="E900" s="145" t="str">
        <f t="array" ref="E900">XLOOKUP(C900,'⬇️ PEMASUKAN'!$I$5:$I1181,'⬇️ PEMASUKAN'!$K$5:$K1181,,0,-1)</f>
        <v/>
      </c>
      <c r="F900" s="145" t="str">
        <f t="shared" si="2"/>
        <v/>
      </c>
      <c r="G900" s="145" t="str">
        <f t="shared" si="3"/>
        <v/>
      </c>
      <c r="H900" s="145"/>
      <c r="I900" s="145"/>
      <c r="J900" s="145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</row>
    <row r="901" ht="22.5" customHeight="1">
      <c r="A901" s="145"/>
      <c r="B901" s="145" t="str">
        <f t="shared" si="1"/>
        <v/>
      </c>
      <c r="C901" s="145"/>
      <c r="D901" s="145" t="str">
        <f t="array" ref="D901">IFNA(XLOOKUP(C901,'👥 Daftar Nama Pasien'!$B$6:$B1181,'👥 Daftar Nama Pasien'!$D$6:$D1181),"")</f>
        <v/>
      </c>
      <c r="E901" s="145" t="str">
        <f t="array" ref="E901">XLOOKUP(C901,'⬇️ PEMASUKAN'!$I$5:$I1181,'⬇️ PEMASUKAN'!$K$5:$K1181,,0,-1)</f>
        <v/>
      </c>
      <c r="F901" s="145" t="str">
        <f t="shared" si="2"/>
        <v/>
      </c>
      <c r="G901" s="145" t="str">
        <f t="shared" si="3"/>
        <v/>
      </c>
      <c r="H901" s="145"/>
      <c r="I901" s="145"/>
      <c r="J901" s="145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</row>
    <row r="902" ht="22.5" customHeight="1">
      <c r="A902" s="145"/>
      <c r="B902" s="145" t="str">
        <f t="shared" si="1"/>
        <v/>
      </c>
      <c r="C902" s="145"/>
      <c r="D902" s="145" t="str">
        <f t="array" ref="D902">IFNA(XLOOKUP(C902,'👥 Daftar Nama Pasien'!$B$6:$B1181,'👥 Daftar Nama Pasien'!$D$6:$D1181),"")</f>
        <v/>
      </c>
      <c r="E902" s="145" t="str">
        <f t="array" ref="E902">XLOOKUP(C902,'⬇️ PEMASUKAN'!$I$5:$I1181,'⬇️ PEMASUKAN'!$K$5:$K1181,,0,-1)</f>
        <v/>
      </c>
      <c r="F902" s="145" t="str">
        <f t="shared" si="2"/>
        <v/>
      </c>
      <c r="G902" s="145" t="str">
        <f t="shared" si="3"/>
        <v/>
      </c>
      <c r="H902" s="145"/>
      <c r="I902" s="145"/>
      <c r="J902" s="145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</row>
    <row r="903" ht="22.5" customHeight="1">
      <c r="A903" s="145"/>
      <c r="B903" s="145" t="str">
        <f t="shared" si="1"/>
        <v/>
      </c>
      <c r="C903" s="145"/>
      <c r="D903" s="145" t="str">
        <f t="array" ref="D903">IFNA(XLOOKUP(C903,'👥 Daftar Nama Pasien'!$B$6:$B1181,'👥 Daftar Nama Pasien'!$D$6:$D1181),"")</f>
        <v/>
      </c>
      <c r="E903" s="145" t="str">
        <f t="array" ref="E903">XLOOKUP(C903,'⬇️ PEMASUKAN'!$I$5:$I1181,'⬇️ PEMASUKAN'!$K$5:$K1181,,0,-1)</f>
        <v/>
      </c>
      <c r="F903" s="145" t="str">
        <f t="shared" si="2"/>
        <v/>
      </c>
      <c r="G903" s="145" t="str">
        <f t="shared" si="3"/>
        <v/>
      </c>
      <c r="H903" s="145"/>
      <c r="I903" s="145"/>
      <c r="J903" s="145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</row>
    <row r="904" ht="22.5" customHeight="1">
      <c r="A904" s="145"/>
      <c r="B904" s="145" t="str">
        <f t="shared" si="1"/>
        <v/>
      </c>
      <c r="C904" s="145"/>
      <c r="D904" s="145" t="str">
        <f t="array" ref="D904">IFNA(XLOOKUP(C904,'👥 Daftar Nama Pasien'!$B$6:$B1181,'👥 Daftar Nama Pasien'!$D$6:$D1181),"")</f>
        <v/>
      </c>
      <c r="E904" s="145" t="str">
        <f t="array" ref="E904">XLOOKUP(C904,'⬇️ PEMASUKAN'!$I$5:$I1181,'⬇️ PEMASUKAN'!$K$5:$K1181,,0,-1)</f>
        <v/>
      </c>
      <c r="F904" s="145" t="str">
        <f t="shared" si="2"/>
        <v/>
      </c>
      <c r="G904" s="145" t="str">
        <f t="shared" si="3"/>
        <v/>
      </c>
      <c r="H904" s="145"/>
      <c r="I904" s="145"/>
      <c r="J904" s="145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</row>
    <row r="905" ht="22.5" customHeight="1">
      <c r="A905" s="145"/>
      <c r="B905" s="145" t="str">
        <f t="shared" si="1"/>
        <v/>
      </c>
      <c r="C905" s="145"/>
      <c r="D905" s="145" t="str">
        <f t="array" ref="D905">IFNA(XLOOKUP(C905,'👥 Daftar Nama Pasien'!$B$6:$B1181,'👥 Daftar Nama Pasien'!$D$6:$D1181),"")</f>
        <v/>
      </c>
      <c r="E905" s="145" t="str">
        <f t="array" ref="E905">XLOOKUP(C905,'⬇️ PEMASUKAN'!$I$5:$I1181,'⬇️ PEMASUKAN'!$K$5:$K1181,,0,-1)</f>
        <v/>
      </c>
      <c r="F905" s="145" t="str">
        <f t="shared" si="2"/>
        <v/>
      </c>
      <c r="G905" s="145" t="str">
        <f t="shared" si="3"/>
        <v/>
      </c>
      <c r="H905" s="145"/>
      <c r="I905" s="145"/>
      <c r="J905" s="145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</row>
    <row r="906" ht="22.5" customHeight="1">
      <c r="A906" s="145"/>
      <c r="B906" s="145" t="str">
        <f t="shared" si="1"/>
        <v/>
      </c>
      <c r="C906" s="145"/>
      <c r="D906" s="145" t="str">
        <f t="array" ref="D906">IFNA(XLOOKUP(C906,'👥 Daftar Nama Pasien'!$B$6:$B1181,'👥 Daftar Nama Pasien'!$D$6:$D1181),"")</f>
        <v/>
      </c>
      <c r="E906" s="145" t="str">
        <f t="array" ref="E906">XLOOKUP(C906,'⬇️ PEMASUKAN'!$I$5:$I1181,'⬇️ PEMASUKAN'!$K$5:$K1181,,0,-1)</f>
        <v/>
      </c>
      <c r="F906" s="145" t="str">
        <f t="shared" si="2"/>
        <v/>
      </c>
      <c r="G906" s="145" t="str">
        <f t="shared" si="3"/>
        <v/>
      </c>
      <c r="H906" s="145"/>
      <c r="I906" s="145"/>
      <c r="J906" s="145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</row>
    <row r="907" ht="22.5" customHeight="1">
      <c r="A907" s="145"/>
      <c r="B907" s="145" t="str">
        <f t="shared" si="1"/>
        <v/>
      </c>
      <c r="C907" s="145"/>
      <c r="D907" s="145" t="str">
        <f t="array" ref="D907">IFNA(XLOOKUP(C907,'👥 Daftar Nama Pasien'!$B$6:$B1181,'👥 Daftar Nama Pasien'!$D$6:$D1181),"")</f>
        <v/>
      </c>
      <c r="E907" s="145" t="str">
        <f t="array" ref="E907">XLOOKUP(C907,'⬇️ PEMASUKAN'!$I$5:$I1181,'⬇️ PEMASUKAN'!$K$5:$K1181,,0,-1)</f>
        <v/>
      </c>
      <c r="F907" s="145" t="str">
        <f t="shared" si="2"/>
        <v/>
      </c>
      <c r="G907" s="145" t="str">
        <f t="shared" si="3"/>
        <v/>
      </c>
      <c r="H907" s="145"/>
      <c r="I907" s="145"/>
      <c r="J907" s="145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</row>
    <row r="908" ht="22.5" customHeight="1">
      <c r="A908" s="145"/>
      <c r="B908" s="145" t="str">
        <f t="shared" si="1"/>
        <v/>
      </c>
      <c r="C908" s="145"/>
      <c r="D908" s="145" t="str">
        <f t="array" ref="D908">IFNA(XLOOKUP(C908,'👥 Daftar Nama Pasien'!$B$6:$B1181,'👥 Daftar Nama Pasien'!$D$6:$D1181),"")</f>
        <v/>
      </c>
      <c r="E908" s="145" t="str">
        <f t="array" ref="E908">XLOOKUP(C908,'⬇️ PEMASUKAN'!$I$5:$I1181,'⬇️ PEMASUKAN'!$K$5:$K1181,,0,-1)</f>
        <v/>
      </c>
      <c r="F908" s="145" t="str">
        <f t="shared" si="2"/>
        <v/>
      </c>
      <c r="G908" s="145" t="str">
        <f t="shared" si="3"/>
        <v/>
      </c>
      <c r="H908" s="145"/>
      <c r="I908" s="145"/>
      <c r="J908" s="145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</row>
    <row r="909" ht="22.5" customHeight="1">
      <c r="A909" s="145"/>
      <c r="B909" s="145" t="str">
        <f t="shared" si="1"/>
        <v/>
      </c>
      <c r="C909" s="145"/>
      <c r="D909" s="145" t="str">
        <f t="array" ref="D909">IFNA(XLOOKUP(C909,'👥 Daftar Nama Pasien'!$B$6:$B1181,'👥 Daftar Nama Pasien'!$D$6:$D1181),"")</f>
        <v/>
      </c>
      <c r="E909" s="145" t="str">
        <f t="array" ref="E909">XLOOKUP(C909,'⬇️ PEMASUKAN'!$I$5:$I1181,'⬇️ PEMASUKAN'!$K$5:$K1181,,0,-1)</f>
        <v/>
      </c>
      <c r="F909" s="145" t="str">
        <f t="shared" si="2"/>
        <v/>
      </c>
      <c r="G909" s="145" t="str">
        <f t="shared" si="3"/>
        <v/>
      </c>
      <c r="H909" s="145"/>
      <c r="I909" s="145"/>
      <c r="J909" s="145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</row>
    <row r="910" ht="22.5" customHeight="1">
      <c r="A910" s="145"/>
      <c r="B910" s="145" t="str">
        <f t="shared" si="1"/>
        <v/>
      </c>
      <c r="C910" s="145"/>
      <c r="D910" s="145" t="str">
        <f t="array" ref="D910">IFNA(XLOOKUP(C910,'👥 Daftar Nama Pasien'!$B$6:$B1181,'👥 Daftar Nama Pasien'!$D$6:$D1181),"")</f>
        <v/>
      </c>
      <c r="E910" s="145" t="str">
        <f t="array" ref="E910">XLOOKUP(C910,'⬇️ PEMASUKAN'!$I$5:$I1181,'⬇️ PEMASUKAN'!$K$5:$K1181,,0,-1)</f>
        <v/>
      </c>
      <c r="F910" s="145" t="str">
        <f t="shared" si="2"/>
        <v/>
      </c>
      <c r="G910" s="145" t="str">
        <f t="shared" si="3"/>
        <v/>
      </c>
      <c r="H910" s="145"/>
      <c r="I910" s="145"/>
      <c r="J910" s="145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</row>
    <row r="911" ht="22.5" customHeight="1">
      <c r="A911" s="145"/>
      <c r="B911" s="145" t="str">
        <f t="shared" si="1"/>
        <v/>
      </c>
      <c r="C911" s="145"/>
      <c r="D911" s="145" t="str">
        <f t="array" ref="D911">IFNA(XLOOKUP(C911,'👥 Daftar Nama Pasien'!$B$6:$B1181,'👥 Daftar Nama Pasien'!$D$6:$D1181),"")</f>
        <v/>
      </c>
      <c r="E911" s="145" t="str">
        <f t="array" ref="E911">XLOOKUP(C911,'⬇️ PEMASUKAN'!$I$5:$I1181,'⬇️ PEMASUKAN'!$K$5:$K1181,,0,-1)</f>
        <v/>
      </c>
      <c r="F911" s="145" t="str">
        <f t="shared" si="2"/>
        <v/>
      </c>
      <c r="G911" s="145" t="str">
        <f t="shared" si="3"/>
        <v/>
      </c>
      <c r="H911" s="145"/>
      <c r="I911" s="145"/>
      <c r="J911" s="145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</row>
    <row r="912" ht="22.5" customHeight="1">
      <c r="A912" s="145"/>
      <c r="B912" s="145" t="str">
        <f t="shared" si="1"/>
        <v/>
      </c>
      <c r="C912" s="145"/>
      <c r="D912" s="145" t="str">
        <f t="array" ref="D912">IFNA(XLOOKUP(C912,'👥 Daftar Nama Pasien'!$B$6:$B1181,'👥 Daftar Nama Pasien'!$D$6:$D1181),"")</f>
        <v/>
      </c>
      <c r="E912" s="145" t="str">
        <f t="array" ref="E912">XLOOKUP(C912,'⬇️ PEMASUKAN'!$I$5:$I1181,'⬇️ PEMASUKAN'!$K$5:$K1181,,0,-1)</f>
        <v/>
      </c>
      <c r="F912" s="145" t="str">
        <f t="shared" si="2"/>
        <v/>
      </c>
      <c r="G912" s="145" t="str">
        <f t="shared" si="3"/>
        <v/>
      </c>
      <c r="H912" s="145"/>
      <c r="I912" s="145"/>
      <c r="J912" s="145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</row>
    <row r="913" ht="22.5" customHeight="1">
      <c r="A913" s="145"/>
      <c r="B913" s="145" t="str">
        <f t="shared" si="1"/>
        <v/>
      </c>
      <c r="C913" s="145"/>
      <c r="D913" s="145" t="str">
        <f t="array" ref="D913">IFNA(XLOOKUP(C913,'👥 Daftar Nama Pasien'!$B$6:$B1181,'👥 Daftar Nama Pasien'!$D$6:$D1181),"")</f>
        <v/>
      </c>
      <c r="E913" s="145" t="str">
        <f t="array" ref="E913">XLOOKUP(C913,'⬇️ PEMASUKAN'!$I$5:$I1181,'⬇️ PEMASUKAN'!$K$5:$K1181,,0,-1)</f>
        <v/>
      </c>
      <c r="F913" s="145" t="str">
        <f t="shared" si="2"/>
        <v/>
      </c>
      <c r="G913" s="145" t="str">
        <f t="shared" si="3"/>
        <v/>
      </c>
      <c r="H913" s="145"/>
      <c r="I913" s="145"/>
      <c r="J913" s="145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</row>
    <row r="914" ht="22.5" customHeight="1">
      <c r="A914" s="145"/>
      <c r="B914" s="145" t="str">
        <f t="shared" si="1"/>
        <v/>
      </c>
      <c r="C914" s="145"/>
      <c r="D914" s="145" t="str">
        <f t="array" ref="D914">IFNA(XLOOKUP(C914,'👥 Daftar Nama Pasien'!$B$6:$B1181,'👥 Daftar Nama Pasien'!$D$6:$D1181),"")</f>
        <v/>
      </c>
      <c r="E914" s="145" t="str">
        <f t="array" ref="E914">XLOOKUP(C914,'⬇️ PEMASUKAN'!$I$5:$I1181,'⬇️ PEMASUKAN'!$K$5:$K1181,,0,-1)</f>
        <v/>
      </c>
      <c r="F914" s="145" t="str">
        <f t="shared" si="2"/>
        <v/>
      </c>
      <c r="G914" s="145" t="str">
        <f t="shared" si="3"/>
        <v/>
      </c>
      <c r="H914" s="145"/>
      <c r="I914" s="145"/>
      <c r="J914" s="145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</row>
    <row r="915" ht="22.5" customHeight="1">
      <c r="A915" s="145"/>
      <c r="B915" s="145" t="str">
        <f t="shared" si="1"/>
        <v/>
      </c>
      <c r="C915" s="145"/>
      <c r="D915" s="145" t="str">
        <f t="array" ref="D915">IFNA(XLOOKUP(C915,'👥 Daftar Nama Pasien'!$B$6:$B1181,'👥 Daftar Nama Pasien'!$D$6:$D1181),"")</f>
        <v/>
      </c>
      <c r="E915" s="145" t="str">
        <f t="array" ref="E915">XLOOKUP(C915,'⬇️ PEMASUKAN'!$I$5:$I1181,'⬇️ PEMASUKAN'!$K$5:$K1181,,0,-1)</f>
        <v/>
      </c>
      <c r="F915" s="145" t="str">
        <f t="shared" si="2"/>
        <v/>
      </c>
      <c r="G915" s="145" t="str">
        <f t="shared" si="3"/>
        <v/>
      </c>
      <c r="H915" s="145"/>
      <c r="I915" s="145"/>
      <c r="J915" s="145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</row>
    <row r="916" ht="22.5" customHeight="1">
      <c r="A916" s="145"/>
      <c r="B916" s="145" t="str">
        <f t="shared" si="1"/>
        <v/>
      </c>
      <c r="C916" s="145"/>
      <c r="D916" s="145" t="str">
        <f t="array" ref="D916">IFNA(XLOOKUP(C916,'👥 Daftar Nama Pasien'!$B$6:$B1181,'👥 Daftar Nama Pasien'!$D$6:$D1181),"")</f>
        <v/>
      </c>
      <c r="E916" s="145" t="str">
        <f t="array" ref="E916">XLOOKUP(C916,'⬇️ PEMASUKAN'!$I$5:$I1181,'⬇️ PEMASUKAN'!$K$5:$K1181,,0,-1)</f>
        <v/>
      </c>
      <c r="F916" s="145" t="str">
        <f t="shared" si="2"/>
        <v/>
      </c>
      <c r="G916" s="145" t="str">
        <f t="shared" si="3"/>
        <v/>
      </c>
      <c r="H916" s="145"/>
      <c r="I916" s="145"/>
      <c r="J916" s="145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</row>
    <row r="917" ht="22.5" customHeight="1">
      <c r="A917" s="145"/>
      <c r="B917" s="145" t="str">
        <f t="shared" si="1"/>
        <v/>
      </c>
      <c r="C917" s="145"/>
      <c r="D917" s="145" t="str">
        <f t="array" ref="D917">IFNA(XLOOKUP(C917,'👥 Daftar Nama Pasien'!$B$6:$B1181,'👥 Daftar Nama Pasien'!$D$6:$D1181),"")</f>
        <v/>
      </c>
      <c r="E917" s="145" t="str">
        <f t="array" ref="E917">XLOOKUP(C917,'⬇️ PEMASUKAN'!$I$5:$I1181,'⬇️ PEMASUKAN'!$K$5:$K1181,,0,-1)</f>
        <v/>
      </c>
      <c r="F917" s="145" t="str">
        <f t="shared" si="2"/>
        <v/>
      </c>
      <c r="G917" s="145" t="str">
        <f t="shared" si="3"/>
        <v/>
      </c>
      <c r="H917" s="145"/>
      <c r="I917" s="145"/>
      <c r="J917" s="145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</row>
    <row r="918" ht="22.5" customHeight="1">
      <c r="A918" s="145"/>
      <c r="B918" s="145" t="str">
        <f t="shared" si="1"/>
        <v/>
      </c>
      <c r="C918" s="145"/>
      <c r="D918" s="145" t="str">
        <f t="array" ref="D918">IFNA(XLOOKUP(C918,'👥 Daftar Nama Pasien'!$B$6:$B1181,'👥 Daftar Nama Pasien'!$D$6:$D1181),"")</f>
        <v/>
      </c>
      <c r="E918" s="145" t="str">
        <f t="array" ref="E918">XLOOKUP(C918,'⬇️ PEMASUKAN'!$I$5:$I1181,'⬇️ PEMASUKAN'!$K$5:$K1181,,0,-1)</f>
        <v/>
      </c>
      <c r="F918" s="145" t="str">
        <f t="shared" si="2"/>
        <v/>
      </c>
      <c r="G918" s="145" t="str">
        <f t="shared" si="3"/>
        <v/>
      </c>
      <c r="H918" s="145"/>
      <c r="I918" s="145"/>
      <c r="J918" s="145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</row>
    <row r="919" ht="22.5" customHeight="1">
      <c r="A919" s="145"/>
      <c r="B919" s="145" t="str">
        <f t="shared" si="1"/>
        <v/>
      </c>
      <c r="C919" s="145"/>
      <c r="D919" s="145" t="str">
        <f t="array" ref="D919">IFNA(XLOOKUP(C919,'👥 Daftar Nama Pasien'!$B$6:$B1181,'👥 Daftar Nama Pasien'!$D$6:$D1181),"")</f>
        <v/>
      </c>
      <c r="E919" s="145" t="str">
        <f t="array" ref="E919">XLOOKUP(C919,'⬇️ PEMASUKAN'!$I$5:$I1181,'⬇️ PEMASUKAN'!$K$5:$K1181,,0,-1)</f>
        <v/>
      </c>
      <c r="F919" s="145" t="str">
        <f t="shared" si="2"/>
        <v/>
      </c>
      <c r="G919" s="145" t="str">
        <f t="shared" si="3"/>
        <v/>
      </c>
      <c r="H919" s="145"/>
      <c r="I919" s="145"/>
      <c r="J919" s="145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</row>
    <row r="920" ht="22.5" customHeight="1">
      <c r="A920" s="145"/>
      <c r="B920" s="145" t="str">
        <f t="shared" si="1"/>
        <v/>
      </c>
      <c r="C920" s="145"/>
      <c r="D920" s="145" t="str">
        <f t="array" ref="D920">IFNA(XLOOKUP(C920,'👥 Daftar Nama Pasien'!$B$6:$B1181,'👥 Daftar Nama Pasien'!$D$6:$D1181),"")</f>
        <v/>
      </c>
      <c r="E920" s="145" t="str">
        <f t="array" ref="E920">XLOOKUP(C920,'⬇️ PEMASUKAN'!$I$5:$I1181,'⬇️ PEMASUKAN'!$K$5:$K1181,,0,-1)</f>
        <v/>
      </c>
      <c r="F920" s="145" t="str">
        <f t="shared" si="2"/>
        <v/>
      </c>
      <c r="G920" s="145" t="str">
        <f t="shared" si="3"/>
        <v/>
      </c>
      <c r="H920" s="145"/>
      <c r="I920" s="145"/>
      <c r="J920" s="145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</row>
    <row r="921" ht="22.5" customHeight="1">
      <c r="A921" s="145"/>
      <c r="B921" s="145" t="str">
        <f t="shared" si="1"/>
        <v/>
      </c>
      <c r="C921" s="145"/>
      <c r="D921" s="145" t="str">
        <f t="array" ref="D921">IFNA(XLOOKUP(C921,'👥 Daftar Nama Pasien'!$B$6:$B1181,'👥 Daftar Nama Pasien'!$D$6:$D1181),"")</f>
        <v/>
      </c>
      <c r="E921" s="145" t="str">
        <f t="array" ref="E921">XLOOKUP(C921,'⬇️ PEMASUKAN'!$I$5:$I1181,'⬇️ PEMASUKAN'!$K$5:$K1181,,0,-1)</f>
        <v/>
      </c>
      <c r="F921" s="145" t="str">
        <f t="shared" si="2"/>
        <v/>
      </c>
      <c r="G921" s="145" t="str">
        <f t="shared" si="3"/>
        <v/>
      </c>
      <c r="H921" s="145"/>
      <c r="I921" s="145"/>
      <c r="J921" s="145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</row>
    <row r="922" ht="22.5" customHeight="1">
      <c r="A922" s="145"/>
      <c r="B922" s="145" t="str">
        <f t="shared" si="1"/>
        <v/>
      </c>
      <c r="C922" s="145"/>
      <c r="D922" s="145" t="str">
        <f t="array" ref="D922">IFNA(XLOOKUP(C922,'👥 Daftar Nama Pasien'!$B$6:$B1181,'👥 Daftar Nama Pasien'!$D$6:$D1181),"")</f>
        <v/>
      </c>
      <c r="E922" s="145" t="str">
        <f t="array" ref="E922">XLOOKUP(C922,'⬇️ PEMASUKAN'!$I$5:$I1181,'⬇️ PEMASUKAN'!$K$5:$K1181,,0,-1)</f>
        <v/>
      </c>
      <c r="F922" s="145" t="str">
        <f t="shared" si="2"/>
        <v/>
      </c>
      <c r="G922" s="145" t="str">
        <f t="shared" si="3"/>
        <v/>
      </c>
      <c r="H922" s="145"/>
      <c r="I922" s="145"/>
      <c r="J922" s="145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</row>
    <row r="923" ht="22.5" customHeight="1">
      <c r="A923" s="145"/>
      <c r="B923" s="145" t="str">
        <f t="shared" si="1"/>
        <v/>
      </c>
      <c r="C923" s="145"/>
      <c r="D923" s="145" t="str">
        <f t="array" ref="D923">IFNA(XLOOKUP(C923,'👥 Daftar Nama Pasien'!$B$6:$B1181,'👥 Daftar Nama Pasien'!$D$6:$D1181),"")</f>
        <v/>
      </c>
      <c r="E923" s="145" t="str">
        <f t="array" ref="E923">XLOOKUP(C923,'⬇️ PEMASUKAN'!$I$5:$I1181,'⬇️ PEMASUKAN'!$K$5:$K1181,,0,-1)</f>
        <v/>
      </c>
      <c r="F923" s="145" t="str">
        <f t="shared" si="2"/>
        <v/>
      </c>
      <c r="G923" s="145" t="str">
        <f t="shared" si="3"/>
        <v/>
      </c>
      <c r="H923" s="145"/>
      <c r="I923" s="145"/>
      <c r="J923" s="145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</row>
    <row r="924" ht="22.5" customHeight="1">
      <c r="A924" s="145"/>
      <c r="B924" s="145" t="str">
        <f t="shared" si="1"/>
        <v/>
      </c>
      <c r="C924" s="145"/>
      <c r="D924" s="145" t="str">
        <f t="array" ref="D924">IFNA(XLOOKUP(C924,'👥 Daftar Nama Pasien'!$B$6:$B1181,'👥 Daftar Nama Pasien'!$D$6:$D1181),"")</f>
        <v/>
      </c>
      <c r="E924" s="145" t="str">
        <f t="array" ref="E924">XLOOKUP(C924,'⬇️ PEMASUKAN'!$I$5:$I1181,'⬇️ PEMASUKAN'!$K$5:$K1181,,0,-1)</f>
        <v/>
      </c>
      <c r="F924" s="145" t="str">
        <f t="shared" si="2"/>
        <v/>
      </c>
      <c r="G924" s="145" t="str">
        <f t="shared" si="3"/>
        <v/>
      </c>
      <c r="H924" s="145"/>
      <c r="I924" s="145"/>
      <c r="J924" s="145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</row>
    <row r="925" ht="22.5" customHeight="1">
      <c r="A925" s="145"/>
      <c r="B925" s="145" t="str">
        <f t="shared" si="1"/>
        <v/>
      </c>
      <c r="C925" s="145"/>
      <c r="D925" s="145" t="str">
        <f t="array" ref="D925">IFNA(XLOOKUP(C925,'👥 Daftar Nama Pasien'!$B$6:$B1181,'👥 Daftar Nama Pasien'!$D$6:$D1181),"")</f>
        <v/>
      </c>
      <c r="E925" s="145" t="str">
        <f t="array" ref="E925">XLOOKUP(C925,'⬇️ PEMASUKAN'!$I$5:$I1181,'⬇️ PEMASUKAN'!$K$5:$K1181,,0,-1)</f>
        <v/>
      </c>
      <c r="F925" s="145" t="str">
        <f t="shared" si="2"/>
        <v/>
      </c>
      <c r="G925" s="145" t="str">
        <f t="shared" si="3"/>
        <v/>
      </c>
      <c r="H925" s="145"/>
      <c r="I925" s="145"/>
      <c r="J925" s="145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</row>
    <row r="926" ht="22.5" customHeight="1">
      <c r="A926" s="145"/>
      <c r="B926" s="145" t="str">
        <f t="shared" si="1"/>
        <v/>
      </c>
      <c r="C926" s="145"/>
      <c r="D926" s="145" t="str">
        <f t="array" ref="D926">IFNA(XLOOKUP(C926,'👥 Daftar Nama Pasien'!$B$6:$B1181,'👥 Daftar Nama Pasien'!$D$6:$D1181),"")</f>
        <v/>
      </c>
      <c r="E926" s="145" t="str">
        <f t="array" ref="E926">XLOOKUP(C926,'⬇️ PEMASUKAN'!$I$5:$I1181,'⬇️ PEMASUKAN'!$K$5:$K1181,,0,-1)</f>
        <v/>
      </c>
      <c r="F926" s="145" t="str">
        <f t="shared" si="2"/>
        <v/>
      </c>
      <c r="G926" s="145" t="str">
        <f t="shared" si="3"/>
        <v/>
      </c>
      <c r="H926" s="145"/>
      <c r="I926" s="145"/>
      <c r="J926" s="145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</row>
    <row r="927" ht="22.5" customHeight="1">
      <c r="A927" s="145"/>
      <c r="B927" s="145" t="str">
        <f t="shared" si="1"/>
        <v/>
      </c>
      <c r="C927" s="145"/>
      <c r="D927" s="145" t="str">
        <f t="array" ref="D927">IFNA(XLOOKUP(C927,'👥 Daftar Nama Pasien'!$B$6:$B1181,'👥 Daftar Nama Pasien'!$D$6:$D1181),"")</f>
        <v/>
      </c>
      <c r="E927" s="145" t="str">
        <f t="array" ref="E927">XLOOKUP(C927,'⬇️ PEMASUKAN'!$I$5:$I1181,'⬇️ PEMASUKAN'!$K$5:$K1181,,0,-1)</f>
        <v/>
      </c>
      <c r="F927" s="145" t="str">
        <f t="shared" si="2"/>
        <v/>
      </c>
      <c r="G927" s="145" t="str">
        <f t="shared" si="3"/>
        <v/>
      </c>
      <c r="H927" s="145"/>
      <c r="I927" s="145"/>
      <c r="J927" s="145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</row>
    <row r="928" ht="22.5" customHeight="1">
      <c r="A928" s="145"/>
      <c r="B928" s="145" t="str">
        <f t="shared" si="1"/>
        <v/>
      </c>
      <c r="C928" s="145"/>
      <c r="D928" s="145" t="str">
        <f t="array" ref="D928">IFNA(XLOOKUP(C928,'👥 Daftar Nama Pasien'!$B$6:$B1181,'👥 Daftar Nama Pasien'!$D$6:$D1181),"")</f>
        <v/>
      </c>
      <c r="E928" s="145" t="str">
        <f t="array" ref="E928">XLOOKUP(C928,'⬇️ PEMASUKAN'!$I$5:$I1181,'⬇️ PEMASUKAN'!$K$5:$K1181,,0,-1)</f>
        <v/>
      </c>
      <c r="F928" s="145" t="str">
        <f t="shared" si="2"/>
        <v/>
      </c>
      <c r="G928" s="145" t="str">
        <f t="shared" si="3"/>
        <v/>
      </c>
      <c r="H928" s="145"/>
      <c r="I928" s="145"/>
      <c r="J928" s="145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</row>
    <row r="929" ht="22.5" customHeight="1">
      <c r="A929" s="145"/>
      <c r="B929" s="145" t="str">
        <f t="shared" si="1"/>
        <v/>
      </c>
      <c r="C929" s="145"/>
      <c r="D929" s="145" t="str">
        <f t="array" ref="D929">IFNA(XLOOKUP(C929,'👥 Daftar Nama Pasien'!$B$6:$B1181,'👥 Daftar Nama Pasien'!$D$6:$D1181),"")</f>
        <v/>
      </c>
      <c r="E929" s="145" t="str">
        <f t="array" ref="E929">XLOOKUP(C929,'⬇️ PEMASUKAN'!$I$5:$I1181,'⬇️ PEMASUKAN'!$K$5:$K1181,,0,-1)</f>
        <v/>
      </c>
      <c r="F929" s="145" t="str">
        <f t="shared" si="2"/>
        <v/>
      </c>
      <c r="G929" s="145" t="str">
        <f t="shared" si="3"/>
        <v/>
      </c>
      <c r="H929" s="145"/>
      <c r="I929" s="145"/>
      <c r="J929" s="145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</row>
    <row r="930" ht="22.5" customHeight="1">
      <c r="A930" s="145"/>
      <c r="B930" s="145" t="str">
        <f t="shared" si="1"/>
        <v/>
      </c>
      <c r="C930" s="145"/>
      <c r="D930" s="145" t="str">
        <f t="array" ref="D930">IFNA(XLOOKUP(C930,'👥 Daftar Nama Pasien'!$B$6:$B1181,'👥 Daftar Nama Pasien'!$D$6:$D1181),"")</f>
        <v/>
      </c>
      <c r="E930" s="145" t="str">
        <f t="array" ref="E930">XLOOKUP(C930,'⬇️ PEMASUKAN'!$I$5:$I1181,'⬇️ PEMASUKAN'!$K$5:$K1181,,0,-1)</f>
        <v/>
      </c>
      <c r="F930" s="145" t="str">
        <f t="shared" si="2"/>
        <v/>
      </c>
      <c r="G930" s="145" t="str">
        <f t="shared" si="3"/>
        <v/>
      </c>
      <c r="H930" s="145"/>
      <c r="I930" s="145"/>
      <c r="J930" s="145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</row>
    <row r="931" ht="22.5" customHeight="1">
      <c r="A931" s="145"/>
      <c r="B931" s="145" t="str">
        <f t="shared" si="1"/>
        <v/>
      </c>
      <c r="C931" s="145"/>
      <c r="D931" s="145" t="str">
        <f t="array" ref="D931">IFNA(XLOOKUP(C931,'👥 Daftar Nama Pasien'!$B$6:$B1181,'👥 Daftar Nama Pasien'!$D$6:$D1181),"")</f>
        <v/>
      </c>
      <c r="E931" s="145" t="str">
        <f t="array" ref="E931">XLOOKUP(C931,'⬇️ PEMASUKAN'!$I$5:$I1181,'⬇️ PEMASUKAN'!$K$5:$K1181,,0,-1)</f>
        <v/>
      </c>
      <c r="F931" s="145" t="str">
        <f t="shared" si="2"/>
        <v/>
      </c>
      <c r="G931" s="145" t="str">
        <f t="shared" si="3"/>
        <v/>
      </c>
      <c r="H931" s="145"/>
      <c r="I931" s="145"/>
      <c r="J931" s="145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</row>
    <row r="932" ht="22.5" customHeight="1">
      <c r="A932" s="145"/>
      <c r="B932" s="145" t="str">
        <f t="shared" si="1"/>
        <v/>
      </c>
      <c r="C932" s="145"/>
      <c r="D932" s="145" t="str">
        <f t="array" ref="D932">IFNA(XLOOKUP(C932,'👥 Daftar Nama Pasien'!$B$6:$B1181,'👥 Daftar Nama Pasien'!$D$6:$D1181),"")</f>
        <v/>
      </c>
      <c r="E932" s="145" t="str">
        <f t="array" ref="E932">XLOOKUP(C932,'⬇️ PEMASUKAN'!$I$5:$I1181,'⬇️ PEMASUKAN'!$K$5:$K1181,,0,-1)</f>
        <v/>
      </c>
      <c r="F932" s="145" t="str">
        <f t="shared" si="2"/>
        <v/>
      </c>
      <c r="G932" s="145" t="str">
        <f t="shared" si="3"/>
        <v/>
      </c>
      <c r="H932" s="145"/>
      <c r="I932" s="145"/>
      <c r="J932" s="145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</row>
    <row r="933" ht="22.5" customHeight="1">
      <c r="A933" s="145"/>
      <c r="B933" s="145" t="str">
        <f t="shared" si="1"/>
        <v/>
      </c>
      <c r="C933" s="145"/>
      <c r="D933" s="145" t="str">
        <f t="array" ref="D933">IFNA(XLOOKUP(C933,'👥 Daftar Nama Pasien'!$B$6:$B1181,'👥 Daftar Nama Pasien'!$D$6:$D1181),"")</f>
        <v/>
      </c>
      <c r="E933" s="145" t="str">
        <f t="array" ref="E933">XLOOKUP(C933,'⬇️ PEMASUKAN'!$I$5:$I1181,'⬇️ PEMASUKAN'!$K$5:$K1181,,0,-1)</f>
        <v/>
      </c>
      <c r="F933" s="145" t="str">
        <f t="shared" si="2"/>
        <v/>
      </c>
      <c r="G933" s="145" t="str">
        <f t="shared" si="3"/>
        <v/>
      </c>
      <c r="H933" s="145"/>
      <c r="I933" s="145"/>
      <c r="J933" s="145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</row>
    <row r="934" ht="22.5" customHeight="1">
      <c r="A934" s="145"/>
      <c r="B934" s="145" t="str">
        <f t="shared" si="1"/>
        <v/>
      </c>
      <c r="C934" s="145"/>
      <c r="D934" s="145" t="str">
        <f t="array" ref="D934">IFNA(XLOOKUP(C934,'👥 Daftar Nama Pasien'!$B$6:$B1181,'👥 Daftar Nama Pasien'!$D$6:$D1181),"")</f>
        <v/>
      </c>
      <c r="E934" s="145" t="str">
        <f t="array" ref="E934">XLOOKUP(C934,'⬇️ PEMASUKAN'!$I$5:$I1181,'⬇️ PEMASUKAN'!$K$5:$K1181,,0,-1)</f>
        <v/>
      </c>
      <c r="F934" s="145" t="str">
        <f t="shared" si="2"/>
        <v/>
      </c>
      <c r="G934" s="145" t="str">
        <f t="shared" si="3"/>
        <v/>
      </c>
      <c r="H934" s="145"/>
      <c r="I934" s="145"/>
      <c r="J934" s="145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</row>
    <row r="935" ht="22.5" customHeight="1">
      <c r="A935" s="145"/>
      <c r="B935" s="145" t="str">
        <f t="shared" si="1"/>
        <v/>
      </c>
      <c r="C935" s="145"/>
      <c r="D935" s="145" t="str">
        <f t="array" ref="D935">IFNA(XLOOKUP(C935,'👥 Daftar Nama Pasien'!$B$6:$B1181,'👥 Daftar Nama Pasien'!$D$6:$D1181),"")</f>
        <v/>
      </c>
      <c r="E935" s="145" t="str">
        <f t="array" ref="E935">XLOOKUP(C935,'⬇️ PEMASUKAN'!$I$5:$I1181,'⬇️ PEMASUKAN'!$K$5:$K1181,,0,-1)</f>
        <v/>
      </c>
      <c r="F935" s="145" t="str">
        <f t="shared" si="2"/>
        <v/>
      </c>
      <c r="G935" s="145" t="str">
        <f t="shared" si="3"/>
        <v/>
      </c>
      <c r="H935" s="145"/>
      <c r="I935" s="145"/>
      <c r="J935" s="145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</row>
    <row r="936" ht="22.5" customHeight="1">
      <c r="A936" s="145"/>
      <c r="B936" s="145" t="str">
        <f t="shared" si="1"/>
        <v/>
      </c>
      <c r="C936" s="145"/>
      <c r="D936" s="145" t="str">
        <f t="array" ref="D936">IFNA(XLOOKUP(C936,'👥 Daftar Nama Pasien'!$B$6:$B1181,'👥 Daftar Nama Pasien'!$D$6:$D1181),"")</f>
        <v/>
      </c>
      <c r="E936" s="145" t="str">
        <f t="array" ref="E936">XLOOKUP(C936,'⬇️ PEMASUKAN'!$I$5:$I1181,'⬇️ PEMASUKAN'!$K$5:$K1181,,0,-1)</f>
        <v/>
      </c>
      <c r="F936" s="145" t="str">
        <f t="shared" si="2"/>
        <v/>
      </c>
      <c r="G936" s="145" t="str">
        <f t="shared" si="3"/>
        <v/>
      </c>
      <c r="H936" s="145"/>
      <c r="I936" s="145"/>
      <c r="J936" s="145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</row>
    <row r="937" ht="22.5" customHeight="1">
      <c r="A937" s="145"/>
      <c r="B937" s="145" t="str">
        <f t="shared" si="1"/>
        <v/>
      </c>
      <c r="C937" s="145"/>
      <c r="D937" s="145" t="str">
        <f t="array" ref="D937">IFNA(XLOOKUP(C937,'👥 Daftar Nama Pasien'!$B$6:$B1181,'👥 Daftar Nama Pasien'!$D$6:$D1181),"")</f>
        <v/>
      </c>
      <c r="E937" s="145" t="str">
        <f t="array" ref="E937">XLOOKUP(C937,'⬇️ PEMASUKAN'!$I$5:$I1181,'⬇️ PEMASUKAN'!$K$5:$K1181,,0,-1)</f>
        <v/>
      </c>
      <c r="F937" s="145" t="str">
        <f t="shared" si="2"/>
        <v/>
      </c>
      <c r="G937" s="145" t="str">
        <f t="shared" si="3"/>
        <v/>
      </c>
      <c r="H937" s="145"/>
      <c r="I937" s="145"/>
      <c r="J937" s="145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</row>
    <row r="938" ht="22.5" customHeight="1">
      <c r="A938" s="145"/>
      <c r="B938" s="145" t="str">
        <f t="shared" si="1"/>
        <v/>
      </c>
      <c r="C938" s="145"/>
      <c r="D938" s="145" t="str">
        <f t="array" ref="D938">IFNA(XLOOKUP(C938,'👥 Daftar Nama Pasien'!$B$6:$B1181,'👥 Daftar Nama Pasien'!$D$6:$D1181),"")</f>
        <v/>
      </c>
      <c r="E938" s="145" t="str">
        <f t="array" ref="E938">XLOOKUP(C938,'⬇️ PEMASUKAN'!$I$5:$I1181,'⬇️ PEMASUKAN'!$K$5:$K1181,,0,-1)</f>
        <v/>
      </c>
      <c r="F938" s="145" t="str">
        <f t="shared" si="2"/>
        <v/>
      </c>
      <c r="G938" s="145" t="str">
        <f t="shared" si="3"/>
        <v/>
      </c>
      <c r="H938" s="145"/>
      <c r="I938" s="145"/>
      <c r="J938" s="145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</row>
    <row r="939" ht="22.5" customHeight="1">
      <c r="A939" s="145"/>
      <c r="B939" s="145" t="str">
        <f t="shared" si="1"/>
        <v/>
      </c>
      <c r="C939" s="145"/>
      <c r="D939" s="145" t="str">
        <f t="array" ref="D939">IFNA(XLOOKUP(C939,'👥 Daftar Nama Pasien'!$B$6:$B1181,'👥 Daftar Nama Pasien'!$D$6:$D1181),"")</f>
        <v/>
      </c>
      <c r="E939" s="145" t="str">
        <f t="array" ref="E939">XLOOKUP(C939,'⬇️ PEMASUKAN'!$I$5:$I1181,'⬇️ PEMASUKAN'!$K$5:$K1181,,0,-1)</f>
        <v/>
      </c>
      <c r="F939" s="145" t="str">
        <f t="shared" si="2"/>
        <v/>
      </c>
      <c r="G939" s="145" t="str">
        <f t="shared" si="3"/>
        <v/>
      </c>
      <c r="H939" s="145"/>
      <c r="I939" s="145"/>
      <c r="J939" s="145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</row>
    <row r="940" ht="22.5" customHeight="1">
      <c r="A940" s="145"/>
      <c r="B940" s="145" t="str">
        <f t="shared" si="1"/>
        <v/>
      </c>
      <c r="C940" s="145"/>
      <c r="D940" s="145" t="str">
        <f t="array" ref="D940">IFNA(XLOOKUP(C940,'👥 Daftar Nama Pasien'!$B$6:$B1181,'👥 Daftar Nama Pasien'!$D$6:$D1181),"")</f>
        <v/>
      </c>
      <c r="E940" s="145" t="str">
        <f t="array" ref="E940">XLOOKUP(C940,'⬇️ PEMASUKAN'!$I$5:$I1181,'⬇️ PEMASUKAN'!$K$5:$K1181,,0,-1)</f>
        <v/>
      </c>
      <c r="F940" s="145" t="str">
        <f t="shared" si="2"/>
        <v/>
      </c>
      <c r="G940" s="145" t="str">
        <f t="shared" si="3"/>
        <v/>
      </c>
      <c r="H940" s="145"/>
      <c r="I940" s="145"/>
      <c r="J940" s="145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</row>
    <row r="941" ht="22.5" customHeight="1">
      <c r="A941" s="145"/>
      <c r="B941" s="145" t="str">
        <f t="shared" si="1"/>
        <v/>
      </c>
      <c r="C941" s="145"/>
      <c r="D941" s="145" t="str">
        <f t="array" ref="D941">IFNA(XLOOKUP(C941,'👥 Daftar Nama Pasien'!$B$6:$B1181,'👥 Daftar Nama Pasien'!$D$6:$D1181),"")</f>
        <v/>
      </c>
      <c r="E941" s="145" t="str">
        <f t="array" ref="E941">XLOOKUP(C941,'⬇️ PEMASUKAN'!$I$5:$I1181,'⬇️ PEMASUKAN'!$K$5:$K1181,,0,-1)</f>
        <v/>
      </c>
      <c r="F941" s="145" t="str">
        <f t="shared" si="2"/>
        <v/>
      </c>
      <c r="G941" s="145" t="str">
        <f t="shared" si="3"/>
        <v/>
      </c>
      <c r="H941" s="145"/>
      <c r="I941" s="145"/>
      <c r="J941" s="145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</row>
    <row r="942" ht="22.5" customHeight="1">
      <c r="A942" s="145"/>
      <c r="B942" s="145" t="str">
        <f t="shared" si="1"/>
        <v/>
      </c>
      <c r="C942" s="145"/>
      <c r="D942" s="145" t="str">
        <f t="array" ref="D942">IFNA(XLOOKUP(C942,'👥 Daftar Nama Pasien'!$B$6:$B1181,'👥 Daftar Nama Pasien'!$D$6:$D1181),"")</f>
        <v/>
      </c>
      <c r="E942" s="145" t="str">
        <f t="array" ref="E942">XLOOKUP(C942,'⬇️ PEMASUKAN'!$I$5:$I1181,'⬇️ PEMASUKAN'!$K$5:$K1181,,0,-1)</f>
        <v/>
      </c>
      <c r="F942" s="145" t="str">
        <f t="shared" si="2"/>
        <v/>
      </c>
      <c r="G942" s="145" t="str">
        <f t="shared" si="3"/>
        <v/>
      </c>
      <c r="H942" s="145"/>
      <c r="I942" s="145"/>
      <c r="J942" s="145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</row>
    <row r="943" ht="22.5" customHeight="1">
      <c r="A943" s="145"/>
      <c r="B943" s="145" t="str">
        <f t="shared" si="1"/>
        <v/>
      </c>
      <c r="C943" s="145"/>
      <c r="D943" s="145" t="str">
        <f t="array" ref="D943">IFNA(XLOOKUP(C943,'👥 Daftar Nama Pasien'!$B$6:$B1181,'👥 Daftar Nama Pasien'!$D$6:$D1181),"")</f>
        <v/>
      </c>
      <c r="E943" s="145" t="str">
        <f t="array" ref="E943">XLOOKUP(C943,'⬇️ PEMASUKAN'!$I$5:$I1181,'⬇️ PEMASUKAN'!$K$5:$K1181,,0,-1)</f>
        <v/>
      </c>
      <c r="F943" s="145" t="str">
        <f t="shared" si="2"/>
        <v/>
      </c>
      <c r="G943" s="145" t="str">
        <f t="shared" si="3"/>
        <v/>
      </c>
      <c r="H943" s="145"/>
      <c r="I943" s="145"/>
      <c r="J943" s="145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</row>
    <row r="944" ht="22.5" customHeight="1">
      <c r="A944" s="145"/>
      <c r="B944" s="145" t="str">
        <f t="shared" si="1"/>
        <v/>
      </c>
      <c r="C944" s="145"/>
      <c r="D944" s="145" t="str">
        <f t="array" ref="D944">IFNA(XLOOKUP(C944,'👥 Daftar Nama Pasien'!$B$6:$B1181,'👥 Daftar Nama Pasien'!$D$6:$D1181),"")</f>
        <v/>
      </c>
      <c r="E944" s="145" t="str">
        <f t="array" ref="E944">XLOOKUP(C944,'⬇️ PEMASUKAN'!$I$5:$I1181,'⬇️ PEMASUKAN'!$K$5:$K1181,,0,-1)</f>
        <v/>
      </c>
      <c r="F944" s="145" t="str">
        <f t="shared" si="2"/>
        <v/>
      </c>
      <c r="G944" s="145" t="str">
        <f t="shared" si="3"/>
        <v/>
      </c>
      <c r="H944" s="145"/>
      <c r="I944" s="145"/>
      <c r="J944" s="145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</row>
    <row r="945" ht="22.5" customHeight="1">
      <c r="A945" s="145"/>
      <c r="B945" s="145" t="str">
        <f t="shared" si="1"/>
        <v/>
      </c>
      <c r="C945" s="145"/>
      <c r="D945" s="145" t="str">
        <f t="array" ref="D945">IFNA(XLOOKUP(C945,'👥 Daftar Nama Pasien'!$B$6:$B1181,'👥 Daftar Nama Pasien'!$D$6:$D1181),"")</f>
        <v/>
      </c>
      <c r="E945" s="145" t="str">
        <f t="array" ref="E945">XLOOKUP(C945,'⬇️ PEMASUKAN'!$I$5:$I1181,'⬇️ PEMASUKAN'!$K$5:$K1181,,0,-1)</f>
        <v/>
      </c>
      <c r="F945" s="145" t="str">
        <f t="shared" si="2"/>
        <v/>
      </c>
      <c r="G945" s="145" t="str">
        <f t="shared" si="3"/>
        <v/>
      </c>
      <c r="H945" s="145"/>
      <c r="I945" s="145"/>
      <c r="J945" s="145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</row>
    <row r="946" ht="22.5" customHeight="1">
      <c r="A946" s="145"/>
      <c r="B946" s="145" t="str">
        <f t="shared" si="1"/>
        <v/>
      </c>
      <c r="C946" s="145"/>
      <c r="D946" s="145" t="str">
        <f t="array" ref="D946">IFNA(XLOOKUP(C946,'👥 Daftar Nama Pasien'!$B$6:$B1181,'👥 Daftar Nama Pasien'!$D$6:$D1181),"")</f>
        <v/>
      </c>
      <c r="E946" s="145" t="str">
        <f t="array" ref="E946">XLOOKUP(C946,'⬇️ PEMASUKAN'!$I$5:$I1181,'⬇️ PEMASUKAN'!$K$5:$K1181,,0,-1)</f>
        <v/>
      </c>
      <c r="F946" s="145" t="str">
        <f t="shared" si="2"/>
        <v/>
      </c>
      <c r="G946" s="145" t="str">
        <f t="shared" si="3"/>
        <v/>
      </c>
      <c r="H946" s="145"/>
      <c r="I946" s="145"/>
      <c r="J946" s="145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</row>
    <row r="947" ht="22.5" customHeight="1">
      <c r="A947" s="145"/>
      <c r="B947" s="145" t="str">
        <f t="shared" si="1"/>
        <v/>
      </c>
      <c r="C947" s="145"/>
      <c r="D947" s="145" t="str">
        <f t="array" ref="D947">IFNA(XLOOKUP(C947,'👥 Daftar Nama Pasien'!$B$6:$B1181,'👥 Daftar Nama Pasien'!$D$6:$D1181),"")</f>
        <v/>
      </c>
      <c r="E947" s="145" t="str">
        <f t="array" ref="E947">XLOOKUP(C947,'⬇️ PEMASUKAN'!$I$5:$I1181,'⬇️ PEMASUKAN'!$K$5:$K1181,,0,-1)</f>
        <v/>
      </c>
      <c r="F947" s="145" t="str">
        <f t="shared" si="2"/>
        <v/>
      </c>
      <c r="G947" s="145" t="str">
        <f t="shared" si="3"/>
        <v/>
      </c>
      <c r="H947" s="145"/>
      <c r="I947" s="145"/>
      <c r="J947" s="145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</row>
    <row r="948" ht="22.5" customHeight="1">
      <c r="A948" s="145"/>
      <c r="B948" s="145" t="str">
        <f t="shared" si="1"/>
        <v/>
      </c>
      <c r="C948" s="145"/>
      <c r="D948" s="145" t="str">
        <f t="array" ref="D948">IFNA(XLOOKUP(C948,'👥 Daftar Nama Pasien'!$B$6:$B1181,'👥 Daftar Nama Pasien'!$D$6:$D1181),"")</f>
        <v/>
      </c>
      <c r="E948" s="145" t="str">
        <f t="array" ref="E948">XLOOKUP(C948,'⬇️ PEMASUKAN'!$I$5:$I1181,'⬇️ PEMASUKAN'!$K$5:$K1181,,0,-1)</f>
        <v/>
      </c>
      <c r="F948" s="145" t="str">
        <f t="shared" si="2"/>
        <v/>
      </c>
      <c r="G948" s="145" t="str">
        <f t="shared" si="3"/>
        <v/>
      </c>
      <c r="H948" s="145"/>
      <c r="I948" s="145"/>
      <c r="J948" s="145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</row>
    <row r="949" ht="22.5" customHeight="1">
      <c r="A949" s="145"/>
      <c r="B949" s="145" t="str">
        <f t="shared" si="1"/>
        <v/>
      </c>
      <c r="C949" s="145"/>
      <c r="D949" s="145" t="str">
        <f t="array" ref="D949">IFNA(XLOOKUP(C949,'👥 Daftar Nama Pasien'!$B$6:$B1181,'👥 Daftar Nama Pasien'!$D$6:$D1181),"")</f>
        <v/>
      </c>
      <c r="E949" s="145" t="str">
        <f t="array" ref="E949">XLOOKUP(C949,'⬇️ PEMASUKAN'!$I$5:$I1181,'⬇️ PEMASUKAN'!$K$5:$K1181,,0,-1)</f>
        <v/>
      </c>
      <c r="F949" s="145" t="str">
        <f t="shared" si="2"/>
        <v/>
      </c>
      <c r="G949" s="145" t="str">
        <f t="shared" si="3"/>
        <v/>
      </c>
      <c r="H949" s="145"/>
      <c r="I949" s="145"/>
      <c r="J949" s="145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</row>
    <row r="950" ht="22.5" customHeight="1">
      <c r="A950" s="145"/>
      <c r="B950" s="145" t="str">
        <f t="shared" si="1"/>
        <v/>
      </c>
      <c r="C950" s="145"/>
      <c r="D950" s="145" t="str">
        <f t="array" ref="D950">IFNA(XLOOKUP(C950,'👥 Daftar Nama Pasien'!$B$6:$B1181,'👥 Daftar Nama Pasien'!$D$6:$D1181),"")</f>
        <v/>
      </c>
      <c r="E950" s="145" t="str">
        <f t="array" ref="E950">XLOOKUP(C950,'⬇️ PEMASUKAN'!$I$5:$I1181,'⬇️ PEMASUKAN'!$K$5:$K1181,,0,-1)</f>
        <v/>
      </c>
      <c r="F950" s="145" t="str">
        <f t="shared" si="2"/>
        <v/>
      </c>
      <c r="G950" s="145" t="str">
        <f t="shared" si="3"/>
        <v/>
      </c>
      <c r="H950" s="145"/>
      <c r="I950" s="145"/>
      <c r="J950" s="145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</row>
    <row r="951" ht="22.5" customHeight="1">
      <c r="A951" s="145"/>
      <c r="B951" s="145" t="str">
        <f t="shared" si="1"/>
        <v/>
      </c>
      <c r="C951" s="145"/>
      <c r="D951" s="145" t="str">
        <f t="array" ref="D951">IFNA(XLOOKUP(C951,'👥 Daftar Nama Pasien'!$B$6:$B1181,'👥 Daftar Nama Pasien'!$D$6:$D1181),"")</f>
        <v/>
      </c>
      <c r="E951" s="145" t="str">
        <f t="array" ref="E951">XLOOKUP(C951,'⬇️ PEMASUKAN'!$I$5:$I1181,'⬇️ PEMASUKAN'!$K$5:$K1181,,0,-1)</f>
        <v/>
      </c>
      <c r="F951" s="145" t="str">
        <f t="shared" si="2"/>
        <v/>
      </c>
      <c r="G951" s="145" t="str">
        <f t="shared" si="3"/>
        <v/>
      </c>
      <c r="H951" s="145"/>
      <c r="I951" s="145"/>
      <c r="J951" s="145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</row>
    <row r="952" ht="22.5" customHeight="1">
      <c r="A952" s="145"/>
      <c r="B952" s="145" t="str">
        <f t="shared" si="1"/>
        <v/>
      </c>
      <c r="C952" s="145"/>
      <c r="D952" s="145" t="str">
        <f t="array" ref="D952">IFNA(XLOOKUP(C952,'👥 Daftar Nama Pasien'!$B$6:$B1181,'👥 Daftar Nama Pasien'!$D$6:$D1181),"")</f>
        <v/>
      </c>
      <c r="E952" s="145" t="str">
        <f t="array" ref="E952">XLOOKUP(C952,'⬇️ PEMASUKAN'!$I$5:$I1181,'⬇️ PEMASUKAN'!$K$5:$K1181,,0,-1)</f>
        <v/>
      </c>
      <c r="F952" s="145" t="str">
        <f t="shared" si="2"/>
        <v/>
      </c>
      <c r="G952" s="145" t="str">
        <f t="shared" si="3"/>
        <v/>
      </c>
      <c r="H952" s="145"/>
      <c r="I952" s="145"/>
      <c r="J952" s="145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</row>
    <row r="953" ht="22.5" customHeight="1">
      <c r="A953" s="145"/>
      <c r="B953" s="145" t="str">
        <f t="shared" si="1"/>
        <v/>
      </c>
      <c r="C953" s="145"/>
      <c r="D953" s="145" t="str">
        <f t="array" ref="D953">IFNA(XLOOKUP(C953,'👥 Daftar Nama Pasien'!$B$6:$B1181,'👥 Daftar Nama Pasien'!$D$6:$D1181),"")</f>
        <v/>
      </c>
      <c r="E953" s="145" t="str">
        <f t="array" ref="E953">XLOOKUP(C953,'⬇️ PEMASUKAN'!$I$5:$I1181,'⬇️ PEMASUKAN'!$K$5:$K1181,,0,-1)</f>
        <v/>
      </c>
      <c r="F953" s="145" t="str">
        <f t="shared" si="2"/>
        <v/>
      </c>
      <c r="G953" s="145" t="str">
        <f t="shared" si="3"/>
        <v/>
      </c>
      <c r="H953" s="145"/>
      <c r="I953" s="145"/>
      <c r="J953" s="145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</row>
    <row r="954" ht="22.5" customHeight="1">
      <c r="A954" s="145"/>
      <c r="B954" s="145" t="str">
        <f t="shared" si="1"/>
        <v/>
      </c>
      <c r="C954" s="145"/>
      <c r="D954" s="145" t="str">
        <f t="array" ref="D954">IFNA(XLOOKUP(C954,'👥 Daftar Nama Pasien'!$B$6:$B1181,'👥 Daftar Nama Pasien'!$D$6:$D1181),"")</f>
        <v/>
      </c>
      <c r="E954" s="145" t="str">
        <f t="array" ref="E954">XLOOKUP(C954,'⬇️ PEMASUKAN'!$I$5:$I1181,'⬇️ PEMASUKAN'!$K$5:$K1181,,0,-1)</f>
        <v/>
      </c>
      <c r="F954" s="145" t="str">
        <f t="shared" si="2"/>
        <v/>
      </c>
      <c r="G954" s="145" t="str">
        <f t="shared" si="3"/>
        <v/>
      </c>
      <c r="H954" s="145"/>
      <c r="I954" s="145"/>
      <c r="J954" s="145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</row>
    <row r="955" ht="22.5" customHeight="1">
      <c r="A955" s="145"/>
      <c r="B955" s="145" t="str">
        <f t="shared" si="1"/>
        <v/>
      </c>
      <c r="C955" s="145"/>
      <c r="D955" s="145" t="str">
        <f t="array" ref="D955">IFNA(XLOOKUP(C955,'👥 Daftar Nama Pasien'!$B$6:$B1181,'👥 Daftar Nama Pasien'!$D$6:$D1181),"")</f>
        <v/>
      </c>
      <c r="E955" s="145" t="str">
        <f t="array" ref="E955">XLOOKUP(C955,'⬇️ PEMASUKAN'!$I$5:$I1181,'⬇️ PEMASUKAN'!$K$5:$K1181,,0,-1)</f>
        <v/>
      </c>
      <c r="F955" s="145" t="str">
        <f t="shared" si="2"/>
        <v/>
      </c>
      <c r="G955" s="145" t="str">
        <f t="shared" si="3"/>
        <v/>
      </c>
      <c r="H955" s="145"/>
      <c r="I955" s="145"/>
      <c r="J955" s="145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</row>
    <row r="956" ht="22.5" customHeight="1">
      <c r="A956" s="145"/>
      <c r="B956" s="145" t="str">
        <f t="shared" si="1"/>
        <v/>
      </c>
      <c r="C956" s="145"/>
      <c r="D956" s="145" t="str">
        <f t="array" ref="D956">IFNA(XLOOKUP(C956,'👥 Daftar Nama Pasien'!$B$6:$B1181,'👥 Daftar Nama Pasien'!$D$6:$D1181),"")</f>
        <v/>
      </c>
      <c r="E956" s="145" t="str">
        <f t="array" ref="E956">XLOOKUP(C956,'⬇️ PEMASUKAN'!$I$5:$I1181,'⬇️ PEMASUKAN'!$K$5:$K1181,,0,-1)</f>
        <v/>
      </c>
      <c r="F956" s="145" t="str">
        <f t="shared" si="2"/>
        <v/>
      </c>
      <c r="G956" s="145" t="str">
        <f t="shared" si="3"/>
        <v/>
      </c>
      <c r="H956" s="145"/>
      <c r="I956" s="145"/>
      <c r="J956" s="145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</row>
    <row r="957" ht="22.5" customHeight="1">
      <c r="A957" s="145"/>
      <c r="B957" s="145" t="str">
        <f t="shared" si="1"/>
        <v/>
      </c>
      <c r="C957" s="145"/>
      <c r="D957" s="145" t="str">
        <f t="array" ref="D957">IFNA(XLOOKUP(C957,'👥 Daftar Nama Pasien'!$B$6:$B1181,'👥 Daftar Nama Pasien'!$D$6:$D1181),"")</f>
        <v/>
      </c>
      <c r="E957" s="145" t="str">
        <f t="array" ref="E957">XLOOKUP(C957,'⬇️ PEMASUKAN'!$I$5:$I1181,'⬇️ PEMASUKAN'!$K$5:$K1181,,0,-1)</f>
        <v/>
      </c>
      <c r="F957" s="145" t="str">
        <f t="shared" si="2"/>
        <v/>
      </c>
      <c r="G957" s="145" t="str">
        <f t="shared" si="3"/>
        <v/>
      </c>
      <c r="H957" s="145"/>
      <c r="I957" s="145"/>
      <c r="J957" s="145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</row>
    <row r="958" ht="22.5" customHeight="1">
      <c r="A958" s="145"/>
      <c r="B958" s="145" t="str">
        <f t="shared" si="1"/>
        <v/>
      </c>
      <c r="C958" s="145"/>
      <c r="D958" s="145" t="str">
        <f t="array" ref="D958">IFNA(XLOOKUP(C958,'👥 Daftar Nama Pasien'!$B$6:$B1181,'👥 Daftar Nama Pasien'!$D$6:$D1181),"")</f>
        <v/>
      </c>
      <c r="E958" s="145" t="str">
        <f t="array" ref="E958">XLOOKUP(C958,'⬇️ PEMASUKAN'!$I$5:$I1181,'⬇️ PEMASUKAN'!$K$5:$K1181,,0,-1)</f>
        <v/>
      </c>
      <c r="F958" s="145" t="str">
        <f t="shared" si="2"/>
        <v/>
      </c>
      <c r="G958" s="145" t="str">
        <f t="shared" si="3"/>
        <v/>
      </c>
      <c r="H958" s="145"/>
      <c r="I958" s="145"/>
      <c r="J958" s="145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</row>
    <row r="959" ht="22.5" customHeight="1">
      <c r="A959" s="145"/>
      <c r="B959" s="145" t="str">
        <f t="shared" si="1"/>
        <v/>
      </c>
      <c r="C959" s="145"/>
      <c r="D959" s="145" t="str">
        <f t="array" ref="D959">IFNA(XLOOKUP(C959,'👥 Daftar Nama Pasien'!$B$6:$B1181,'👥 Daftar Nama Pasien'!$D$6:$D1181),"")</f>
        <v/>
      </c>
      <c r="E959" s="145" t="str">
        <f t="array" ref="E959">XLOOKUP(C959,'⬇️ PEMASUKAN'!$I$5:$I1181,'⬇️ PEMASUKAN'!$K$5:$K1181,,0,-1)</f>
        <v/>
      </c>
      <c r="F959" s="145" t="str">
        <f t="shared" si="2"/>
        <v/>
      </c>
      <c r="G959" s="145" t="str">
        <f t="shared" si="3"/>
        <v/>
      </c>
      <c r="H959" s="145"/>
      <c r="I959" s="145"/>
      <c r="J959" s="145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</row>
    <row r="960" ht="22.5" customHeight="1">
      <c r="A960" s="145"/>
      <c r="B960" s="145" t="str">
        <f t="shared" si="1"/>
        <v/>
      </c>
      <c r="C960" s="145"/>
      <c r="D960" s="145" t="str">
        <f t="array" ref="D960">IFNA(XLOOKUP(C960,'👥 Daftar Nama Pasien'!$B$6:$B1181,'👥 Daftar Nama Pasien'!$D$6:$D1181),"")</f>
        <v/>
      </c>
      <c r="E960" s="145" t="str">
        <f t="array" ref="E960">XLOOKUP(C960,'⬇️ PEMASUKAN'!$I$5:$I1181,'⬇️ PEMASUKAN'!$K$5:$K1181,,0,-1)</f>
        <v/>
      </c>
      <c r="F960" s="145" t="str">
        <f t="shared" si="2"/>
        <v/>
      </c>
      <c r="G960" s="145" t="str">
        <f t="shared" si="3"/>
        <v/>
      </c>
      <c r="H960" s="145"/>
      <c r="I960" s="145"/>
      <c r="J960" s="145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</row>
    <row r="961" ht="22.5" customHeight="1">
      <c r="A961" s="145"/>
      <c r="B961" s="145" t="str">
        <f t="shared" si="1"/>
        <v/>
      </c>
      <c r="C961" s="145"/>
      <c r="D961" s="145" t="str">
        <f t="array" ref="D961">IFNA(XLOOKUP(C961,'👥 Daftar Nama Pasien'!$B$6:$B1181,'👥 Daftar Nama Pasien'!$D$6:$D1181),"")</f>
        <v/>
      </c>
      <c r="E961" s="145" t="str">
        <f t="array" ref="E961">XLOOKUP(C961,'⬇️ PEMASUKAN'!$I$5:$I1181,'⬇️ PEMASUKAN'!$K$5:$K1181,,0,-1)</f>
        <v/>
      </c>
      <c r="F961" s="145" t="str">
        <f t="shared" si="2"/>
        <v/>
      </c>
      <c r="G961" s="145" t="str">
        <f t="shared" si="3"/>
        <v/>
      </c>
      <c r="H961" s="145"/>
      <c r="I961" s="145"/>
      <c r="J961" s="145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</row>
    <row r="962" ht="22.5" customHeight="1">
      <c r="A962" s="145"/>
      <c r="B962" s="145" t="str">
        <f t="shared" si="1"/>
        <v/>
      </c>
      <c r="C962" s="145"/>
      <c r="D962" s="145" t="str">
        <f t="array" ref="D962">IFNA(XLOOKUP(C962,'👥 Daftar Nama Pasien'!$B$6:$B1181,'👥 Daftar Nama Pasien'!$D$6:$D1181),"")</f>
        <v/>
      </c>
      <c r="E962" s="145" t="str">
        <f t="array" ref="E962">XLOOKUP(C962,'⬇️ PEMASUKAN'!$I$5:$I1181,'⬇️ PEMASUKAN'!$K$5:$K1181,,0,-1)</f>
        <v/>
      </c>
      <c r="F962" s="145" t="str">
        <f t="shared" si="2"/>
        <v/>
      </c>
      <c r="G962" s="145" t="str">
        <f t="shared" si="3"/>
        <v/>
      </c>
      <c r="H962" s="145"/>
      <c r="I962" s="145"/>
      <c r="J962" s="145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</row>
    <row r="963" ht="22.5" customHeight="1">
      <c r="A963" s="145"/>
      <c r="B963" s="145" t="str">
        <f t="shared" si="1"/>
        <v/>
      </c>
      <c r="C963" s="145"/>
      <c r="D963" s="145" t="str">
        <f t="array" ref="D963">IFNA(XLOOKUP(C963,'👥 Daftar Nama Pasien'!$B$6:$B1181,'👥 Daftar Nama Pasien'!$D$6:$D1181),"")</f>
        <v/>
      </c>
      <c r="E963" s="145" t="str">
        <f t="array" ref="E963">XLOOKUP(C963,'⬇️ PEMASUKAN'!$I$5:$I1181,'⬇️ PEMASUKAN'!$K$5:$K1181,,0,-1)</f>
        <v/>
      </c>
      <c r="F963" s="145" t="str">
        <f t="shared" si="2"/>
        <v/>
      </c>
      <c r="G963" s="145" t="str">
        <f t="shared" si="3"/>
        <v/>
      </c>
      <c r="H963" s="145"/>
      <c r="I963" s="145"/>
      <c r="J963" s="145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</row>
    <row r="964" ht="22.5" customHeight="1">
      <c r="A964" s="145"/>
      <c r="B964" s="145" t="str">
        <f t="shared" si="1"/>
        <v/>
      </c>
      <c r="C964" s="145"/>
      <c r="D964" s="145" t="str">
        <f t="array" ref="D964">IFNA(XLOOKUP(C964,'👥 Daftar Nama Pasien'!$B$6:$B1181,'👥 Daftar Nama Pasien'!$D$6:$D1181),"")</f>
        <v/>
      </c>
      <c r="E964" s="145" t="str">
        <f t="array" ref="E964">XLOOKUP(C964,'⬇️ PEMASUKAN'!$I$5:$I1181,'⬇️ PEMASUKAN'!$K$5:$K1181,,0,-1)</f>
        <v/>
      </c>
      <c r="F964" s="145" t="str">
        <f t="shared" si="2"/>
        <v/>
      </c>
      <c r="G964" s="145" t="str">
        <f t="shared" si="3"/>
        <v/>
      </c>
      <c r="H964" s="145"/>
      <c r="I964" s="145"/>
      <c r="J964" s="145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</row>
    <row r="965" ht="22.5" customHeight="1">
      <c r="A965" s="145"/>
      <c r="B965" s="145" t="str">
        <f t="shared" si="1"/>
        <v/>
      </c>
      <c r="C965" s="145"/>
      <c r="D965" s="145" t="str">
        <f t="array" ref="D965">IFNA(XLOOKUP(C965,'👥 Daftar Nama Pasien'!$B$6:$B1181,'👥 Daftar Nama Pasien'!$D$6:$D1181),"")</f>
        <v/>
      </c>
      <c r="E965" s="145" t="str">
        <f t="array" ref="E965">XLOOKUP(C965,'⬇️ PEMASUKAN'!$I$5:$I1181,'⬇️ PEMASUKAN'!$K$5:$K1181,,0,-1)</f>
        <v/>
      </c>
      <c r="F965" s="145" t="str">
        <f t="shared" si="2"/>
        <v/>
      </c>
      <c r="G965" s="145" t="str">
        <f t="shared" si="3"/>
        <v/>
      </c>
      <c r="H965" s="145"/>
      <c r="I965" s="145"/>
      <c r="J965" s="145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</row>
    <row r="966" ht="22.5" customHeight="1">
      <c r="A966" s="145"/>
      <c r="B966" s="145" t="str">
        <f t="shared" si="1"/>
        <v/>
      </c>
      <c r="C966" s="145"/>
      <c r="D966" s="145" t="str">
        <f t="array" ref="D966">IFNA(XLOOKUP(C966,'👥 Daftar Nama Pasien'!$B$6:$B1181,'👥 Daftar Nama Pasien'!$D$6:$D1181),"")</f>
        <v/>
      </c>
      <c r="E966" s="145" t="str">
        <f t="array" ref="E966">XLOOKUP(C966,'⬇️ PEMASUKAN'!$I$5:$I1181,'⬇️ PEMASUKAN'!$K$5:$K1181,,0,-1)</f>
        <v/>
      </c>
      <c r="F966" s="145" t="str">
        <f t="shared" si="2"/>
        <v/>
      </c>
      <c r="G966" s="145" t="str">
        <f t="shared" si="3"/>
        <v/>
      </c>
      <c r="H966" s="145"/>
      <c r="I966" s="145"/>
      <c r="J966" s="145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</row>
    <row r="967" ht="22.5" customHeight="1">
      <c r="A967" s="145"/>
      <c r="B967" s="145" t="str">
        <f t="shared" si="1"/>
        <v/>
      </c>
      <c r="C967" s="145"/>
      <c r="D967" s="145" t="str">
        <f t="array" ref="D967">IFNA(XLOOKUP(C967,'👥 Daftar Nama Pasien'!$B$6:$B1181,'👥 Daftar Nama Pasien'!$D$6:$D1181),"")</f>
        <v/>
      </c>
      <c r="E967" s="145" t="str">
        <f t="array" ref="E967">XLOOKUP(C967,'⬇️ PEMASUKAN'!$I$5:$I1181,'⬇️ PEMASUKAN'!$K$5:$K1181,,0,-1)</f>
        <v/>
      </c>
      <c r="F967" s="145" t="str">
        <f t="shared" si="2"/>
        <v/>
      </c>
      <c r="G967" s="145" t="str">
        <f t="shared" si="3"/>
        <v/>
      </c>
      <c r="H967" s="145"/>
      <c r="I967" s="145"/>
      <c r="J967" s="145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</row>
    <row r="968" ht="22.5" customHeight="1">
      <c r="A968" s="145"/>
      <c r="B968" s="145" t="str">
        <f t="shared" si="1"/>
        <v/>
      </c>
      <c r="C968" s="145"/>
      <c r="D968" s="145" t="str">
        <f t="array" ref="D968">IFNA(XLOOKUP(C968,'👥 Daftar Nama Pasien'!$B$6:$B1181,'👥 Daftar Nama Pasien'!$D$6:$D1181),"")</f>
        <v/>
      </c>
      <c r="E968" s="145" t="str">
        <f t="array" ref="E968">XLOOKUP(C968,'⬇️ PEMASUKAN'!$I$5:$I1181,'⬇️ PEMASUKAN'!$K$5:$K1181,,0,-1)</f>
        <v/>
      </c>
      <c r="F968" s="145" t="str">
        <f t="shared" si="2"/>
        <v/>
      </c>
      <c r="G968" s="145" t="str">
        <f t="shared" si="3"/>
        <v/>
      </c>
      <c r="H968" s="145"/>
      <c r="I968" s="145"/>
      <c r="J968" s="145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</row>
    <row r="969" ht="22.5" customHeight="1">
      <c r="A969" s="145"/>
      <c r="B969" s="145" t="str">
        <f t="shared" si="1"/>
        <v/>
      </c>
      <c r="C969" s="145"/>
      <c r="D969" s="145" t="str">
        <f t="array" ref="D969">IFNA(XLOOKUP(C969,'👥 Daftar Nama Pasien'!$B$6:$B1181,'👥 Daftar Nama Pasien'!$D$6:$D1181),"")</f>
        <v/>
      </c>
      <c r="E969" s="145" t="str">
        <f t="array" ref="E969">XLOOKUP(C969,'⬇️ PEMASUKAN'!$I$5:$I1181,'⬇️ PEMASUKAN'!$K$5:$K1181,,0,-1)</f>
        <v/>
      </c>
      <c r="F969" s="145" t="str">
        <f t="shared" si="2"/>
        <v/>
      </c>
      <c r="G969" s="145" t="str">
        <f t="shared" si="3"/>
        <v/>
      </c>
      <c r="H969" s="145"/>
      <c r="I969" s="145"/>
      <c r="J969" s="145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</row>
    <row r="970" ht="22.5" customHeight="1">
      <c r="A970" s="145"/>
      <c r="B970" s="145" t="str">
        <f t="shared" si="1"/>
        <v/>
      </c>
      <c r="C970" s="145"/>
      <c r="D970" s="145" t="str">
        <f t="array" ref="D970">IFNA(XLOOKUP(C970,'👥 Daftar Nama Pasien'!$B$6:$B1181,'👥 Daftar Nama Pasien'!$D$6:$D1181),"")</f>
        <v/>
      </c>
      <c r="E970" s="145" t="str">
        <f t="array" ref="E970">XLOOKUP(C970,'⬇️ PEMASUKAN'!$I$5:$I1181,'⬇️ PEMASUKAN'!$K$5:$K1181,,0,-1)</f>
        <v/>
      </c>
      <c r="F970" s="145" t="str">
        <f t="shared" si="2"/>
        <v/>
      </c>
      <c r="G970" s="145" t="str">
        <f t="shared" si="3"/>
        <v/>
      </c>
      <c r="H970" s="145"/>
      <c r="I970" s="145"/>
      <c r="J970" s="145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</row>
    <row r="971" ht="22.5" customHeight="1">
      <c r="A971" s="145"/>
      <c r="B971" s="145" t="str">
        <f t="shared" si="1"/>
        <v/>
      </c>
      <c r="C971" s="145"/>
      <c r="D971" s="145" t="str">
        <f t="array" ref="D971">IFNA(XLOOKUP(C971,'👥 Daftar Nama Pasien'!$B$6:$B1181,'👥 Daftar Nama Pasien'!$D$6:$D1181),"")</f>
        <v/>
      </c>
      <c r="E971" s="145" t="str">
        <f t="array" ref="E971">XLOOKUP(C971,'⬇️ PEMASUKAN'!$I$5:$I1181,'⬇️ PEMASUKAN'!$K$5:$K1181,,0,-1)</f>
        <v/>
      </c>
      <c r="F971" s="145" t="str">
        <f t="shared" si="2"/>
        <v/>
      </c>
      <c r="G971" s="145" t="str">
        <f t="shared" si="3"/>
        <v/>
      </c>
      <c r="H971" s="145"/>
      <c r="I971" s="145"/>
      <c r="J971" s="145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</row>
    <row r="972" ht="22.5" customHeight="1">
      <c r="A972" s="145"/>
      <c r="B972" s="145" t="str">
        <f t="shared" si="1"/>
        <v/>
      </c>
      <c r="C972" s="145"/>
      <c r="D972" s="145" t="str">
        <f t="array" ref="D972">IFNA(XLOOKUP(C972,'👥 Daftar Nama Pasien'!$B$6:$B1181,'👥 Daftar Nama Pasien'!$D$6:$D1181),"")</f>
        <v/>
      </c>
      <c r="E972" s="145" t="str">
        <f t="array" ref="E972">XLOOKUP(C972,'⬇️ PEMASUKAN'!$I$5:$I1181,'⬇️ PEMASUKAN'!$K$5:$K1181,,0,-1)</f>
        <v/>
      </c>
      <c r="F972" s="145" t="str">
        <f t="shared" si="2"/>
        <v/>
      </c>
      <c r="G972" s="145" t="str">
        <f t="shared" si="3"/>
        <v/>
      </c>
      <c r="H972" s="145"/>
      <c r="I972" s="145"/>
      <c r="J972" s="145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</row>
    <row r="973" ht="22.5" customHeight="1">
      <c r="A973" s="145"/>
      <c r="B973" s="145" t="str">
        <f t="shared" si="1"/>
        <v/>
      </c>
      <c r="C973" s="145"/>
      <c r="D973" s="145" t="str">
        <f t="array" ref="D973">IFNA(XLOOKUP(C973,'👥 Daftar Nama Pasien'!$B$6:$B1181,'👥 Daftar Nama Pasien'!$D$6:$D1181),"")</f>
        <v/>
      </c>
      <c r="E973" s="145" t="str">
        <f t="array" ref="E973">XLOOKUP(C973,'⬇️ PEMASUKAN'!$I$5:$I1181,'⬇️ PEMASUKAN'!$K$5:$K1181,,0,-1)</f>
        <v/>
      </c>
      <c r="F973" s="145" t="str">
        <f t="shared" si="2"/>
        <v/>
      </c>
      <c r="G973" s="145" t="str">
        <f t="shared" si="3"/>
        <v/>
      </c>
      <c r="H973" s="145"/>
      <c r="I973" s="145"/>
      <c r="J973" s="145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</row>
    <row r="974" ht="22.5" customHeight="1">
      <c r="A974" s="145"/>
      <c r="B974" s="145" t="str">
        <f t="shared" si="1"/>
        <v/>
      </c>
      <c r="C974" s="145"/>
      <c r="D974" s="145" t="str">
        <f t="array" ref="D974">IFNA(XLOOKUP(C974,'👥 Daftar Nama Pasien'!$B$6:$B1181,'👥 Daftar Nama Pasien'!$D$6:$D1181),"")</f>
        <v/>
      </c>
      <c r="E974" s="145" t="str">
        <f t="array" ref="E974">XLOOKUP(C974,'⬇️ PEMASUKAN'!$I$5:$I1181,'⬇️ PEMASUKAN'!$K$5:$K1181,,0,-1)</f>
        <v/>
      </c>
      <c r="F974" s="145" t="str">
        <f t="shared" si="2"/>
        <v/>
      </c>
      <c r="G974" s="145" t="str">
        <f t="shared" si="3"/>
        <v/>
      </c>
      <c r="H974" s="145"/>
      <c r="I974" s="145"/>
      <c r="J974" s="145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</row>
    <row r="975" ht="22.5" customHeight="1">
      <c r="A975" s="145"/>
      <c r="B975" s="145" t="str">
        <f t="shared" si="1"/>
        <v/>
      </c>
      <c r="C975" s="145"/>
      <c r="D975" s="145" t="str">
        <f t="array" ref="D975">IFNA(XLOOKUP(C975,'👥 Daftar Nama Pasien'!$B$6:$B1181,'👥 Daftar Nama Pasien'!$D$6:$D1181),"")</f>
        <v/>
      </c>
      <c r="E975" s="145" t="str">
        <f t="array" ref="E975">XLOOKUP(C975,'⬇️ PEMASUKAN'!$I$5:$I1181,'⬇️ PEMASUKAN'!$K$5:$K1181,,0,-1)</f>
        <v/>
      </c>
      <c r="F975" s="145" t="str">
        <f t="shared" si="2"/>
        <v/>
      </c>
      <c r="G975" s="145" t="str">
        <f t="shared" si="3"/>
        <v/>
      </c>
      <c r="H975" s="145"/>
      <c r="I975" s="145"/>
      <c r="J975" s="145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</row>
    <row r="976" ht="22.5" customHeight="1">
      <c r="A976" s="145"/>
      <c r="B976" s="145" t="str">
        <f t="shared" si="1"/>
        <v/>
      </c>
      <c r="C976" s="145"/>
      <c r="D976" s="145" t="str">
        <f t="array" ref="D976">IFNA(XLOOKUP(C976,'👥 Daftar Nama Pasien'!$B$6:$B1181,'👥 Daftar Nama Pasien'!$D$6:$D1181),"")</f>
        <v/>
      </c>
      <c r="E976" s="145" t="str">
        <f t="array" ref="E976">XLOOKUP(C976,'⬇️ PEMASUKAN'!$I$5:$I1181,'⬇️ PEMASUKAN'!$K$5:$K1181,,0,-1)</f>
        <v/>
      </c>
      <c r="F976" s="145" t="str">
        <f t="shared" si="2"/>
        <v/>
      </c>
      <c r="G976" s="145" t="str">
        <f t="shared" si="3"/>
        <v/>
      </c>
      <c r="H976" s="145"/>
      <c r="I976" s="145"/>
      <c r="J976" s="145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</row>
    <row r="977" ht="22.5" customHeight="1">
      <c r="A977" s="145"/>
      <c r="B977" s="145" t="str">
        <f t="shared" si="1"/>
        <v/>
      </c>
      <c r="C977" s="145"/>
      <c r="D977" s="145" t="str">
        <f t="array" ref="D977">IFNA(XLOOKUP(C977,'👥 Daftar Nama Pasien'!$B$6:$B1181,'👥 Daftar Nama Pasien'!$D$6:$D1181),"")</f>
        <v/>
      </c>
      <c r="E977" s="145" t="str">
        <f t="array" ref="E977">XLOOKUP(C977,'⬇️ PEMASUKAN'!$I$5:$I1181,'⬇️ PEMASUKAN'!$K$5:$K1181,,0,-1)</f>
        <v/>
      </c>
      <c r="F977" s="145" t="str">
        <f t="shared" si="2"/>
        <v/>
      </c>
      <c r="G977" s="145" t="str">
        <f t="shared" si="3"/>
        <v/>
      </c>
      <c r="H977" s="145"/>
      <c r="I977" s="145"/>
      <c r="J977" s="145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</row>
    <row r="978" ht="22.5" customHeight="1">
      <c r="A978" s="145"/>
      <c r="B978" s="145" t="str">
        <f t="shared" si="1"/>
        <v/>
      </c>
      <c r="C978" s="145"/>
      <c r="D978" s="145" t="str">
        <f t="array" ref="D978">IFNA(XLOOKUP(C978,'👥 Daftar Nama Pasien'!$B$6:$B1181,'👥 Daftar Nama Pasien'!$D$6:$D1181),"")</f>
        <v/>
      </c>
      <c r="E978" s="145" t="str">
        <f t="array" ref="E978">XLOOKUP(C978,'⬇️ PEMASUKAN'!$I$5:$I1181,'⬇️ PEMASUKAN'!$K$5:$K1181,,0,-1)</f>
        <v/>
      </c>
      <c r="F978" s="145" t="str">
        <f t="shared" si="2"/>
        <v/>
      </c>
      <c r="G978" s="145" t="str">
        <f t="shared" si="3"/>
        <v/>
      </c>
      <c r="H978" s="145"/>
      <c r="I978" s="145"/>
      <c r="J978" s="145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</row>
    <row r="979" ht="22.5" customHeight="1">
      <c r="A979" s="145"/>
      <c r="B979" s="145" t="str">
        <f t="shared" si="1"/>
        <v/>
      </c>
      <c r="C979" s="145"/>
      <c r="D979" s="145" t="str">
        <f t="array" ref="D979">IFNA(XLOOKUP(C979,'👥 Daftar Nama Pasien'!$B$6:$B1181,'👥 Daftar Nama Pasien'!$D$6:$D1181),"")</f>
        <v/>
      </c>
      <c r="E979" s="145" t="str">
        <f t="array" ref="E979">XLOOKUP(C979,'⬇️ PEMASUKAN'!$I$5:$I1181,'⬇️ PEMASUKAN'!$K$5:$K1181,,0,-1)</f>
        <v/>
      </c>
      <c r="F979" s="145" t="str">
        <f t="shared" si="2"/>
        <v/>
      </c>
      <c r="G979" s="145" t="str">
        <f t="shared" si="3"/>
        <v/>
      </c>
      <c r="H979" s="145"/>
      <c r="I979" s="145"/>
      <c r="J979" s="145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</row>
    <row r="980" ht="22.5" customHeight="1">
      <c r="A980" s="145"/>
      <c r="B980" s="145" t="str">
        <f t="shared" si="1"/>
        <v/>
      </c>
      <c r="C980" s="145"/>
      <c r="D980" s="145" t="str">
        <f t="array" ref="D980">IFNA(XLOOKUP(C980,'👥 Daftar Nama Pasien'!$B$6:$B1181,'👥 Daftar Nama Pasien'!$D$6:$D1181),"")</f>
        <v/>
      </c>
      <c r="E980" s="145" t="str">
        <f t="array" ref="E980">XLOOKUP(C980,'⬇️ PEMASUKAN'!$I$5:$I1181,'⬇️ PEMASUKAN'!$K$5:$K1181,,0,-1)</f>
        <v/>
      </c>
      <c r="F980" s="145" t="str">
        <f t="shared" si="2"/>
        <v/>
      </c>
      <c r="G980" s="145" t="str">
        <f t="shared" si="3"/>
        <v/>
      </c>
      <c r="H980" s="145"/>
      <c r="I980" s="145"/>
      <c r="J980" s="145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</row>
    <row r="981" ht="22.5" customHeight="1">
      <c r="A981" s="145"/>
      <c r="B981" s="145" t="str">
        <f t="shared" si="1"/>
        <v/>
      </c>
      <c r="C981" s="145"/>
      <c r="D981" s="145" t="str">
        <f t="array" ref="D981">IFNA(XLOOKUP(C981,'👥 Daftar Nama Pasien'!$B$6:$B1181,'👥 Daftar Nama Pasien'!$D$6:$D1181),"")</f>
        <v/>
      </c>
      <c r="E981" s="145" t="str">
        <f t="array" ref="E981">XLOOKUP(C981,'⬇️ PEMASUKAN'!$I$5:$I1181,'⬇️ PEMASUKAN'!$K$5:$K1181,,0,-1)</f>
        <v/>
      </c>
      <c r="F981" s="145" t="str">
        <f t="shared" si="2"/>
        <v/>
      </c>
      <c r="G981" s="145" t="str">
        <f t="shared" si="3"/>
        <v/>
      </c>
      <c r="H981" s="145"/>
      <c r="I981" s="145"/>
      <c r="J981" s="145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</row>
    <row r="982" ht="22.5" customHeight="1">
      <c r="A982" s="145"/>
      <c r="B982" s="145" t="str">
        <f t="shared" si="1"/>
        <v/>
      </c>
      <c r="C982" s="145"/>
      <c r="D982" s="145" t="str">
        <f t="array" ref="D982">IFNA(XLOOKUP(C982,'👥 Daftar Nama Pasien'!$B$6:$B1181,'👥 Daftar Nama Pasien'!$D$6:$D1181),"")</f>
        <v/>
      </c>
      <c r="E982" s="145" t="str">
        <f t="array" ref="E982">XLOOKUP(C982,'⬇️ PEMASUKAN'!$I$5:$I1181,'⬇️ PEMASUKAN'!$K$5:$K1181,,0,-1)</f>
        <v/>
      </c>
      <c r="F982" s="145" t="str">
        <f t="shared" si="2"/>
        <v/>
      </c>
      <c r="G982" s="145" t="str">
        <f t="shared" si="3"/>
        <v/>
      </c>
      <c r="H982" s="145"/>
      <c r="I982" s="145"/>
      <c r="J982" s="145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</row>
    <row r="983" ht="22.5" customHeight="1">
      <c r="A983" s="145"/>
      <c r="B983" s="145" t="str">
        <f t="shared" si="1"/>
        <v/>
      </c>
      <c r="C983" s="145"/>
      <c r="D983" s="145" t="str">
        <f t="array" ref="D983">IFNA(XLOOKUP(C983,'👥 Daftar Nama Pasien'!$B$6:$B1181,'👥 Daftar Nama Pasien'!$D$6:$D1181),"")</f>
        <v/>
      </c>
      <c r="E983" s="145" t="str">
        <f t="array" ref="E983">XLOOKUP(C983,'⬇️ PEMASUKAN'!$I$5:$I1181,'⬇️ PEMASUKAN'!$K$5:$K1181,,0,-1)</f>
        <v/>
      </c>
      <c r="F983" s="145" t="str">
        <f t="shared" si="2"/>
        <v/>
      </c>
      <c r="G983" s="145" t="str">
        <f t="shared" si="3"/>
        <v/>
      </c>
      <c r="H983" s="145"/>
      <c r="I983" s="145"/>
      <c r="J983" s="145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</row>
    <row r="984" ht="22.5" customHeight="1">
      <c r="A984" s="145"/>
      <c r="B984" s="145" t="str">
        <f t="shared" si="1"/>
        <v/>
      </c>
      <c r="C984" s="145"/>
      <c r="D984" s="145" t="str">
        <f t="array" ref="D984">IFNA(XLOOKUP(C984,'👥 Daftar Nama Pasien'!$B$6:$B1181,'👥 Daftar Nama Pasien'!$D$6:$D1181),"")</f>
        <v/>
      </c>
      <c r="E984" s="145" t="str">
        <f t="array" ref="E984">XLOOKUP(C984,'⬇️ PEMASUKAN'!$I$5:$I1181,'⬇️ PEMASUKAN'!$K$5:$K1181,,0,-1)</f>
        <v/>
      </c>
      <c r="F984" s="145" t="str">
        <f t="shared" si="2"/>
        <v/>
      </c>
      <c r="G984" s="145" t="str">
        <f t="shared" si="3"/>
        <v/>
      </c>
      <c r="H984" s="145"/>
      <c r="I984" s="145"/>
      <c r="J984" s="145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</row>
    <row r="985" ht="22.5" customHeight="1">
      <c r="A985" s="145"/>
      <c r="B985" s="145" t="str">
        <f t="shared" si="1"/>
        <v/>
      </c>
      <c r="C985" s="145"/>
      <c r="D985" s="145" t="str">
        <f t="array" ref="D985">IFNA(XLOOKUP(C985,'👥 Daftar Nama Pasien'!$B$6:$B1181,'👥 Daftar Nama Pasien'!$D$6:$D1181),"")</f>
        <v/>
      </c>
      <c r="E985" s="145" t="str">
        <f t="array" ref="E985">XLOOKUP(C985,'⬇️ PEMASUKAN'!$I$5:$I1181,'⬇️ PEMASUKAN'!$K$5:$K1181,,0,-1)</f>
        <v/>
      </c>
      <c r="F985" s="145" t="str">
        <f t="shared" si="2"/>
        <v/>
      </c>
      <c r="G985" s="145" t="str">
        <f t="shared" si="3"/>
        <v/>
      </c>
      <c r="H985" s="145"/>
      <c r="I985" s="145"/>
      <c r="J985" s="145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</row>
    <row r="986" ht="22.5" customHeight="1">
      <c r="A986" s="145"/>
      <c r="B986" s="145" t="str">
        <f t="shared" si="1"/>
        <v/>
      </c>
      <c r="C986" s="145"/>
      <c r="D986" s="145" t="str">
        <f t="array" ref="D986">IFNA(XLOOKUP(C986,'👥 Daftar Nama Pasien'!$B$6:$B1181,'👥 Daftar Nama Pasien'!$D$6:$D1181),"")</f>
        <v/>
      </c>
      <c r="E986" s="145" t="str">
        <f t="array" ref="E986">XLOOKUP(C986,'⬇️ PEMASUKAN'!$I$5:$I1181,'⬇️ PEMASUKAN'!$K$5:$K1181,,0,-1)</f>
        <v/>
      </c>
      <c r="F986" s="145" t="str">
        <f t="shared" si="2"/>
        <v/>
      </c>
      <c r="G986" s="145" t="str">
        <f t="shared" si="3"/>
        <v/>
      </c>
      <c r="H986" s="145"/>
      <c r="I986" s="145"/>
      <c r="J986" s="145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</row>
    <row r="987" ht="22.5" customHeight="1">
      <c r="A987" s="145"/>
      <c r="B987" s="145" t="str">
        <f t="shared" si="1"/>
        <v/>
      </c>
      <c r="C987" s="145"/>
      <c r="D987" s="145" t="str">
        <f t="array" ref="D987">IFNA(XLOOKUP(C987,'👥 Daftar Nama Pasien'!$B$6:$B1181,'👥 Daftar Nama Pasien'!$D$6:$D1181),"")</f>
        <v/>
      </c>
      <c r="E987" s="145" t="str">
        <f t="array" ref="E987">XLOOKUP(C987,'⬇️ PEMASUKAN'!$I$5:$I1181,'⬇️ PEMASUKAN'!$K$5:$K1181,,0,-1)</f>
        <v/>
      </c>
      <c r="F987" s="145" t="str">
        <f t="shared" si="2"/>
        <v/>
      </c>
      <c r="G987" s="145" t="str">
        <f t="shared" si="3"/>
        <v/>
      </c>
      <c r="H987" s="145"/>
      <c r="I987" s="145"/>
      <c r="J987" s="145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</row>
    <row r="988" ht="22.5" customHeight="1">
      <c r="A988" s="145"/>
      <c r="B988" s="145" t="str">
        <f t="shared" si="1"/>
        <v/>
      </c>
      <c r="C988" s="145"/>
      <c r="D988" s="145" t="str">
        <f t="array" ref="D988">IFNA(XLOOKUP(C988,'👥 Daftar Nama Pasien'!$B$6:$B1181,'👥 Daftar Nama Pasien'!$D$6:$D1181),"")</f>
        <v/>
      </c>
      <c r="E988" s="145" t="str">
        <f t="array" ref="E988">XLOOKUP(C988,'⬇️ PEMASUKAN'!$I$5:$I1181,'⬇️ PEMASUKAN'!$K$5:$K1181,,0,-1)</f>
        <v/>
      </c>
      <c r="F988" s="145" t="str">
        <f t="shared" si="2"/>
        <v/>
      </c>
      <c r="G988" s="145" t="str">
        <f t="shared" si="3"/>
        <v/>
      </c>
      <c r="H988" s="145"/>
      <c r="I988" s="145"/>
      <c r="J988" s="145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</row>
    <row r="989" ht="22.5" customHeight="1">
      <c r="A989" s="145"/>
      <c r="B989" s="145" t="str">
        <f t="shared" si="1"/>
        <v/>
      </c>
      <c r="C989" s="145"/>
      <c r="D989" s="145" t="str">
        <f t="array" ref="D989">IFNA(XLOOKUP(C989,'👥 Daftar Nama Pasien'!$B$6:$B1181,'👥 Daftar Nama Pasien'!$D$6:$D1181),"")</f>
        <v/>
      </c>
      <c r="E989" s="145" t="str">
        <f t="array" ref="E989">XLOOKUP(C989,'⬇️ PEMASUKAN'!$I$5:$I1181,'⬇️ PEMASUKAN'!$K$5:$K1181,,0,-1)</f>
        <v/>
      </c>
      <c r="F989" s="145" t="str">
        <f t="shared" si="2"/>
        <v/>
      </c>
      <c r="G989" s="145" t="str">
        <f t="shared" si="3"/>
        <v/>
      </c>
      <c r="H989" s="145"/>
      <c r="I989" s="145"/>
      <c r="J989" s="145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</row>
    <row r="990" ht="22.5" customHeight="1">
      <c r="A990" s="145"/>
      <c r="B990" s="145" t="str">
        <f t="shared" si="1"/>
        <v/>
      </c>
      <c r="C990" s="145"/>
      <c r="D990" s="145" t="str">
        <f t="array" ref="D990">IFNA(XLOOKUP(C990,'👥 Daftar Nama Pasien'!$B$6:$B1181,'👥 Daftar Nama Pasien'!$D$6:$D1181),"")</f>
        <v/>
      </c>
      <c r="E990" s="145" t="str">
        <f t="array" ref="E990">XLOOKUP(C990,'⬇️ PEMASUKAN'!$I$5:$I1181,'⬇️ PEMASUKAN'!$K$5:$K1181,,0,-1)</f>
        <v/>
      </c>
      <c r="F990" s="145" t="str">
        <f t="shared" si="2"/>
        <v/>
      </c>
      <c r="G990" s="145" t="str">
        <f t="shared" si="3"/>
        <v/>
      </c>
      <c r="H990" s="145"/>
      <c r="I990" s="145"/>
      <c r="J990" s="145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</row>
    <row r="991" ht="22.5" customHeight="1">
      <c r="A991" s="145"/>
      <c r="B991" s="145" t="str">
        <f t="shared" si="1"/>
        <v/>
      </c>
      <c r="C991" s="145"/>
      <c r="D991" s="145" t="str">
        <f t="array" ref="D991">IFNA(XLOOKUP(C991,'👥 Daftar Nama Pasien'!$B$6:$B1181,'👥 Daftar Nama Pasien'!$D$6:$D1181),"")</f>
        <v/>
      </c>
      <c r="E991" s="145" t="str">
        <f t="array" ref="E991">XLOOKUP(C991,'⬇️ PEMASUKAN'!$I$5:$I1181,'⬇️ PEMASUKAN'!$K$5:$K1181,,0,-1)</f>
        <v/>
      </c>
      <c r="F991" s="145" t="str">
        <f t="shared" si="2"/>
        <v/>
      </c>
      <c r="G991" s="145" t="str">
        <f t="shared" si="3"/>
        <v/>
      </c>
      <c r="H991" s="145"/>
      <c r="I991" s="145"/>
      <c r="J991" s="145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</row>
    <row r="992" ht="22.5" customHeight="1">
      <c r="A992" s="145"/>
      <c r="B992" s="145" t="str">
        <f t="shared" si="1"/>
        <v/>
      </c>
      <c r="C992" s="145"/>
      <c r="D992" s="145" t="str">
        <f t="array" ref="D992">IFNA(XLOOKUP(C992,'👥 Daftar Nama Pasien'!$B$6:$B1181,'👥 Daftar Nama Pasien'!$D$6:$D1181),"")</f>
        <v/>
      </c>
      <c r="E992" s="145" t="str">
        <f t="array" ref="E992">XLOOKUP(C992,'⬇️ PEMASUKAN'!$I$5:$I1181,'⬇️ PEMASUKAN'!$K$5:$K1181,,0,-1)</f>
        <v/>
      </c>
      <c r="F992" s="145" t="str">
        <f t="shared" si="2"/>
        <v/>
      </c>
      <c r="G992" s="145" t="str">
        <f t="shared" si="3"/>
        <v/>
      </c>
      <c r="H992" s="145"/>
      <c r="I992" s="145"/>
      <c r="J992" s="145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</row>
    <row r="993" ht="22.5" customHeight="1">
      <c r="A993" s="145"/>
      <c r="B993" s="145" t="str">
        <f t="shared" si="1"/>
        <v/>
      </c>
      <c r="C993" s="145"/>
      <c r="D993" s="145" t="str">
        <f t="array" ref="D993">IFNA(XLOOKUP(C993,'👥 Daftar Nama Pasien'!$B$6:$B1181,'👥 Daftar Nama Pasien'!$D$6:$D1181),"")</f>
        <v/>
      </c>
      <c r="E993" s="145" t="str">
        <f t="array" ref="E993">XLOOKUP(C993,'⬇️ PEMASUKAN'!$I$5:$I1181,'⬇️ PEMASUKAN'!$K$5:$K1181,,0,-1)</f>
        <v/>
      </c>
      <c r="F993" s="145" t="str">
        <f t="shared" si="2"/>
        <v/>
      </c>
      <c r="G993" s="145" t="str">
        <f t="shared" si="3"/>
        <v/>
      </c>
      <c r="H993" s="145"/>
      <c r="I993" s="145"/>
      <c r="J993" s="145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</row>
    <row r="994" ht="22.5" customHeight="1">
      <c r="A994" s="145"/>
      <c r="B994" s="145" t="str">
        <f t="shared" si="1"/>
        <v/>
      </c>
      <c r="C994" s="145"/>
      <c r="D994" s="145" t="str">
        <f t="array" ref="D994">IFNA(XLOOKUP(C994,'👥 Daftar Nama Pasien'!$B$6:$B1181,'👥 Daftar Nama Pasien'!$D$6:$D1181),"")</f>
        <v/>
      </c>
      <c r="E994" s="145" t="str">
        <f t="array" ref="E994">XLOOKUP(C994,'⬇️ PEMASUKAN'!$I$5:$I1181,'⬇️ PEMASUKAN'!$K$5:$K1181,,0,-1)</f>
        <v/>
      </c>
      <c r="F994" s="145" t="str">
        <f t="shared" si="2"/>
        <v/>
      </c>
      <c r="G994" s="145" t="str">
        <f t="shared" si="3"/>
        <v/>
      </c>
      <c r="H994" s="145"/>
      <c r="I994" s="145"/>
      <c r="J994" s="145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</row>
    <row r="995" ht="22.5" customHeight="1">
      <c r="A995" s="145"/>
      <c r="B995" s="145" t="str">
        <f t="shared" si="1"/>
        <v/>
      </c>
      <c r="C995" s="145"/>
      <c r="D995" s="145" t="str">
        <f t="array" ref="D995">IFNA(XLOOKUP(C995,'👥 Daftar Nama Pasien'!$B$6:$B1181,'👥 Daftar Nama Pasien'!$D$6:$D1181),"")</f>
        <v/>
      </c>
      <c r="E995" s="145" t="str">
        <f t="array" ref="E995">XLOOKUP(C995,'⬇️ PEMASUKAN'!$I$5:$I1181,'⬇️ PEMASUKAN'!$K$5:$K1181,,0,-1)</f>
        <v/>
      </c>
      <c r="F995" s="145" t="str">
        <f t="shared" si="2"/>
        <v/>
      </c>
      <c r="G995" s="145" t="str">
        <f t="shared" si="3"/>
        <v/>
      </c>
      <c r="H995" s="145"/>
      <c r="I995" s="145"/>
      <c r="J995" s="145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</row>
    <row r="996" ht="22.5" customHeight="1">
      <c r="A996" s="145"/>
      <c r="B996" s="145" t="str">
        <f t="shared" si="1"/>
        <v/>
      </c>
      <c r="C996" s="145"/>
      <c r="D996" s="145" t="str">
        <f t="array" ref="D996">IFNA(XLOOKUP(C996,'👥 Daftar Nama Pasien'!$B$6:$B1181,'👥 Daftar Nama Pasien'!$D$6:$D1181),"")</f>
        <v/>
      </c>
      <c r="E996" s="145" t="str">
        <f t="array" ref="E996">XLOOKUP(C996,'⬇️ PEMASUKAN'!$I$5:$I1181,'⬇️ PEMASUKAN'!$K$5:$K1181,,0,-1)</f>
        <v/>
      </c>
      <c r="F996" s="145" t="str">
        <f t="shared" si="2"/>
        <v/>
      </c>
      <c r="G996" s="145" t="str">
        <f t="shared" si="3"/>
        <v/>
      </c>
      <c r="H996" s="145"/>
      <c r="I996" s="145"/>
      <c r="J996" s="145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</row>
    <row r="997" ht="22.5" customHeight="1">
      <c r="A997" s="145"/>
      <c r="B997" s="145" t="str">
        <f t="shared" si="1"/>
        <v/>
      </c>
      <c r="C997" s="145"/>
      <c r="D997" s="145" t="str">
        <f t="array" ref="D997">IFNA(XLOOKUP(C997,'👥 Daftar Nama Pasien'!$B$6:$B1181,'👥 Daftar Nama Pasien'!$D$6:$D1181),"")</f>
        <v/>
      </c>
      <c r="E997" s="145" t="str">
        <f t="array" ref="E997">XLOOKUP(C997,'⬇️ PEMASUKAN'!$I$5:$I1181,'⬇️ PEMASUKAN'!$K$5:$K1181,,0,-1)</f>
        <v/>
      </c>
      <c r="F997" s="145" t="str">
        <f t="shared" si="2"/>
        <v/>
      </c>
      <c r="G997" s="145" t="str">
        <f t="shared" si="3"/>
        <v/>
      </c>
      <c r="H997" s="145"/>
      <c r="I997" s="145"/>
      <c r="J997" s="145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</row>
    <row r="998" ht="22.5" customHeight="1">
      <c r="A998" s="145"/>
      <c r="B998" s="145" t="str">
        <f t="shared" si="1"/>
        <v/>
      </c>
      <c r="C998" s="145"/>
      <c r="D998" s="145" t="str">
        <f t="array" ref="D998">IFNA(XLOOKUP(C998,'👥 Daftar Nama Pasien'!$B$6:$B1181,'👥 Daftar Nama Pasien'!$D$6:$D1181),"")</f>
        <v/>
      </c>
      <c r="E998" s="145" t="str">
        <f t="array" ref="E998">XLOOKUP(C998,'⬇️ PEMASUKAN'!$I$5:$I1181,'⬇️ PEMASUKAN'!$K$5:$K1181,,0,-1)</f>
        <v/>
      </c>
      <c r="F998" s="145" t="str">
        <f t="shared" si="2"/>
        <v/>
      </c>
      <c r="G998" s="145" t="str">
        <f t="shared" si="3"/>
        <v/>
      </c>
      <c r="H998" s="145"/>
      <c r="I998" s="145"/>
      <c r="J998" s="145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</row>
    <row r="999" ht="22.5" customHeight="1">
      <c r="A999" s="145"/>
      <c r="B999" s="145" t="str">
        <f t="shared" si="1"/>
        <v/>
      </c>
      <c r="C999" s="145"/>
      <c r="D999" s="145" t="str">
        <f t="array" ref="D999">IFNA(XLOOKUP(C999,'👥 Daftar Nama Pasien'!$B$6:$B1181,'👥 Daftar Nama Pasien'!$D$6:$D1181),"")</f>
        <v/>
      </c>
      <c r="E999" s="145" t="str">
        <f t="array" ref="E999">XLOOKUP(C999,'⬇️ PEMASUKAN'!$I$5:$I1181,'⬇️ PEMASUKAN'!$K$5:$K1181,,0,-1)</f>
        <v/>
      </c>
      <c r="F999" s="145" t="str">
        <f t="shared" si="2"/>
        <v/>
      </c>
      <c r="G999" s="145" t="str">
        <f t="shared" si="3"/>
        <v/>
      </c>
      <c r="H999" s="145"/>
      <c r="I999" s="145"/>
      <c r="J999" s="145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</row>
    <row r="1000" ht="22.5" customHeight="1">
      <c r="A1000" s="145"/>
      <c r="B1000" s="145" t="str">
        <f t="shared" si="1"/>
        <v/>
      </c>
      <c r="C1000" s="145"/>
      <c r="D1000" s="145" t="str">
        <f t="array" ref="D1000">IFNA(XLOOKUP(C1000,'👥 Daftar Nama Pasien'!$B$6:$B1181,'👥 Daftar Nama Pasien'!$D$6:$D1181),"")</f>
        <v/>
      </c>
      <c r="E1000" s="145" t="str">
        <f t="array" ref="E1000">XLOOKUP(C1000,'⬇️ PEMASUKAN'!$I$5:$I1181,'⬇️ PEMASUKAN'!$K$5:$K1181,,0,-1)</f>
        <v/>
      </c>
      <c r="F1000" s="145" t="str">
        <f t="shared" si="2"/>
        <v/>
      </c>
      <c r="G1000" s="145" t="str">
        <f t="shared" si="3"/>
        <v/>
      </c>
      <c r="H1000" s="145"/>
      <c r="I1000" s="145"/>
      <c r="J1000" s="145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</row>
    <row r="1001" ht="22.5" customHeight="1">
      <c r="A1001" s="145"/>
      <c r="B1001" s="145" t="str">
        <f t="shared" si="1"/>
        <v/>
      </c>
      <c r="C1001" s="145"/>
      <c r="D1001" s="145" t="str">
        <f t="array" ref="D1001">IFNA(XLOOKUP(C1001,'👥 Daftar Nama Pasien'!$B$6:$B1181,'👥 Daftar Nama Pasien'!$D$6:$D1181),"")</f>
        <v/>
      </c>
      <c r="E1001" s="145" t="str">
        <f t="array" ref="E1001">XLOOKUP(C1001,'⬇️ PEMASUKAN'!$I$5:$I1181,'⬇️ PEMASUKAN'!$K$5:$K1181,,0,-1)</f>
        <v/>
      </c>
      <c r="F1001" s="145" t="str">
        <f t="shared" si="2"/>
        <v/>
      </c>
      <c r="G1001" s="145" t="str">
        <f t="shared" si="3"/>
        <v/>
      </c>
      <c r="H1001" s="145"/>
      <c r="I1001" s="145"/>
      <c r="J1001" s="145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</row>
    <row r="1002" ht="22.5" customHeight="1">
      <c r="A1002" s="145"/>
      <c r="B1002" s="145" t="str">
        <f t="shared" si="1"/>
        <v/>
      </c>
      <c r="C1002" s="145"/>
      <c r="D1002" s="145" t="str">
        <f t="array" ref="D1002">IFNA(XLOOKUP(C1002,'👥 Daftar Nama Pasien'!$B$6:$B1181,'👥 Daftar Nama Pasien'!$D$6:$D1181),"")</f>
        <v/>
      </c>
      <c r="E1002" s="145" t="str">
        <f t="array" ref="E1002">XLOOKUP(C1002,'⬇️ PEMASUKAN'!$I$5:$I1181,'⬇️ PEMASUKAN'!$K$5:$K1181,,0,-1)</f>
        <v/>
      </c>
      <c r="F1002" s="145" t="str">
        <f t="shared" si="2"/>
        <v/>
      </c>
      <c r="G1002" s="145" t="str">
        <f t="shared" si="3"/>
        <v/>
      </c>
      <c r="H1002" s="145"/>
      <c r="I1002" s="145"/>
      <c r="J1002" s="145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</row>
    <row r="1003" ht="22.5" customHeight="1">
      <c r="A1003" s="145"/>
      <c r="B1003" s="145" t="str">
        <f t="shared" si="1"/>
        <v/>
      </c>
      <c r="C1003" s="145"/>
      <c r="D1003" s="145" t="str">
        <f t="array" ref="D1003">IFNA(XLOOKUP(C1003,'👥 Daftar Nama Pasien'!$B$6:$B1181,'👥 Daftar Nama Pasien'!$D$6:$D1181),"")</f>
        <v/>
      </c>
      <c r="E1003" s="145" t="str">
        <f t="array" ref="E1003">XLOOKUP(C1003,'⬇️ PEMASUKAN'!$I$5:$I1181,'⬇️ PEMASUKAN'!$K$5:$K1181,,0,-1)</f>
        <v/>
      </c>
      <c r="F1003" s="145" t="str">
        <f t="shared" si="2"/>
        <v/>
      </c>
      <c r="G1003" s="145" t="str">
        <f t="shared" si="3"/>
        <v/>
      </c>
      <c r="H1003" s="145"/>
      <c r="I1003" s="145"/>
      <c r="J1003" s="145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</row>
    <row r="1004" ht="22.5" customHeight="1">
      <c r="A1004" s="145"/>
      <c r="B1004" s="145" t="str">
        <f t="shared" si="1"/>
        <v/>
      </c>
      <c r="C1004" s="145"/>
      <c r="D1004" s="145" t="str">
        <f t="array" ref="D1004">IFNA(XLOOKUP(C1004,'👥 Daftar Nama Pasien'!$B$6:$B1181,'👥 Daftar Nama Pasien'!$D$6:$D1181),"")</f>
        <v/>
      </c>
      <c r="E1004" s="145" t="str">
        <f t="array" ref="E1004">XLOOKUP(C1004,'⬇️ PEMASUKAN'!$I$5:$I1181,'⬇️ PEMASUKAN'!$K$5:$K1181,,0,-1)</f>
        <v/>
      </c>
      <c r="F1004" s="145" t="str">
        <f t="shared" si="2"/>
        <v/>
      </c>
      <c r="G1004" s="145" t="str">
        <f t="shared" si="3"/>
        <v/>
      </c>
      <c r="H1004" s="145"/>
      <c r="I1004" s="145"/>
      <c r="J1004" s="145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</row>
    <row r="1005" ht="22.5" customHeight="1">
      <c r="A1005" s="145"/>
      <c r="B1005" s="145" t="str">
        <f t="shared" si="1"/>
        <v/>
      </c>
      <c r="C1005" s="145"/>
      <c r="D1005" s="145" t="str">
        <f t="array" ref="D1005">IFNA(XLOOKUP(C1005,'👥 Daftar Nama Pasien'!$B$6:$B1181,'👥 Daftar Nama Pasien'!$D$6:$D1181),"")</f>
        <v/>
      </c>
      <c r="E1005" s="145" t="str">
        <f t="array" ref="E1005">XLOOKUP(C1005,'⬇️ PEMASUKAN'!$I$5:$I1181,'⬇️ PEMASUKAN'!$K$5:$K1181,,0,-1)</f>
        <v/>
      </c>
      <c r="F1005" s="145" t="str">
        <f t="shared" si="2"/>
        <v/>
      </c>
      <c r="G1005" s="145" t="str">
        <f t="shared" si="3"/>
        <v/>
      </c>
      <c r="H1005" s="145"/>
      <c r="I1005" s="145"/>
      <c r="J1005" s="145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</row>
    <row r="1006" ht="22.5" customHeight="1">
      <c r="A1006" s="145"/>
      <c r="B1006" s="145" t="str">
        <f t="shared" si="1"/>
        <v/>
      </c>
      <c r="C1006" s="145"/>
      <c r="D1006" s="145" t="str">
        <f t="array" ref="D1006">IFNA(XLOOKUP(C1006,'👥 Daftar Nama Pasien'!$B$6:$B1181,'👥 Daftar Nama Pasien'!$D$6:$D1181),"")</f>
        <v/>
      </c>
      <c r="E1006" s="145" t="str">
        <f t="array" ref="E1006">XLOOKUP(C1006,'⬇️ PEMASUKAN'!$I$5:$I1181,'⬇️ PEMASUKAN'!$K$5:$K1181,,0,-1)</f>
        <v/>
      </c>
      <c r="F1006" s="145" t="str">
        <f t="shared" si="2"/>
        <v/>
      </c>
      <c r="G1006" s="145" t="str">
        <f t="shared" si="3"/>
        <v/>
      </c>
      <c r="H1006" s="145"/>
      <c r="I1006" s="145"/>
      <c r="J1006" s="145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</row>
    <row r="1007" ht="22.5" customHeight="1">
      <c r="A1007" s="145"/>
      <c r="B1007" s="145" t="str">
        <f t="shared" si="1"/>
        <v/>
      </c>
      <c r="C1007" s="145"/>
      <c r="D1007" s="145" t="str">
        <f t="array" ref="D1007">IFNA(XLOOKUP(C1007,'👥 Daftar Nama Pasien'!$B$6:$B1181,'👥 Daftar Nama Pasien'!$D$6:$D1181),"")</f>
        <v/>
      </c>
      <c r="E1007" s="145" t="str">
        <f t="array" ref="E1007">XLOOKUP(C1007,'⬇️ PEMASUKAN'!$I$5:$I1181,'⬇️ PEMASUKAN'!$K$5:$K1181,,0,-1)</f>
        <v/>
      </c>
      <c r="F1007" s="145" t="str">
        <f t="shared" si="2"/>
        <v/>
      </c>
      <c r="G1007" s="145" t="str">
        <f t="shared" si="3"/>
        <v/>
      </c>
      <c r="H1007" s="145"/>
      <c r="I1007" s="145"/>
      <c r="J1007" s="145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</row>
    <row r="1008" ht="22.5" customHeight="1">
      <c r="A1008" s="145"/>
      <c r="B1008" s="145" t="str">
        <f t="shared" si="1"/>
        <v/>
      </c>
      <c r="C1008" s="145"/>
      <c r="D1008" s="145" t="str">
        <f t="array" ref="D1008">IFNA(XLOOKUP(C1008,'👥 Daftar Nama Pasien'!$B$6:$B1181,'👥 Daftar Nama Pasien'!$D$6:$D1181),"")</f>
        <v/>
      </c>
      <c r="E1008" s="145" t="str">
        <f t="array" ref="E1008">XLOOKUP(C1008,'⬇️ PEMASUKAN'!$I$5:$I1181,'⬇️ PEMASUKAN'!$K$5:$K1181,,0,-1)</f>
        <v/>
      </c>
      <c r="F1008" s="145" t="str">
        <f t="shared" si="2"/>
        <v/>
      </c>
      <c r="G1008" s="145" t="str">
        <f t="shared" si="3"/>
        <v/>
      </c>
      <c r="H1008" s="145"/>
      <c r="I1008" s="145"/>
      <c r="J1008" s="145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</row>
    <row r="1009" ht="22.5" customHeight="1">
      <c r="A1009" s="145"/>
      <c r="B1009" s="145" t="str">
        <f t="shared" si="1"/>
        <v/>
      </c>
      <c r="C1009" s="145"/>
      <c r="D1009" s="145" t="str">
        <f t="array" ref="D1009">IFNA(XLOOKUP(C1009,'👥 Daftar Nama Pasien'!$B$6:$B1181,'👥 Daftar Nama Pasien'!$D$6:$D1181),"")</f>
        <v/>
      </c>
      <c r="E1009" s="145" t="str">
        <f t="array" ref="E1009">XLOOKUP(C1009,'⬇️ PEMASUKAN'!$I$5:$I1181,'⬇️ PEMASUKAN'!$K$5:$K1181,,0,-1)</f>
        <v/>
      </c>
      <c r="F1009" s="145" t="str">
        <f t="shared" si="2"/>
        <v/>
      </c>
      <c r="G1009" s="145" t="str">
        <f t="shared" si="3"/>
        <v/>
      </c>
      <c r="H1009" s="145"/>
      <c r="I1009" s="145"/>
      <c r="J1009" s="145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</row>
    <row r="1010" ht="22.5" customHeight="1">
      <c r="A1010" s="145"/>
      <c r="B1010" s="145" t="str">
        <f t="shared" si="1"/>
        <v/>
      </c>
      <c r="C1010" s="145"/>
      <c r="D1010" s="145" t="str">
        <f t="array" ref="D1010">IFNA(XLOOKUP(C1010,'👥 Daftar Nama Pasien'!$B$6:$B1181,'👥 Daftar Nama Pasien'!$D$6:$D1181),"")</f>
        <v/>
      </c>
      <c r="E1010" s="145" t="str">
        <f t="array" ref="E1010">XLOOKUP(C1010,'⬇️ PEMASUKAN'!$I$5:$I1181,'⬇️ PEMASUKAN'!$K$5:$K1181,,0,-1)</f>
        <v/>
      </c>
      <c r="F1010" s="145" t="str">
        <f t="shared" si="2"/>
        <v/>
      </c>
      <c r="G1010" s="145" t="str">
        <f t="shared" si="3"/>
        <v/>
      </c>
      <c r="H1010" s="145"/>
      <c r="I1010" s="145"/>
      <c r="J1010" s="145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</row>
    <row r="1011" ht="22.5" customHeight="1">
      <c r="A1011" s="145"/>
      <c r="B1011" s="145" t="str">
        <f t="shared" si="1"/>
        <v/>
      </c>
      <c r="C1011" s="145"/>
      <c r="D1011" s="145" t="str">
        <f t="array" ref="D1011">IFNA(XLOOKUP(C1011,'👥 Daftar Nama Pasien'!$B$6:$B1181,'👥 Daftar Nama Pasien'!$D$6:$D1181),"")</f>
        <v/>
      </c>
      <c r="E1011" s="145" t="str">
        <f t="array" ref="E1011">XLOOKUP(C1011,'⬇️ PEMASUKAN'!$I$5:$I1181,'⬇️ PEMASUKAN'!$K$5:$K1181,,0,-1)</f>
        <v/>
      </c>
      <c r="F1011" s="145" t="str">
        <f t="shared" si="2"/>
        <v/>
      </c>
      <c r="G1011" s="145" t="str">
        <f t="shared" si="3"/>
        <v/>
      </c>
      <c r="H1011" s="145"/>
      <c r="I1011" s="145"/>
      <c r="J1011" s="145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</row>
    <row r="1012" ht="22.5" customHeight="1">
      <c r="A1012" s="145"/>
      <c r="B1012" s="145" t="str">
        <f t="shared" si="1"/>
        <v/>
      </c>
      <c r="C1012" s="145"/>
      <c r="D1012" s="145" t="str">
        <f t="array" ref="D1012">IFNA(XLOOKUP(C1012,'👥 Daftar Nama Pasien'!$B$6:$B1181,'👥 Daftar Nama Pasien'!$D$6:$D1181),"")</f>
        <v/>
      </c>
      <c r="E1012" s="145" t="str">
        <f t="array" ref="E1012">XLOOKUP(C1012,'⬇️ PEMASUKAN'!$I$5:$I1181,'⬇️ PEMASUKAN'!$K$5:$K1181,,0,-1)</f>
        <v/>
      </c>
      <c r="F1012" s="145" t="str">
        <f t="shared" si="2"/>
        <v/>
      </c>
      <c r="G1012" s="145" t="str">
        <f t="shared" si="3"/>
        <v/>
      </c>
      <c r="H1012" s="145"/>
      <c r="I1012" s="145"/>
      <c r="J1012" s="145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</row>
    <row r="1013" ht="22.5" customHeight="1">
      <c r="A1013" s="145"/>
      <c r="B1013" s="145" t="str">
        <f t="shared" si="1"/>
        <v/>
      </c>
      <c r="C1013" s="145"/>
      <c r="D1013" s="145" t="str">
        <f t="array" ref="D1013">IFNA(XLOOKUP(C1013,'👥 Daftar Nama Pasien'!$B$6:$B1181,'👥 Daftar Nama Pasien'!$D$6:$D1181),"")</f>
        <v/>
      </c>
      <c r="E1013" s="145" t="str">
        <f t="array" ref="E1013">XLOOKUP(C1013,'⬇️ PEMASUKAN'!$I$5:$I1181,'⬇️ PEMASUKAN'!$K$5:$K1181,,0,-1)</f>
        <v/>
      </c>
      <c r="F1013" s="145" t="str">
        <f t="shared" si="2"/>
        <v/>
      </c>
      <c r="G1013" s="145" t="str">
        <f t="shared" si="3"/>
        <v/>
      </c>
      <c r="H1013" s="145"/>
      <c r="I1013" s="145"/>
      <c r="J1013" s="145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</row>
    <row r="1014" ht="22.5" customHeight="1">
      <c r="A1014" s="145"/>
      <c r="B1014" s="145" t="str">
        <f t="shared" si="1"/>
        <v/>
      </c>
      <c r="C1014" s="145"/>
      <c r="D1014" s="145" t="str">
        <f t="array" ref="D1014">IFNA(XLOOKUP(C1014,'👥 Daftar Nama Pasien'!$B$6:$B1181,'👥 Daftar Nama Pasien'!$D$6:$D1181),"")</f>
        <v/>
      </c>
      <c r="E1014" s="145" t="str">
        <f t="array" ref="E1014">XLOOKUP(C1014,'⬇️ PEMASUKAN'!$I$5:$I1181,'⬇️ PEMASUKAN'!$K$5:$K1181,,0,-1)</f>
        <v/>
      </c>
      <c r="F1014" s="145" t="str">
        <f t="shared" si="2"/>
        <v/>
      </c>
      <c r="G1014" s="145" t="str">
        <f t="shared" si="3"/>
        <v/>
      </c>
      <c r="H1014" s="145"/>
      <c r="I1014" s="145"/>
      <c r="J1014" s="145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</row>
    <row r="1015" ht="22.5" customHeight="1">
      <c r="A1015" s="145"/>
      <c r="B1015" s="145" t="str">
        <f t="shared" si="1"/>
        <v/>
      </c>
      <c r="C1015" s="145"/>
      <c r="D1015" s="145" t="str">
        <f t="array" ref="D1015">IFNA(XLOOKUP(C1015,'👥 Daftar Nama Pasien'!$B$6:$B1181,'👥 Daftar Nama Pasien'!$D$6:$D1181),"")</f>
        <v/>
      </c>
      <c r="E1015" s="145" t="str">
        <f t="array" ref="E1015">XLOOKUP(C1015,'⬇️ PEMASUKAN'!$I$5:$I1181,'⬇️ PEMASUKAN'!$K$5:$K1181,,0,-1)</f>
        <v/>
      </c>
      <c r="F1015" s="145" t="str">
        <f t="shared" si="2"/>
        <v/>
      </c>
      <c r="G1015" s="145" t="str">
        <f t="shared" si="3"/>
        <v/>
      </c>
      <c r="H1015" s="145"/>
      <c r="I1015" s="145"/>
      <c r="J1015" s="145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</row>
    <row r="1016" ht="22.5" customHeight="1">
      <c r="A1016" s="145"/>
      <c r="B1016" s="145" t="str">
        <f t="shared" si="1"/>
        <v/>
      </c>
      <c r="C1016" s="145"/>
      <c r="D1016" s="145" t="str">
        <f t="array" ref="D1016">IFNA(XLOOKUP(C1016,'👥 Daftar Nama Pasien'!$B$6:$B1181,'👥 Daftar Nama Pasien'!$D$6:$D1181),"")</f>
        <v/>
      </c>
      <c r="E1016" s="145" t="str">
        <f t="array" ref="E1016">XLOOKUP(C1016,'⬇️ PEMASUKAN'!$I$5:$I1181,'⬇️ PEMASUKAN'!$K$5:$K1181,,0,-1)</f>
        <v/>
      </c>
      <c r="F1016" s="145" t="str">
        <f t="shared" si="2"/>
        <v/>
      </c>
      <c r="G1016" s="145" t="str">
        <f t="shared" si="3"/>
        <v/>
      </c>
      <c r="H1016" s="145"/>
      <c r="I1016" s="145"/>
      <c r="J1016" s="145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</row>
    <row r="1017" ht="22.5" customHeight="1">
      <c r="A1017" s="145"/>
      <c r="B1017" s="145" t="str">
        <f t="shared" si="1"/>
        <v/>
      </c>
      <c r="C1017" s="145"/>
      <c r="D1017" s="145" t="str">
        <f t="array" ref="D1017">IFNA(XLOOKUP(C1017,'👥 Daftar Nama Pasien'!$B$6:$B1181,'👥 Daftar Nama Pasien'!$D$6:$D1181),"")</f>
        <v/>
      </c>
      <c r="E1017" s="145" t="str">
        <f t="array" ref="E1017">XLOOKUP(C1017,'⬇️ PEMASUKAN'!$I$5:$I1181,'⬇️ PEMASUKAN'!$K$5:$K1181,,0,-1)</f>
        <v/>
      </c>
      <c r="F1017" s="145" t="str">
        <f t="shared" si="2"/>
        <v/>
      </c>
      <c r="G1017" s="145" t="str">
        <f t="shared" si="3"/>
        <v/>
      </c>
      <c r="H1017" s="145"/>
      <c r="I1017" s="145"/>
      <c r="J1017" s="145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</row>
    <row r="1018" ht="22.5" customHeight="1">
      <c r="A1018" s="145"/>
      <c r="B1018" s="145" t="str">
        <f t="shared" si="1"/>
        <v/>
      </c>
      <c r="C1018" s="145"/>
      <c r="D1018" s="145" t="str">
        <f t="array" ref="D1018">IFNA(XLOOKUP(C1018,'👥 Daftar Nama Pasien'!$B$6:$B1181,'👥 Daftar Nama Pasien'!$D$6:$D1181),"")</f>
        <v/>
      </c>
      <c r="E1018" s="145" t="str">
        <f t="array" ref="E1018">XLOOKUP(C1018,'⬇️ PEMASUKAN'!$I$5:$I1181,'⬇️ PEMASUKAN'!$K$5:$K1181,,0,-1)</f>
        <v/>
      </c>
      <c r="F1018" s="145" t="str">
        <f t="shared" si="2"/>
        <v/>
      </c>
      <c r="G1018" s="145" t="str">
        <f t="shared" si="3"/>
        <v/>
      </c>
      <c r="H1018" s="145"/>
      <c r="I1018" s="145"/>
      <c r="J1018" s="145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</row>
    <row r="1019" ht="22.5" customHeight="1">
      <c r="A1019" s="145"/>
      <c r="B1019" s="145" t="str">
        <f t="shared" si="1"/>
        <v/>
      </c>
      <c r="C1019" s="145"/>
      <c r="D1019" s="145" t="str">
        <f t="array" ref="D1019">IFNA(XLOOKUP(C1019,'👥 Daftar Nama Pasien'!$B$6:$B1181,'👥 Daftar Nama Pasien'!$D$6:$D1181),"")</f>
        <v/>
      </c>
      <c r="E1019" s="145" t="str">
        <f t="array" ref="E1019">XLOOKUP(C1019,'⬇️ PEMASUKAN'!$I$5:$I1181,'⬇️ PEMASUKAN'!$K$5:$K1181,,0,-1)</f>
        <v/>
      </c>
      <c r="F1019" s="145" t="str">
        <f t="shared" si="2"/>
        <v/>
      </c>
      <c r="G1019" s="145" t="str">
        <f t="shared" si="3"/>
        <v/>
      </c>
      <c r="H1019" s="145"/>
      <c r="I1019" s="145"/>
      <c r="J1019" s="145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</row>
    <row r="1020" ht="22.5" customHeight="1">
      <c r="A1020" s="145"/>
      <c r="B1020" s="145" t="str">
        <f t="shared" si="1"/>
        <v/>
      </c>
      <c r="C1020" s="145"/>
      <c r="D1020" s="145" t="str">
        <f t="array" ref="D1020">IFNA(XLOOKUP(C1020,'👥 Daftar Nama Pasien'!$B$6:$B1181,'👥 Daftar Nama Pasien'!$D$6:$D1181),"")</f>
        <v/>
      </c>
      <c r="E1020" s="145" t="str">
        <f t="array" ref="E1020">XLOOKUP(C1020,'⬇️ PEMASUKAN'!$I$5:$I1181,'⬇️ PEMASUKAN'!$K$5:$K1181,,0,-1)</f>
        <v/>
      </c>
      <c r="F1020" s="145" t="str">
        <f t="shared" si="2"/>
        <v/>
      </c>
      <c r="G1020" s="145" t="str">
        <f t="shared" si="3"/>
        <v/>
      </c>
      <c r="H1020" s="145"/>
      <c r="I1020" s="145"/>
      <c r="J1020" s="145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</row>
    <row r="1021" ht="22.5" customHeight="1">
      <c r="A1021" s="145"/>
      <c r="B1021" s="145" t="str">
        <f t="shared" si="1"/>
        <v/>
      </c>
      <c r="C1021" s="145"/>
      <c r="D1021" s="145" t="str">
        <f t="array" ref="D1021">IFNA(XLOOKUP(C1021,'👥 Daftar Nama Pasien'!$B$6:$B1181,'👥 Daftar Nama Pasien'!$D$6:$D1181),"")</f>
        <v/>
      </c>
      <c r="E1021" s="145" t="str">
        <f t="array" ref="E1021">XLOOKUP(C1021,'⬇️ PEMASUKAN'!$I$5:$I1181,'⬇️ PEMASUKAN'!$K$5:$K1181,,0,-1)</f>
        <v/>
      </c>
      <c r="F1021" s="145" t="str">
        <f t="shared" si="2"/>
        <v/>
      </c>
      <c r="G1021" s="145" t="str">
        <f t="shared" si="3"/>
        <v/>
      </c>
      <c r="H1021" s="145"/>
      <c r="I1021" s="145"/>
      <c r="J1021" s="145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</row>
    <row r="1022" ht="22.5" customHeight="1">
      <c r="A1022" s="145"/>
      <c r="B1022" s="145" t="str">
        <f t="shared" si="1"/>
        <v/>
      </c>
      <c r="C1022" s="145"/>
      <c r="D1022" s="145" t="str">
        <f t="array" ref="D1022">IFNA(XLOOKUP(C1022,'👥 Daftar Nama Pasien'!$B$6:$B1181,'👥 Daftar Nama Pasien'!$D$6:$D1181),"")</f>
        <v/>
      </c>
      <c r="E1022" s="145" t="str">
        <f t="array" ref="E1022">XLOOKUP(C1022,'⬇️ PEMASUKAN'!$I$5:$I1181,'⬇️ PEMASUKAN'!$K$5:$K1181,,0,-1)</f>
        <v/>
      </c>
      <c r="F1022" s="145" t="str">
        <f t="shared" si="2"/>
        <v/>
      </c>
      <c r="G1022" s="145" t="str">
        <f t="shared" si="3"/>
        <v/>
      </c>
      <c r="H1022" s="145"/>
      <c r="I1022" s="145"/>
      <c r="J1022" s="145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</row>
    <row r="1023" ht="22.5" customHeight="1">
      <c r="A1023" s="145"/>
      <c r="B1023" s="145" t="str">
        <f t="shared" si="1"/>
        <v/>
      </c>
      <c r="C1023" s="145"/>
      <c r="D1023" s="145" t="str">
        <f t="array" ref="D1023">IFNA(XLOOKUP(C1023,'👥 Daftar Nama Pasien'!$B$6:$B1181,'👥 Daftar Nama Pasien'!$D$6:$D1181),"")</f>
        <v/>
      </c>
      <c r="E1023" s="145" t="str">
        <f t="array" ref="E1023">XLOOKUP(C1023,'⬇️ PEMASUKAN'!$I$5:$I1181,'⬇️ PEMASUKAN'!$K$5:$K1181,,0,-1)</f>
        <v/>
      </c>
      <c r="F1023" s="145" t="str">
        <f t="shared" si="2"/>
        <v/>
      </c>
      <c r="G1023" s="145" t="str">
        <f t="shared" si="3"/>
        <v/>
      </c>
      <c r="H1023" s="145"/>
      <c r="I1023" s="145"/>
      <c r="J1023" s="145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</row>
    <row r="1024" ht="22.5" customHeight="1">
      <c r="A1024" s="145"/>
      <c r="B1024" s="145" t="str">
        <f t="shared" si="1"/>
        <v/>
      </c>
      <c r="C1024" s="145"/>
      <c r="D1024" s="145" t="str">
        <f t="array" ref="D1024">IFNA(XLOOKUP(C1024,'👥 Daftar Nama Pasien'!$B$6:$B1181,'👥 Daftar Nama Pasien'!$D$6:$D1181),"")</f>
        <v/>
      </c>
      <c r="E1024" s="145" t="str">
        <f t="array" ref="E1024">XLOOKUP(C1024,'⬇️ PEMASUKAN'!$I$5:$I1181,'⬇️ PEMASUKAN'!$K$5:$K1181,,0,-1)</f>
        <v/>
      </c>
      <c r="F1024" s="145" t="str">
        <f t="shared" si="2"/>
        <v/>
      </c>
      <c r="G1024" s="145" t="str">
        <f t="shared" si="3"/>
        <v/>
      </c>
      <c r="H1024" s="145"/>
      <c r="I1024" s="145"/>
      <c r="J1024" s="145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</row>
    <row r="1025" ht="22.5" customHeight="1">
      <c r="A1025" s="145"/>
      <c r="B1025" s="145" t="str">
        <f t="shared" si="1"/>
        <v/>
      </c>
      <c r="C1025" s="145"/>
      <c r="D1025" s="145" t="str">
        <f t="array" ref="D1025">IFNA(XLOOKUP(C1025,'👥 Daftar Nama Pasien'!$B$6:$B1181,'👥 Daftar Nama Pasien'!$D$6:$D1181),"")</f>
        <v/>
      </c>
      <c r="E1025" s="145" t="str">
        <f t="array" ref="E1025">XLOOKUP(C1025,'⬇️ PEMASUKAN'!$I$5:$I1181,'⬇️ PEMASUKAN'!$K$5:$K1181,,0,-1)</f>
        <v/>
      </c>
      <c r="F1025" s="145" t="str">
        <f t="shared" si="2"/>
        <v/>
      </c>
      <c r="G1025" s="145" t="str">
        <f t="shared" si="3"/>
        <v/>
      </c>
      <c r="H1025" s="145"/>
      <c r="I1025" s="145"/>
      <c r="J1025" s="145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</row>
    <row r="1026" ht="22.5" customHeight="1">
      <c r="A1026" s="145"/>
      <c r="B1026" s="145" t="str">
        <f t="shared" si="1"/>
        <v/>
      </c>
      <c r="C1026" s="145"/>
      <c r="D1026" s="145" t="str">
        <f t="array" ref="D1026">IFNA(XLOOKUP(C1026,'👥 Daftar Nama Pasien'!$B$6:$B1181,'👥 Daftar Nama Pasien'!$D$6:$D1181),"")</f>
        <v/>
      </c>
      <c r="E1026" s="145" t="str">
        <f t="array" ref="E1026">XLOOKUP(C1026,'⬇️ PEMASUKAN'!$I$5:$I1181,'⬇️ PEMASUKAN'!$K$5:$K1181,,0,-1)</f>
        <v/>
      </c>
      <c r="F1026" s="145" t="str">
        <f t="shared" si="2"/>
        <v/>
      </c>
      <c r="G1026" s="145" t="str">
        <f t="shared" si="3"/>
        <v/>
      </c>
      <c r="H1026" s="145"/>
      <c r="I1026" s="145"/>
      <c r="J1026" s="145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</row>
    <row r="1027" ht="22.5" customHeight="1">
      <c r="A1027" s="145"/>
      <c r="B1027" s="145" t="str">
        <f t="shared" si="1"/>
        <v/>
      </c>
      <c r="C1027" s="145"/>
      <c r="D1027" s="145" t="str">
        <f t="array" ref="D1027">IFNA(XLOOKUP(C1027,'👥 Daftar Nama Pasien'!$B$6:$B1181,'👥 Daftar Nama Pasien'!$D$6:$D1181),"")</f>
        <v/>
      </c>
      <c r="E1027" s="145" t="str">
        <f t="array" ref="E1027">XLOOKUP(C1027,'⬇️ PEMASUKAN'!$I$5:$I1181,'⬇️ PEMASUKAN'!$K$5:$K1181,,0,-1)</f>
        <v/>
      </c>
      <c r="F1027" s="145" t="str">
        <f t="shared" si="2"/>
        <v/>
      </c>
      <c r="G1027" s="145" t="str">
        <f t="shared" si="3"/>
        <v/>
      </c>
      <c r="H1027" s="145"/>
      <c r="I1027" s="145"/>
      <c r="J1027" s="145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</row>
    <row r="1028" ht="22.5" customHeight="1">
      <c r="A1028" s="145"/>
      <c r="B1028" s="145" t="str">
        <f t="shared" si="1"/>
        <v/>
      </c>
      <c r="C1028" s="145"/>
      <c r="D1028" s="145" t="str">
        <f t="array" ref="D1028">IFNA(XLOOKUP(C1028,'👥 Daftar Nama Pasien'!$B$6:$B1181,'👥 Daftar Nama Pasien'!$D$6:$D1181),"")</f>
        <v/>
      </c>
      <c r="E1028" s="145" t="str">
        <f t="array" ref="E1028">XLOOKUP(C1028,'⬇️ PEMASUKAN'!$I$5:$I1181,'⬇️ PEMASUKAN'!$K$5:$K1181,,0,-1)</f>
        <v/>
      </c>
      <c r="F1028" s="145" t="str">
        <f t="shared" si="2"/>
        <v/>
      </c>
      <c r="G1028" s="145" t="str">
        <f t="shared" si="3"/>
        <v/>
      </c>
      <c r="H1028" s="145"/>
      <c r="I1028" s="145"/>
      <c r="J1028" s="145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</row>
    <row r="1029" ht="22.5" customHeight="1">
      <c r="A1029" s="145"/>
      <c r="B1029" s="145" t="str">
        <f t="shared" si="1"/>
        <v/>
      </c>
      <c r="C1029" s="145"/>
      <c r="D1029" s="145" t="str">
        <f t="array" ref="D1029">IFNA(XLOOKUP(C1029,'👥 Daftar Nama Pasien'!$B$6:$B1181,'👥 Daftar Nama Pasien'!$D$6:$D1181),"")</f>
        <v/>
      </c>
      <c r="E1029" s="145" t="str">
        <f t="array" ref="E1029">XLOOKUP(C1029,'⬇️ PEMASUKAN'!$I$5:$I1181,'⬇️ PEMASUKAN'!$K$5:$K1181,,0,-1)</f>
        <v/>
      </c>
      <c r="F1029" s="145" t="str">
        <f t="shared" si="2"/>
        <v/>
      </c>
      <c r="G1029" s="145" t="str">
        <f t="shared" si="3"/>
        <v/>
      </c>
      <c r="H1029" s="145"/>
      <c r="I1029" s="145"/>
      <c r="J1029" s="145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</row>
    <row r="1030" ht="22.5" customHeight="1">
      <c r="A1030" s="145"/>
      <c r="B1030" s="145" t="str">
        <f t="shared" si="1"/>
        <v/>
      </c>
      <c r="C1030" s="145"/>
      <c r="D1030" s="145" t="str">
        <f t="array" ref="D1030">IFNA(XLOOKUP(C1030,'👥 Daftar Nama Pasien'!$B$6:$B1181,'👥 Daftar Nama Pasien'!$D$6:$D1181),"")</f>
        <v/>
      </c>
      <c r="E1030" s="145" t="str">
        <f t="array" ref="E1030">XLOOKUP(C1030,'⬇️ PEMASUKAN'!$I$5:$I1181,'⬇️ PEMASUKAN'!$K$5:$K1181,,0,-1)</f>
        <v/>
      </c>
      <c r="F1030" s="145" t="str">
        <f t="shared" si="2"/>
        <v/>
      </c>
      <c r="G1030" s="145" t="str">
        <f t="shared" si="3"/>
        <v/>
      </c>
      <c r="H1030" s="145"/>
      <c r="I1030" s="145"/>
      <c r="J1030" s="145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</row>
    <row r="1031" ht="22.5" customHeight="1">
      <c r="A1031" s="145"/>
      <c r="B1031" s="145" t="str">
        <f t="shared" si="1"/>
        <v/>
      </c>
      <c r="C1031" s="145"/>
      <c r="D1031" s="145" t="str">
        <f t="array" ref="D1031">IFNA(XLOOKUP(C1031,'👥 Daftar Nama Pasien'!$B$6:$B1181,'👥 Daftar Nama Pasien'!$D$6:$D1181),"")</f>
        <v/>
      </c>
      <c r="E1031" s="145" t="str">
        <f t="array" ref="E1031">XLOOKUP(C1031,'⬇️ PEMASUKAN'!$I$5:$I1181,'⬇️ PEMASUKAN'!$K$5:$K1181,,0,-1)</f>
        <v/>
      </c>
      <c r="F1031" s="145" t="str">
        <f t="shared" si="2"/>
        <v/>
      </c>
      <c r="G1031" s="145" t="str">
        <f t="shared" si="3"/>
        <v/>
      </c>
      <c r="H1031" s="145"/>
      <c r="I1031" s="145"/>
      <c r="J1031" s="145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</row>
    <row r="1032" ht="22.5" customHeight="1">
      <c r="A1032" s="145"/>
      <c r="B1032" s="145" t="str">
        <f t="shared" si="1"/>
        <v/>
      </c>
      <c r="C1032" s="145"/>
      <c r="D1032" s="145" t="str">
        <f t="array" ref="D1032">IFNA(XLOOKUP(C1032,'👥 Daftar Nama Pasien'!$B$6:$B1181,'👥 Daftar Nama Pasien'!$D$6:$D1181),"")</f>
        <v/>
      </c>
      <c r="E1032" s="145" t="str">
        <f t="array" ref="E1032">XLOOKUP(C1032,'⬇️ PEMASUKAN'!$I$5:$I1181,'⬇️ PEMASUKAN'!$K$5:$K1181,,0,-1)</f>
        <v/>
      </c>
      <c r="F1032" s="145" t="str">
        <f t="shared" si="2"/>
        <v/>
      </c>
      <c r="G1032" s="145" t="str">
        <f t="shared" si="3"/>
        <v/>
      </c>
      <c r="H1032" s="145"/>
      <c r="I1032" s="145"/>
      <c r="J1032" s="145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</row>
    <row r="1033" ht="22.5" customHeight="1">
      <c r="A1033" s="145"/>
      <c r="B1033" s="145" t="str">
        <f t="shared" si="1"/>
        <v/>
      </c>
      <c r="C1033" s="145"/>
      <c r="D1033" s="145" t="str">
        <f t="array" ref="D1033">IFNA(XLOOKUP(C1033,'👥 Daftar Nama Pasien'!$B$6:$B1181,'👥 Daftar Nama Pasien'!$D$6:$D1181),"")</f>
        <v/>
      </c>
      <c r="E1033" s="145" t="str">
        <f t="array" ref="E1033">XLOOKUP(C1033,'⬇️ PEMASUKAN'!$I$5:$I1181,'⬇️ PEMASUKAN'!$K$5:$K1181,,0,-1)</f>
        <v/>
      </c>
      <c r="F1033" s="145" t="str">
        <f t="shared" si="2"/>
        <v/>
      </c>
      <c r="G1033" s="145" t="str">
        <f t="shared" si="3"/>
        <v/>
      </c>
      <c r="H1033" s="145"/>
      <c r="I1033" s="145"/>
      <c r="J1033" s="145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</row>
    <row r="1034" ht="22.5" customHeight="1">
      <c r="A1034" s="145"/>
      <c r="B1034" s="145" t="str">
        <f t="shared" si="1"/>
        <v/>
      </c>
      <c r="C1034" s="145"/>
      <c r="D1034" s="145" t="str">
        <f t="array" ref="D1034">IFNA(XLOOKUP(C1034,'👥 Daftar Nama Pasien'!$B$6:$B1181,'👥 Daftar Nama Pasien'!$D$6:$D1181),"")</f>
        <v/>
      </c>
      <c r="E1034" s="145" t="str">
        <f t="array" ref="E1034">XLOOKUP(C1034,'⬇️ PEMASUKAN'!$I$5:$I1181,'⬇️ PEMASUKAN'!$K$5:$K1181,,0,-1)</f>
        <v/>
      </c>
      <c r="F1034" s="145" t="str">
        <f t="shared" si="2"/>
        <v/>
      </c>
      <c r="G1034" s="145" t="str">
        <f t="shared" si="3"/>
        <v/>
      </c>
      <c r="H1034" s="145"/>
      <c r="I1034" s="145"/>
      <c r="J1034" s="145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</row>
    <row r="1035" ht="22.5" customHeight="1">
      <c r="A1035" s="145"/>
      <c r="B1035" s="145" t="str">
        <f t="shared" si="1"/>
        <v/>
      </c>
      <c r="C1035" s="145"/>
      <c r="D1035" s="145" t="str">
        <f t="array" ref="D1035">IFNA(XLOOKUP(C1035,'👥 Daftar Nama Pasien'!$B$6:$B1181,'👥 Daftar Nama Pasien'!$D$6:$D1181),"")</f>
        <v/>
      </c>
      <c r="E1035" s="145" t="str">
        <f t="array" ref="E1035">XLOOKUP(C1035,'⬇️ PEMASUKAN'!$I$5:$I1181,'⬇️ PEMASUKAN'!$K$5:$K1181,,0,-1)</f>
        <v/>
      </c>
      <c r="F1035" s="145" t="str">
        <f t="shared" si="2"/>
        <v/>
      </c>
      <c r="G1035" s="145" t="str">
        <f t="shared" si="3"/>
        <v/>
      </c>
      <c r="H1035" s="145"/>
      <c r="I1035" s="145"/>
      <c r="J1035" s="145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</row>
    <row r="1036" ht="22.5" customHeight="1">
      <c r="A1036" s="145"/>
      <c r="B1036" s="145" t="str">
        <f t="shared" si="1"/>
        <v/>
      </c>
      <c r="C1036" s="145"/>
      <c r="D1036" s="145" t="str">
        <f t="array" ref="D1036">IFNA(XLOOKUP(C1036,'👥 Daftar Nama Pasien'!$B$6:$B1181,'👥 Daftar Nama Pasien'!$D$6:$D1181),"")</f>
        <v/>
      </c>
      <c r="E1036" s="145" t="str">
        <f t="array" ref="E1036">XLOOKUP(C1036,'⬇️ PEMASUKAN'!$I$5:$I1181,'⬇️ PEMASUKAN'!$K$5:$K1181,,0,-1)</f>
        <v/>
      </c>
      <c r="F1036" s="145" t="str">
        <f t="shared" si="2"/>
        <v/>
      </c>
      <c r="G1036" s="145" t="str">
        <f t="shared" si="3"/>
        <v/>
      </c>
      <c r="H1036" s="145"/>
      <c r="I1036" s="145"/>
      <c r="J1036" s="145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</row>
    <row r="1037" ht="22.5" customHeight="1">
      <c r="A1037" s="145"/>
      <c r="B1037" s="145" t="str">
        <f t="shared" si="1"/>
        <v/>
      </c>
      <c r="C1037" s="145"/>
      <c r="D1037" s="145" t="str">
        <f t="array" ref="D1037">IFNA(XLOOKUP(C1037,'👥 Daftar Nama Pasien'!$B$6:$B1181,'👥 Daftar Nama Pasien'!$D$6:$D1181),"")</f>
        <v/>
      </c>
      <c r="E1037" s="145" t="str">
        <f t="array" ref="E1037">XLOOKUP(C1037,'⬇️ PEMASUKAN'!$I$5:$I1181,'⬇️ PEMASUKAN'!$K$5:$K1181,,0,-1)</f>
        <v/>
      </c>
      <c r="F1037" s="145" t="str">
        <f t="shared" si="2"/>
        <v/>
      </c>
      <c r="G1037" s="145" t="str">
        <f t="shared" si="3"/>
        <v/>
      </c>
      <c r="H1037" s="145"/>
      <c r="I1037" s="145"/>
      <c r="J1037" s="145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</row>
    <row r="1038" ht="22.5" customHeight="1">
      <c r="A1038" s="145"/>
      <c r="B1038" s="145" t="str">
        <f t="shared" si="1"/>
        <v/>
      </c>
      <c r="C1038" s="145"/>
      <c r="D1038" s="145" t="str">
        <f t="array" ref="D1038">IFNA(XLOOKUP(C1038,'👥 Daftar Nama Pasien'!$B$6:$B1181,'👥 Daftar Nama Pasien'!$D$6:$D1181),"")</f>
        <v/>
      </c>
      <c r="E1038" s="145" t="str">
        <f t="array" ref="E1038">XLOOKUP(C1038,'⬇️ PEMASUKAN'!$I$5:$I1181,'⬇️ PEMASUKAN'!$K$5:$K1181,,0,-1)</f>
        <v/>
      </c>
      <c r="F1038" s="145" t="str">
        <f t="shared" si="2"/>
        <v/>
      </c>
      <c r="G1038" s="145" t="str">
        <f t="shared" si="3"/>
        <v/>
      </c>
      <c r="H1038" s="145"/>
      <c r="I1038" s="145"/>
      <c r="J1038" s="145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</row>
    <row r="1039" ht="22.5" customHeight="1">
      <c r="A1039" s="145"/>
      <c r="B1039" s="145" t="str">
        <f t="shared" si="1"/>
        <v/>
      </c>
      <c r="C1039" s="145"/>
      <c r="D1039" s="145" t="str">
        <f t="array" ref="D1039">IFNA(XLOOKUP(C1039,'👥 Daftar Nama Pasien'!$B$6:$B1181,'👥 Daftar Nama Pasien'!$D$6:$D1181),"")</f>
        <v/>
      </c>
      <c r="E1039" s="145" t="str">
        <f t="array" ref="E1039">XLOOKUP(C1039,'⬇️ PEMASUKAN'!$I$5:$I1181,'⬇️ PEMASUKAN'!$K$5:$K1181,,0,-1)</f>
        <v/>
      </c>
      <c r="F1039" s="145" t="str">
        <f t="shared" si="2"/>
        <v/>
      </c>
      <c r="G1039" s="145" t="str">
        <f t="shared" si="3"/>
        <v/>
      </c>
      <c r="H1039" s="145"/>
      <c r="I1039" s="145"/>
      <c r="J1039" s="145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</row>
    <row r="1040" ht="22.5" customHeight="1">
      <c r="A1040" s="145"/>
      <c r="B1040" s="145" t="str">
        <f t="shared" si="1"/>
        <v/>
      </c>
      <c r="C1040" s="145"/>
      <c r="D1040" s="145" t="str">
        <f t="array" ref="D1040">IFNA(XLOOKUP(C1040,'👥 Daftar Nama Pasien'!$B$6:$B1181,'👥 Daftar Nama Pasien'!$D$6:$D1181),"")</f>
        <v/>
      </c>
      <c r="E1040" s="145" t="str">
        <f t="array" ref="E1040">XLOOKUP(C1040,'⬇️ PEMASUKAN'!$I$5:$I1181,'⬇️ PEMASUKAN'!$K$5:$K1181,,0,-1)</f>
        <v/>
      </c>
      <c r="F1040" s="145" t="str">
        <f t="shared" si="2"/>
        <v/>
      </c>
      <c r="G1040" s="145" t="str">
        <f t="shared" si="3"/>
        <v/>
      </c>
      <c r="H1040" s="145"/>
      <c r="I1040" s="145"/>
      <c r="J1040" s="145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</row>
    <row r="1041" ht="22.5" customHeight="1">
      <c r="A1041" s="145"/>
      <c r="B1041" s="145" t="str">
        <f t="shared" si="1"/>
        <v/>
      </c>
      <c r="C1041" s="145"/>
      <c r="D1041" s="145" t="str">
        <f t="array" ref="D1041">IFNA(XLOOKUP(C1041,'👥 Daftar Nama Pasien'!$B$6:$B1181,'👥 Daftar Nama Pasien'!$D$6:$D1181),"")</f>
        <v/>
      </c>
      <c r="E1041" s="145" t="str">
        <f t="array" ref="E1041">XLOOKUP(C1041,'⬇️ PEMASUKAN'!$I$5:$I1181,'⬇️ PEMASUKAN'!$K$5:$K1181,,0,-1)</f>
        <v/>
      </c>
      <c r="F1041" s="145" t="str">
        <f t="shared" si="2"/>
        <v/>
      </c>
      <c r="G1041" s="145" t="str">
        <f t="shared" si="3"/>
        <v/>
      </c>
      <c r="H1041" s="145"/>
      <c r="I1041" s="145"/>
      <c r="J1041" s="145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</row>
    <row r="1042" ht="22.5" customHeight="1">
      <c r="A1042" s="145"/>
      <c r="B1042" s="145" t="str">
        <f t="shared" si="1"/>
        <v/>
      </c>
      <c r="C1042" s="145"/>
      <c r="D1042" s="145" t="str">
        <f t="array" ref="D1042">IFNA(XLOOKUP(C1042,'👥 Daftar Nama Pasien'!$B$6:$B1181,'👥 Daftar Nama Pasien'!$D$6:$D1181),"")</f>
        <v/>
      </c>
      <c r="E1042" s="145" t="str">
        <f t="array" ref="E1042">XLOOKUP(C1042,'⬇️ PEMASUKAN'!$I$5:$I1181,'⬇️ PEMASUKAN'!$K$5:$K1181,,0,-1)</f>
        <v/>
      </c>
      <c r="F1042" s="145" t="str">
        <f t="shared" si="2"/>
        <v/>
      </c>
      <c r="G1042" s="145" t="str">
        <f t="shared" si="3"/>
        <v/>
      </c>
      <c r="H1042" s="145"/>
      <c r="I1042" s="145"/>
      <c r="J1042" s="145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</row>
    <row r="1043" ht="22.5" customHeight="1">
      <c r="A1043" s="145"/>
      <c r="B1043" s="145" t="str">
        <f t="shared" si="1"/>
        <v/>
      </c>
      <c r="C1043" s="145"/>
      <c r="D1043" s="145" t="str">
        <f t="array" ref="D1043">IFNA(XLOOKUP(C1043,'👥 Daftar Nama Pasien'!$B$6:$B1181,'👥 Daftar Nama Pasien'!$D$6:$D1181),"")</f>
        <v/>
      </c>
      <c r="E1043" s="145" t="str">
        <f t="array" ref="E1043">XLOOKUP(C1043,'⬇️ PEMASUKAN'!$I$5:$I1181,'⬇️ PEMASUKAN'!$K$5:$K1181,,0,-1)</f>
        <v/>
      </c>
      <c r="F1043" s="145" t="str">
        <f t="shared" si="2"/>
        <v/>
      </c>
      <c r="G1043" s="145" t="str">
        <f t="shared" si="3"/>
        <v/>
      </c>
      <c r="H1043" s="145"/>
      <c r="I1043" s="145"/>
      <c r="J1043" s="145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</row>
    <row r="1044" ht="22.5" customHeight="1">
      <c r="A1044" s="145"/>
      <c r="B1044" s="145" t="str">
        <f t="shared" si="1"/>
        <v/>
      </c>
      <c r="C1044" s="145"/>
      <c r="D1044" s="145" t="str">
        <f t="array" ref="D1044">IFNA(XLOOKUP(C1044,'👥 Daftar Nama Pasien'!$B$6:$B1181,'👥 Daftar Nama Pasien'!$D$6:$D1181),"")</f>
        <v/>
      </c>
      <c r="E1044" s="145" t="str">
        <f t="array" ref="E1044">XLOOKUP(C1044,'⬇️ PEMASUKAN'!$I$5:$I1181,'⬇️ PEMASUKAN'!$K$5:$K1181,,0,-1)</f>
        <v/>
      </c>
      <c r="F1044" s="145" t="str">
        <f t="shared" si="2"/>
        <v/>
      </c>
      <c r="G1044" s="145" t="str">
        <f t="shared" si="3"/>
        <v/>
      </c>
      <c r="H1044" s="145"/>
      <c r="I1044" s="145"/>
      <c r="J1044" s="145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</row>
    <row r="1045" ht="22.5" customHeight="1">
      <c r="A1045" s="145"/>
      <c r="B1045" s="145" t="str">
        <f t="shared" si="1"/>
        <v/>
      </c>
      <c r="C1045" s="145"/>
      <c r="D1045" s="145" t="str">
        <f t="array" ref="D1045">IFNA(XLOOKUP(C1045,'👥 Daftar Nama Pasien'!$B$6:$B1181,'👥 Daftar Nama Pasien'!$D$6:$D1181),"")</f>
        <v/>
      </c>
      <c r="E1045" s="145" t="str">
        <f t="array" ref="E1045">XLOOKUP(C1045,'⬇️ PEMASUKAN'!$I$5:$I1181,'⬇️ PEMASUKAN'!$K$5:$K1181,,0,-1)</f>
        <v/>
      </c>
      <c r="F1045" s="145" t="str">
        <f t="shared" si="2"/>
        <v/>
      </c>
      <c r="G1045" s="145" t="str">
        <f t="shared" si="3"/>
        <v/>
      </c>
      <c r="H1045" s="145"/>
      <c r="I1045" s="145"/>
      <c r="J1045" s="145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</row>
    <row r="1046" ht="22.5" customHeight="1">
      <c r="A1046" s="145"/>
      <c r="B1046" s="145" t="str">
        <f t="shared" si="1"/>
        <v/>
      </c>
      <c r="C1046" s="145"/>
      <c r="D1046" s="145" t="str">
        <f t="array" ref="D1046">IFNA(XLOOKUP(C1046,'👥 Daftar Nama Pasien'!$B$6:$B1181,'👥 Daftar Nama Pasien'!$D$6:$D1181),"")</f>
        <v/>
      </c>
      <c r="E1046" s="145" t="str">
        <f t="array" ref="E1046">XLOOKUP(C1046,'⬇️ PEMASUKAN'!$I$5:$I1181,'⬇️ PEMASUKAN'!$K$5:$K1181,,0,-1)</f>
        <v/>
      </c>
      <c r="F1046" s="145" t="str">
        <f t="shared" si="2"/>
        <v/>
      </c>
      <c r="G1046" s="145" t="str">
        <f t="shared" si="3"/>
        <v/>
      </c>
      <c r="H1046" s="145"/>
      <c r="I1046" s="145"/>
      <c r="J1046" s="145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</row>
    <row r="1047" ht="22.5" customHeight="1">
      <c r="A1047" s="145"/>
      <c r="B1047" s="145" t="str">
        <f t="shared" si="1"/>
        <v/>
      </c>
      <c r="C1047" s="145"/>
      <c r="D1047" s="145" t="str">
        <f t="array" ref="D1047">IFNA(XLOOKUP(C1047,'👥 Daftar Nama Pasien'!$B$6:$B1181,'👥 Daftar Nama Pasien'!$D$6:$D1181),"")</f>
        <v/>
      </c>
      <c r="E1047" s="145" t="str">
        <f t="array" ref="E1047">XLOOKUP(C1047,'⬇️ PEMASUKAN'!$I$5:$I1181,'⬇️ PEMASUKAN'!$K$5:$K1181,,0,-1)</f>
        <v/>
      </c>
      <c r="F1047" s="145" t="str">
        <f t="shared" si="2"/>
        <v/>
      </c>
      <c r="G1047" s="145" t="str">
        <f t="shared" si="3"/>
        <v/>
      </c>
      <c r="H1047" s="145"/>
      <c r="I1047" s="145"/>
      <c r="J1047" s="145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</row>
    <row r="1048" ht="22.5" customHeight="1">
      <c r="A1048" s="145"/>
      <c r="B1048" s="145" t="str">
        <f t="shared" si="1"/>
        <v/>
      </c>
      <c r="C1048" s="145"/>
      <c r="D1048" s="145" t="str">
        <f t="array" ref="D1048">IFNA(XLOOKUP(C1048,'👥 Daftar Nama Pasien'!$B$6:$B1181,'👥 Daftar Nama Pasien'!$D$6:$D1181),"")</f>
        <v/>
      </c>
      <c r="E1048" s="145" t="str">
        <f t="array" ref="E1048">XLOOKUP(C1048,'⬇️ PEMASUKAN'!$I$5:$I1181,'⬇️ PEMASUKAN'!$K$5:$K1181,,0,-1)</f>
        <v/>
      </c>
      <c r="F1048" s="145" t="str">
        <f t="shared" si="2"/>
        <v/>
      </c>
      <c r="G1048" s="145" t="str">
        <f t="shared" si="3"/>
        <v/>
      </c>
      <c r="H1048" s="145"/>
      <c r="I1048" s="145"/>
      <c r="J1048" s="145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</row>
    <row r="1049" ht="22.5" customHeight="1">
      <c r="A1049" s="145"/>
      <c r="B1049" s="145" t="str">
        <f t="shared" si="1"/>
        <v/>
      </c>
      <c r="C1049" s="145"/>
      <c r="D1049" s="145" t="str">
        <f t="array" ref="D1049">IFNA(XLOOKUP(C1049,'👥 Daftar Nama Pasien'!$B$6:$B1181,'👥 Daftar Nama Pasien'!$D$6:$D1181),"")</f>
        <v/>
      </c>
      <c r="E1049" s="145" t="str">
        <f t="array" ref="E1049">XLOOKUP(C1049,'⬇️ PEMASUKAN'!$I$5:$I1181,'⬇️ PEMASUKAN'!$K$5:$K1181,,0,-1)</f>
        <v/>
      </c>
      <c r="F1049" s="145" t="str">
        <f t="shared" si="2"/>
        <v/>
      </c>
      <c r="G1049" s="145" t="str">
        <f t="shared" si="3"/>
        <v/>
      </c>
      <c r="H1049" s="145"/>
      <c r="I1049" s="145"/>
      <c r="J1049" s="145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</row>
    <row r="1050" ht="22.5" customHeight="1">
      <c r="A1050" s="145"/>
      <c r="B1050" s="145" t="str">
        <f t="shared" si="1"/>
        <v/>
      </c>
      <c r="C1050" s="145"/>
      <c r="D1050" s="145" t="str">
        <f t="array" ref="D1050">IFNA(XLOOKUP(C1050,'👥 Daftar Nama Pasien'!$B$6:$B1181,'👥 Daftar Nama Pasien'!$D$6:$D1181),"")</f>
        <v/>
      </c>
      <c r="E1050" s="145" t="str">
        <f t="array" ref="E1050">XLOOKUP(C1050,'⬇️ PEMASUKAN'!$I$5:$I1181,'⬇️ PEMASUKAN'!$K$5:$K1181,,0,-1)</f>
        <v/>
      </c>
      <c r="F1050" s="145" t="str">
        <f t="shared" si="2"/>
        <v/>
      </c>
      <c r="G1050" s="145" t="str">
        <f t="shared" si="3"/>
        <v/>
      </c>
      <c r="H1050" s="145"/>
      <c r="I1050" s="145"/>
      <c r="J1050" s="145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</row>
    <row r="1051" ht="22.5" customHeight="1">
      <c r="A1051" s="145"/>
      <c r="B1051" s="145" t="str">
        <f t="shared" si="1"/>
        <v/>
      </c>
      <c r="C1051" s="145"/>
      <c r="D1051" s="145" t="str">
        <f t="array" ref="D1051">IFNA(XLOOKUP(C1051,'👥 Daftar Nama Pasien'!$B$6:$B1181,'👥 Daftar Nama Pasien'!$D$6:$D1181),"")</f>
        <v/>
      </c>
      <c r="E1051" s="145" t="str">
        <f t="array" ref="E1051">XLOOKUP(C1051,'⬇️ PEMASUKAN'!$I$5:$I1181,'⬇️ PEMASUKAN'!$K$5:$K1181,,0,-1)</f>
        <v/>
      </c>
      <c r="F1051" s="145" t="str">
        <f t="shared" si="2"/>
        <v/>
      </c>
      <c r="G1051" s="145" t="str">
        <f t="shared" si="3"/>
        <v/>
      </c>
      <c r="H1051" s="145"/>
      <c r="I1051" s="145"/>
      <c r="J1051" s="145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</row>
    <row r="1052" ht="22.5" customHeight="1">
      <c r="A1052" s="145"/>
      <c r="B1052" s="145" t="str">
        <f t="shared" si="1"/>
        <v/>
      </c>
      <c r="C1052" s="145"/>
      <c r="D1052" s="145" t="str">
        <f t="array" ref="D1052">IFNA(XLOOKUP(C1052,'👥 Daftar Nama Pasien'!$B$6:$B1181,'👥 Daftar Nama Pasien'!$D$6:$D1181),"")</f>
        <v/>
      </c>
      <c r="E1052" s="145" t="str">
        <f t="array" ref="E1052">XLOOKUP(C1052,'⬇️ PEMASUKAN'!$I$5:$I1181,'⬇️ PEMASUKAN'!$K$5:$K1181,,0,-1)</f>
        <v/>
      </c>
      <c r="F1052" s="145" t="str">
        <f t="shared" si="2"/>
        <v/>
      </c>
      <c r="G1052" s="145" t="str">
        <f t="shared" si="3"/>
        <v/>
      </c>
      <c r="H1052" s="145"/>
      <c r="I1052" s="145"/>
      <c r="J1052" s="145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</row>
    <row r="1053" ht="22.5" customHeight="1">
      <c r="A1053" s="145"/>
      <c r="B1053" s="145" t="str">
        <f t="shared" si="1"/>
        <v/>
      </c>
      <c r="C1053" s="145"/>
      <c r="D1053" s="145" t="str">
        <f t="array" ref="D1053">IFNA(XLOOKUP(C1053,'👥 Daftar Nama Pasien'!$B$6:$B1181,'👥 Daftar Nama Pasien'!$D$6:$D1181),"")</f>
        <v/>
      </c>
      <c r="E1053" s="145" t="str">
        <f t="array" ref="E1053">XLOOKUP(C1053,'⬇️ PEMASUKAN'!$I$5:$I1181,'⬇️ PEMASUKAN'!$K$5:$K1181,,0,-1)</f>
        <v/>
      </c>
      <c r="F1053" s="145" t="str">
        <f t="shared" si="2"/>
        <v/>
      </c>
      <c r="G1053" s="145" t="str">
        <f t="shared" si="3"/>
        <v/>
      </c>
      <c r="H1053" s="145"/>
      <c r="I1053" s="145"/>
      <c r="J1053" s="145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</row>
    <row r="1054" ht="22.5" customHeight="1">
      <c r="A1054" s="145"/>
      <c r="B1054" s="145" t="str">
        <f t="shared" si="1"/>
        <v/>
      </c>
      <c r="C1054" s="145"/>
      <c r="D1054" s="145" t="str">
        <f t="array" ref="D1054">IFNA(XLOOKUP(C1054,'👥 Daftar Nama Pasien'!$B$6:$B1181,'👥 Daftar Nama Pasien'!$D$6:$D1181),"")</f>
        <v/>
      </c>
      <c r="E1054" s="145" t="str">
        <f t="array" ref="E1054">XLOOKUP(C1054,'⬇️ PEMASUKAN'!$I$5:$I1181,'⬇️ PEMASUKAN'!$K$5:$K1181,,0,-1)</f>
        <v/>
      </c>
      <c r="F1054" s="145" t="str">
        <f t="shared" si="2"/>
        <v/>
      </c>
      <c r="G1054" s="145" t="str">
        <f t="shared" si="3"/>
        <v/>
      </c>
      <c r="H1054" s="145"/>
      <c r="I1054" s="145"/>
      <c r="J1054" s="145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</row>
    <row r="1055" ht="22.5" customHeight="1">
      <c r="A1055" s="145"/>
      <c r="B1055" s="145" t="str">
        <f t="shared" si="1"/>
        <v/>
      </c>
      <c r="C1055" s="145"/>
      <c r="D1055" s="145" t="str">
        <f t="array" ref="D1055">IFNA(XLOOKUP(C1055,'👥 Daftar Nama Pasien'!$B$6:$B1181,'👥 Daftar Nama Pasien'!$D$6:$D1181),"")</f>
        <v/>
      </c>
      <c r="E1055" s="145" t="str">
        <f t="array" ref="E1055">XLOOKUP(C1055,'⬇️ PEMASUKAN'!$I$5:$I1181,'⬇️ PEMASUKAN'!$K$5:$K1181,,0,-1)</f>
        <v/>
      </c>
      <c r="F1055" s="145" t="str">
        <f t="shared" si="2"/>
        <v/>
      </c>
      <c r="G1055" s="145" t="str">
        <f t="shared" si="3"/>
        <v/>
      </c>
      <c r="H1055" s="145"/>
      <c r="I1055" s="145"/>
      <c r="J1055" s="145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</row>
    <row r="1056" ht="22.5" customHeight="1">
      <c r="A1056" s="145"/>
      <c r="B1056" s="145" t="str">
        <f t="shared" si="1"/>
        <v/>
      </c>
      <c r="C1056" s="145"/>
      <c r="D1056" s="145" t="str">
        <f t="array" ref="D1056">IFNA(XLOOKUP(C1056,'👥 Daftar Nama Pasien'!$B$6:$B1181,'👥 Daftar Nama Pasien'!$D$6:$D1181),"")</f>
        <v/>
      </c>
      <c r="E1056" s="145" t="str">
        <f t="array" ref="E1056">XLOOKUP(C1056,'⬇️ PEMASUKAN'!$I$5:$I1181,'⬇️ PEMASUKAN'!$K$5:$K1181,,0,-1)</f>
        <v/>
      </c>
      <c r="F1056" s="145" t="str">
        <f t="shared" si="2"/>
        <v/>
      </c>
      <c r="G1056" s="145" t="str">
        <f t="shared" si="3"/>
        <v/>
      </c>
      <c r="H1056" s="145"/>
      <c r="I1056" s="145"/>
      <c r="J1056" s="145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</row>
    <row r="1057" ht="22.5" customHeight="1">
      <c r="A1057" s="145"/>
      <c r="B1057" s="145" t="str">
        <f t="shared" si="1"/>
        <v/>
      </c>
      <c r="C1057" s="145"/>
      <c r="D1057" s="145" t="str">
        <f t="array" ref="D1057">IFNA(XLOOKUP(C1057,'👥 Daftar Nama Pasien'!$B$6:$B1181,'👥 Daftar Nama Pasien'!$D$6:$D1181),"")</f>
        <v/>
      </c>
      <c r="E1057" s="145" t="str">
        <f t="array" ref="E1057">XLOOKUP(C1057,'⬇️ PEMASUKAN'!$I$5:$I1181,'⬇️ PEMASUKAN'!$K$5:$K1181,,0,-1)</f>
        <v/>
      </c>
      <c r="F1057" s="145" t="str">
        <f t="shared" si="2"/>
        <v/>
      </c>
      <c r="G1057" s="145" t="str">
        <f t="shared" si="3"/>
        <v/>
      </c>
      <c r="H1057" s="145"/>
      <c r="I1057" s="145"/>
      <c r="J1057" s="145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</row>
    <row r="1058" ht="22.5" customHeight="1">
      <c r="A1058" s="145"/>
      <c r="B1058" s="145" t="str">
        <f t="shared" si="1"/>
        <v/>
      </c>
      <c r="C1058" s="145"/>
      <c r="D1058" s="145" t="str">
        <f t="array" ref="D1058">IFNA(XLOOKUP(C1058,'👥 Daftar Nama Pasien'!$B$6:$B1181,'👥 Daftar Nama Pasien'!$D$6:$D1181),"")</f>
        <v/>
      </c>
      <c r="E1058" s="145" t="str">
        <f t="array" ref="E1058">XLOOKUP(C1058,'⬇️ PEMASUKAN'!$I$5:$I1181,'⬇️ PEMASUKAN'!$K$5:$K1181,,0,-1)</f>
        <v/>
      </c>
      <c r="F1058" s="145" t="str">
        <f t="shared" si="2"/>
        <v/>
      </c>
      <c r="G1058" s="145" t="str">
        <f t="shared" si="3"/>
        <v/>
      </c>
      <c r="H1058" s="145"/>
      <c r="I1058" s="145"/>
      <c r="J1058" s="145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</row>
    <row r="1059" ht="22.5" customHeight="1">
      <c r="A1059" s="145"/>
      <c r="B1059" s="145" t="str">
        <f t="shared" si="1"/>
        <v/>
      </c>
      <c r="C1059" s="145"/>
      <c r="D1059" s="145" t="str">
        <f t="array" ref="D1059">IFNA(XLOOKUP(C1059,'👥 Daftar Nama Pasien'!$B$6:$B1181,'👥 Daftar Nama Pasien'!$D$6:$D1181),"")</f>
        <v/>
      </c>
      <c r="E1059" s="145" t="str">
        <f t="array" ref="E1059">XLOOKUP(C1059,'⬇️ PEMASUKAN'!$I$5:$I1181,'⬇️ PEMASUKAN'!$K$5:$K1181,,0,-1)</f>
        <v/>
      </c>
      <c r="F1059" s="145" t="str">
        <f t="shared" si="2"/>
        <v/>
      </c>
      <c r="G1059" s="145" t="str">
        <f t="shared" si="3"/>
        <v/>
      </c>
      <c r="H1059" s="145"/>
      <c r="I1059" s="145"/>
      <c r="J1059" s="145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</row>
    <row r="1060" ht="22.5" customHeight="1">
      <c r="A1060" s="145"/>
      <c r="B1060" s="145" t="str">
        <f t="shared" si="1"/>
        <v/>
      </c>
      <c r="C1060" s="145"/>
      <c r="D1060" s="145" t="str">
        <f t="array" ref="D1060">IFNA(XLOOKUP(C1060,'👥 Daftar Nama Pasien'!$B$6:$B1181,'👥 Daftar Nama Pasien'!$D$6:$D1181),"")</f>
        <v/>
      </c>
      <c r="E1060" s="145" t="str">
        <f t="array" ref="E1060">XLOOKUP(C1060,'⬇️ PEMASUKAN'!$I$5:$I1181,'⬇️ PEMASUKAN'!$K$5:$K1181,,0,-1)</f>
        <v/>
      </c>
      <c r="F1060" s="145" t="str">
        <f t="shared" si="2"/>
        <v/>
      </c>
      <c r="G1060" s="145" t="str">
        <f t="shared" si="3"/>
        <v/>
      </c>
      <c r="H1060" s="145"/>
      <c r="I1060" s="145"/>
      <c r="J1060" s="145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</row>
    <row r="1061" ht="22.5" customHeight="1">
      <c r="A1061" s="145"/>
      <c r="B1061" s="145" t="str">
        <f t="shared" si="1"/>
        <v/>
      </c>
      <c r="C1061" s="145"/>
      <c r="D1061" s="145" t="str">
        <f t="array" ref="D1061">IFNA(XLOOKUP(C1061,'👥 Daftar Nama Pasien'!$B$6:$B1181,'👥 Daftar Nama Pasien'!$D$6:$D1181),"")</f>
        <v/>
      </c>
      <c r="E1061" s="145" t="str">
        <f t="array" ref="E1061">XLOOKUP(C1061,'⬇️ PEMASUKAN'!$I$5:$I1181,'⬇️ PEMASUKAN'!$K$5:$K1181,,0,-1)</f>
        <v/>
      </c>
      <c r="F1061" s="145" t="str">
        <f t="shared" si="2"/>
        <v/>
      </c>
      <c r="G1061" s="145" t="str">
        <f t="shared" si="3"/>
        <v/>
      </c>
      <c r="H1061" s="145"/>
      <c r="I1061" s="145"/>
      <c r="J1061" s="145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</row>
    <row r="1062" ht="22.5" customHeight="1">
      <c r="A1062" s="145"/>
      <c r="B1062" s="145" t="str">
        <f t="shared" si="1"/>
        <v/>
      </c>
      <c r="C1062" s="145"/>
      <c r="D1062" s="145" t="str">
        <f t="array" ref="D1062">IFNA(XLOOKUP(C1062,'👥 Daftar Nama Pasien'!$B$6:$B1181,'👥 Daftar Nama Pasien'!$D$6:$D1181),"")</f>
        <v/>
      </c>
      <c r="E1062" s="145" t="str">
        <f t="array" ref="E1062">XLOOKUP(C1062,'⬇️ PEMASUKAN'!$I$5:$I1181,'⬇️ PEMASUKAN'!$K$5:$K1181,,0,-1)</f>
        <v/>
      </c>
      <c r="F1062" s="145" t="str">
        <f t="shared" si="2"/>
        <v/>
      </c>
      <c r="G1062" s="145" t="str">
        <f t="shared" si="3"/>
        <v/>
      </c>
      <c r="H1062" s="145"/>
      <c r="I1062" s="145"/>
      <c r="J1062" s="145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</row>
    <row r="1063" ht="22.5" customHeight="1">
      <c r="A1063" s="145"/>
      <c r="B1063" s="145" t="str">
        <f t="shared" si="1"/>
        <v/>
      </c>
      <c r="C1063" s="145"/>
      <c r="D1063" s="145" t="str">
        <f t="array" ref="D1063">IFNA(XLOOKUP(C1063,'👥 Daftar Nama Pasien'!$B$6:$B1181,'👥 Daftar Nama Pasien'!$D$6:$D1181),"")</f>
        <v/>
      </c>
      <c r="E1063" s="145" t="str">
        <f t="array" ref="E1063">XLOOKUP(C1063,'⬇️ PEMASUKAN'!$I$5:$I1181,'⬇️ PEMASUKAN'!$K$5:$K1181,,0,-1)</f>
        <v/>
      </c>
      <c r="F1063" s="145" t="str">
        <f t="shared" si="2"/>
        <v/>
      </c>
      <c r="G1063" s="145" t="str">
        <f t="shared" si="3"/>
        <v/>
      </c>
      <c r="H1063" s="145"/>
      <c r="I1063" s="145"/>
      <c r="J1063" s="145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</row>
    <row r="1064" ht="22.5" customHeight="1">
      <c r="A1064" s="145"/>
      <c r="B1064" s="145" t="str">
        <f t="shared" si="1"/>
        <v/>
      </c>
      <c r="C1064" s="145"/>
      <c r="D1064" s="145" t="str">
        <f t="array" ref="D1064">IFNA(XLOOKUP(C1064,'👥 Daftar Nama Pasien'!$B$6:$B1181,'👥 Daftar Nama Pasien'!$D$6:$D1181),"")</f>
        <v/>
      </c>
      <c r="E1064" s="145" t="str">
        <f t="array" ref="E1064">XLOOKUP(C1064,'⬇️ PEMASUKAN'!$I$5:$I1181,'⬇️ PEMASUKAN'!$K$5:$K1181,,0,-1)</f>
        <v/>
      </c>
      <c r="F1064" s="145" t="str">
        <f t="shared" si="2"/>
        <v/>
      </c>
      <c r="G1064" s="145" t="str">
        <f t="shared" si="3"/>
        <v/>
      </c>
      <c r="H1064" s="145"/>
      <c r="I1064" s="145"/>
      <c r="J1064" s="145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</row>
    <row r="1065" ht="22.5" customHeight="1">
      <c r="A1065" s="145"/>
      <c r="B1065" s="145" t="str">
        <f t="shared" si="1"/>
        <v/>
      </c>
      <c r="C1065" s="145"/>
      <c r="D1065" s="145" t="str">
        <f t="array" ref="D1065">IFNA(XLOOKUP(C1065,'👥 Daftar Nama Pasien'!$B$6:$B1181,'👥 Daftar Nama Pasien'!$D$6:$D1181),"")</f>
        <v/>
      </c>
      <c r="E1065" s="145" t="str">
        <f t="array" ref="E1065">XLOOKUP(C1065,'⬇️ PEMASUKAN'!$I$5:$I1181,'⬇️ PEMASUKAN'!$K$5:$K1181,,0,-1)</f>
        <v/>
      </c>
      <c r="F1065" s="145" t="str">
        <f t="shared" si="2"/>
        <v/>
      </c>
      <c r="G1065" s="145" t="str">
        <f t="shared" si="3"/>
        <v/>
      </c>
      <c r="H1065" s="145"/>
      <c r="I1065" s="145"/>
      <c r="J1065" s="145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</row>
    <row r="1066" ht="22.5" customHeight="1">
      <c r="A1066" s="145"/>
      <c r="B1066" s="145" t="str">
        <f t="shared" si="1"/>
        <v/>
      </c>
      <c r="C1066" s="145"/>
      <c r="D1066" s="145" t="str">
        <f t="array" ref="D1066">IFNA(XLOOKUP(C1066,'👥 Daftar Nama Pasien'!$B$6:$B1181,'👥 Daftar Nama Pasien'!$D$6:$D1181),"")</f>
        <v/>
      </c>
      <c r="E1066" s="145" t="str">
        <f t="array" ref="E1066">XLOOKUP(C1066,'⬇️ PEMASUKAN'!$I$5:$I1181,'⬇️ PEMASUKAN'!$K$5:$K1181,,0,-1)</f>
        <v/>
      </c>
      <c r="F1066" s="145" t="str">
        <f t="shared" si="2"/>
        <v/>
      </c>
      <c r="G1066" s="145" t="str">
        <f t="shared" si="3"/>
        <v/>
      </c>
      <c r="H1066" s="145"/>
      <c r="I1066" s="145"/>
      <c r="J1066" s="145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</row>
    <row r="1067" ht="22.5" customHeight="1">
      <c r="A1067" s="145"/>
      <c r="B1067" s="145" t="str">
        <f t="shared" si="1"/>
        <v/>
      </c>
      <c r="C1067" s="145"/>
      <c r="D1067" s="145" t="str">
        <f t="array" ref="D1067">IFNA(XLOOKUP(C1067,'👥 Daftar Nama Pasien'!$B$6:$B1181,'👥 Daftar Nama Pasien'!$D$6:$D1181),"")</f>
        <v/>
      </c>
      <c r="E1067" s="145" t="str">
        <f t="array" ref="E1067">XLOOKUP(C1067,'⬇️ PEMASUKAN'!$I$5:$I1181,'⬇️ PEMASUKAN'!$K$5:$K1181,,0,-1)</f>
        <v/>
      </c>
      <c r="F1067" s="145" t="str">
        <f t="shared" si="2"/>
        <v/>
      </c>
      <c r="G1067" s="145" t="str">
        <f t="shared" si="3"/>
        <v/>
      </c>
      <c r="H1067" s="145"/>
      <c r="I1067" s="145"/>
      <c r="J1067" s="145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</row>
    <row r="1068" ht="22.5" customHeight="1">
      <c r="A1068" s="145"/>
      <c r="B1068" s="145" t="str">
        <f t="shared" si="1"/>
        <v/>
      </c>
      <c r="C1068" s="145"/>
      <c r="D1068" s="145" t="str">
        <f t="array" ref="D1068">IFNA(XLOOKUP(C1068,'👥 Daftar Nama Pasien'!$B$6:$B1181,'👥 Daftar Nama Pasien'!$D$6:$D1181),"")</f>
        <v/>
      </c>
      <c r="E1068" s="145" t="str">
        <f t="array" ref="E1068">XLOOKUP(C1068,'⬇️ PEMASUKAN'!$I$5:$I1181,'⬇️ PEMASUKAN'!$K$5:$K1181,,0,-1)</f>
        <v/>
      </c>
      <c r="F1068" s="145" t="str">
        <f t="shared" si="2"/>
        <v/>
      </c>
      <c r="G1068" s="145" t="str">
        <f t="shared" si="3"/>
        <v/>
      </c>
      <c r="H1068" s="145"/>
      <c r="I1068" s="145"/>
      <c r="J1068" s="145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</row>
    <row r="1069" ht="22.5" customHeight="1">
      <c r="A1069" s="145"/>
      <c r="B1069" s="145" t="str">
        <f t="shared" si="1"/>
        <v/>
      </c>
      <c r="C1069" s="145"/>
      <c r="D1069" s="145" t="str">
        <f t="array" ref="D1069">IFNA(XLOOKUP(C1069,'👥 Daftar Nama Pasien'!$B$6:$B1181,'👥 Daftar Nama Pasien'!$D$6:$D1181),"")</f>
        <v/>
      </c>
      <c r="E1069" s="145" t="str">
        <f t="array" ref="E1069">XLOOKUP(C1069,'⬇️ PEMASUKAN'!$I$5:$I1181,'⬇️ PEMASUKAN'!$K$5:$K1181,,0,-1)</f>
        <v/>
      </c>
      <c r="F1069" s="145" t="str">
        <f t="shared" si="2"/>
        <v/>
      </c>
      <c r="G1069" s="145" t="str">
        <f t="shared" si="3"/>
        <v/>
      </c>
      <c r="H1069" s="145"/>
      <c r="I1069" s="145"/>
      <c r="J1069" s="145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</row>
    <row r="1070" ht="22.5" customHeight="1">
      <c r="A1070" s="145"/>
      <c r="B1070" s="145" t="str">
        <f t="shared" si="1"/>
        <v/>
      </c>
      <c r="C1070" s="145"/>
      <c r="D1070" s="145" t="str">
        <f t="array" ref="D1070">IFNA(XLOOKUP(C1070,'👥 Daftar Nama Pasien'!$B$6:$B1181,'👥 Daftar Nama Pasien'!$D$6:$D1181),"")</f>
        <v/>
      </c>
      <c r="E1070" s="145" t="str">
        <f t="array" ref="E1070">XLOOKUP(C1070,'⬇️ PEMASUKAN'!$I$5:$I1181,'⬇️ PEMASUKAN'!$K$5:$K1181,,0,-1)</f>
        <v/>
      </c>
      <c r="F1070" s="145" t="str">
        <f t="shared" si="2"/>
        <v/>
      </c>
      <c r="G1070" s="145" t="str">
        <f t="shared" si="3"/>
        <v/>
      </c>
      <c r="H1070" s="145"/>
      <c r="I1070" s="145"/>
      <c r="J1070" s="145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</row>
    <row r="1071" ht="22.5" customHeight="1">
      <c r="A1071" s="145"/>
      <c r="B1071" s="145" t="str">
        <f t="shared" si="1"/>
        <v/>
      </c>
      <c r="C1071" s="145"/>
      <c r="D1071" s="145" t="str">
        <f t="array" ref="D1071">IFNA(XLOOKUP(C1071,'👥 Daftar Nama Pasien'!$B$6:$B1181,'👥 Daftar Nama Pasien'!$D$6:$D1181),"")</f>
        <v/>
      </c>
      <c r="E1071" s="145" t="str">
        <f t="array" ref="E1071">XLOOKUP(C1071,'⬇️ PEMASUKAN'!$I$5:$I1181,'⬇️ PEMASUKAN'!$K$5:$K1181,,0,-1)</f>
        <v/>
      </c>
      <c r="F1071" s="145" t="str">
        <f t="shared" si="2"/>
        <v/>
      </c>
      <c r="G1071" s="145" t="str">
        <f t="shared" si="3"/>
        <v/>
      </c>
      <c r="H1071" s="145"/>
      <c r="I1071" s="145"/>
      <c r="J1071" s="145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</row>
    <row r="1072" ht="22.5" customHeight="1">
      <c r="A1072" s="145"/>
      <c r="B1072" s="145" t="str">
        <f t="shared" si="1"/>
        <v/>
      </c>
      <c r="C1072" s="145"/>
      <c r="D1072" s="145" t="str">
        <f t="array" ref="D1072">IFNA(XLOOKUP(C1072,'👥 Daftar Nama Pasien'!$B$6:$B1181,'👥 Daftar Nama Pasien'!$D$6:$D1181),"")</f>
        <v/>
      </c>
      <c r="E1072" s="145" t="str">
        <f t="array" ref="E1072">XLOOKUP(C1072,'⬇️ PEMASUKAN'!$I$5:$I1181,'⬇️ PEMASUKAN'!$K$5:$K1181,,0,-1)</f>
        <v/>
      </c>
      <c r="F1072" s="145" t="str">
        <f t="shared" si="2"/>
        <v/>
      </c>
      <c r="G1072" s="145" t="str">
        <f t="shared" si="3"/>
        <v/>
      </c>
      <c r="H1072" s="145"/>
      <c r="I1072" s="145"/>
      <c r="J1072" s="145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</row>
    <row r="1073" ht="22.5" customHeight="1">
      <c r="A1073" s="145"/>
      <c r="B1073" s="145" t="str">
        <f t="shared" si="1"/>
        <v/>
      </c>
      <c r="C1073" s="145"/>
      <c r="D1073" s="145" t="str">
        <f t="array" ref="D1073">IFNA(XLOOKUP(C1073,'👥 Daftar Nama Pasien'!$B$6:$B1181,'👥 Daftar Nama Pasien'!$D$6:$D1181),"")</f>
        <v/>
      </c>
      <c r="E1073" s="145" t="str">
        <f t="array" ref="E1073">XLOOKUP(C1073,'⬇️ PEMASUKAN'!$I$5:$I1181,'⬇️ PEMASUKAN'!$K$5:$K1181,,0,-1)</f>
        <v/>
      </c>
      <c r="F1073" s="145" t="str">
        <f t="shared" si="2"/>
        <v/>
      </c>
      <c r="G1073" s="145" t="str">
        <f t="shared" si="3"/>
        <v/>
      </c>
      <c r="H1073" s="145"/>
      <c r="I1073" s="145"/>
      <c r="J1073" s="145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</row>
    <row r="1074" ht="22.5" customHeight="1">
      <c r="A1074" s="145"/>
      <c r="B1074" s="145" t="str">
        <f t="shared" si="1"/>
        <v/>
      </c>
      <c r="C1074" s="145"/>
      <c r="D1074" s="145" t="str">
        <f t="array" ref="D1074">IFNA(XLOOKUP(C1074,'👥 Daftar Nama Pasien'!$B$6:$B1181,'👥 Daftar Nama Pasien'!$D$6:$D1181),"")</f>
        <v/>
      </c>
      <c r="E1074" s="145" t="str">
        <f t="array" ref="E1074">XLOOKUP(C1074,'⬇️ PEMASUKAN'!$I$5:$I1181,'⬇️ PEMASUKAN'!$K$5:$K1181,,0,-1)</f>
        <v/>
      </c>
      <c r="F1074" s="145" t="str">
        <f t="shared" si="2"/>
        <v/>
      </c>
      <c r="G1074" s="145" t="str">
        <f t="shared" si="3"/>
        <v/>
      </c>
      <c r="H1074" s="145"/>
      <c r="I1074" s="145"/>
      <c r="J1074" s="145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</row>
    <row r="1075" ht="22.5" customHeight="1">
      <c r="A1075" s="145"/>
      <c r="B1075" s="145" t="str">
        <f t="shared" si="1"/>
        <v/>
      </c>
      <c r="C1075" s="145"/>
      <c r="D1075" s="145" t="str">
        <f t="array" ref="D1075">IFNA(XLOOKUP(C1075,'👥 Daftar Nama Pasien'!$B$6:$B1181,'👥 Daftar Nama Pasien'!$D$6:$D1181),"")</f>
        <v/>
      </c>
      <c r="E1075" s="145" t="str">
        <f t="array" ref="E1075">XLOOKUP(C1075,'⬇️ PEMASUKAN'!$I$5:$I1181,'⬇️ PEMASUKAN'!$K$5:$K1181,,0,-1)</f>
        <v/>
      </c>
      <c r="F1075" s="145" t="str">
        <f t="shared" si="2"/>
        <v/>
      </c>
      <c r="G1075" s="145" t="str">
        <f t="shared" si="3"/>
        <v/>
      </c>
      <c r="H1075" s="145"/>
      <c r="I1075" s="145"/>
      <c r="J1075" s="145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</row>
    <row r="1076" ht="22.5" customHeight="1">
      <c r="A1076" s="145"/>
      <c r="B1076" s="145" t="str">
        <f t="shared" si="1"/>
        <v/>
      </c>
      <c r="C1076" s="145"/>
      <c r="D1076" s="145" t="str">
        <f t="array" ref="D1076">IFNA(XLOOKUP(C1076,'👥 Daftar Nama Pasien'!$B$6:$B1181,'👥 Daftar Nama Pasien'!$D$6:$D1181),"")</f>
        <v/>
      </c>
      <c r="E1076" s="145" t="str">
        <f t="array" ref="E1076">XLOOKUP(C1076,'⬇️ PEMASUKAN'!$I$5:$I1181,'⬇️ PEMASUKAN'!$K$5:$K1181,,0,-1)</f>
        <v/>
      </c>
      <c r="F1076" s="145" t="str">
        <f t="shared" si="2"/>
        <v/>
      </c>
      <c r="G1076" s="145" t="str">
        <f t="shared" si="3"/>
        <v/>
      </c>
      <c r="H1076" s="145"/>
      <c r="I1076" s="145"/>
      <c r="J1076" s="145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</row>
    <row r="1077" ht="22.5" customHeight="1">
      <c r="A1077" s="145"/>
      <c r="B1077" s="145" t="str">
        <f t="shared" si="1"/>
        <v/>
      </c>
      <c r="C1077" s="145"/>
      <c r="D1077" s="145" t="str">
        <f t="array" ref="D1077">IFNA(XLOOKUP(C1077,'👥 Daftar Nama Pasien'!$B$6:$B1181,'👥 Daftar Nama Pasien'!$D$6:$D1181),"")</f>
        <v/>
      </c>
      <c r="E1077" s="145" t="str">
        <f t="array" ref="E1077">XLOOKUP(C1077,'⬇️ PEMASUKAN'!$I$5:$I1181,'⬇️ PEMASUKAN'!$K$5:$K1181,,0,-1)</f>
        <v/>
      </c>
      <c r="F1077" s="145" t="str">
        <f t="shared" si="2"/>
        <v/>
      </c>
      <c r="G1077" s="145" t="str">
        <f t="shared" si="3"/>
        <v/>
      </c>
      <c r="H1077" s="145"/>
      <c r="I1077" s="145"/>
      <c r="J1077" s="145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</row>
    <row r="1078" ht="22.5" customHeight="1">
      <c r="A1078" s="145"/>
      <c r="B1078" s="145" t="str">
        <f t="shared" si="1"/>
        <v/>
      </c>
      <c r="C1078" s="145"/>
      <c r="D1078" s="145" t="str">
        <f t="array" ref="D1078">IFNA(XLOOKUP(C1078,'👥 Daftar Nama Pasien'!$B$6:$B1181,'👥 Daftar Nama Pasien'!$D$6:$D1181),"")</f>
        <v/>
      </c>
      <c r="E1078" s="145" t="str">
        <f t="array" ref="E1078">XLOOKUP(C1078,'⬇️ PEMASUKAN'!$I$5:$I1181,'⬇️ PEMASUKAN'!$K$5:$K1181,,0,-1)</f>
        <v/>
      </c>
      <c r="F1078" s="145" t="str">
        <f t="shared" si="2"/>
        <v/>
      </c>
      <c r="G1078" s="145" t="str">
        <f t="shared" si="3"/>
        <v/>
      </c>
      <c r="H1078" s="145"/>
      <c r="I1078" s="145"/>
      <c r="J1078" s="145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</row>
    <row r="1079" ht="22.5" customHeight="1">
      <c r="A1079" s="145"/>
      <c r="B1079" s="145" t="str">
        <f t="shared" si="1"/>
        <v/>
      </c>
      <c r="C1079" s="145"/>
      <c r="D1079" s="145" t="str">
        <f t="array" ref="D1079">IFNA(XLOOKUP(C1079,'👥 Daftar Nama Pasien'!$B$6:$B1181,'👥 Daftar Nama Pasien'!$D$6:$D1181),"")</f>
        <v/>
      </c>
      <c r="E1079" s="145" t="str">
        <f t="array" ref="E1079">XLOOKUP(C1079,'⬇️ PEMASUKAN'!$I$5:$I1181,'⬇️ PEMASUKAN'!$K$5:$K1181,,0,-1)</f>
        <v/>
      </c>
      <c r="F1079" s="145" t="str">
        <f t="shared" si="2"/>
        <v/>
      </c>
      <c r="G1079" s="145" t="str">
        <f t="shared" si="3"/>
        <v/>
      </c>
      <c r="H1079" s="145"/>
      <c r="I1079" s="145"/>
      <c r="J1079" s="145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</row>
    <row r="1080" ht="22.5" customHeight="1">
      <c r="A1080" s="145"/>
      <c r="B1080" s="145" t="str">
        <f t="shared" si="1"/>
        <v/>
      </c>
      <c r="C1080" s="145"/>
      <c r="D1080" s="145" t="str">
        <f t="array" ref="D1080">IFNA(XLOOKUP(C1080,'👥 Daftar Nama Pasien'!$B$6:$B1181,'👥 Daftar Nama Pasien'!$D$6:$D1181),"")</f>
        <v/>
      </c>
      <c r="E1080" s="145" t="str">
        <f t="array" ref="E1080">XLOOKUP(C1080,'⬇️ PEMASUKAN'!$I$5:$I1181,'⬇️ PEMASUKAN'!$K$5:$K1181,,0,-1)</f>
        <v/>
      </c>
      <c r="F1080" s="145" t="str">
        <f t="shared" si="2"/>
        <v/>
      </c>
      <c r="G1080" s="145" t="str">
        <f t="shared" si="3"/>
        <v/>
      </c>
      <c r="H1080" s="145"/>
      <c r="I1080" s="145"/>
      <c r="J1080" s="145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</row>
    <row r="1081" ht="22.5" customHeight="1">
      <c r="A1081" s="145"/>
      <c r="B1081" s="145" t="str">
        <f t="shared" si="1"/>
        <v/>
      </c>
      <c r="C1081" s="145"/>
      <c r="D1081" s="145" t="str">
        <f t="array" ref="D1081">IFNA(XLOOKUP(C1081,'👥 Daftar Nama Pasien'!$B$6:$B1181,'👥 Daftar Nama Pasien'!$D$6:$D1181),"")</f>
        <v/>
      </c>
      <c r="E1081" s="145" t="str">
        <f t="array" ref="E1081">XLOOKUP(C1081,'⬇️ PEMASUKAN'!$I$5:$I1181,'⬇️ PEMASUKAN'!$K$5:$K1181,,0,-1)</f>
        <v/>
      </c>
      <c r="F1081" s="145" t="str">
        <f t="shared" si="2"/>
        <v/>
      </c>
      <c r="G1081" s="145" t="str">
        <f t="shared" si="3"/>
        <v/>
      </c>
      <c r="H1081" s="145"/>
      <c r="I1081" s="145"/>
      <c r="J1081" s="145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</row>
    <row r="1082" ht="22.5" customHeight="1">
      <c r="A1082" s="145"/>
      <c r="B1082" s="145" t="str">
        <f t="shared" si="1"/>
        <v/>
      </c>
      <c r="C1082" s="145"/>
      <c r="D1082" s="145" t="str">
        <f t="array" ref="D1082">IFNA(XLOOKUP(C1082,'👥 Daftar Nama Pasien'!$B$6:$B1181,'👥 Daftar Nama Pasien'!$D$6:$D1181),"")</f>
        <v/>
      </c>
      <c r="E1082" s="145" t="str">
        <f t="array" ref="E1082">XLOOKUP(C1082,'⬇️ PEMASUKAN'!$I$5:$I1181,'⬇️ PEMASUKAN'!$K$5:$K1181,,0,-1)</f>
        <v/>
      </c>
      <c r="F1082" s="145" t="str">
        <f t="shared" si="2"/>
        <v/>
      </c>
      <c r="G1082" s="145" t="str">
        <f t="shared" si="3"/>
        <v/>
      </c>
      <c r="H1082" s="145"/>
      <c r="I1082" s="145"/>
      <c r="J1082" s="145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</row>
    <row r="1083" ht="22.5" customHeight="1">
      <c r="A1083" s="145"/>
      <c r="B1083" s="145" t="str">
        <f t="shared" si="1"/>
        <v/>
      </c>
      <c r="C1083" s="145"/>
      <c r="D1083" s="145" t="str">
        <f t="array" ref="D1083">IFNA(XLOOKUP(C1083,'👥 Daftar Nama Pasien'!$B$6:$B1181,'👥 Daftar Nama Pasien'!$D$6:$D1181),"")</f>
        <v/>
      </c>
      <c r="E1083" s="145" t="str">
        <f t="array" ref="E1083">XLOOKUP(C1083,'⬇️ PEMASUKAN'!$I$5:$I1181,'⬇️ PEMASUKAN'!$K$5:$K1181,,0,-1)</f>
        <v/>
      </c>
      <c r="F1083" s="145" t="str">
        <f t="shared" si="2"/>
        <v/>
      </c>
      <c r="G1083" s="145" t="str">
        <f t="shared" si="3"/>
        <v/>
      </c>
      <c r="H1083" s="145"/>
      <c r="I1083" s="145"/>
      <c r="J1083" s="145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</row>
    <row r="1084" ht="22.5" customHeight="1">
      <c r="A1084" s="145"/>
      <c r="B1084" s="145" t="str">
        <f t="shared" si="1"/>
        <v/>
      </c>
      <c r="C1084" s="145"/>
      <c r="D1084" s="145" t="str">
        <f t="array" ref="D1084">IFNA(XLOOKUP(C1084,'👥 Daftar Nama Pasien'!$B$6:$B1181,'👥 Daftar Nama Pasien'!$D$6:$D1181),"")</f>
        <v/>
      </c>
      <c r="E1084" s="145" t="str">
        <f t="array" ref="E1084">XLOOKUP(C1084,'⬇️ PEMASUKAN'!$I$5:$I1181,'⬇️ PEMASUKAN'!$K$5:$K1181,,0,-1)</f>
        <v/>
      </c>
      <c r="F1084" s="145" t="str">
        <f t="shared" si="2"/>
        <v/>
      </c>
      <c r="G1084" s="145" t="str">
        <f t="shared" si="3"/>
        <v/>
      </c>
      <c r="H1084" s="145"/>
      <c r="I1084" s="145"/>
      <c r="J1084" s="145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</row>
    <row r="1085" ht="22.5" customHeight="1">
      <c r="A1085" s="145"/>
      <c r="B1085" s="145" t="str">
        <f t="shared" si="1"/>
        <v/>
      </c>
      <c r="C1085" s="145"/>
      <c r="D1085" s="145" t="str">
        <f t="array" ref="D1085">IFNA(XLOOKUP(C1085,'👥 Daftar Nama Pasien'!$B$6:$B1181,'👥 Daftar Nama Pasien'!$D$6:$D1181),"")</f>
        <v/>
      </c>
      <c r="E1085" s="145" t="str">
        <f t="array" ref="E1085">XLOOKUP(C1085,'⬇️ PEMASUKAN'!$I$5:$I1181,'⬇️ PEMASUKAN'!$K$5:$K1181,,0,-1)</f>
        <v/>
      </c>
      <c r="F1085" s="145" t="str">
        <f t="shared" si="2"/>
        <v/>
      </c>
      <c r="G1085" s="145" t="str">
        <f t="shared" si="3"/>
        <v/>
      </c>
      <c r="H1085" s="145"/>
      <c r="I1085" s="145"/>
      <c r="J1085" s="145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</row>
    <row r="1086" ht="22.5" customHeight="1">
      <c r="A1086" s="145"/>
      <c r="B1086" s="145" t="str">
        <f t="shared" si="1"/>
        <v/>
      </c>
      <c r="C1086" s="145"/>
      <c r="D1086" s="145" t="str">
        <f t="array" ref="D1086">IFNA(XLOOKUP(C1086,'👥 Daftar Nama Pasien'!$B$6:$B1181,'👥 Daftar Nama Pasien'!$D$6:$D1181),"")</f>
        <v/>
      </c>
      <c r="E1086" s="145" t="str">
        <f t="array" ref="E1086">XLOOKUP(C1086,'⬇️ PEMASUKAN'!$I$5:$I1181,'⬇️ PEMASUKAN'!$K$5:$K1181,,0,-1)</f>
        <v/>
      </c>
      <c r="F1086" s="145" t="str">
        <f t="shared" si="2"/>
        <v/>
      </c>
      <c r="G1086" s="145" t="str">
        <f t="shared" si="3"/>
        <v/>
      </c>
      <c r="H1086" s="145"/>
      <c r="I1086" s="145"/>
      <c r="J1086" s="145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</row>
    <row r="1087" ht="22.5" customHeight="1">
      <c r="A1087" s="145"/>
      <c r="B1087" s="145" t="str">
        <f t="shared" si="1"/>
        <v/>
      </c>
      <c r="C1087" s="145"/>
      <c r="D1087" s="145" t="str">
        <f t="array" ref="D1087">IFNA(XLOOKUP(C1087,'👥 Daftar Nama Pasien'!$B$6:$B1181,'👥 Daftar Nama Pasien'!$D$6:$D1181),"")</f>
        <v/>
      </c>
      <c r="E1087" s="145" t="str">
        <f t="array" ref="E1087">XLOOKUP(C1087,'⬇️ PEMASUKAN'!$I$5:$I1181,'⬇️ PEMASUKAN'!$K$5:$K1181,,0,-1)</f>
        <v/>
      </c>
      <c r="F1087" s="145" t="str">
        <f t="shared" si="2"/>
        <v/>
      </c>
      <c r="G1087" s="145" t="str">
        <f t="shared" si="3"/>
        <v/>
      </c>
      <c r="H1087" s="145"/>
      <c r="I1087" s="145"/>
      <c r="J1087" s="145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</row>
    <row r="1088" ht="22.5" customHeight="1">
      <c r="A1088" s="145"/>
      <c r="B1088" s="145" t="str">
        <f t="shared" si="1"/>
        <v/>
      </c>
      <c r="C1088" s="145"/>
      <c r="D1088" s="145" t="str">
        <f t="array" ref="D1088">IFNA(XLOOKUP(C1088,'👥 Daftar Nama Pasien'!$B$6:$B1181,'👥 Daftar Nama Pasien'!$D$6:$D1181),"")</f>
        <v/>
      </c>
      <c r="E1088" s="145" t="str">
        <f t="array" ref="E1088">XLOOKUP(C1088,'⬇️ PEMASUKAN'!$I$5:$I1181,'⬇️ PEMASUKAN'!$K$5:$K1181,,0,-1)</f>
        <v/>
      </c>
      <c r="F1088" s="145" t="str">
        <f t="shared" si="2"/>
        <v/>
      </c>
      <c r="G1088" s="145" t="str">
        <f t="shared" si="3"/>
        <v/>
      </c>
      <c r="H1088" s="145"/>
      <c r="I1088" s="145"/>
      <c r="J1088" s="145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</row>
    <row r="1089" ht="22.5" customHeight="1">
      <c r="A1089" s="145"/>
      <c r="B1089" s="145" t="str">
        <f t="shared" si="1"/>
        <v/>
      </c>
      <c r="C1089" s="145"/>
      <c r="D1089" s="145" t="str">
        <f t="array" ref="D1089">IFNA(XLOOKUP(C1089,'👥 Daftar Nama Pasien'!$B$6:$B1181,'👥 Daftar Nama Pasien'!$D$6:$D1181),"")</f>
        <v/>
      </c>
      <c r="E1089" s="145" t="str">
        <f t="array" ref="E1089">XLOOKUP(C1089,'⬇️ PEMASUKAN'!$I$5:$I1181,'⬇️ PEMASUKAN'!$K$5:$K1181,,0,-1)</f>
        <v/>
      </c>
      <c r="F1089" s="145" t="str">
        <f t="shared" si="2"/>
        <v/>
      </c>
      <c r="G1089" s="145" t="str">
        <f t="shared" si="3"/>
        <v/>
      </c>
      <c r="H1089" s="145"/>
      <c r="I1089" s="145"/>
      <c r="J1089" s="145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</row>
    <row r="1090" ht="22.5" customHeight="1">
      <c r="A1090" s="145"/>
      <c r="B1090" s="145" t="str">
        <f t="shared" si="1"/>
        <v/>
      </c>
      <c r="C1090" s="145"/>
      <c r="D1090" s="145" t="str">
        <f t="array" ref="D1090">IFNA(XLOOKUP(C1090,'👥 Daftar Nama Pasien'!$B$6:$B1181,'👥 Daftar Nama Pasien'!$D$6:$D1181),"")</f>
        <v/>
      </c>
      <c r="E1090" s="145" t="str">
        <f t="array" ref="E1090">XLOOKUP(C1090,'⬇️ PEMASUKAN'!$I$5:$I1181,'⬇️ PEMASUKAN'!$K$5:$K1181,,0,-1)</f>
        <v/>
      </c>
      <c r="F1090" s="145" t="str">
        <f t="shared" si="2"/>
        <v/>
      </c>
      <c r="G1090" s="145" t="str">
        <f t="shared" si="3"/>
        <v/>
      </c>
      <c r="H1090" s="145"/>
      <c r="I1090" s="145"/>
      <c r="J1090" s="145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</row>
    <row r="1091" ht="22.5" customHeight="1">
      <c r="A1091" s="145"/>
      <c r="B1091" s="145" t="str">
        <f t="shared" si="1"/>
        <v/>
      </c>
      <c r="C1091" s="145"/>
      <c r="D1091" s="145" t="str">
        <f t="array" ref="D1091">IFNA(XLOOKUP(C1091,'👥 Daftar Nama Pasien'!$B$6:$B1181,'👥 Daftar Nama Pasien'!$D$6:$D1181),"")</f>
        <v/>
      </c>
      <c r="E1091" s="145" t="str">
        <f t="array" ref="E1091">XLOOKUP(C1091,'⬇️ PEMASUKAN'!$I$5:$I1181,'⬇️ PEMASUKAN'!$K$5:$K1181,,0,-1)</f>
        <v/>
      </c>
      <c r="F1091" s="145" t="str">
        <f t="shared" si="2"/>
        <v/>
      </c>
      <c r="G1091" s="145" t="str">
        <f t="shared" si="3"/>
        <v/>
      </c>
      <c r="H1091" s="145"/>
      <c r="I1091" s="145"/>
      <c r="J1091" s="145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</row>
    <row r="1092" ht="22.5" customHeight="1">
      <c r="A1092" s="145"/>
      <c r="B1092" s="145" t="str">
        <f t="shared" si="1"/>
        <v/>
      </c>
      <c r="C1092" s="145"/>
      <c r="D1092" s="145" t="str">
        <f t="array" ref="D1092">IFNA(XLOOKUP(C1092,'👥 Daftar Nama Pasien'!$B$6:$B1181,'👥 Daftar Nama Pasien'!$D$6:$D1181),"")</f>
        <v/>
      </c>
      <c r="E1092" s="145" t="str">
        <f t="array" ref="E1092">XLOOKUP(C1092,'⬇️ PEMASUKAN'!$I$5:$I1181,'⬇️ PEMASUKAN'!$K$5:$K1181,,0,-1)</f>
        <v/>
      </c>
      <c r="F1092" s="145" t="str">
        <f t="shared" si="2"/>
        <v/>
      </c>
      <c r="G1092" s="145" t="str">
        <f t="shared" si="3"/>
        <v/>
      </c>
      <c r="H1092" s="145"/>
      <c r="I1092" s="145"/>
      <c r="J1092" s="145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</row>
    <row r="1093" ht="22.5" customHeight="1">
      <c r="A1093" s="145"/>
      <c r="B1093" s="145" t="str">
        <f t="shared" si="1"/>
        <v/>
      </c>
      <c r="C1093" s="145"/>
      <c r="D1093" s="145" t="str">
        <f t="array" ref="D1093">IFNA(XLOOKUP(C1093,'👥 Daftar Nama Pasien'!$B$6:$B1181,'👥 Daftar Nama Pasien'!$D$6:$D1181),"")</f>
        <v/>
      </c>
      <c r="E1093" s="145" t="str">
        <f t="array" ref="E1093">XLOOKUP(C1093,'⬇️ PEMASUKAN'!$I$5:$I1181,'⬇️ PEMASUKAN'!$K$5:$K1181,,0,-1)</f>
        <v/>
      </c>
      <c r="F1093" s="145" t="str">
        <f t="shared" si="2"/>
        <v/>
      </c>
      <c r="G1093" s="145" t="str">
        <f t="shared" si="3"/>
        <v/>
      </c>
      <c r="H1093" s="145"/>
      <c r="I1093" s="145"/>
      <c r="J1093" s="145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</row>
    <row r="1094" ht="22.5" customHeight="1">
      <c r="A1094" s="145"/>
      <c r="B1094" s="145" t="str">
        <f t="shared" si="1"/>
        <v/>
      </c>
      <c r="C1094" s="145"/>
      <c r="D1094" s="145" t="str">
        <f t="array" ref="D1094">IFNA(XLOOKUP(C1094,'👥 Daftar Nama Pasien'!$B$6:$B1181,'👥 Daftar Nama Pasien'!$D$6:$D1181),"")</f>
        <v/>
      </c>
      <c r="E1094" s="145" t="str">
        <f t="array" ref="E1094">XLOOKUP(C1094,'⬇️ PEMASUKAN'!$I$5:$I1181,'⬇️ PEMASUKAN'!$K$5:$K1181,,0,-1)</f>
        <v/>
      </c>
      <c r="F1094" s="145" t="str">
        <f t="shared" si="2"/>
        <v/>
      </c>
      <c r="G1094" s="145" t="str">
        <f t="shared" si="3"/>
        <v/>
      </c>
      <c r="H1094" s="145"/>
      <c r="I1094" s="145"/>
      <c r="J1094" s="145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</row>
    <row r="1095" ht="22.5" customHeight="1">
      <c r="A1095" s="145"/>
      <c r="B1095" s="145" t="str">
        <f t="shared" si="1"/>
        <v/>
      </c>
      <c r="C1095" s="145"/>
      <c r="D1095" s="145" t="str">
        <f t="array" ref="D1095">IFNA(XLOOKUP(C1095,'👥 Daftar Nama Pasien'!$B$6:$B1181,'👥 Daftar Nama Pasien'!$D$6:$D1181),"")</f>
        <v/>
      </c>
      <c r="E1095" s="145" t="str">
        <f t="array" ref="E1095">XLOOKUP(C1095,'⬇️ PEMASUKAN'!$I$5:$I1181,'⬇️ PEMASUKAN'!$K$5:$K1181,,0,-1)</f>
        <v/>
      </c>
      <c r="F1095" s="145" t="str">
        <f t="shared" si="2"/>
        <v/>
      </c>
      <c r="G1095" s="145" t="str">
        <f t="shared" si="3"/>
        <v/>
      </c>
      <c r="H1095" s="145"/>
      <c r="I1095" s="145"/>
      <c r="J1095" s="145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</row>
    <row r="1096" ht="22.5" customHeight="1">
      <c r="A1096" s="145"/>
      <c r="B1096" s="145" t="str">
        <f t="shared" si="1"/>
        <v/>
      </c>
      <c r="C1096" s="145"/>
      <c r="D1096" s="145" t="str">
        <f t="array" ref="D1096">IFNA(XLOOKUP(C1096,'👥 Daftar Nama Pasien'!$B$6:$B1181,'👥 Daftar Nama Pasien'!$D$6:$D1181),"")</f>
        <v/>
      </c>
      <c r="E1096" s="145" t="str">
        <f t="array" ref="E1096">XLOOKUP(C1096,'⬇️ PEMASUKAN'!$I$5:$I1181,'⬇️ PEMASUKAN'!$K$5:$K1181,,0,-1)</f>
        <v/>
      </c>
      <c r="F1096" s="145" t="str">
        <f t="shared" si="2"/>
        <v/>
      </c>
      <c r="G1096" s="145" t="str">
        <f t="shared" si="3"/>
        <v/>
      </c>
      <c r="H1096" s="145"/>
      <c r="I1096" s="145"/>
      <c r="J1096" s="145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</row>
    <row r="1097" ht="22.5" customHeight="1">
      <c r="A1097" s="145"/>
      <c r="B1097" s="145" t="str">
        <f t="shared" si="1"/>
        <v/>
      </c>
      <c r="C1097" s="145"/>
      <c r="D1097" s="145" t="str">
        <f t="array" ref="D1097">IFNA(XLOOKUP(C1097,'👥 Daftar Nama Pasien'!$B$6:$B1181,'👥 Daftar Nama Pasien'!$D$6:$D1181),"")</f>
        <v/>
      </c>
      <c r="E1097" s="145" t="str">
        <f t="array" ref="E1097">XLOOKUP(C1097,'⬇️ PEMASUKAN'!$I$5:$I1181,'⬇️ PEMASUKAN'!$K$5:$K1181,,0,-1)</f>
        <v/>
      </c>
      <c r="F1097" s="145" t="str">
        <f t="shared" si="2"/>
        <v/>
      </c>
      <c r="G1097" s="145" t="str">
        <f t="shared" si="3"/>
        <v/>
      </c>
      <c r="H1097" s="145"/>
      <c r="I1097" s="145"/>
      <c r="J1097" s="145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</row>
    <row r="1098" ht="22.5" customHeight="1">
      <c r="A1098" s="145"/>
      <c r="B1098" s="145" t="str">
        <f t="shared" si="1"/>
        <v/>
      </c>
      <c r="C1098" s="145"/>
      <c r="D1098" s="145" t="str">
        <f t="array" ref="D1098">IFNA(XLOOKUP(C1098,'👥 Daftar Nama Pasien'!$B$6:$B1181,'👥 Daftar Nama Pasien'!$D$6:$D1181),"")</f>
        <v/>
      </c>
      <c r="E1098" s="145" t="str">
        <f t="array" ref="E1098">XLOOKUP(C1098,'⬇️ PEMASUKAN'!$I$5:$I1181,'⬇️ PEMASUKAN'!$K$5:$K1181,,0,-1)</f>
        <v/>
      </c>
      <c r="F1098" s="145" t="str">
        <f t="shared" si="2"/>
        <v/>
      </c>
      <c r="G1098" s="145" t="str">
        <f t="shared" si="3"/>
        <v/>
      </c>
      <c r="H1098" s="145"/>
      <c r="I1098" s="145"/>
      <c r="J1098" s="145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</row>
    <row r="1099" ht="22.5" customHeight="1">
      <c r="A1099" s="145"/>
      <c r="B1099" s="145" t="str">
        <f t="shared" si="1"/>
        <v/>
      </c>
      <c r="C1099" s="145"/>
      <c r="D1099" s="145" t="str">
        <f t="array" ref="D1099">IFNA(XLOOKUP(C1099,'👥 Daftar Nama Pasien'!$B$6:$B1181,'👥 Daftar Nama Pasien'!$D$6:$D1181),"")</f>
        <v/>
      </c>
      <c r="E1099" s="145" t="str">
        <f t="array" ref="E1099">XLOOKUP(C1099,'⬇️ PEMASUKAN'!$I$5:$I1181,'⬇️ PEMASUKAN'!$K$5:$K1181,,0,-1)</f>
        <v/>
      </c>
      <c r="F1099" s="145" t="str">
        <f t="shared" si="2"/>
        <v/>
      </c>
      <c r="G1099" s="145" t="str">
        <f t="shared" si="3"/>
        <v/>
      </c>
      <c r="H1099" s="145"/>
      <c r="I1099" s="145"/>
      <c r="J1099" s="145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</row>
    <row r="1100" ht="22.5" customHeight="1">
      <c r="A1100" s="145"/>
      <c r="B1100" s="145" t="str">
        <f t="shared" si="1"/>
        <v/>
      </c>
      <c r="C1100" s="145"/>
      <c r="D1100" s="145" t="str">
        <f t="array" ref="D1100">IFNA(XLOOKUP(C1100,'👥 Daftar Nama Pasien'!$B$6:$B1181,'👥 Daftar Nama Pasien'!$D$6:$D1181),"")</f>
        <v/>
      </c>
      <c r="E1100" s="145" t="str">
        <f t="array" ref="E1100">XLOOKUP(C1100,'⬇️ PEMASUKAN'!$I$5:$I1181,'⬇️ PEMASUKAN'!$K$5:$K1181,,0,-1)</f>
        <v/>
      </c>
      <c r="F1100" s="145" t="str">
        <f t="shared" si="2"/>
        <v/>
      </c>
      <c r="G1100" s="145" t="str">
        <f t="shared" si="3"/>
        <v/>
      </c>
      <c r="H1100" s="145"/>
      <c r="I1100" s="145"/>
      <c r="J1100" s="145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</row>
    <row r="1101" ht="22.5" customHeight="1">
      <c r="A1101" s="145"/>
      <c r="B1101" s="145" t="str">
        <f t="shared" si="1"/>
        <v/>
      </c>
      <c r="C1101" s="145"/>
      <c r="D1101" s="145" t="str">
        <f t="array" ref="D1101">IFNA(XLOOKUP(C1101,'👥 Daftar Nama Pasien'!$B$6:$B1181,'👥 Daftar Nama Pasien'!$D$6:$D1181),"")</f>
        <v/>
      </c>
      <c r="E1101" s="145" t="str">
        <f t="array" ref="E1101">XLOOKUP(C1101,'⬇️ PEMASUKAN'!$I$5:$I1181,'⬇️ PEMASUKAN'!$K$5:$K1181,,0,-1)</f>
        <v/>
      </c>
      <c r="F1101" s="145" t="str">
        <f t="shared" si="2"/>
        <v/>
      </c>
      <c r="G1101" s="145" t="str">
        <f t="shared" si="3"/>
        <v/>
      </c>
      <c r="H1101" s="145"/>
      <c r="I1101" s="145"/>
      <c r="J1101" s="145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</row>
    <row r="1102" ht="22.5" customHeight="1">
      <c r="A1102" s="145"/>
      <c r="B1102" s="145" t="str">
        <f t="shared" si="1"/>
        <v/>
      </c>
      <c r="C1102" s="145"/>
      <c r="D1102" s="145" t="str">
        <f t="array" ref="D1102">IFNA(XLOOKUP(C1102,'👥 Daftar Nama Pasien'!$B$6:$B1181,'👥 Daftar Nama Pasien'!$D$6:$D1181),"")</f>
        <v/>
      </c>
      <c r="E1102" s="145" t="str">
        <f t="array" ref="E1102">XLOOKUP(C1102,'⬇️ PEMASUKAN'!$I$5:$I1181,'⬇️ PEMASUKAN'!$K$5:$K1181,,0,-1)</f>
        <v/>
      </c>
      <c r="F1102" s="145" t="str">
        <f t="shared" si="2"/>
        <v/>
      </c>
      <c r="G1102" s="145" t="str">
        <f t="shared" si="3"/>
        <v/>
      </c>
      <c r="H1102" s="145"/>
      <c r="I1102" s="145"/>
      <c r="J1102" s="145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</row>
    <row r="1103" ht="22.5" customHeight="1">
      <c r="A1103" s="145"/>
      <c r="B1103" s="145" t="str">
        <f t="shared" si="1"/>
        <v/>
      </c>
      <c r="C1103" s="145"/>
      <c r="D1103" s="145" t="str">
        <f t="array" ref="D1103">IFNA(XLOOKUP(C1103,'👥 Daftar Nama Pasien'!$B$6:$B1181,'👥 Daftar Nama Pasien'!$D$6:$D1181),"")</f>
        <v/>
      </c>
      <c r="E1103" s="145" t="str">
        <f t="array" ref="E1103">XLOOKUP(C1103,'⬇️ PEMASUKAN'!$I$5:$I1181,'⬇️ PEMASUKAN'!$K$5:$K1181,,0,-1)</f>
        <v/>
      </c>
      <c r="F1103" s="145" t="str">
        <f t="shared" si="2"/>
        <v/>
      </c>
      <c r="G1103" s="145" t="str">
        <f t="shared" si="3"/>
        <v/>
      </c>
      <c r="H1103" s="145"/>
      <c r="I1103" s="145"/>
      <c r="J1103" s="145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</row>
    <row r="1104" ht="22.5" customHeight="1">
      <c r="A1104" s="145"/>
      <c r="B1104" s="145" t="str">
        <f t="shared" si="1"/>
        <v/>
      </c>
      <c r="C1104" s="145"/>
      <c r="D1104" s="145" t="str">
        <f t="array" ref="D1104">IFNA(XLOOKUP(C1104,'👥 Daftar Nama Pasien'!$B$6:$B1181,'👥 Daftar Nama Pasien'!$D$6:$D1181),"")</f>
        <v/>
      </c>
      <c r="E1104" s="145" t="str">
        <f t="array" ref="E1104">XLOOKUP(C1104,'⬇️ PEMASUKAN'!$I$5:$I1181,'⬇️ PEMASUKAN'!$K$5:$K1181,,0,-1)</f>
        <v/>
      </c>
      <c r="F1104" s="145" t="str">
        <f t="shared" si="2"/>
        <v/>
      </c>
      <c r="G1104" s="145" t="str">
        <f t="shared" si="3"/>
        <v/>
      </c>
      <c r="H1104" s="145"/>
      <c r="I1104" s="145"/>
      <c r="J1104" s="145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</row>
    <row r="1105" ht="22.5" customHeight="1">
      <c r="A1105" s="145"/>
      <c r="B1105" s="145" t="str">
        <f t="shared" si="1"/>
        <v/>
      </c>
      <c r="C1105" s="145"/>
      <c r="D1105" s="145" t="str">
        <f t="array" ref="D1105">IFNA(XLOOKUP(C1105,'👥 Daftar Nama Pasien'!$B$6:$B1181,'👥 Daftar Nama Pasien'!$D$6:$D1181),"")</f>
        <v/>
      </c>
      <c r="E1105" s="145" t="str">
        <f t="array" ref="E1105">XLOOKUP(C1105,'⬇️ PEMASUKAN'!$I$5:$I1181,'⬇️ PEMASUKAN'!$K$5:$K1181,,0,-1)</f>
        <v/>
      </c>
      <c r="F1105" s="145" t="str">
        <f t="shared" si="2"/>
        <v/>
      </c>
      <c r="G1105" s="145" t="str">
        <f t="shared" si="3"/>
        <v/>
      </c>
      <c r="H1105" s="145"/>
      <c r="I1105" s="145"/>
      <c r="J1105" s="145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</row>
    <row r="1106" ht="22.5" customHeight="1">
      <c r="A1106" s="145"/>
      <c r="B1106" s="145" t="str">
        <f t="shared" si="1"/>
        <v/>
      </c>
      <c r="C1106" s="145"/>
      <c r="D1106" s="145" t="str">
        <f t="array" ref="D1106">IFNA(XLOOKUP(C1106,'👥 Daftar Nama Pasien'!$B$6:$B1181,'👥 Daftar Nama Pasien'!$D$6:$D1181),"")</f>
        <v/>
      </c>
      <c r="E1106" s="145" t="str">
        <f t="array" ref="E1106">XLOOKUP(C1106,'⬇️ PEMASUKAN'!$I$5:$I1181,'⬇️ PEMASUKAN'!$K$5:$K1181,,0,-1)</f>
        <v/>
      </c>
      <c r="F1106" s="145" t="str">
        <f t="shared" si="2"/>
        <v/>
      </c>
      <c r="G1106" s="145" t="str">
        <f t="shared" si="3"/>
        <v/>
      </c>
      <c r="H1106" s="145"/>
      <c r="I1106" s="145"/>
      <c r="J1106" s="145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</row>
    <row r="1107" ht="22.5" customHeight="1">
      <c r="A1107" s="145"/>
      <c r="B1107" s="145" t="str">
        <f t="shared" si="1"/>
        <v/>
      </c>
      <c r="C1107" s="145"/>
      <c r="D1107" s="145" t="str">
        <f t="array" ref="D1107">IFNA(XLOOKUP(C1107,'👥 Daftar Nama Pasien'!$B$6:$B1181,'👥 Daftar Nama Pasien'!$D$6:$D1181),"")</f>
        <v/>
      </c>
      <c r="E1107" s="145" t="str">
        <f t="array" ref="E1107">XLOOKUP(C1107,'⬇️ PEMASUKAN'!$I$5:$I1181,'⬇️ PEMASUKAN'!$K$5:$K1181,,0,-1)</f>
        <v/>
      </c>
      <c r="F1107" s="145" t="str">
        <f t="shared" si="2"/>
        <v/>
      </c>
      <c r="G1107" s="145" t="str">
        <f t="shared" si="3"/>
        <v/>
      </c>
      <c r="H1107" s="145"/>
      <c r="I1107" s="145"/>
      <c r="J1107" s="145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</row>
    <row r="1108" ht="22.5" customHeight="1">
      <c r="A1108" s="145"/>
      <c r="B1108" s="145" t="str">
        <f t="shared" si="1"/>
        <v/>
      </c>
      <c r="C1108" s="145"/>
      <c r="D1108" s="145" t="str">
        <f t="array" ref="D1108">IFNA(XLOOKUP(C1108,'👥 Daftar Nama Pasien'!$B$6:$B1181,'👥 Daftar Nama Pasien'!$D$6:$D1181),"")</f>
        <v/>
      </c>
      <c r="E1108" s="145" t="str">
        <f t="array" ref="E1108">XLOOKUP(C1108,'⬇️ PEMASUKAN'!$I$5:$I1181,'⬇️ PEMASUKAN'!$K$5:$K1181,,0,-1)</f>
        <v/>
      </c>
      <c r="F1108" s="145" t="str">
        <f t="shared" si="2"/>
        <v/>
      </c>
      <c r="G1108" s="145" t="str">
        <f t="shared" si="3"/>
        <v/>
      </c>
      <c r="H1108" s="145"/>
      <c r="I1108" s="145"/>
      <c r="J1108" s="145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</row>
    <row r="1109" ht="22.5" customHeight="1">
      <c r="A1109" s="145"/>
      <c r="B1109" s="145" t="str">
        <f t="shared" si="1"/>
        <v/>
      </c>
      <c r="C1109" s="145"/>
      <c r="D1109" s="145" t="str">
        <f t="array" ref="D1109">IFNA(XLOOKUP(C1109,'👥 Daftar Nama Pasien'!$B$6:$B1181,'👥 Daftar Nama Pasien'!$D$6:$D1181),"")</f>
        <v/>
      </c>
      <c r="E1109" s="145" t="str">
        <f t="array" ref="E1109">XLOOKUP(C1109,'⬇️ PEMASUKAN'!$I$5:$I1181,'⬇️ PEMASUKAN'!$K$5:$K1181,,0,-1)</f>
        <v/>
      </c>
      <c r="F1109" s="145" t="str">
        <f t="shared" si="2"/>
        <v/>
      </c>
      <c r="G1109" s="145" t="str">
        <f t="shared" si="3"/>
        <v/>
      </c>
      <c r="H1109" s="145"/>
      <c r="I1109" s="145"/>
      <c r="J1109" s="145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</row>
    <row r="1110" ht="22.5" customHeight="1">
      <c r="A1110" s="145"/>
      <c r="B1110" s="145" t="str">
        <f t="shared" si="1"/>
        <v/>
      </c>
      <c r="C1110" s="145"/>
      <c r="D1110" s="145" t="str">
        <f t="array" ref="D1110">IFNA(XLOOKUP(C1110,'👥 Daftar Nama Pasien'!$B$6:$B1181,'👥 Daftar Nama Pasien'!$D$6:$D1181),"")</f>
        <v/>
      </c>
      <c r="E1110" s="145" t="str">
        <f t="array" ref="E1110">XLOOKUP(C1110,'⬇️ PEMASUKAN'!$I$5:$I1181,'⬇️ PEMASUKAN'!$K$5:$K1181,,0,-1)</f>
        <v/>
      </c>
      <c r="F1110" s="145" t="str">
        <f t="shared" si="2"/>
        <v/>
      </c>
      <c r="G1110" s="145" t="str">
        <f t="shared" si="3"/>
        <v/>
      </c>
      <c r="H1110" s="145"/>
      <c r="I1110" s="145"/>
      <c r="J1110" s="145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</row>
    <row r="1111" ht="22.5" customHeight="1">
      <c r="A1111" s="145"/>
      <c r="B1111" s="145" t="str">
        <f t="shared" si="1"/>
        <v/>
      </c>
      <c r="C1111" s="145"/>
      <c r="D1111" s="145" t="str">
        <f t="array" ref="D1111">IFNA(XLOOKUP(C1111,'👥 Daftar Nama Pasien'!$B$6:$B1181,'👥 Daftar Nama Pasien'!$D$6:$D1181),"")</f>
        <v/>
      </c>
      <c r="E1111" s="145" t="str">
        <f t="array" ref="E1111">XLOOKUP(C1111,'⬇️ PEMASUKAN'!$I$5:$I1181,'⬇️ PEMASUKAN'!$K$5:$K1181,,0,-1)</f>
        <v/>
      </c>
      <c r="F1111" s="145" t="str">
        <f t="shared" si="2"/>
        <v/>
      </c>
      <c r="G1111" s="145" t="str">
        <f t="shared" si="3"/>
        <v/>
      </c>
      <c r="H1111" s="145"/>
      <c r="I1111" s="145"/>
      <c r="J1111" s="145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</row>
    <row r="1112" ht="22.5" customHeight="1">
      <c r="A1112" s="145"/>
      <c r="B1112" s="145" t="str">
        <f t="shared" si="1"/>
        <v/>
      </c>
      <c r="C1112" s="145"/>
      <c r="D1112" s="145" t="str">
        <f t="array" ref="D1112">IFNA(XLOOKUP(C1112,'👥 Daftar Nama Pasien'!$B$6:$B1181,'👥 Daftar Nama Pasien'!$D$6:$D1181),"")</f>
        <v/>
      </c>
      <c r="E1112" s="145" t="str">
        <f t="array" ref="E1112">XLOOKUP(C1112,'⬇️ PEMASUKAN'!$I$5:$I1181,'⬇️ PEMASUKAN'!$K$5:$K1181,,0,-1)</f>
        <v/>
      </c>
      <c r="F1112" s="145" t="str">
        <f t="shared" si="2"/>
        <v/>
      </c>
      <c r="G1112" s="145" t="str">
        <f t="shared" si="3"/>
        <v/>
      </c>
      <c r="H1112" s="145"/>
      <c r="I1112" s="145"/>
      <c r="J1112" s="145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</row>
    <row r="1113" ht="22.5" customHeight="1">
      <c r="A1113" s="145"/>
      <c r="B1113" s="145" t="str">
        <f t="shared" si="1"/>
        <v/>
      </c>
      <c r="C1113" s="145"/>
      <c r="D1113" s="145" t="str">
        <f t="array" ref="D1113">IFNA(XLOOKUP(C1113,'👥 Daftar Nama Pasien'!$B$6:$B1181,'👥 Daftar Nama Pasien'!$D$6:$D1181),"")</f>
        <v/>
      </c>
      <c r="E1113" s="145" t="str">
        <f t="array" ref="E1113">XLOOKUP(C1113,'⬇️ PEMASUKAN'!$I$5:$I1181,'⬇️ PEMASUKAN'!$K$5:$K1181,,0,-1)</f>
        <v/>
      </c>
      <c r="F1113" s="145" t="str">
        <f t="shared" si="2"/>
        <v/>
      </c>
      <c r="G1113" s="145" t="str">
        <f t="shared" si="3"/>
        <v/>
      </c>
      <c r="H1113" s="145"/>
      <c r="I1113" s="145"/>
      <c r="J1113" s="145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</row>
    <row r="1114" ht="22.5" customHeight="1">
      <c r="A1114" s="145"/>
      <c r="B1114" s="145" t="str">
        <f t="shared" si="1"/>
        <v/>
      </c>
      <c r="C1114" s="145"/>
      <c r="D1114" s="145" t="str">
        <f t="array" ref="D1114">IFNA(XLOOKUP(C1114,'👥 Daftar Nama Pasien'!$B$6:$B1181,'👥 Daftar Nama Pasien'!$D$6:$D1181),"")</f>
        <v/>
      </c>
      <c r="E1114" s="145" t="str">
        <f t="array" ref="E1114">XLOOKUP(C1114,'⬇️ PEMASUKAN'!$I$5:$I1181,'⬇️ PEMASUKAN'!$K$5:$K1181,,0,-1)</f>
        <v/>
      </c>
      <c r="F1114" s="145" t="str">
        <f t="shared" si="2"/>
        <v/>
      </c>
      <c r="G1114" s="145" t="str">
        <f t="shared" si="3"/>
        <v/>
      </c>
      <c r="H1114" s="145"/>
      <c r="I1114" s="145"/>
      <c r="J1114" s="145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</row>
    <row r="1115" ht="22.5" customHeight="1">
      <c r="A1115" s="145"/>
      <c r="B1115" s="145" t="str">
        <f t="shared" si="1"/>
        <v/>
      </c>
      <c r="C1115" s="145"/>
      <c r="D1115" s="145" t="str">
        <f t="array" ref="D1115">IFNA(XLOOKUP(C1115,'👥 Daftar Nama Pasien'!$B$6:$B1181,'👥 Daftar Nama Pasien'!$D$6:$D1181),"")</f>
        <v/>
      </c>
      <c r="E1115" s="145" t="str">
        <f t="array" ref="E1115">XLOOKUP(C1115,'⬇️ PEMASUKAN'!$I$5:$I1181,'⬇️ PEMASUKAN'!$K$5:$K1181,,0,-1)</f>
        <v/>
      </c>
      <c r="F1115" s="145" t="str">
        <f t="shared" si="2"/>
        <v/>
      </c>
      <c r="G1115" s="145" t="str">
        <f t="shared" si="3"/>
        <v/>
      </c>
      <c r="H1115" s="145"/>
      <c r="I1115" s="145"/>
      <c r="J1115" s="145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</row>
    <row r="1116" ht="22.5" customHeight="1">
      <c r="A1116" s="145"/>
      <c r="B1116" s="145" t="str">
        <f t="shared" si="1"/>
        <v/>
      </c>
      <c r="C1116" s="145"/>
      <c r="D1116" s="145" t="str">
        <f t="array" ref="D1116">IFNA(XLOOKUP(C1116,'👥 Daftar Nama Pasien'!$B$6:$B1181,'👥 Daftar Nama Pasien'!$D$6:$D1181),"")</f>
        <v/>
      </c>
      <c r="E1116" s="145" t="str">
        <f t="array" ref="E1116">XLOOKUP(C1116,'⬇️ PEMASUKAN'!$I$5:$I1181,'⬇️ PEMASUKAN'!$K$5:$K1181,,0,-1)</f>
        <v/>
      </c>
      <c r="F1116" s="145" t="str">
        <f t="shared" si="2"/>
        <v/>
      </c>
      <c r="G1116" s="145" t="str">
        <f t="shared" si="3"/>
        <v/>
      </c>
      <c r="H1116" s="145"/>
      <c r="I1116" s="145"/>
      <c r="J1116" s="145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</row>
    <row r="1117" ht="22.5" customHeight="1">
      <c r="A1117" s="145"/>
      <c r="B1117" s="145" t="str">
        <f t="shared" si="1"/>
        <v/>
      </c>
      <c r="C1117" s="145"/>
      <c r="D1117" s="145" t="str">
        <f t="array" ref="D1117">IFNA(XLOOKUP(C1117,'👥 Daftar Nama Pasien'!$B$6:$B1181,'👥 Daftar Nama Pasien'!$D$6:$D1181),"")</f>
        <v/>
      </c>
      <c r="E1117" s="145" t="str">
        <f t="array" ref="E1117">XLOOKUP(C1117,'⬇️ PEMASUKAN'!$I$5:$I1181,'⬇️ PEMASUKAN'!$K$5:$K1181,,0,-1)</f>
        <v/>
      </c>
      <c r="F1117" s="145" t="str">
        <f t="shared" si="2"/>
        <v/>
      </c>
      <c r="G1117" s="145" t="str">
        <f t="shared" si="3"/>
        <v/>
      </c>
      <c r="H1117" s="145"/>
      <c r="I1117" s="145"/>
      <c r="J1117" s="145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</row>
    <row r="1118" ht="22.5" customHeight="1">
      <c r="A1118" s="145"/>
      <c r="B1118" s="145" t="str">
        <f t="shared" si="1"/>
        <v/>
      </c>
      <c r="C1118" s="145"/>
      <c r="D1118" s="145" t="str">
        <f t="array" ref="D1118">IFNA(XLOOKUP(C1118,'👥 Daftar Nama Pasien'!$B$6:$B1181,'👥 Daftar Nama Pasien'!$D$6:$D1181),"")</f>
        <v/>
      </c>
      <c r="E1118" s="145" t="str">
        <f t="array" ref="E1118">XLOOKUP(C1118,'⬇️ PEMASUKAN'!$I$5:$I1181,'⬇️ PEMASUKAN'!$K$5:$K1181,,0,-1)</f>
        <v/>
      </c>
      <c r="F1118" s="145" t="str">
        <f t="shared" si="2"/>
        <v/>
      </c>
      <c r="G1118" s="145" t="str">
        <f t="shared" si="3"/>
        <v/>
      </c>
      <c r="H1118" s="145"/>
      <c r="I1118" s="145"/>
      <c r="J1118" s="145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</row>
    <row r="1119" ht="22.5" customHeight="1">
      <c r="A1119" s="145"/>
      <c r="B1119" s="145" t="str">
        <f t="shared" si="1"/>
        <v/>
      </c>
      <c r="C1119" s="145"/>
      <c r="D1119" s="145" t="str">
        <f t="array" ref="D1119">IFNA(XLOOKUP(C1119,'👥 Daftar Nama Pasien'!$B$6:$B1181,'👥 Daftar Nama Pasien'!$D$6:$D1181),"")</f>
        <v/>
      </c>
      <c r="E1119" s="145" t="str">
        <f t="array" ref="E1119">XLOOKUP(C1119,'⬇️ PEMASUKAN'!$I$5:$I1181,'⬇️ PEMASUKAN'!$K$5:$K1181,,0,-1)</f>
        <v/>
      </c>
      <c r="F1119" s="145" t="str">
        <f t="shared" si="2"/>
        <v/>
      </c>
      <c r="G1119" s="145" t="str">
        <f t="shared" si="3"/>
        <v/>
      </c>
      <c r="H1119" s="145"/>
      <c r="I1119" s="145"/>
      <c r="J1119" s="145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</row>
    <row r="1120" ht="22.5" customHeight="1">
      <c r="A1120" s="145"/>
      <c r="B1120" s="145" t="str">
        <f t="shared" si="1"/>
        <v/>
      </c>
      <c r="C1120" s="145"/>
      <c r="D1120" s="145" t="str">
        <f t="array" ref="D1120">IFNA(XLOOKUP(C1120,'👥 Daftar Nama Pasien'!$B$6:$B1181,'👥 Daftar Nama Pasien'!$D$6:$D1181),"")</f>
        <v/>
      </c>
      <c r="E1120" s="145" t="str">
        <f t="array" ref="E1120">XLOOKUP(C1120,'⬇️ PEMASUKAN'!$I$5:$I1181,'⬇️ PEMASUKAN'!$K$5:$K1181,,0,-1)</f>
        <v/>
      </c>
      <c r="F1120" s="145" t="str">
        <f t="shared" si="2"/>
        <v/>
      </c>
      <c r="G1120" s="145" t="str">
        <f t="shared" si="3"/>
        <v/>
      </c>
      <c r="H1120" s="145"/>
      <c r="I1120" s="145"/>
      <c r="J1120" s="145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</row>
    <row r="1121" ht="22.5" customHeight="1">
      <c r="A1121" s="145"/>
      <c r="B1121" s="145" t="str">
        <f t="shared" si="1"/>
        <v/>
      </c>
      <c r="C1121" s="145"/>
      <c r="D1121" s="145" t="str">
        <f t="array" ref="D1121">IFNA(XLOOKUP(C1121,'👥 Daftar Nama Pasien'!$B$6:$B1181,'👥 Daftar Nama Pasien'!$D$6:$D1181),"")</f>
        <v/>
      </c>
      <c r="E1121" s="145" t="str">
        <f t="array" ref="E1121">XLOOKUP(C1121,'⬇️ PEMASUKAN'!$I$5:$I1181,'⬇️ PEMASUKAN'!$K$5:$K1181,,0,-1)</f>
        <v/>
      </c>
      <c r="F1121" s="145" t="str">
        <f t="shared" si="2"/>
        <v/>
      </c>
      <c r="G1121" s="145" t="str">
        <f t="shared" si="3"/>
        <v/>
      </c>
      <c r="H1121" s="145"/>
      <c r="I1121" s="145"/>
      <c r="J1121" s="145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</row>
    <row r="1122" ht="22.5" customHeight="1">
      <c r="A1122" s="145"/>
      <c r="B1122" s="145" t="str">
        <f t="shared" si="1"/>
        <v/>
      </c>
      <c r="C1122" s="145"/>
      <c r="D1122" s="145" t="str">
        <f t="array" ref="D1122">IFNA(XLOOKUP(C1122,'👥 Daftar Nama Pasien'!$B$6:$B1181,'👥 Daftar Nama Pasien'!$D$6:$D1181),"")</f>
        <v/>
      </c>
      <c r="E1122" s="145" t="str">
        <f t="array" ref="E1122">XLOOKUP(C1122,'⬇️ PEMASUKAN'!$I$5:$I1181,'⬇️ PEMASUKAN'!$K$5:$K1181,,0,-1)</f>
        <v/>
      </c>
      <c r="F1122" s="145" t="str">
        <f t="shared" si="2"/>
        <v/>
      </c>
      <c r="G1122" s="145" t="str">
        <f t="shared" si="3"/>
        <v/>
      </c>
      <c r="H1122" s="145"/>
      <c r="I1122" s="145"/>
      <c r="J1122" s="145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</row>
    <row r="1123" ht="22.5" customHeight="1">
      <c r="A1123" s="145"/>
      <c r="B1123" s="145" t="str">
        <f t="shared" si="1"/>
        <v/>
      </c>
      <c r="C1123" s="145"/>
      <c r="D1123" s="145" t="str">
        <f t="array" ref="D1123">IFNA(XLOOKUP(C1123,'👥 Daftar Nama Pasien'!$B$6:$B1181,'👥 Daftar Nama Pasien'!$D$6:$D1181),"")</f>
        <v/>
      </c>
      <c r="E1123" s="145" t="str">
        <f t="array" ref="E1123">XLOOKUP(C1123,'⬇️ PEMASUKAN'!$I$5:$I1181,'⬇️ PEMASUKAN'!$K$5:$K1181,,0,-1)</f>
        <v/>
      </c>
      <c r="F1123" s="145" t="str">
        <f t="shared" si="2"/>
        <v/>
      </c>
      <c r="G1123" s="145" t="str">
        <f t="shared" si="3"/>
        <v/>
      </c>
      <c r="H1123" s="145"/>
      <c r="I1123" s="145"/>
      <c r="J1123" s="145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</row>
    <row r="1124" ht="22.5" customHeight="1">
      <c r="A1124" s="145"/>
      <c r="B1124" s="145" t="str">
        <f t="shared" si="1"/>
        <v/>
      </c>
      <c r="C1124" s="145"/>
      <c r="D1124" s="145" t="str">
        <f t="array" ref="D1124">IFNA(XLOOKUP(C1124,'👥 Daftar Nama Pasien'!$B$6:$B1181,'👥 Daftar Nama Pasien'!$D$6:$D1181),"")</f>
        <v/>
      </c>
      <c r="E1124" s="145" t="str">
        <f t="array" ref="E1124">XLOOKUP(C1124,'⬇️ PEMASUKAN'!$I$5:$I1181,'⬇️ PEMASUKAN'!$K$5:$K1181,,0,-1)</f>
        <v/>
      </c>
      <c r="F1124" s="145" t="str">
        <f t="shared" si="2"/>
        <v/>
      </c>
      <c r="G1124" s="145" t="str">
        <f t="shared" si="3"/>
        <v/>
      </c>
      <c r="H1124" s="145"/>
      <c r="I1124" s="145"/>
      <c r="J1124" s="145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</row>
    <row r="1125" ht="22.5" customHeight="1">
      <c r="A1125" s="145"/>
      <c r="B1125" s="145" t="str">
        <f t="shared" si="1"/>
        <v/>
      </c>
      <c r="C1125" s="145"/>
      <c r="D1125" s="145" t="str">
        <f t="array" ref="D1125">IFNA(XLOOKUP(C1125,'👥 Daftar Nama Pasien'!$B$6:$B1181,'👥 Daftar Nama Pasien'!$D$6:$D1181),"")</f>
        <v/>
      </c>
      <c r="E1125" s="145" t="str">
        <f t="array" ref="E1125">XLOOKUP(C1125,'⬇️ PEMASUKAN'!$I$5:$I1181,'⬇️ PEMASUKAN'!$K$5:$K1181,,0,-1)</f>
        <v/>
      </c>
      <c r="F1125" s="145" t="str">
        <f t="shared" si="2"/>
        <v/>
      </c>
      <c r="G1125" s="145" t="str">
        <f t="shared" si="3"/>
        <v/>
      </c>
      <c r="H1125" s="145"/>
      <c r="I1125" s="145"/>
      <c r="J1125" s="145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</row>
    <row r="1126" ht="22.5" customHeight="1">
      <c r="A1126" s="145"/>
      <c r="B1126" s="145" t="str">
        <f t="shared" si="1"/>
        <v/>
      </c>
      <c r="C1126" s="145"/>
      <c r="D1126" s="145" t="str">
        <f t="array" ref="D1126">IFNA(XLOOKUP(C1126,'👥 Daftar Nama Pasien'!$B$6:$B1181,'👥 Daftar Nama Pasien'!$D$6:$D1181),"")</f>
        <v/>
      </c>
      <c r="E1126" s="145" t="str">
        <f t="array" ref="E1126">XLOOKUP(C1126,'⬇️ PEMASUKAN'!$I$5:$I1181,'⬇️ PEMASUKAN'!$K$5:$K1181,,0,-1)</f>
        <v/>
      </c>
      <c r="F1126" s="145" t="str">
        <f t="shared" si="2"/>
        <v/>
      </c>
      <c r="G1126" s="145" t="str">
        <f t="shared" si="3"/>
        <v/>
      </c>
      <c r="H1126" s="145"/>
      <c r="I1126" s="145"/>
      <c r="J1126" s="145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</row>
    <row r="1127" ht="22.5" customHeight="1">
      <c r="A1127" s="145"/>
      <c r="B1127" s="145" t="str">
        <f t="shared" si="1"/>
        <v/>
      </c>
      <c r="C1127" s="145"/>
      <c r="D1127" s="145" t="str">
        <f t="array" ref="D1127">IFNA(XLOOKUP(C1127,'👥 Daftar Nama Pasien'!$B$6:$B1181,'👥 Daftar Nama Pasien'!$D$6:$D1181),"")</f>
        <v/>
      </c>
      <c r="E1127" s="145" t="str">
        <f t="array" ref="E1127">XLOOKUP(C1127,'⬇️ PEMASUKAN'!$I$5:$I1181,'⬇️ PEMASUKAN'!$K$5:$K1181,,0,-1)</f>
        <v/>
      </c>
      <c r="F1127" s="145" t="str">
        <f t="shared" si="2"/>
        <v/>
      </c>
      <c r="G1127" s="145" t="str">
        <f t="shared" si="3"/>
        <v/>
      </c>
      <c r="H1127" s="145"/>
      <c r="I1127" s="145"/>
      <c r="J1127" s="145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</row>
    <row r="1128" ht="22.5" customHeight="1">
      <c r="A1128" s="145"/>
      <c r="B1128" s="145" t="str">
        <f t="shared" si="1"/>
        <v/>
      </c>
      <c r="C1128" s="145"/>
      <c r="D1128" s="145" t="str">
        <f t="array" ref="D1128">IFNA(XLOOKUP(C1128,'👥 Daftar Nama Pasien'!$B$6:$B1181,'👥 Daftar Nama Pasien'!$D$6:$D1181),"")</f>
        <v/>
      </c>
      <c r="E1128" s="145" t="str">
        <f t="array" ref="E1128">XLOOKUP(C1128,'⬇️ PEMASUKAN'!$I$5:$I1181,'⬇️ PEMASUKAN'!$K$5:$K1181,,0,-1)</f>
        <v/>
      </c>
      <c r="F1128" s="145" t="str">
        <f t="shared" si="2"/>
        <v/>
      </c>
      <c r="G1128" s="145" t="str">
        <f t="shared" si="3"/>
        <v/>
      </c>
      <c r="H1128" s="145"/>
      <c r="I1128" s="145"/>
      <c r="J1128" s="145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</row>
    <row r="1129" ht="22.5" customHeight="1">
      <c r="A1129" s="145"/>
      <c r="B1129" s="145" t="str">
        <f t="shared" si="1"/>
        <v/>
      </c>
      <c r="C1129" s="145"/>
      <c r="D1129" s="145" t="str">
        <f t="array" ref="D1129">IFNA(XLOOKUP(C1129,'👥 Daftar Nama Pasien'!$B$6:$B1181,'👥 Daftar Nama Pasien'!$D$6:$D1181),"")</f>
        <v/>
      </c>
      <c r="E1129" s="145" t="str">
        <f t="array" ref="E1129">XLOOKUP(C1129,'⬇️ PEMASUKAN'!$I$5:$I1181,'⬇️ PEMASUKAN'!$K$5:$K1181,,0,-1)</f>
        <v/>
      </c>
      <c r="F1129" s="145" t="str">
        <f t="shared" si="2"/>
        <v/>
      </c>
      <c r="G1129" s="145" t="str">
        <f t="shared" si="3"/>
        <v/>
      </c>
      <c r="H1129" s="145"/>
      <c r="I1129" s="145"/>
      <c r="J1129" s="145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</row>
    <row r="1130" ht="22.5" customHeight="1">
      <c r="A1130" s="145"/>
      <c r="B1130" s="145" t="str">
        <f t="shared" si="1"/>
        <v/>
      </c>
      <c r="C1130" s="145"/>
      <c r="D1130" s="145" t="str">
        <f t="array" ref="D1130">IFNA(XLOOKUP(C1130,'👥 Daftar Nama Pasien'!$B$6:$B1181,'👥 Daftar Nama Pasien'!$D$6:$D1181),"")</f>
        <v/>
      </c>
      <c r="E1130" s="145" t="str">
        <f t="array" ref="E1130">XLOOKUP(C1130,'⬇️ PEMASUKAN'!$I$5:$I1181,'⬇️ PEMASUKAN'!$K$5:$K1181,,0,-1)</f>
        <v/>
      </c>
      <c r="F1130" s="145" t="str">
        <f t="shared" si="2"/>
        <v/>
      </c>
      <c r="G1130" s="145" t="str">
        <f t="shared" si="3"/>
        <v/>
      </c>
      <c r="H1130" s="145"/>
      <c r="I1130" s="145"/>
      <c r="J1130" s="145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</row>
    <row r="1131" ht="22.5" customHeight="1">
      <c r="A1131" s="145"/>
      <c r="B1131" s="145" t="str">
        <f t="shared" si="1"/>
        <v/>
      </c>
      <c r="C1131" s="145"/>
      <c r="D1131" s="145" t="str">
        <f t="array" ref="D1131">IFNA(XLOOKUP(C1131,'👥 Daftar Nama Pasien'!$B$6:$B1181,'👥 Daftar Nama Pasien'!$D$6:$D1181),"")</f>
        <v/>
      </c>
      <c r="E1131" s="145" t="str">
        <f t="array" ref="E1131">XLOOKUP(C1131,'⬇️ PEMASUKAN'!$I$5:$I1181,'⬇️ PEMASUKAN'!$K$5:$K1181,,0,-1)</f>
        <v/>
      </c>
      <c r="F1131" s="145" t="str">
        <f t="shared" si="2"/>
        <v/>
      </c>
      <c r="G1131" s="145" t="str">
        <f t="shared" si="3"/>
        <v/>
      </c>
      <c r="H1131" s="145"/>
      <c r="I1131" s="145"/>
      <c r="J1131" s="145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</row>
    <row r="1132" ht="22.5" customHeight="1">
      <c r="A1132" s="145"/>
      <c r="B1132" s="145" t="str">
        <f t="shared" si="1"/>
        <v/>
      </c>
      <c r="C1132" s="145"/>
      <c r="D1132" s="145" t="str">
        <f t="array" ref="D1132">IFNA(XLOOKUP(C1132,'👥 Daftar Nama Pasien'!$B$6:$B1181,'👥 Daftar Nama Pasien'!$D$6:$D1181),"")</f>
        <v/>
      </c>
      <c r="E1132" s="145" t="str">
        <f t="array" ref="E1132">XLOOKUP(C1132,'⬇️ PEMASUKAN'!$I$5:$I1181,'⬇️ PEMASUKAN'!$K$5:$K1181,,0,-1)</f>
        <v/>
      </c>
      <c r="F1132" s="145" t="str">
        <f t="shared" si="2"/>
        <v/>
      </c>
      <c r="G1132" s="145" t="str">
        <f t="shared" si="3"/>
        <v/>
      </c>
      <c r="H1132" s="145"/>
      <c r="I1132" s="145"/>
      <c r="J1132" s="145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</row>
    <row r="1133" ht="22.5" customHeight="1">
      <c r="A1133" s="145"/>
      <c r="B1133" s="145" t="str">
        <f t="shared" si="1"/>
        <v/>
      </c>
      <c r="C1133" s="145"/>
      <c r="D1133" s="145" t="str">
        <f t="array" ref="D1133">IFNA(XLOOKUP(C1133,'👥 Daftar Nama Pasien'!$B$6:$B1181,'👥 Daftar Nama Pasien'!$D$6:$D1181),"")</f>
        <v/>
      </c>
      <c r="E1133" s="145" t="str">
        <f t="array" ref="E1133">XLOOKUP(C1133,'⬇️ PEMASUKAN'!$I$5:$I1181,'⬇️ PEMASUKAN'!$K$5:$K1181,,0,-1)</f>
        <v/>
      </c>
      <c r="F1133" s="145" t="str">
        <f t="shared" si="2"/>
        <v/>
      </c>
      <c r="G1133" s="145" t="str">
        <f t="shared" si="3"/>
        <v/>
      </c>
      <c r="H1133" s="145"/>
      <c r="I1133" s="145"/>
      <c r="J1133" s="145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</row>
    <row r="1134" ht="22.5" customHeight="1">
      <c r="A1134" s="145"/>
      <c r="B1134" s="145" t="str">
        <f t="shared" si="1"/>
        <v/>
      </c>
      <c r="C1134" s="145"/>
      <c r="D1134" s="145" t="str">
        <f t="array" ref="D1134">IFNA(XLOOKUP(C1134,'👥 Daftar Nama Pasien'!$B$6:$B1181,'👥 Daftar Nama Pasien'!$D$6:$D1181),"")</f>
        <v/>
      </c>
      <c r="E1134" s="145" t="str">
        <f t="array" ref="E1134">XLOOKUP(C1134,'⬇️ PEMASUKAN'!$I$5:$I1181,'⬇️ PEMASUKAN'!$K$5:$K1181,,0,-1)</f>
        <v/>
      </c>
      <c r="F1134" s="145" t="str">
        <f t="shared" si="2"/>
        <v/>
      </c>
      <c r="G1134" s="145" t="str">
        <f t="shared" si="3"/>
        <v/>
      </c>
      <c r="H1134" s="145"/>
      <c r="I1134" s="145"/>
      <c r="J1134" s="145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</row>
    <row r="1135" ht="22.5" customHeight="1">
      <c r="A1135" s="145"/>
      <c r="B1135" s="145" t="str">
        <f t="shared" si="1"/>
        <v/>
      </c>
      <c r="C1135" s="145"/>
      <c r="D1135" s="145" t="str">
        <f t="array" ref="D1135">IFNA(XLOOKUP(C1135,'👥 Daftar Nama Pasien'!$B$6:$B1181,'👥 Daftar Nama Pasien'!$D$6:$D1181),"")</f>
        <v/>
      </c>
      <c r="E1135" s="145" t="str">
        <f t="array" ref="E1135">XLOOKUP(C1135,'⬇️ PEMASUKAN'!$I$5:$I1181,'⬇️ PEMASUKAN'!$K$5:$K1181,,0,-1)</f>
        <v/>
      </c>
      <c r="F1135" s="145" t="str">
        <f t="shared" si="2"/>
        <v/>
      </c>
      <c r="G1135" s="145" t="str">
        <f t="shared" si="3"/>
        <v/>
      </c>
      <c r="H1135" s="145"/>
      <c r="I1135" s="145"/>
      <c r="J1135" s="145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</row>
    <row r="1136" ht="22.5" customHeight="1">
      <c r="A1136" s="145"/>
      <c r="B1136" s="145" t="str">
        <f t="shared" si="1"/>
        <v/>
      </c>
      <c r="C1136" s="145"/>
      <c r="D1136" s="145" t="str">
        <f t="array" ref="D1136">IFNA(XLOOKUP(C1136,'👥 Daftar Nama Pasien'!$B$6:$B1181,'👥 Daftar Nama Pasien'!$D$6:$D1181),"")</f>
        <v/>
      </c>
      <c r="E1136" s="145" t="str">
        <f t="array" ref="E1136">XLOOKUP(C1136,'⬇️ PEMASUKAN'!$I$5:$I1181,'⬇️ PEMASUKAN'!$K$5:$K1181,,0,-1)</f>
        <v/>
      </c>
      <c r="F1136" s="145" t="str">
        <f t="shared" si="2"/>
        <v/>
      </c>
      <c r="G1136" s="145" t="str">
        <f t="shared" si="3"/>
        <v/>
      </c>
      <c r="H1136" s="145"/>
      <c r="I1136" s="145"/>
      <c r="J1136" s="145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</row>
    <row r="1137" ht="22.5" customHeight="1">
      <c r="A1137" s="145"/>
      <c r="B1137" s="145" t="str">
        <f t="shared" si="1"/>
        <v/>
      </c>
      <c r="C1137" s="145"/>
      <c r="D1137" s="145" t="str">
        <f t="array" ref="D1137">IFNA(XLOOKUP(C1137,'👥 Daftar Nama Pasien'!$B$6:$B1181,'👥 Daftar Nama Pasien'!$D$6:$D1181),"")</f>
        <v/>
      </c>
      <c r="E1137" s="145" t="str">
        <f t="array" ref="E1137">XLOOKUP(C1137,'⬇️ PEMASUKAN'!$I$5:$I1181,'⬇️ PEMASUKAN'!$K$5:$K1181,,0,-1)</f>
        <v/>
      </c>
      <c r="F1137" s="145" t="str">
        <f t="shared" si="2"/>
        <v/>
      </c>
      <c r="G1137" s="145" t="str">
        <f t="shared" si="3"/>
        <v/>
      </c>
      <c r="H1137" s="145"/>
      <c r="I1137" s="145"/>
      <c r="J1137" s="145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</row>
    <row r="1138" ht="22.5" customHeight="1">
      <c r="A1138" s="145"/>
      <c r="B1138" s="145" t="str">
        <f t="shared" si="1"/>
        <v/>
      </c>
      <c r="C1138" s="145"/>
      <c r="D1138" s="145" t="str">
        <f t="array" ref="D1138">IFNA(XLOOKUP(C1138,'👥 Daftar Nama Pasien'!$B$6:$B1181,'👥 Daftar Nama Pasien'!$D$6:$D1181),"")</f>
        <v/>
      </c>
      <c r="E1138" s="145" t="str">
        <f t="array" ref="E1138">XLOOKUP(C1138,'⬇️ PEMASUKAN'!$I$5:$I1181,'⬇️ PEMASUKAN'!$K$5:$K1181,,0,-1)</f>
        <v/>
      </c>
      <c r="F1138" s="145" t="str">
        <f t="shared" si="2"/>
        <v/>
      </c>
      <c r="G1138" s="145" t="str">
        <f t="shared" si="3"/>
        <v/>
      </c>
      <c r="H1138" s="145"/>
      <c r="I1138" s="145"/>
      <c r="J1138" s="145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</row>
    <row r="1139" ht="22.5" customHeight="1">
      <c r="A1139" s="145"/>
      <c r="B1139" s="145" t="str">
        <f t="shared" si="1"/>
        <v/>
      </c>
      <c r="C1139" s="145"/>
      <c r="D1139" s="145" t="str">
        <f t="array" ref="D1139">IFNA(XLOOKUP(C1139,'👥 Daftar Nama Pasien'!$B$6:$B1181,'👥 Daftar Nama Pasien'!$D$6:$D1181),"")</f>
        <v/>
      </c>
      <c r="E1139" s="145" t="str">
        <f t="array" ref="E1139">XLOOKUP(C1139,'⬇️ PEMASUKAN'!$I$5:$I1181,'⬇️ PEMASUKAN'!$K$5:$K1181,,0,-1)</f>
        <v/>
      </c>
      <c r="F1139" s="145" t="str">
        <f t="shared" si="2"/>
        <v/>
      </c>
      <c r="G1139" s="145" t="str">
        <f t="shared" si="3"/>
        <v/>
      </c>
      <c r="H1139" s="145"/>
      <c r="I1139" s="145"/>
      <c r="J1139" s="145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</row>
    <row r="1140" ht="22.5" customHeight="1">
      <c r="A1140" s="145"/>
      <c r="B1140" s="145" t="str">
        <f t="shared" si="1"/>
        <v/>
      </c>
      <c r="C1140" s="145"/>
      <c r="D1140" s="145" t="str">
        <f t="array" ref="D1140">IFNA(XLOOKUP(C1140,'👥 Daftar Nama Pasien'!$B$6:$B1181,'👥 Daftar Nama Pasien'!$D$6:$D1181),"")</f>
        <v/>
      </c>
      <c r="E1140" s="145" t="str">
        <f t="array" ref="E1140">XLOOKUP(C1140,'⬇️ PEMASUKAN'!$I$5:$I1181,'⬇️ PEMASUKAN'!$K$5:$K1181,,0,-1)</f>
        <v/>
      </c>
      <c r="F1140" s="145" t="str">
        <f t="shared" si="2"/>
        <v/>
      </c>
      <c r="G1140" s="145" t="str">
        <f t="shared" si="3"/>
        <v/>
      </c>
      <c r="H1140" s="145"/>
      <c r="I1140" s="145"/>
      <c r="J1140" s="145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</row>
    <row r="1141" ht="22.5" customHeight="1">
      <c r="A1141" s="145"/>
      <c r="B1141" s="145" t="str">
        <f t="shared" si="1"/>
        <v/>
      </c>
      <c r="C1141" s="145"/>
      <c r="D1141" s="145" t="str">
        <f t="array" ref="D1141">IFNA(XLOOKUP(C1141,'👥 Daftar Nama Pasien'!$B$6:$B1181,'👥 Daftar Nama Pasien'!$D$6:$D1181),"")</f>
        <v/>
      </c>
      <c r="E1141" s="145" t="str">
        <f t="array" ref="E1141">XLOOKUP(C1141,'⬇️ PEMASUKAN'!$I$5:$I1181,'⬇️ PEMASUKAN'!$K$5:$K1181,,0,-1)</f>
        <v/>
      </c>
      <c r="F1141" s="145" t="str">
        <f t="shared" si="2"/>
        <v/>
      </c>
      <c r="G1141" s="145" t="str">
        <f t="shared" si="3"/>
        <v/>
      </c>
      <c r="H1141" s="145"/>
      <c r="I1141" s="145"/>
      <c r="J1141" s="145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</row>
    <row r="1142" ht="22.5" customHeight="1">
      <c r="A1142" s="145"/>
      <c r="B1142" s="145" t="str">
        <f t="shared" si="1"/>
        <v/>
      </c>
      <c r="C1142" s="145"/>
      <c r="D1142" s="145" t="str">
        <f t="array" ref="D1142">IFNA(XLOOKUP(C1142,'👥 Daftar Nama Pasien'!$B$6:$B1181,'👥 Daftar Nama Pasien'!$D$6:$D1181),"")</f>
        <v/>
      </c>
      <c r="E1142" s="145" t="str">
        <f t="array" ref="E1142">XLOOKUP(C1142,'⬇️ PEMASUKAN'!$I$5:$I1181,'⬇️ PEMASUKAN'!$K$5:$K1181,,0,-1)</f>
        <v/>
      </c>
      <c r="F1142" s="145" t="str">
        <f t="shared" si="2"/>
        <v/>
      </c>
      <c r="G1142" s="145" t="str">
        <f t="shared" si="3"/>
        <v/>
      </c>
      <c r="H1142" s="145"/>
      <c r="I1142" s="145"/>
      <c r="J1142" s="145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</row>
    <row r="1143" ht="22.5" customHeight="1">
      <c r="A1143" s="145"/>
      <c r="B1143" s="145" t="str">
        <f t="shared" si="1"/>
        <v/>
      </c>
      <c r="C1143" s="145"/>
      <c r="D1143" s="145" t="str">
        <f t="array" ref="D1143">IFNA(XLOOKUP(C1143,'👥 Daftar Nama Pasien'!$B$6:$B1181,'👥 Daftar Nama Pasien'!$D$6:$D1181),"")</f>
        <v/>
      </c>
      <c r="E1143" s="145" t="str">
        <f t="array" ref="E1143">XLOOKUP(C1143,'⬇️ PEMASUKAN'!$I$5:$I1181,'⬇️ PEMASUKAN'!$K$5:$K1181,,0,-1)</f>
        <v/>
      </c>
      <c r="F1143" s="145" t="str">
        <f t="shared" si="2"/>
        <v/>
      </c>
      <c r="G1143" s="145" t="str">
        <f t="shared" si="3"/>
        <v/>
      </c>
      <c r="H1143" s="145"/>
      <c r="I1143" s="145"/>
      <c r="J1143" s="145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</row>
    <row r="1144" ht="22.5" customHeight="1">
      <c r="A1144" s="145"/>
      <c r="B1144" s="145" t="str">
        <f t="shared" si="1"/>
        <v/>
      </c>
      <c r="C1144" s="145"/>
      <c r="D1144" s="145" t="str">
        <f t="array" ref="D1144">IFNA(XLOOKUP(C1144,'👥 Daftar Nama Pasien'!$B$6:$B1181,'👥 Daftar Nama Pasien'!$D$6:$D1181),"")</f>
        <v/>
      </c>
      <c r="E1144" s="145" t="str">
        <f t="array" ref="E1144">XLOOKUP(C1144,'⬇️ PEMASUKAN'!$I$5:$I1181,'⬇️ PEMASUKAN'!$K$5:$K1181,,0,-1)</f>
        <v/>
      </c>
      <c r="F1144" s="145" t="str">
        <f t="shared" si="2"/>
        <v/>
      </c>
      <c r="G1144" s="145" t="str">
        <f t="shared" si="3"/>
        <v/>
      </c>
      <c r="H1144" s="145"/>
      <c r="I1144" s="145"/>
      <c r="J1144" s="145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</row>
    <row r="1145" ht="22.5" customHeight="1">
      <c r="A1145" s="145"/>
      <c r="B1145" s="145" t="str">
        <f t="shared" si="1"/>
        <v/>
      </c>
      <c r="C1145" s="145"/>
      <c r="D1145" s="145" t="str">
        <f t="array" ref="D1145">IFNA(XLOOKUP(C1145,'👥 Daftar Nama Pasien'!$B$6:$B1181,'👥 Daftar Nama Pasien'!$D$6:$D1181),"")</f>
        <v/>
      </c>
      <c r="E1145" s="145" t="str">
        <f t="array" ref="E1145">XLOOKUP(C1145,'⬇️ PEMASUKAN'!$I$5:$I1181,'⬇️ PEMASUKAN'!$K$5:$K1181,,0,-1)</f>
        <v/>
      </c>
      <c r="F1145" s="145" t="str">
        <f t="shared" si="2"/>
        <v/>
      </c>
      <c r="G1145" s="145" t="str">
        <f t="shared" si="3"/>
        <v/>
      </c>
      <c r="H1145" s="145"/>
      <c r="I1145" s="145"/>
      <c r="J1145" s="145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</row>
    <row r="1146" ht="22.5" customHeight="1">
      <c r="A1146" s="145"/>
      <c r="B1146" s="145" t="str">
        <f t="shared" si="1"/>
        <v/>
      </c>
      <c r="C1146" s="145"/>
      <c r="D1146" s="145" t="str">
        <f t="array" ref="D1146">IFNA(XLOOKUP(C1146,'👥 Daftar Nama Pasien'!$B$6:$B1181,'👥 Daftar Nama Pasien'!$D$6:$D1181),"")</f>
        <v/>
      </c>
      <c r="E1146" s="145" t="str">
        <f t="array" ref="E1146">XLOOKUP(C1146,'⬇️ PEMASUKAN'!$I$5:$I1181,'⬇️ PEMASUKAN'!$K$5:$K1181,,0,-1)</f>
        <v/>
      </c>
      <c r="F1146" s="145" t="str">
        <f t="shared" si="2"/>
        <v/>
      </c>
      <c r="G1146" s="145" t="str">
        <f t="shared" si="3"/>
        <v/>
      </c>
      <c r="H1146" s="145"/>
      <c r="I1146" s="145"/>
      <c r="J1146" s="145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</row>
    <row r="1147" ht="22.5" customHeight="1">
      <c r="A1147" s="145"/>
      <c r="B1147" s="145" t="str">
        <f t="shared" si="1"/>
        <v/>
      </c>
      <c r="C1147" s="145"/>
      <c r="D1147" s="145" t="str">
        <f t="array" ref="D1147">IFNA(XLOOKUP(C1147,'👥 Daftar Nama Pasien'!$B$6:$B1181,'👥 Daftar Nama Pasien'!$D$6:$D1181),"")</f>
        <v/>
      </c>
      <c r="E1147" s="145" t="str">
        <f t="array" ref="E1147">XLOOKUP(C1147,'⬇️ PEMASUKAN'!$I$5:$I1181,'⬇️ PEMASUKAN'!$K$5:$K1181,,0,-1)</f>
        <v/>
      </c>
      <c r="F1147" s="145" t="str">
        <f t="shared" si="2"/>
        <v/>
      </c>
      <c r="G1147" s="145" t="str">
        <f t="shared" si="3"/>
        <v/>
      </c>
      <c r="H1147" s="145"/>
      <c r="I1147" s="145"/>
      <c r="J1147" s="145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</row>
    <row r="1148" ht="22.5" customHeight="1">
      <c r="A1148" s="145"/>
      <c r="B1148" s="145" t="str">
        <f t="shared" si="1"/>
        <v/>
      </c>
      <c r="C1148" s="145"/>
      <c r="D1148" s="145" t="str">
        <f t="array" ref="D1148">IFNA(XLOOKUP(C1148,'👥 Daftar Nama Pasien'!$B$6:$B1181,'👥 Daftar Nama Pasien'!$D$6:$D1181),"")</f>
        <v/>
      </c>
      <c r="E1148" s="145" t="str">
        <f t="array" ref="E1148">XLOOKUP(C1148,'⬇️ PEMASUKAN'!$I$5:$I1181,'⬇️ PEMASUKAN'!$K$5:$K1181,,0,-1)</f>
        <v/>
      </c>
      <c r="F1148" s="145" t="str">
        <f t="shared" si="2"/>
        <v/>
      </c>
      <c r="G1148" s="145" t="str">
        <f t="shared" si="3"/>
        <v/>
      </c>
      <c r="H1148" s="145"/>
      <c r="I1148" s="145"/>
      <c r="J1148" s="145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</row>
    <row r="1149" ht="22.5" customHeight="1">
      <c r="A1149" s="145"/>
      <c r="B1149" s="145" t="str">
        <f t="shared" si="1"/>
        <v/>
      </c>
      <c r="C1149" s="145"/>
      <c r="D1149" s="145" t="str">
        <f t="array" ref="D1149">IFNA(XLOOKUP(C1149,'👥 Daftar Nama Pasien'!$B$6:$B1181,'👥 Daftar Nama Pasien'!$D$6:$D1181),"")</f>
        <v/>
      </c>
      <c r="E1149" s="145" t="str">
        <f t="array" ref="E1149">XLOOKUP(C1149,'⬇️ PEMASUKAN'!$I$5:$I1181,'⬇️ PEMASUKAN'!$K$5:$K1181,,0,-1)</f>
        <v/>
      </c>
      <c r="F1149" s="145" t="str">
        <f t="shared" si="2"/>
        <v/>
      </c>
      <c r="G1149" s="145" t="str">
        <f t="shared" si="3"/>
        <v/>
      </c>
      <c r="H1149" s="145"/>
      <c r="I1149" s="145"/>
      <c r="J1149" s="145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</row>
    <row r="1150" ht="22.5" customHeight="1">
      <c r="A1150" s="145"/>
      <c r="B1150" s="145" t="str">
        <f t="shared" si="1"/>
        <v/>
      </c>
      <c r="C1150" s="145"/>
      <c r="D1150" s="145" t="str">
        <f t="array" ref="D1150">IFNA(XLOOKUP(C1150,'👥 Daftar Nama Pasien'!$B$6:$B1181,'👥 Daftar Nama Pasien'!$D$6:$D1181),"")</f>
        <v/>
      </c>
      <c r="E1150" s="145" t="str">
        <f t="array" ref="E1150">XLOOKUP(C1150,'⬇️ PEMASUKAN'!$I$5:$I1181,'⬇️ PEMASUKAN'!$K$5:$K1181,,0,-1)</f>
        <v/>
      </c>
      <c r="F1150" s="145" t="str">
        <f t="shared" si="2"/>
        <v/>
      </c>
      <c r="G1150" s="145" t="str">
        <f t="shared" si="3"/>
        <v/>
      </c>
      <c r="H1150" s="145"/>
      <c r="I1150" s="145"/>
      <c r="J1150" s="145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</row>
    <row r="1151" ht="22.5" customHeight="1">
      <c r="A1151" s="145"/>
      <c r="B1151" s="145" t="str">
        <f t="shared" si="1"/>
        <v/>
      </c>
      <c r="C1151" s="145"/>
      <c r="D1151" s="145" t="str">
        <f t="array" ref="D1151">IFNA(XLOOKUP(C1151,'👥 Daftar Nama Pasien'!$B$6:$B1181,'👥 Daftar Nama Pasien'!$D$6:$D1181),"")</f>
        <v/>
      </c>
      <c r="E1151" s="145" t="str">
        <f t="array" ref="E1151">XLOOKUP(C1151,'⬇️ PEMASUKAN'!$I$5:$I1181,'⬇️ PEMASUKAN'!$K$5:$K1181,,0,-1)</f>
        <v/>
      </c>
      <c r="F1151" s="145" t="str">
        <f t="shared" si="2"/>
        <v/>
      </c>
      <c r="G1151" s="145" t="str">
        <f t="shared" si="3"/>
        <v/>
      </c>
      <c r="H1151" s="145"/>
      <c r="I1151" s="145"/>
      <c r="J1151" s="145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</row>
    <row r="1152" ht="22.5" customHeight="1">
      <c r="A1152" s="145"/>
      <c r="B1152" s="145" t="str">
        <f t="shared" si="1"/>
        <v/>
      </c>
      <c r="C1152" s="145"/>
      <c r="D1152" s="145" t="str">
        <f t="array" ref="D1152">IFNA(XLOOKUP(C1152,'👥 Daftar Nama Pasien'!$B$6:$B1181,'👥 Daftar Nama Pasien'!$D$6:$D1181),"")</f>
        <v/>
      </c>
      <c r="E1152" s="145" t="str">
        <f t="array" ref="E1152">XLOOKUP(C1152,'⬇️ PEMASUKAN'!$I$5:$I1181,'⬇️ PEMASUKAN'!$K$5:$K1181,,0,-1)</f>
        <v/>
      </c>
      <c r="F1152" s="145" t="str">
        <f t="shared" si="2"/>
        <v/>
      </c>
      <c r="G1152" s="145" t="str">
        <f t="shared" si="3"/>
        <v/>
      </c>
      <c r="H1152" s="145"/>
      <c r="I1152" s="145"/>
      <c r="J1152" s="145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</row>
    <row r="1153" ht="22.5" customHeight="1">
      <c r="A1153" s="145"/>
      <c r="B1153" s="145" t="str">
        <f t="shared" si="1"/>
        <v/>
      </c>
      <c r="C1153" s="145"/>
      <c r="D1153" s="145" t="str">
        <f t="array" ref="D1153">IFNA(XLOOKUP(C1153,'👥 Daftar Nama Pasien'!$B$6:$B1181,'👥 Daftar Nama Pasien'!$D$6:$D1181),"")</f>
        <v/>
      </c>
      <c r="E1153" s="145" t="str">
        <f t="array" ref="E1153">XLOOKUP(C1153,'⬇️ PEMASUKAN'!$I$5:$I1181,'⬇️ PEMASUKAN'!$K$5:$K1181,,0,-1)</f>
        <v/>
      </c>
      <c r="F1153" s="145" t="str">
        <f t="shared" si="2"/>
        <v/>
      </c>
      <c r="G1153" s="145" t="str">
        <f t="shared" si="3"/>
        <v/>
      </c>
      <c r="H1153" s="145"/>
      <c r="I1153" s="145"/>
      <c r="J1153" s="145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</row>
    <row r="1154" ht="22.5" customHeight="1">
      <c r="A1154" s="145"/>
      <c r="B1154" s="145" t="str">
        <f t="shared" si="1"/>
        <v/>
      </c>
      <c r="C1154" s="145"/>
      <c r="D1154" s="145" t="str">
        <f t="array" ref="D1154">IFNA(XLOOKUP(C1154,'👥 Daftar Nama Pasien'!$B$6:$B1181,'👥 Daftar Nama Pasien'!$D$6:$D1181),"")</f>
        <v/>
      </c>
      <c r="E1154" s="145" t="str">
        <f t="array" ref="E1154">XLOOKUP(C1154,'⬇️ PEMASUKAN'!$I$5:$I1181,'⬇️ PEMASUKAN'!$K$5:$K1181,,0,-1)</f>
        <v/>
      </c>
      <c r="F1154" s="145" t="str">
        <f t="shared" si="2"/>
        <v/>
      </c>
      <c r="G1154" s="145" t="str">
        <f t="shared" si="3"/>
        <v/>
      </c>
      <c r="H1154" s="145"/>
      <c r="I1154" s="145"/>
      <c r="J1154" s="145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</row>
    <row r="1155" ht="22.5" customHeight="1">
      <c r="A1155" s="145"/>
      <c r="B1155" s="145" t="str">
        <f t="shared" si="1"/>
        <v/>
      </c>
      <c r="C1155" s="145"/>
      <c r="D1155" s="145" t="str">
        <f t="array" ref="D1155">IFNA(XLOOKUP(C1155,'👥 Daftar Nama Pasien'!$B$6:$B1181,'👥 Daftar Nama Pasien'!$D$6:$D1181),"")</f>
        <v/>
      </c>
      <c r="E1155" s="145" t="str">
        <f t="array" ref="E1155">XLOOKUP(C1155,'⬇️ PEMASUKAN'!$I$5:$I1181,'⬇️ PEMASUKAN'!$K$5:$K1181,,0,-1)</f>
        <v/>
      </c>
      <c r="F1155" s="145" t="str">
        <f t="shared" si="2"/>
        <v/>
      </c>
      <c r="G1155" s="145" t="str">
        <f t="shared" si="3"/>
        <v/>
      </c>
      <c r="H1155" s="145"/>
      <c r="I1155" s="145"/>
      <c r="J1155" s="145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</row>
    <row r="1156" ht="22.5" customHeight="1">
      <c r="A1156" s="145"/>
      <c r="B1156" s="145" t="str">
        <f t="shared" si="1"/>
        <v/>
      </c>
      <c r="C1156" s="145"/>
      <c r="D1156" s="145" t="str">
        <f t="array" ref="D1156">IFNA(XLOOKUP(C1156,'👥 Daftar Nama Pasien'!$B$6:$B1181,'👥 Daftar Nama Pasien'!$D$6:$D1181),"")</f>
        <v/>
      </c>
      <c r="E1156" s="145" t="str">
        <f t="array" ref="E1156">XLOOKUP(C1156,'⬇️ PEMASUKAN'!$I$5:$I1181,'⬇️ PEMASUKAN'!$K$5:$K1181,,0,-1)</f>
        <v/>
      </c>
      <c r="F1156" s="145" t="str">
        <f t="shared" si="2"/>
        <v/>
      </c>
      <c r="G1156" s="145" t="str">
        <f t="shared" si="3"/>
        <v/>
      </c>
      <c r="H1156" s="145"/>
      <c r="I1156" s="145"/>
      <c r="J1156" s="145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</row>
    <row r="1157" ht="22.5" customHeight="1">
      <c r="A1157" s="145"/>
      <c r="B1157" s="145" t="str">
        <f t="shared" si="1"/>
        <v/>
      </c>
      <c r="C1157" s="145"/>
      <c r="D1157" s="145" t="str">
        <f t="array" ref="D1157">IFNA(XLOOKUP(C1157,'👥 Daftar Nama Pasien'!$B$6:$B1181,'👥 Daftar Nama Pasien'!$D$6:$D1181),"")</f>
        <v/>
      </c>
      <c r="E1157" s="145" t="str">
        <f t="array" ref="E1157">XLOOKUP(C1157,'⬇️ PEMASUKAN'!$I$5:$I1181,'⬇️ PEMASUKAN'!$K$5:$K1181,,0,-1)</f>
        <v/>
      </c>
      <c r="F1157" s="145" t="str">
        <f t="shared" si="2"/>
        <v/>
      </c>
      <c r="G1157" s="145" t="str">
        <f t="shared" si="3"/>
        <v/>
      </c>
      <c r="H1157" s="145"/>
      <c r="I1157" s="145"/>
      <c r="J1157" s="145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</row>
    <row r="1158" ht="22.5" customHeight="1">
      <c r="A1158" s="145"/>
      <c r="B1158" s="145" t="str">
        <f t="shared" si="1"/>
        <v/>
      </c>
      <c r="C1158" s="145"/>
      <c r="D1158" s="145" t="str">
        <f t="array" ref="D1158">IFNA(XLOOKUP(C1158,'👥 Daftar Nama Pasien'!$B$6:$B1181,'👥 Daftar Nama Pasien'!$D$6:$D1181),"")</f>
        <v/>
      </c>
      <c r="E1158" s="145" t="str">
        <f t="array" ref="E1158">XLOOKUP(C1158,'⬇️ PEMASUKAN'!$I$5:$I1181,'⬇️ PEMASUKAN'!$K$5:$K1181,,0,-1)</f>
        <v/>
      </c>
      <c r="F1158" s="145" t="str">
        <f t="shared" si="2"/>
        <v/>
      </c>
      <c r="G1158" s="145" t="str">
        <f t="shared" si="3"/>
        <v/>
      </c>
      <c r="H1158" s="145"/>
      <c r="I1158" s="145"/>
      <c r="J1158" s="145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</row>
    <row r="1159" ht="22.5" customHeight="1">
      <c r="A1159" s="145"/>
      <c r="B1159" s="145" t="str">
        <f t="shared" si="1"/>
        <v/>
      </c>
      <c r="C1159" s="145"/>
      <c r="D1159" s="145" t="str">
        <f t="array" ref="D1159">IFNA(XLOOKUP(C1159,'👥 Daftar Nama Pasien'!$B$6:$B1181,'👥 Daftar Nama Pasien'!$D$6:$D1181),"")</f>
        <v/>
      </c>
      <c r="E1159" s="145" t="str">
        <f t="array" ref="E1159">XLOOKUP(C1159,'⬇️ PEMASUKAN'!$I$5:$I1181,'⬇️ PEMASUKAN'!$K$5:$K1181,,0,-1)</f>
        <v/>
      </c>
      <c r="F1159" s="145" t="str">
        <f t="shared" si="2"/>
        <v/>
      </c>
      <c r="G1159" s="145" t="str">
        <f t="shared" si="3"/>
        <v/>
      </c>
      <c r="H1159" s="145"/>
      <c r="I1159" s="145"/>
      <c r="J1159" s="145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</row>
    <row r="1160" ht="22.5" customHeight="1">
      <c r="A1160" s="145"/>
      <c r="B1160" s="145" t="str">
        <f t="shared" si="1"/>
        <v/>
      </c>
      <c r="C1160" s="145"/>
      <c r="D1160" s="145" t="str">
        <f t="array" ref="D1160">IFNA(XLOOKUP(C1160,'👥 Daftar Nama Pasien'!$B$6:$B1181,'👥 Daftar Nama Pasien'!$D$6:$D1181),"")</f>
        <v/>
      </c>
      <c r="E1160" s="145" t="str">
        <f t="array" ref="E1160">XLOOKUP(C1160,'⬇️ PEMASUKAN'!$I$5:$I1181,'⬇️ PEMASUKAN'!$K$5:$K1181,,0,-1)</f>
        <v/>
      </c>
      <c r="F1160" s="145" t="str">
        <f t="shared" si="2"/>
        <v/>
      </c>
      <c r="G1160" s="145" t="str">
        <f t="shared" si="3"/>
        <v/>
      </c>
      <c r="H1160" s="145"/>
      <c r="I1160" s="145"/>
      <c r="J1160" s="145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</row>
    <row r="1161" ht="22.5" customHeight="1">
      <c r="A1161" s="145"/>
      <c r="B1161" s="145" t="str">
        <f t="shared" si="1"/>
        <v/>
      </c>
      <c r="C1161" s="145"/>
      <c r="D1161" s="145" t="str">
        <f t="array" ref="D1161">IFNA(XLOOKUP(C1161,'👥 Daftar Nama Pasien'!$B$6:$B1181,'👥 Daftar Nama Pasien'!$D$6:$D1181),"")</f>
        <v/>
      </c>
      <c r="E1161" s="145" t="str">
        <f t="array" ref="E1161">XLOOKUP(C1161,'⬇️ PEMASUKAN'!$I$5:$I1181,'⬇️ PEMASUKAN'!$K$5:$K1181,,0,-1)</f>
        <v/>
      </c>
      <c r="F1161" s="145" t="str">
        <f t="shared" si="2"/>
        <v/>
      </c>
      <c r="G1161" s="145" t="str">
        <f t="shared" si="3"/>
        <v/>
      </c>
      <c r="H1161" s="145"/>
      <c r="I1161" s="145"/>
      <c r="J1161" s="145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</row>
    <row r="1162" ht="22.5" customHeight="1">
      <c r="A1162" s="145"/>
      <c r="B1162" s="145" t="str">
        <f t="shared" si="1"/>
        <v/>
      </c>
      <c r="C1162" s="145"/>
      <c r="D1162" s="145" t="str">
        <f t="array" ref="D1162">IFNA(XLOOKUP(C1162,'👥 Daftar Nama Pasien'!$B$6:$B1181,'👥 Daftar Nama Pasien'!$D$6:$D1181),"")</f>
        <v/>
      </c>
      <c r="E1162" s="145" t="str">
        <f t="array" ref="E1162">XLOOKUP(C1162,'⬇️ PEMASUKAN'!$I$5:$I1181,'⬇️ PEMASUKAN'!$K$5:$K1181,,0,-1)</f>
        <v/>
      </c>
      <c r="F1162" s="145" t="str">
        <f t="shared" si="2"/>
        <v/>
      </c>
      <c r="G1162" s="145" t="str">
        <f t="shared" si="3"/>
        <v/>
      </c>
      <c r="H1162" s="145"/>
      <c r="I1162" s="145"/>
      <c r="J1162" s="145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</row>
    <row r="1163" ht="22.5" customHeight="1">
      <c r="A1163" s="145"/>
      <c r="B1163" s="145" t="str">
        <f t="shared" si="1"/>
        <v/>
      </c>
      <c r="C1163" s="145"/>
      <c r="D1163" s="145" t="str">
        <f t="array" ref="D1163">IFNA(XLOOKUP(C1163,'👥 Daftar Nama Pasien'!$B$6:$B1181,'👥 Daftar Nama Pasien'!$D$6:$D1181),"")</f>
        <v/>
      </c>
      <c r="E1163" s="145" t="str">
        <f t="array" ref="E1163">XLOOKUP(C1163,'⬇️ PEMASUKAN'!$I$5:$I1181,'⬇️ PEMASUKAN'!$K$5:$K1181,,0,-1)</f>
        <v/>
      </c>
      <c r="F1163" s="145" t="str">
        <f t="shared" si="2"/>
        <v/>
      </c>
      <c r="G1163" s="145" t="str">
        <f t="shared" si="3"/>
        <v/>
      </c>
      <c r="H1163" s="145"/>
      <c r="I1163" s="145"/>
      <c r="J1163" s="145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</row>
    <row r="1164" ht="22.5" customHeight="1">
      <c r="A1164" s="145"/>
      <c r="B1164" s="145" t="str">
        <f t="shared" si="1"/>
        <v/>
      </c>
      <c r="C1164" s="145"/>
      <c r="D1164" s="145" t="str">
        <f t="array" ref="D1164">IFNA(XLOOKUP(C1164,'👥 Daftar Nama Pasien'!$B$6:$B1181,'👥 Daftar Nama Pasien'!$D$6:$D1181),"")</f>
        <v/>
      </c>
      <c r="E1164" s="145" t="str">
        <f t="array" ref="E1164">XLOOKUP(C1164,'⬇️ PEMASUKAN'!$I$5:$I1181,'⬇️ PEMASUKAN'!$K$5:$K1181,,0,-1)</f>
        <v/>
      </c>
      <c r="F1164" s="145" t="str">
        <f t="shared" si="2"/>
        <v/>
      </c>
      <c r="G1164" s="145" t="str">
        <f t="shared" si="3"/>
        <v/>
      </c>
      <c r="H1164" s="145"/>
      <c r="I1164" s="145"/>
      <c r="J1164" s="145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</row>
    <row r="1165" ht="22.5" customHeight="1">
      <c r="A1165" s="145"/>
      <c r="B1165" s="145" t="str">
        <f t="shared" si="1"/>
        <v/>
      </c>
      <c r="C1165" s="145"/>
      <c r="D1165" s="145" t="str">
        <f t="array" ref="D1165">IFNA(XLOOKUP(C1165,'👥 Daftar Nama Pasien'!$B$6:$B1181,'👥 Daftar Nama Pasien'!$D$6:$D1181),"")</f>
        <v/>
      </c>
      <c r="E1165" s="145" t="str">
        <f t="array" ref="E1165">XLOOKUP(C1165,'⬇️ PEMASUKAN'!$I$5:$I1181,'⬇️ PEMASUKAN'!$K$5:$K1181,,0,-1)</f>
        <v/>
      </c>
      <c r="F1165" s="145" t="str">
        <f t="shared" si="2"/>
        <v/>
      </c>
      <c r="G1165" s="145" t="str">
        <f t="shared" si="3"/>
        <v/>
      </c>
      <c r="H1165" s="145"/>
      <c r="I1165" s="145"/>
      <c r="J1165" s="145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</row>
    <row r="1166" ht="22.5" customHeight="1">
      <c r="A1166" s="145"/>
      <c r="B1166" s="145" t="str">
        <f t="shared" si="1"/>
        <v/>
      </c>
      <c r="C1166" s="145"/>
      <c r="D1166" s="145" t="str">
        <f t="array" ref="D1166">IFNA(XLOOKUP(C1166,'👥 Daftar Nama Pasien'!$B$6:$B1181,'👥 Daftar Nama Pasien'!$D$6:$D1181),"")</f>
        <v/>
      </c>
      <c r="E1166" s="145" t="str">
        <f t="array" ref="E1166">XLOOKUP(C1166,'⬇️ PEMASUKAN'!$I$5:$I1181,'⬇️ PEMASUKAN'!$K$5:$K1181,,0,-1)</f>
        <v/>
      </c>
      <c r="F1166" s="145" t="str">
        <f t="shared" si="2"/>
        <v/>
      </c>
      <c r="G1166" s="145" t="str">
        <f t="shared" si="3"/>
        <v/>
      </c>
      <c r="H1166" s="145"/>
      <c r="I1166" s="145"/>
      <c r="J1166" s="145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</row>
    <row r="1167" ht="22.5" customHeight="1">
      <c r="A1167" s="145"/>
      <c r="B1167" s="145" t="str">
        <f t="shared" si="1"/>
        <v/>
      </c>
      <c r="C1167" s="145"/>
      <c r="D1167" s="145" t="str">
        <f t="array" ref="D1167">IFNA(XLOOKUP(C1167,'👥 Daftar Nama Pasien'!$B$6:$B1181,'👥 Daftar Nama Pasien'!$D$6:$D1181),"")</f>
        <v/>
      </c>
      <c r="E1167" s="145" t="str">
        <f t="array" ref="E1167">XLOOKUP(C1167,'⬇️ PEMASUKAN'!$I$5:$I1181,'⬇️ PEMASUKAN'!$K$5:$K1181,,0,-1)</f>
        <v/>
      </c>
      <c r="F1167" s="145" t="str">
        <f t="shared" si="2"/>
        <v/>
      </c>
      <c r="G1167" s="145" t="str">
        <f t="shared" si="3"/>
        <v/>
      </c>
      <c r="H1167" s="145"/>
      <c r="I1167" s="145"/>
      <c r="J1167" s="145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</row>
    <row r="1168" ht="22.5" customHeight="1">
      <c r="A1168" s="145"/>
      <c r="B1168" s="145" t="str">
        <f t="shared" si="1"/>
        <v/>
      </c>
      <c r="C1168" s="145"/>
      <c r="D1168" s="145" t="str">
        <f t="array" ref="D1168">IFNA(XLOOKUP(C1168,'👥 Daftar Nama Pasien'!$B$6:$B1181,'👥 Daftar Nama Pasien'!$D$6:$D1181),"")</f>
        <v/>
      </c>
      <c r="E1168" s="145" t="str">
        <f t="array" ref="E1168">XLOOKUP(C1168,'⬇️ PEMASUKAN'!$I$5:$I1181,'⬇️ PEMASUKAN'!$K$5:$K1181,,0,-1)</f>
        <v/>
      </c>
      <c r="F1168" s="145" t="str">
        <f t="shared" si="2"/>
        <v/>
      </c>
      <c r="G1168" s="145" t="str">
        <f t="shared" si="3"/>
        <v/>
      </c>
      <c r="H1168" s="145"/>
      <c r="I1168" s="145"/>
      <c r="J1168" s="145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</row>
    <row r="1169" ht="22.5" customHeight="1">
      <c r="A1169" s="145"/>
      <c r="B1169" s="145" t="str">
        <f t="shared" si="1"/>
        <v/>
      </c>
      <c r="C1169" s="145"/>
      <c r="D1169" s="145" t="str">
        <f t="array" ref="D1169">IFNA(XLOOKUP(C1169,'👥 Daftar Nama Pasien'!$B$6:$B1181,'👥 Daftar Nama Pasien'!$D$6:$D1181),"")</f>
        <v/>
      </c>
      <c r="E1169" s="145" t="str">
        <f t="array" ref="E1169">XLOOKUP(C1169,'⬇️ PEMASUKAN'!$I$5:$I1181,'⬇️ PEMASUKAN'!$K$5:$K1181,,0,-1)</f>
        <v/>
      </c>
      <c r="F1169" s="145" t="str">
        <f t="shared" si="2"/>
        <v/>
      </c>
      <c r="G1169" s="145" t="str">
        <f t="shared" si="3"/>
        <v/>
      </c>
      <c r="H1169" s="145"/>
      <c r="I1169" s="145"/>
      <c r="J1169" s="145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</row>
    <row r="1170" ht="22.5" customHeight="1">
      <c r="A1170" s="145"/>
      <c r="B1170" s="145" t="str">
        <f t="shared" si="1"/>
        <v/>
      </c>
      <c r="C1170" s="145"/>
      <c r="D1170" s="145" t="str">
        <f t="array" ref="D1170">IFNA(XLOOKUP(C1170,'👥 Daftar Nama Pasien'!$B$6:$B1181,'👥 Daftar Nama Pasien'!$D$6:$D1181),"")</f>
        <v/>
      </c>
      <c r="E1170" s="145" t="str">
        <f t="array" ref="E1170">XLOOKUP(C1170,'⬇️ PEMASUKAN'!$I$5:$I1181,'⬇️ PEMASUKAN'!$K$5:$K1181,,0,-1)</f>
        <v/>
      </c>
      <c r="F1170" s="145" t="str">
        <f t="shared" si="2"/>
        <v/>
      </c>
      <c r="G1170" s="145" t="str">
        <f t="shared" si="3"/>
        <v/>
      </c>
      <c r="H1170" s="145"/>
      <c r="I1170" s="145"/>
      <c r="J1170" s="145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</row>
    <row r="1171" ht="22.5" customHeight="1">
      <c r="A1171" s="145"/>
      <c r="B1171" s="145" t="str">
        <f t="shared" si="1"/>
        <v/>
      </c>
      <c r="C1171" s="145"/>
      <c r="D1171" s="145" t="str">
        <f t="array" ref="D1171">IFNA(XLOOKUP(C1171,'👥 Daftar Nama Pasien'!$B$6:$B1181,'👥 Daftar Nama Pasien'!$D$6:$D1181),"")</f>
        <v/>
      </c>
      <c r="E1171" s="145" t="str">
        <f t="array" ref="E1171">XLOOKUP(C1171,'⬇️ PEMASUKAN'!$I$5:$I1181,'⬇️ PEMASUKAN'!$K$5:$K1181,,0,-1)</f>
        <v/>
      </c>
      <c r="F1171" s="145" t="str">
        <f t="shared" si="2"/>
        <v/>
      </c>
      <c r="G1171" s="145" t="str">
        <f t="shared" si="3"/>
        <v/>
      </c>
      <c r="H1171" s="145"/>
      <c r="I1171" s="145"/>
      <c r="J1171" s="145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</row>
    <row r="1172" ht="22.5" customHeight="1">
      <c r="A1172" s="145"/>
      <c r="B1172" s="145" t="str">
        <f t="shared" si="1"/>
        <v/>
      </c>
      <c r="C1172" s="145"/>
      <c r="D1172" s="145" t="str">
        <f t="array" ref="D1172">IFNA(XLOOKUP(C1172,'👥 Daftar Nama Pasien'!$B$6:$B1181,'👥 Daftar Nama Pasien'!$D$6:$D1181),"")</f>
        <v/>
      </c>
      <c r="E1172" s="145" t="str">
        <f t="array" ref="E1172">XLOOKUP(C1172,'⬇️ PEMASUKAN'!$I$5:$I1181,'⬇️ PEMASUKAN'!$K$5:$K1181,,0,-1)</f>
        <v/>
      </c>
      <c r="F1172" s="145" t="str">
        <f t="shared" si="2"/>
        <v/>
      </c>
      <c r="G1172" s="145" t="str">
        <f t="shared" si="3"/>
        <v/>
      </c>
      <c r="H1172" s="145"/>
      <c r="I1172" s="145"/>
      <c r="J1172" s="145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</row>
    <row r="1173" ht="22.5" customHeight="1">
      <c r="A1173" s="145"/>
      <c r="B1173" s="145" t="str">
        <f t="shared" si="1"/>
        <v/>
      </c>
      <c r="C1173" s="145"/>
      <c r="D1173" s="145" t="str">
        <f t="array" ref="D1173">IFNA(XLOOKUP(C1173,'👥 Daftar Nama Pasien'!$B$6:$B1181,'👥 Daftar Nama Pasien'!$D$6:$D1181),"")</f>
        <v/>
      </c>
      <c r="E1173" s="145" t="str">
        <f t="array" ref="E1173">XLOOKUP(C1173,'⬇️ PEMASUKAN'!$I$5:$I1181,'⬇️ PEMASUKAN'!$K$5:$K1181,,0,-1)</f>
        <v/>
      </c>
      <c r="F1173" s="145" t="str">
        <f t="shared" si="2"/>
        <v/>
      </c>
      <c r="G1173" s="145" t="str">
        <f t="shared" si="3"/>
        <v/>
      </c>
      <c r="H1173" s="145"/>
      <c r="I1173" s="145"/>
      <c r="J1173" s="145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</row>
    <row r="1174" ht="22.5" customHeight="1">
      <c r="A1174" s="145"/>
      <c r="B1174" s="145" t="str">
        <f t="shared" si="1"/>
        <v/>
      </c>
      <c r="C1174" s="145"/>
      <c r="D1174" s="145" t="str">
        <f t="array" ref="D1174">IFNA(XLOOKUP(C1174,'👥 Daftar Nama Pasien'!$B$6:$B1181,'👥 Daftar Nama Pasien'!$D$6:$D1181),"")</f>
        <v/>
      </c>
      <c r="E1174" s="145" t="str">
        <f t="array" ref="E1174">XLOOKUP(C1174,'⬇️ PEMASUKAN'!$I$5:$I1181,'⬇️ PEMASUKAN'!$K$5:$K1181,,0,-1)</f>
        <v/>
      </c>
      <c r="F1174" s="145" t="str">
        <f t="shared" si="2"/>
        <v/>
      </c>
      <c r="G1174" s="145" t="str">
        <f t="shared" si="3"/>
        <v/>
      </c>
      <c r="H1174" s="145"/>
      <c r="I1174" s="145"/>
      <c r="J1174" s="145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</row>
    <row r="1175" ht="22.5" customHeight="1">
      <c r="A1175" s="145"/>
      <c r="B1175" s="145" t="str">
        <f t="shared" si="1"/>
        <v/>
      </c>
      <c r="C1175" s="145"/>
      <c r="D1175" s="145" t="str">
        <f t="array" ref="D1175">IFNA(XLOOKUP(C1175,'👥 Daftar Nama Pasien'!$B$6:$B1181,'👥 Daftar Nama Pasien'!$D$6:$D1181),"")</f>
        <v/>
      </c>
      <c r="E1175" s="145" t="str">
        <f t="array" ref="E1175">XLOOKUP(C1175,'⬇️ PEMASUKAN'!$I$5:$I1181,'⬇️ PEMASUKAN'!$K$5:$K1181,,0,-1)</f>
        <v/>
      </c>
      <c r="F1175" s="145" t="str">
        <f t="shared" si="2"/>
        <v/>
      </c>
      <c r="G1175" s="145" t="str">
        <f t="shared" si="3"/>
        <v/>
      </c>
      <c r="H1175" s="145"/>
      <c r="I1175" s="145"/>
      <c r="J1175" s="145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</row>
    <row r="1176" ht="22.5" customHeight="1">
      <c r="A1176" s="145"/>
      <c r="B1176" s="145" t="str">
        <f t="shared" si="1"/>
        <v/>
      </c>
      <c r="C1176" s="145"/>
      <c r="D1176" s="145" t="str">
        <f t="array" ref="D1176">IFNA(XLOOKUP(C1176,'👥 Daftar Nama Pasien'!$B$6:$B1181,'👥 Daftar Nama Pasien'!$D$6:$D1181),"")</f>
        <v/>
      </c>
      <c r="E1176" s="145" t="str">
        <f t="array" ref="E1176">XLOOKUP(C1176,'⬇️ PEMASUKAN'!$I$5:$I1181,'⬇️ PEMASUKAN'!$K$5:$K1181,,0,-1)</f>
        <v/>
      </c>
      <c r="F1176" s="145" t="str">
        <f t="shared" si="2"/>
        <v/>
      </c>
      <c r="G1176" s="145" t="str">
        <f t="shared" si="3"/>
        <v/>
      </c>
      <c r="H1176" s="145"/>
      <c r="I1176" s="145"/>
      <c r="J1176" s="145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</row>
    <row r="1177" ht="22.5" customHeight="1">
      <c r="A1177" s="145"/>
      <c r="B1177" s="145" t="str">
        <f t="shared" si="1"/>
        <v/>
      </c>
      <c r="C1177" s="145"/>
      <c r="D1177" s="145" t="str">
        <f t="array" ref="D1177">IFNA(XLOOKUP(C1177,'👥 Daftar Nama Pasien'!$B$6:$B1181,'👥 Daftar Nama Pasien'!$D$6:$D1181),"")</f>
        <v/>
      </c>
      <c r="E1177" s="145" t="str">
        <f t="array" ref="E1177">XLOOKUP(C1177,'⬇️ PEMASUKAN'!$I$5:$I1181,'⬇️ PEMASUKAN'!$K$5:$K1181,,0,-1)</f>
        <v/>
      </c>
      <c r="F1177" s="145" t="str">
        <f t="shared" si="2"/>
        <v/>
      </c>
      <c r="G1177" s="145" t="str">
        <f t="shared" si="3"/>
        <v/>
      </c>
      <c r="H1177" s="145"/>
      <c r="I1177" s="145"/>
      <c r="J1177" s="145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</row>
    <row r="1178" ht="22.5" customHeight="1">
      <c r="A1178" s="145"/>
      <c r="B1178" s="145" t="str">
        <f t="shared" si="1"/>
        <v/>
      </c>
      <c r="C1178" s="145"/>
      <c r="D1178" s="145" t="str">
        <f t="array" ref="D1178">IFNA(XLOOKUP(C1178,'👥 Daftar Nama Pasien'!$B$6:$B1181,'👥 Daftar Nama Pasien'!$D$6:$D1181),"")</f>
        <v/>
      </c>
      <c r="E1178" s="145" t="str">
        <f t="array" ref="E1178">XLOOKUP(C1178,'⬇️ PEMASUKAN'!$I$5:$I1181,'⬇️ PEMASUKAN'!$K$5:$K1181,,0,-1)</f>
        <v/>
      </c>
      <c r="F1178" s="145" t="str">
        <f t="shared" si="2"/>
        <v/>
      </c>
      <c r="G1178" s="145" t="str">
        <f t="shared" si="3"/>
        <v/>
      </c>
      <c r="H1178" s="145"/>
      <c r="I1178" s="145"/>
      <c r="J1178" s="145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</row>
    <row r="1179" ht="22.5" customHeight="1">
      <c r="A1179" s="145"/>
      <c r="B1179" s="145" t="str">
        <f t="shared" si="1"/>
        <v/>
      </c>
      <c r="C1179" s="145"/>
      <c r="D1179" s="145" t="str">
        <f t="array" ref="D1179">IFNA(XLOOKUP(C1179,'👥 Daftar Nama Pasien'!$B$6:$B1181,'👥 Daftar Nama Pasien'!$D$6:$D1181),"")</f>
        <v/>
      </c>
      <c r="E1179" s="145" t="str">
        <f t="array" ref="E1179">XLOOKUP(C1179,'⬇️ PEMASUKAN'!$I$5:$I1181,'⬇️ PEMASUKAN'!$K$5:$K1181,,0,-1)</f>
        <v/>
      </c>
      <c r="F1179" s="145" t="str">
        <f t="shared" si="2"/>
        <v/>
      </c>
      <c r="G1179" s="145" t="str">
        <f t="shared" si="3"/>
        <v/>
      </c>
      <c r="H1179" s="145"/>
      <c r="I1179" s="145"/>
      <c r="J1179" s="145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</row>
    <row r="1180" ht="22.5" customHeight="1">
      <c r="A1180" s="145"/>
      <c r="B1180" s="145" t="str">
        <f t="shared" si="1"/>
        <v/>
      </c>
      <c r="C1180" s="145"/>
      <c r="D1180" s="145" t="str">
        <f t="array" ref="D1180">IFNA(XLOOKUP(C1180,'👥 Daftar Nama Pasien'!$B$6:$B1181,'👥 Daftar Nama Pasien'!$D$6:$D1181),"")</f>
        <v/>
      </c>
      <c r="E1180" s="145" t="str">
        <f t="array" ref="E1180">XLOOKUP(C1180,'⬇️ PEMASUKAN'!$I$5:$I1181,'⬇️ PEMASUKAN'!$K$5:$K1181,,0,-1)</f>
        <v/>
      </c>
      <c r="F1180" s="145" t="str">
        <f t="shared" si="2"/>
        <v/>
      </c>
      <c r="G1180" s="145" t="str">
        <f t="shared" si="3"/>
        <v/>
      </c>
      <c r="H1180" s="145"/>
      <c r="I1180" s="145"/>
      <c r="J1180" s="145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</row>
    <row r="1181" ht="22.5" customHeight="1">
      <c r="A1181" s="145"/>
      <c r="B1181" s="145" t="str">
        <f t="shared" si="1"/>
        <v/>
      </c>
      <c r="C1181" s="145"/>
      <c r="D1181" s="145" t="str">
        <f t="array" ref="D1181">IFNA(XLOOKUP(C1181,'👥 Daftar Nama Pasien'!$B$6:$B1181,'👥 Daftar Nama Pasien'!$D$6:$D1181),"")</f>
        <v/>
      </c>
      <c r="E1181" s="145" t="str">
        <f t="array" ref="E1181">XLOOKUP(C1181,'⬇️ PEMASUKAN'!$I$5:$I1181,'⬇️ PEMASUKAN'!$K$5:$K1181,,0,-1)</f>
        <v/>
      </c>
      <c r="F1181" s="145" t="str">
        <f t="shared" si="2"/>
        <v/>
      </c>
      <c r="G1181" s="145" t="str">
        <f t="shared" si="3"/>
        <v/>
      </c>
      <c r="H1181" s="145"/>
      <c r="I1181" s="145"/>
      <c r="J1181" s="145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</row>
  </sheetData>
  <conditionalFormatting sqref="V1:W1181 Y1:Y1181">
    <cfRule type="cellIs" dxfId="11" priority="1" operator="lessThanOrEqual">
      <formula>0.5</formula>
    </cfRule>
  </conditionalFormatting>
  <conditionalFormatting sqref="V1:W1181 Y1:Y1181">
    <cfRule type="cellIs" dxfId="12" priority="2" operator="greaterThanOrEqual">
      <formula>0.75</formula>
    </cfRule>
  </conditionalFormatting>
  <conditionalFormatting sqref="X1:X1181">
    <cfRule type="cellIs" dxfId="11" priority="3" operator="greaterThanOrEqual">
      <formula>0.5</formula>
    </cfRule>
  </conditionalFormatting>
  <conditionalFormatting sqref="X1:X1181">
    <cfRule type="cellIs" dxfId="12" priority="4" operator="lessThanOrEqual">
      <formula>0.75</formula>
    </cfRule>
  </conditionalFormatting>
  <dataValidations>
    <dataValidation type="custom" allowBlank="1" showDropDown="1" sqref="V3:Y13 O3:R13">
      <formula1>AND(ISNUMBER(O3),(NOT(OR(NOT(ISERROR(DATEVALUE(O3))), AND(ISNUMBER(O3), LEFT(CELL("format", O3))="D")))))</formula1>
    </dataValidation>
  </dataValidations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63"/>
    <col customWidth="1" min="2" max="2" width="30.13"/>
    <col customWidth="1" min="3" max="32" width="15.13"/>
    <col customWidth="1" min="33" max="44" width="2.63"/>
  </cols>
  <sheetData>
    <row r="1">
      <c r="A1" s="5"/>
      <c r="B1" s="4" t="s">
        <v>656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</row>
    <row r="2">
      <c r="A2" s="14"/>
      <c r="B2" s="9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</row>
    <row r="3">
      <c r="A3" s="14"/>
      <c r="B3" s="122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</row>
    <row r="4">
      <c r="A4" s="14"/>
      <c r="B4" s="122" t="s">
        <v>657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>
      <c r="A5" s="108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>
      <c r="A6" s="127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</row>
    <row r="7">
      <c r="A7" s="121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</row>
    <row r="8">
      <c r="A8" s="121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</row>
    <row r="9">
      <c r="A9" s="121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</row>
    <row r="10">
      <c r="A10" s="133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</row>
    <row r="11">
      <c r="A11" s="133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</row>
    <row r="12">
      <c r="A12" s="133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>
      <c r="A13" s="133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>
      <c r="A14" s="133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>
      <c r="A15" s="11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>
      <c r="A16" s="11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>
      <c r="A17" s="11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>
      <c r="A18" s="11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>
      <c r="A19" s="11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>
      <c r="A20" s="11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</row>
    <row r="21">
      <c r="A21" s="11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</row>
    <row r="22">
      <c r="A22" s="11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</row>
    <row r="23">
      <c r="A23" s="11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</row>
    <row r="24">
      <c r="A24" s="11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</row>
    <row r="25">
      <c r="A25" s="11"/>
      <c r="B25" s="11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</row>
    <row r="26">
      <c r="A26" s="11"/>
      <c r="B26" s="11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</row>
    <row r="27">
      <c r="A27" s="11"/>
      <c r="B27" s="11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</row>
    <row r="28">
      <c r="A28" s="11"/>
      <c r="B28" s="11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</row>
    <row r="29">
      <c r="A29" s="11"/>
      <c r="B29" s="11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</row>
    <row r="30">
      <c r="A30" s="11"/>
      <c r="B30" s="11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</row>
    <row r="31">
      <c r="A31" s="11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</row>
    <row r="32">
      <c r="A32" s="11"/>
      <c r="B32" s="11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</row>
    <row r="33">
      <c r="A33" s="11"/>
      <c r="B33" s="11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</row>
    <row r="34">
      <c r="A34" s="11"/>
      <c r="B34" s="11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</row>
    <row r="35">
      <c r="A35" s="11"/>
      <c r="B35" s="11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</row>
    <row r="36">
      <c r="A36" s="11"/>
      <c r="B36" s="11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</row>
    <row r="37">
      <c r="A37" s="11"/>
      <c r="B37" s="11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</row>
    <row r="38">
      <c r="A38" s="11"/>
      <c r="B38" s="11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</row>
    <row r="39">
      <c r="A39" s="11"/>
      <c r="B39" s="11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</row>
    <row r="40">
      <c r="A40" s="11"/>
      <c r="B40" s="11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</row>
    <row r="41">
      <c r="A41" s="11"/>
      <c r="B41" s="11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</row>
    <row r="42">
      <c r="A42" s="11"/>
      <c r="B42" s="11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</row>
    <row r="43">
      <c r="A43" s="11"/>
      <c r="B43" s="11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</row>
    <row r="44">
      <c r="A44" s="11"/>
      <c r="B44" s="11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>
      <c r="A45" s="11"/>
      <c r="B45" s="11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</row>
    <row r="46">
      <c r="A46" s="11"/>
      <c r="B46" s="11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>
      <c r="A47" s="11"/>
      <c r="B47" s="11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>
      <c r="A48" s="11"/>
      <c r="B48" s="11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>
      <c r="A49" s="11"/>
      <c r="B49" s="11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>
      <c r="A50" s="11"/>
      <c r="B50" s="11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</row>
    <row r="51">
      <c r="A51" s="11"/>
      <c r="B51" s="11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</row>
    <row r="52">
      <c r="A52" s="11"/>
      <c r="B52" s="11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</row>
    <row r="53">
      <c r="A53" s="11"/>
      <c r="B53" s="11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</row>
    <row r="54">
      <c r="A54" s="11"/>
      <c r="B54" s="11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</row>
    <row r="55">
      <c r="A55" s="11"/>
      <c r="B55" s="11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>
      <c r="A56" s="11"/>
      <c r="B56" s="11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</row>
    <row r="57">
      <c r="A57" s="11"/>
      <c r="B57" s="11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</row>
    <row r="58">
      <c r="A58" s="11"/>
      <c r="B58" s="11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</row>
    <row r="59">
      <c r="A59" s="11"/>
      <c r="B59" s="11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</row>
    <row r="60">
      <c r="A60" s="11"/>
      <c r="B60" s="11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</row>
    <row r="61">
      <c r="A61" s="11"/>
      <c r="B61" s="11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</row>
    <row r="62">
      <c r="A62" s="11"/>
      <c r="B62" s="11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</row>
    <row r="63">
      <c r="A63" s="11"/>
      <c r="B63" s="11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</row>
    <row r="64">
      <c r="A64" s="11"/>
      <c r="B64" s="11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</row>
    <row r="65">
      <c r="A65" s="11"/>
      <c r="B65" s="11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>
      <c r="A66" s="11"/>
      <c r="B66" s="11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</row>
    <row r="67">
      <c r="A67" s="11"/>
      <c r="B67" s="11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</row>
    <row r="68">
      <c r="A68" s="11"/>
      <c r="B68" s="11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</row>
    <row r="69">
      <c r="A69" s="11"/>
      <c r="B69" s="11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</row>
    <row r="70">
      <c r="A70" s="11"/>
      <c r="B70" s="11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</row>
    <row r="71">
      <c r="A71" s="11"/>
      <c r="B71" s="11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</row>
    <row r="72">
      <c r="A72" s="11"/>
      <c r="B72" s="11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</row>
    <row r="73">
      <c r="A73" s="11"/>
      <c r="B73" s="11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</row>
    <row r="74">
      <c r="A74" s="11"/>
      <c r="B74" s="11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</row>
    <row r="75">
      <c r="A75" s="11"/>
      <c r="B75" s="11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</row>
    <row r="76">
      <c r="A76" s="11"/>
      <c r="B76" s="11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</row>
    <row r="77">
      <c r="A77" s="11"/>
      <c r="B77" s="11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</row>
    <row r="78">
      <c r="A78" s="11"/>
      <c r="B78" s="11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</row>
    <row r="79">
      <c r="A79" s="11"/>
      <c r="B79" s="11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</row>
    <row r="80">
      <c r="A80" s="11"/>
      <c r="B80" s="11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</row>
    <row r="81">
      <c r="A81" s="11"/>
      <c r="B81" s="11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</row>
    <row r="82">
      <c r="A82" s="11"/>
      <c r="B82" s="11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</row>
    <row r="83">
      <c r="A83" s="11"/>
      <c r="B83" s="11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</row>
    <row r="84">
      <c r="A84" s="11"/>
      <c r="B84" s="11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</row>
    <row r="85">
      <c r="A85" s="11"/>
      <c r="B85" s="11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</row>
    <row r="86">
      <c r="A86" s="11"/>
      <c r="B86" s="11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</row>
    <row r="87">
      <c r="A87" s="11"/>
      <c r="B87" s="11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</row>
    <row r="88">
      <c r="A88" s="11"/>
      <c r="B88" s="11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</row>
    <row r="89">
      <c r="A89" s="11"/>
      <c r="B89" s="11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138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</row>
    <row r="90">
      <c r="A90" s="11"/>
      <c r="B90" s="11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</row>
    <row r="91">
      <c r="A91" s="11"/>
      <c r="B91" s="11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</row>
    <row r="92">
      <c r="A92" s="11"/>
      <c r="B92" s="11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</row>
    <row r="93">
      <c r="A93" s="11"/>
      <c r="B93" s="11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  <c r="AF93" s="138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</row>
    <row r="94">
      <c r="A94" s="11"/>
      <c r="B94" s="11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  <c r="AE94" s="138"/>
      <c r="AF94" s="138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</row>
    <row r="95">
      <c r="A95" s="11"/>
      <c r="B95" s="11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</row>
    <row r="96">
      <c r="A96" s="11"/>
      <c r="B96" s="11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  <c r="AF96" s="138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</row>
    <row r="97">
      <c r="A97" s="11"/>
      <c r="B97" s="11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</row>
    <row r="98">
      <c r="A98" s="11"/>
      <c r="B98" s="11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  <c r="AF98" s="138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</row>
    <row r="99">
      <c r="A99" s="11"/>
      <c r="B99" s="11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138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</row>
    <row r="100">
      <c r="A100" s="11"/>
      <c r="B100" s="11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</row>
    <row r="101">
      <c r="A101" s="11"/>
      <c r="B101" s="11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</row>
    <row r="102">
      <c r="A102" s="11"/>
      <c r="B102" s="11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</row>
    <row r="103">
      <c r="A103" s="11"/>
      <c r="B103" s="11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</row>
    <row r="104">
      <c r="A104" s="11"/>
      <c r="B104" s="11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  <c r="AE104" s="138"/>
      <c r="AF104" s="138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</row>
    <row r="105">
      <c r="A105" s="11"/>
      <c r="B105" s="11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</row>
    <row r="106">
      <c r="A106" s="11"/>
      <c r="B106" s="11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  <c r="AE106" s="138"/>
      <c r="AF106" s="138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</row>
    <row r="107">
      <c r="A107" s="11"/>
      <c r="B107" s="11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</row>
    <row r="108">
      <c r="A108" s="11"/>
      <c r="B108" s="11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  <c r="AE108" s="138"/>
      <c r="AF108" s="138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</row>
    <row r="109">
      <c r="A109" s="11"/>
      <c r="B109" s="11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8"/>
      <c r="AF109" s="138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</row>
    <row r="110">
      <c r="A110" s="11"/>
      <c r="B110" s="11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  <c r="AE110" s="138"/>
      <c r="AF110" s="138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</row>
    <row r="111">
      <c r="A111" s="11"/>
      <c r="B111" s="11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  <c r="AE111" s="138"/>
      <c r="AF111" s="138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</row>
    <row r="112">
      <c r="A112" s="11"/>
      <c r="B112" s="11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</row>
    <row r="113">
      <c r="A113" s="11"/>
      <c r="B113" s="11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</row>
    <row r="114">
      <c r="A114" s="11"/>
      <c r="B114" s="11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  <c r="AE114" s="138"/>
      <c r="AF114" s="138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</row>
    <row r="115">
      <c r="A115" s="11"/>
      <c r="B115" s="11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</row>
    <row r="116">
      <c r="A116" s="11"/>
      <c r="B116" s="11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  <c r="AE116" s="138"/>
      <c r="AF116" s="138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</row>
    <row r="117">
      <c r="A117" s="11"/>
      <c r="B117" s="11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>
      <c r="A118" s="11"/>
      <c r="B118" s="11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  <c r="AE118" s="138"/>
      <c r="AF118" s="138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</row>
    <row r="119">
      <c r="A119" s="11"/>
      <c r="B119" s="11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</row>
    <row r="120">
      <c r="A120" s="11"/>
      <c r="B120" s="11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</row>
    <row r="121">
      <c r="A121" s="11"/>
      <c r="B121" s="11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  <c r="AE121" s="138"/>
      <c r="AF121" s="138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</row>
    <row r="122">
      <c r="A122" s="11"/>
      <c r="B122" s="11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  <c r="AE122" s="138"/>
      <c r="AF122" s="138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</row>
    <row r="123">
      <c r="A123" s="11"/>
      <c r="B123" s="11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</row>
    <row r="124">
      <c r="A124" s="11"/>
      <c r="B124" s="11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</row>
    <row r="125">
      <c r="A125" s="11"/>
      <c r="B125" s="11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</row>
    <row r="126">
      <c r="A126" s="11"/>
      <c r="B126" s="11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  <c r="AE126" s="138"/>
      <c r="AF126" s="138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</row>
    <row r="127">
      <c r="A127" s="11"/>
      <c r="B127" s="11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  <c r="AE127" s="138"/>
      <c r="AF127" s="138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</row>
    <row r="128">
      <c r="A128" s="11"/>
      <c r="B128" s="11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</row>
    <row r="129">
      <c r="A129" s="11"/>
      <c r="B129" s="11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  <c r="AE129" s="138"/>
      <c r="AF129" s="138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</row>
    <row r="130">
      <c r="A130" s="11"/>
      <c r="B130" s="11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</row>
    <row r="131">
      <c r="A131" s="11"/>
      <c r="B131" s="11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  <c r="AE131" s="138"/>
      <c r="AF131" s="138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</row>
    <row r="132">
      <c r="A132" s="11"/>
      <c r="B132" s="11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</row>
    <row r="133">
      <c r="A133" s="11"/>
      <c r="B133" s="11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  <c r="AE133" s="138"/>
      <c r="AF133" s="138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</row>
    <row r="134">
      <c r="A134" s="11"/>
      <c r="B134" s="11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</row>
    <row r="135">
      <c r="A135" s="11"/>
      <c r="B135" s="11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</row>
    <row r="136">
      <c r="A136" s="11"/>
      <c r="B136" s="11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  <c r="AE136" s="138"/>
      <c r="AF136" s="138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</row>
    <row r="137">
      <c r="A137" s="11"/>
      <c r="B137" s="11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  <c r="AE137" s="138"/>
      <c r="AF137" s="138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</row>
    <row r="138">
      <c r="A138" s="11"/>
      <c r="B138" s="11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  <c r="AE138" s="138"/>
      <c r="AF138" s="138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</row>
    <row r="139">
      <c r="A139" s="11"/>
      <c r="B139" s="11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  <c r="AE139" s="138"/>
      <c r="AF139" s="138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</row>
    <row r="140">
      <c r="A140" s="11"/>
      <c r="B140" s="11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  <c r="AE140" s="138"/>
      <c r="AF140" s="138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</row>
    <row r="141">
      <c r="A141" s="11"/>
      <c r="B141" s="11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</row>
    <row r="142">
      <c r="A142" s="11"/>
      <c r="B142" s="11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  <c r="AE142" s="138"/>
      <c r="AF142" s="138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</row>
    <row r="143">
      <c r="A143" s="11"/>
      <c r="B143" s="11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  <c r="AE143" s="138"/>
      <c r="AF143" s="138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</row>
    <row r="144">
      <c r="A144" s="11"/>
      <c r="B144" s="11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  <c r="AE144" s="138"/>
      <c r="AF144" s="138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</row>
    <row r="145">
      <c r="A145" s="11"/>
      <c r="B145" s="11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  <c r="AE145" s="138"/>
      <c r="AF145" s="138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</row>
    <row r="146">
      <c r="A146" s="11"/>
      <c r="B146" s="11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  <c r="AE146" s="138"/>
      <c r="AF146" s="138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</row>
    <row r="147">
      <c r="A147" s="11"/>
      <c r="B147" s="11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  <c r="AE147" s="138"/>
      <c r="AF147" s="138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</row>
    <row r="148">
      <c r="A148" s="11"/>
      <c r="B148" s="11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</row>
    <row r="149">
      <c r="A149" s="11"/>
      <c r="B149" s="11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  <c r="AF149" s="138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</row>
    <row r="150">
      <c r="A150" s="11"/>
      <c r="B150" s="11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</row>
    <row r="151">
      <c r="A151" s="11"/>
      <c r="B151" s="11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  <c r="AE151" s="138"/>
      <c r="AF151" s="138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</row>
    <row r="152">
      <c r="A152" s="11"/>
      <c r="B152" s="11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</row>
    <row r="153">
      <c r="A153" s="11"/>
      <c r="B153" s="11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  <c r="AE153" s="138"/>
      <c r="AF153" s="138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</row>
    <row r="154">
      <c r="A154" s="11"/>
      <c r="B154" s="11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</row>
    <row r="155">
      <c r="A155" s="11"/>
      <c r="B155" s="11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</row>
    <row r="156">
      <c r="A156" s="11"/>
      <c r="B156" s="11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  <c r="AE156" s="138"/>
      <c r="AF156" s="138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</row>
    <row r="157">
      <c r="A157" s="11"/>
      <c r="B157" s="11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38"/>
      <c r="AF157" s="138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</row>
    <row r="158">
      <c r="A158" s="11"/>
      <c r="B158" s="11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</row>
    <row r="159">
      <c r="A159" s="11"/>
      <c r="B159" s="11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  <c r="AE159" s="138"/>
      <c r="AF159" s="138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</row>
    <row r="160">
      <c r="A160" s="11"/>
      <c r="B160" s="11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</row>
    <row r="161">
      <c r="A161" s="11"/>
      <c r="B161" s="11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  <c r="AE161" s="138"/>
      <c r="AF161" s="138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</row>
    <row r="162">
      <c r="A162" s="11"/>
      <c r="B162" s="11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  <c r="AE162" s="138"/>
      <c r="AF162" s="138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</row>
    <row r="163">
      <c r="A163" s="11"/>
      <c r="B163" s="11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  <c r="AE163" s="138"/>
      <c r="AF163" s="138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</row>
    <row r="164">
      <c r="A164" s="11"/>
      <c r="B164" s="11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  <c r="AE164" s="138"/>
      <c r="AF164" s="138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</row>
    <row r="165">
      <c r="A165" s="11"/>
      <c r="B165" s="11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  <c r="AE165" s="138"/>
      <c r="AF165" s="138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</row>
    <row r="166">
      <c r="A166" s="11"/>
      <c r="B166" s="11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8"/>
      <c r="AE166" s="138"/>
      <c r="AF166" s="138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</row>
    <row r="167">
      <c r="A167" s="11"/>
      <c r="B167" s="11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  <c r="AE167" s="138"/>
      <c r="AF167" s="138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</row>
    <row r="168">
      <c r="A168" s="11"/>
      <c r="B168" s="11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  <c r="AE168" s="138"/>
      <c r="AF168" s="138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</row>
    <row r="169">
      <c r="A169" s="11"/>
      <c r="B169" s="11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  <c r="AE169" s="138"/>
      <c r="AF169" s="138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</row>
    <row r="170">
      <c r="A170" s="11"/>
      <c r="B170" s="11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/>
      <c r="AE170" s="138"/>
      <c r="AF170" s="138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</row>
    <row r="171">
      <c r="A171" s="11"/>
      <c r="B171" s="11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8"/>
      <c r="AE171" s="138"/>
      <c r="AF171" s="138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</row>
    <row r="172">
      <c r="A172" s="11"/>
      <c r="B172" s="11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  <c r="AE172" s="138"/>
      <c r="AF172" s="138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</row>
    <row r="173">
      <c r="A173" s="11"/>
      <c r="B173" s="11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  <c r="AD173" s="138"/>
      <c r="AE173" s="138"/>
      <c r="AF173" s="138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</row>
    <row r="174">
      <c r="A174" s="11"/>
      <c r="B174" s="11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  <c r="AE174" s="138"/>
      <c r="AF174" s="138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</row>
    <row r="175">
      <c r="A175" s="11"/>
      <c r="B175" s="11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  <c r="AD175" s="138"/>
      <c r="AE175" s="138"/>
      <c r="AF175" s="138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</row>
    <row r="176">
      <c r="A176" s="11"/>
      <c r="B176" s="11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  <c r="AD176" s="138"/>
      <c r="AE176" s="138"/>
      <c r="AF176" s="138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</row>
    <row r="177">
      <c r="A177" s="11"/>
      <c r="B177" s="11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  <c r="AE177" s="138"/>
      <c r="AF177" s="138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</row>
    <row r="178">
      <c r="A178" s="11"/>
      <c r="B178" s="11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  <c r="AD178" s="138"/>
      <c r="AE178" s="138"/>
      <c r="AF178" s="138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</row>
    <row r="179">
      <c r="A179" s="11"/>
      <c r="B179" s="11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  <c r="AD179" s="138"/>
      <c r="AE179" s="138"/>
      <c r="AF179" s="138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</row>
    <row r="180">
      <c r="A180" s="11"/>
      <c r="B180" s="11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  <c r="AE180" s="138"/>
      <c r="AF180" s="138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</row>
    <row r="181">
      <c r="A181" s="11"/>
      <c r="B181" s="11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  <c r="AE181" s="138"/>
      <c r="AF181" s="138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</row>
    <row r="182">
      <c r="A182" s="11"/>
      <c r="B182" s="11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  <c r="AD182" s="138"/>
      <c r="AE182" s="138"/>
      <c r="AF182" s="138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</row>
    <row r="183">
      <c r="A183" s="11"/>
      <c r="B183" s="11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  <c r="AE183" s="138"/>
      <c r="AF183" s="138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</row>
    <row r="184">
      <c r="A184" s="11"/>
      <c r="B184" s="11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  <c r="AE184" s="138"/>
      <c r="AF184" s="138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</row>
    <row r="185">
      <c r="A185" s="11"/>
      <c r="B185" s="11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  <c r="AE185" s="138"/>
      <c r="AF185" s="138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</row>
    <row r="186">
      <c r="A186" s="11"/>
      <c r="B186" s="11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  <c r="AD186" s="138"/>
      <c r="AE186" s="138"/>
      <c r="AF186" s="138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</row>
    <row r="187">
      <c r="A187" s="11"/>
      <c r="B187" s="11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  <c r="AD187" s="138"/>
      <c r="AE187" s="138"/>
      <c r="AF187" s="138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</row>
    <row r="188">
      <c r="A188" s="11"/>
      <c r="B188" s="11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  <c r="AE188" s="138"/>
      <c r="AF188" s="138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</row>
    <row r="189">
      <c r="A189" s="11"/>
      <c r="B189" s="11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38"/>
      <c r="AF189" s="138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</row>
    <row r="190">
      <c r="A190" s="11"/>
      <c r="B190" s="11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  <c r="AD190" s="138"/>
      <c r="AE190" s="138"/>
      <c r="AF190" s="138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</row>
    <row r="191">
      <c r="A191" s="11"/>
      <c r="B191" s="11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8"/>
      <c r="AE191" s="138"/>
      <c r="AF191" s="138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</row>
    <row r="192">
      <c r="A192" s="11"/>
      <c r="B192" s="11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  <c r="AD192" s="138"/>
      <c r="AE192" s="138"/>
      <c r="AF192" s="138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</row>
    <row r="193">
      <c r="A193" s="11"/>
      <c r="B193" s="11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  <c r="AE193" s="138"/>
      <c r="AF193" s="138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</row>
    <row r="194">
      <c r="A194" s="11"/>
      <c r="B194" s="11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  <c r="AD194" s="138"/>
      <c r="AE194" s="138"/>
      <c r="AF194" s="138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</row>
    <row r="195">
      <c r="A195" s="11"/>
      <c r="B195" s="11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38"/>
      <c r="AF195" s="138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</row>
    <row r="196">
      <c r="A196" s="11"/>
      <c r="B196" s="11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  <c r="AE196" s="138"/>
      <c r="AF196" s="138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</row>
    <row r="197">
      <c r="A197" s="11"/>
      <c r="B197" s="11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  <c r="AE197" s="138"/>
      <c r="AF197" s="138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</row>
    <row r="198">
      <c r="A198" s="11"/>
      <c r="B198" s="11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  <c r="AD198" s="138"/>
      <c r="AE198" s="138"/>
      <c r="AF198" s="138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</row>
    <row r="199">
      <c r="A199" s="11"/>
      <c r="B199" s="11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  <c r="AD199" s="138"/>
      <c r="AE199" s="138"/>
      <c r="AF199" s="138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</row>
    <row r="200">
      <c r="A200" s="11"/>
      <c r="B200" s="11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  <c r="AD200" s="138"/>
      <c r="AE200" s="138"/>
      <c r="AF200" s="138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</row>
    <row r="201">
      <c r="A201" s="11"/>
      <c r="B201" s="11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  <c r="AE201" s="138"/>
      <c r="AF201" s="138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</row>
    <row r="202">
      <c r="A202" s="11"/>
      <c r="B202" s="11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8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</row>
    <row r="203">
      <c r="A203" s="11"/>
      <c r="B203" s="11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  <c r="AF203" s="138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</row>
    <row r="204">
      <c r="A204" s="11"/>
      <c r="B204" s="11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  <c r="AD204" s="138"/>
      <c r="AE204" s="138"/>
      <c r="AF204" s="138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</row>
    <row r="205">
      <c r="A205" s="11"/>
      <c r="B205" s="11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  <c r="AD205" s="138"/>
      <c r="AE205" s="138"/>
      <c r="AF205" s="138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</row>
    <row r="206">
      <c r="A206" s="11"/>
      <c r="B206" s="11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  <c r="AD206" s="138"/>
      <c r="AE206" s="138"/>
      <c r="AF206" s="138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</row>
    <row r="207">
      <c r="A207" s="11"/>
      <c r="B207" s="11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  <c r="AD207" s="138"/>
      <c r="AE207" s="138"/>
      <c r="AF207" s="138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</row>
    <row r="208">
      <c r="A208" s="11"/>
      <c r="B208" s="11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  <c r="AE208" s="138"/>
      <c r="AF208" s="138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</row>
    <row r="209">
      <c r="A209" s="11"/>
      <c r="B209" s="11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  <c r="AD209" s="138"/>
      <c r="AE209" s="138"/>
      <c r="AF209" s="138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</row>
    <row r="210">
      <c r="A210" s="11"/>
      <c r="B210" s="11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  <c r="AD210" s="138"/>
      <c r="AE210" s="138"/>
      <c r="AF210" s="138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</row>
    <row r="211">
      <c r="A211" s="11"/>
      <c r="B211" s="11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  <c r="AD211" s="138"/>
      <c r="AE211" s="138"/>
      <c r="AF211" s="138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</row>
    <row r="212">
      <c r="A212" s="11"/>
      <c r="B212" s="11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  <c r="AD212" s="138"/>
      <c r="AE212" s="138"/>
      <c r="AF212" s="138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</row>
    <row r="213">
      <c r="A213" s="11"/>
      <c r="B213" s="11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  <c r="AD213" s="138"/>
      <c r="AE213" s="138"/>
      <c r="AF213" s="138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</row>
    <row r="214">
      <c r="A214" s="11"/>
      <c r="B214" s="11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  <c r="AD214" s="138"/>
      <c r="AE214" s="138"/>
      <c r="AF214" s="138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</row>
    <row r="215">
      <c r="A215" s="11"/>
      <c r="B215" s="11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  <c r="AD215" s="138"/>
      <c r="AE215" s="138"/>
      <c r="AF215" s="138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</row>
    <row r="216">
      <c r="A216" s="11"/>
      <c r="B216" s="11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  <c r="AD216" s="138"/>
      <c r="AE216" s="138"/>
      <c r="AF216" s="138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</row>
    <row r="217">
      <c r="A217" s="11"/>
      <c r="B217" s="11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  <c r="AD217" s="138"/>
      <c r="AE217" s="138"/>
      <c r="AF217" s="138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</row>
    <row r="218">
      <c r="A218" s="11"/>
      <c r="B218" s="11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  <c r="AE218" s="138"/>
      <c r="AF218" s="138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</row>
    <row r="219">
      <c r="A219" s="11"/>
      <c r="B219" s="11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  <c r="AD219" s="138"/>
      <c r="AE219" s="138"/>
      <c r="AF219" s="138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</row>
    <row r="220">
      <c r="A220" s="11"/>
      <c r="B220" s="11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  <c r="AD220" s="138"/>
      <c r="AE220" s="138"/>
      <c r="AF220" s="138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</row>
    <row r="221">
      <c r="A221" s="11"/>
      <c r="B221" s="11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  <c r="AE221" s="138"/>
      <c r="AF221" s="138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</row>
    <row r="222">
      <c r="A222" s="11"/>
      <c r="B222" s="11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  <c r="AD222" s="138"/>
      <c r="AE222" s="138"/>
      <c r="AF222" s="138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</row>
    <row r="223">
      <c r="A223" s="11"/>
      <c r="B223" s="11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  <c r="AE223" s="138"/>
      <c r="AF223" s="138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</row>
    <row r="224">
      <c r="A224" s="11"/>
      <c r="B224" s="11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  <c r="AD224" s="138"/>
      <c r="AE224" s="138"/>
      <c r="AF224" s="138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</row>
    <row r="225">
      <c r="A225" s="11"/>
      <c r="B225" s="11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  <c r="AD225" s="138"/>
      <c r="AE225" s="138"/>
      <c r="AF225" s="138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</row>
    <row r="226">
      <c r="A226" s="11"/>
      <c r="B226" s="11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  <c r="AD226" s="138"/>
      <c r="AE226" s="138"/>
      <c r="AF226" s="138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</row>
    <row r="227">
      <c r="A227" s="11"/>
      <c r="B227" s="11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  <c r="AD227" s="138"/>
      <c r="AE227" s="138"/>
      <c r="AF227" s="138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</row>
    <row r="228">
      <c r="A228" s="11"/>
      <c r="B228" s="11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  <c r="AE228" s="138"/>
      <c r="AF228" s="138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</row>
    <row r="229">
      <c r="A229" s="11"/>
      <c r="B229" s="11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  <c r="AD229" s="138"/>
      <c r="AE229" s="138"/>
      <c r="AF229" s="138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</row>
    <row r="230">
      <c r="A230" s="11"/>
      <c r="B230" s="11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  <c r="AD230" s="138"/>
      <c r="AE230" s="138"/>
      <c r="AF230" s="138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</row>
    <row r="231">
      <c r="A231" s="11"/>
      <c r="B231" s="11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</row>
    <row r="232">
      <c r="A232" s="11"/>
      <c r="B232" s="11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  <c r="AE232" s="138"/>
      <c r="AF232" s="138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</row>
    <row r="233">
      <c r="A233" s="11"/>
      <c r="B233" s="11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  <c r="AD233" s="138"/>
      <c r="AE233" s="138"/>
      <c r="AF233" s="138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</row>
    <row r="234">
      <c r="A234" s="11"/>
      <c r="B234" s="11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</row>
    <row r="235">
      <c r="A235" s="11"/>
      <c r="B235" s="11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38"/>
      <c r="AF235" s="138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</row>
    <row r="236">
      <c r="A236" s="11"/>
      <c r="B236" s="11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/>
      <c r="AE236" s="138"/>
      <c r="AF236" s="138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</row>
    <row r="237">
      <c r="A237" s="11"/>
      <c r="B237" s="11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  <c r="AE237" s="138"/>
      <c r="AF237" s="138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</row>
    <row r="238">
      <c r="A238" s="11"/>
      <c r="B238" s="11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  <c r="AE238" s="138"/>
      <c r="AF238" s="138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</row>
    <row r="239">
      <c r="A239" s="11"/>
      <c r="B239" s="11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  <c r="AD239" s="138"/>
      <c r="AE239" s="138"/>
      <c r="AF239" s="138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</row>
    <row r="240">
      <c r="A240" s="11"/>
      <c r="B240" s="11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  <c r="AD240" s="138"/>
      <c r="AE240" s="138"/>
      <c r="AF240" s="138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</row>
    <row r="241">
      <c r="A241" s="11"/>
      <c r="B241" s="11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  <c r="AD241" s="138"/>
      <c r="AE241" s="138"/>
      <c r="AF241" s="138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</row>
    <row r="242">
      <c r="A242" s="11"/>
      <c r="B242" s="11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  <c r="AD242" s="138"/>
      <c r="AE242" s="138"/>
      <c r="AF242" s="138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</row>
    <row r="243">
      <c r="A243" s="11"/>
      <c r="B243" s="11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  <c r="AD243" s="138"/>
      <c r="AE243" s="138"/>
      <c r="AF243" s="138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</row>
    <row r="244">
      <c r="A244" s="11"/>
      <c r="B244" s="11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  <c r="AD244" s="138"/>
      <c r="AE244" s="138"/>
      <c r="AF244" s="138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</row>
    <row r="245">
      <c r="A245" s="11"/>
      <c r="B245" s="11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  <c r="AD245" s="138"/>
      <c r="AE245" s="138"/>
      <c r="AF245" s="138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</row>
    <row r="246">
      <c r="A246" s="11"/>
      <c r="B246" s="11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  <c r="AD246" s="138"/>
      <c r="AE246" s="138"/>
      <c r="AF246" s="138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</row>
    <row r="247">
      <c r="A247" s="11"/>
      <c r="B247" s="11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  <c r="AE247" s="138"/>
      <c r="AF247" s="138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</row>
    <row r="248">
      <c r="A248" s="11"/>
      <c r="B248" s="11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  <c r="AD248" s="138"/>
      <c r="AE248" s="138"/>
      <c r="AF248" s="138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</row>
    <row r="249">
      <c r="A249" s="11"/>
      <c r="B249" s="11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  <c r="AD249" s="138"/>
      <c r="AE249" s="138"/>
      <c r="AF249" s="138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</row>
    <row r="250">
      <c r="A250" s="11"/>
      <c r="B250" s="11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  <c r="AE250" s="138"/>
      <c r="AF250" s="138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</row>
    <row r="251">
      <c r="A251" s="11"/>
      <c r="B251" s="11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  <c r="AD251" s="138"/>
      <c r="AE251" s="138"/>
      <c r="AF251" s="138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</row>
    <row r="252">
      <c r="A252" s="11"/>
      <c r="B252" s="11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  <c r="AD252" s="138"/>
      <c r="AE252" s="138"/>
      <c r="AF252" s="138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</row>
    <row r="253">
      <c r="A253" s="11"/>
      <c r="B253" s="11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  <c r="AD253" s="138"/>
      <c r="AE253" s="138"/>
      <c r="AF253" s="138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</row>
    <row r="254">
      <c r="A254" s="11"/>
      <c r="B254" s="11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  <c r="AD254" s="138"/>
      <c r="AE254" s="138"/>
      <c r="AF254" s="138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</row>
    <row r="255">
      <c r="A255" s="11"/>
      <c r="B255" s="11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  <c r="AD255" s="138"/>
      <c r="AE255" s="138"/>
      <c r="AF255" s="138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</row>
    <row r="256">
      <c r="A256" s="11"/>
      <c r="B256" s="11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  <c r="AD256" s="138"/>
      <c r="AE256" s="138"/>
      <c r="AF256" s="138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</row>
    <row r="257">
      <c r="A257" s="11"/>
      <c r="B257" s="11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  <c r="AE257" s="138"/>
      <c r="AF257" s="138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</row>
    <row r="258">
      <c r="A258" s="11"/>
      <c r="B258" s="11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  <c r="AD258" s="138"/>
      <c r="AE258" s="138"/>
      <c r="AF258" s="138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</row>
    <row r="259">
      <c r="A259" s="11"/>
      <c r="B259" s="11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</row>
    <row r="260">
      <c r="A260" s="11"/>
      <c r="B260" s="11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  <c r="AD260" s="138"/>
      <c r="AE260" s="138"/>
      <c r="AF260" s="138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</row>
    <row r="261">
      <c r="A261" s="11"/>
      <c r="B261" s="11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  <c r="AE261" s="138"/>
      <c r="AF261" s="138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</row>
    <row r="262">
      <c r="A262" s="11"/>
      <c r="B262" s="11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  <c r="AD262" s="138"/>
      <c r="AE262" s="138"/>
      <c r="AF262" s="138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</row>
    <row r="263">
      <c r="A263" s="11"/>
      <c r="B263" s="11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  <c r="AD263" s="138"/>
      <c r="AE263" s="138"/>
      <c r="AF263" s="138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</row>
    <row r="264">
      <c r="A264" s="11"/>
      <c r="B264" s="11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  <c r="AD264" s="138"/>
      <c r="AE264" s="138"/>
      <c r="AF264" s="138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</row>
    <row r="265">
      <c r="A265" s="11"/>
      <c r="B265" s="11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  <c r="AD265" s="138"/>
      <c r="AE265" s="138"/>
      <c r="AF265" s="138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</row>
    <row r="266">
      <c r="A266" s="11"/>
      <c r="B266" s="11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  <c r="AD266" s="138"/>
      <c r="AE266" s="138"/>
      <c r="AF266" s="138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</row>
    <row r="267">
      <c r="A267" s="11"/>
      <c r="B267" s="11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  <c r="AD267" s="138"/>
      <c r="AE267" s="138"/>
      <c r="AF267" s="138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</row>
    <row r="268">
      <c r="A268" s="11"/>
      <c r="B268" s="11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  <c r="AE268" s="138"/>
      <c r="AF268" s="138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</row>
    <row r="269">
      <c r="A269" s="11"/>
      <c r="B269" s="11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  <c r="AD269" s="138"/>
      <c r="AE269" s="138"/>
      <c r="AF269" s="138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</row>
    <row r="270">
      <c r="A270" s="11"/>
      <c r="B270" s="11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  <c r="AD270" s="138"/>
      <c r="AE270" s="138"/>
      <c r="AF270" s="138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</row>
    <row r="271">
      <c r="A271" s="11"/>
      <c r="B271" s="11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  <c r="AD271" s="138"/>
      <c r="AE271" s="138"/>
      <c r="AF271" s="138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</row>
    <row r="272">
      <c r="A272" s="11"/>
      <c r="B272" s="11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  <c r="AD272" s="138"/>
      <c r="AE272" s="138"/>
      <c r="AF272" s="138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</row>
    <row r="273">
      <c r="A273" s="11"/>
      <c r="B273" s="11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  <c r="AE273" s="138"/>
      <c r="AF273" s="138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</row>
    <row r="274">
      <c r="A274" s="11"/>
      <c r="B274" s="11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  <c r="AD274" s="138"/>
      <c r="AE274" s="138"/>
      <c r="AF274" s="138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</row>
    <row r="275">
      <c r="A275" s="11"/>
      <c r="B275" s="11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  <c r="AD275" s="138"/>
      <c r="AE275" s="138"/>
      <c r="AF275" s="138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</row>
    <row r="276">
      <c r="A276" s="11"/>
      <c r="B276" s="11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  <c r="AD276" s="138"/>
      <c r="AE276" s="138"/>
      <c r="AF276" s="138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</row>
    <row r="277">
      <c r="A277" s="11"/>
      <c r="B277" s="11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  <c r="AD277" s="138"/>
      <c r="AE277" s="138"/>
      <c r="AF277" s="138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</row>
    <row r="278">
      <c r="A278" s="11"/>
      <c r="B278" s="11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  <c r="AD278" s="138"/>
      <c r="AE278" s="138"/>
      <c r="AF278" s="138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</row>
    <row r="279">
      <c r="A279" s="11"/>
      <c r="B279" s="11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  <c r="AD279" s="138"/>
      <c r="AE279" s="138"/>
      <c r="AF279" s="138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</row>
    <row r="280">
      <c r="A280" s="11"/>
      <c r="B280" s="11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  <c r="AE280" s="138"/>
      <c r="AF280" s="138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</row>
    <row r="281">
      <c r="A281" s="11"/>
      <c r="B281" s="11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  <c r="AD281" s="138"/>
      <c r="AE281" s="138"/>
      <c r="AF281" s="138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</row>
    <row r="282">
      <c r="A282" s="11"/>
      <c r="B282" s="11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  <c r="AD282" s="138"/>
      <c r="AE282" s="138"/>
      <c r="AF282" s="138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</row>
    <row r="283">
      <c r="A283" s="11"/>
      <c r="B283" s="11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/>
      <c r="AD283" s="138"/>
      <c r="AE283" s="138"/>
      <c r="AF283" s="138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</row>
    <row r="284">
      <c r="A284" s="11"/>
      <c r="B284" s="11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  <c r="AD284" s="138"/>
      <c r="AE284" s="138"/>
      <c r="AF284" s="138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</row>
    <row r="285">
      <c r="A285" s="11"/>
      <c r="B285" s="11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  <c r="AD285" s="138"/>
      <c r="AE285" s="138"/>
      <c r="AF285" s="138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</row>
    <row r="286">
      <c r="A286" s="11"/>
      <c r="B286" s="11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  <c r="AD286" s="138"/>
      <c r="AE286" s="138"/>
      <c r="AF286" s="138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</row>
    <row r="287">
      <c r="A287" s="11"/>
      <c r="B287" s="11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  <c r="AD287" s="138"/>
      <c r="AE287" s="138"/>
      <c r="AF287" s="138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</row>
    <row r="288">
      <c r="A288" s="11"/>
      <c r="B288" s="11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  <c r="AD288" s="138"/>
      <c r="AE288" s="138"/>
      <c r="AF288" s="138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</row>
    <row r="289">
      <c r="A289" s="11"/>
      <c r="B289" s="11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  <c r="AD289" s="138"/>
      <c r="AE289" s="138"/>
      <c r="AF289" s="138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</row>
    <row r="290">
      <c r="A290" s="11"/>
      <c r="B290" s="11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  <c r="AE290" s="138"/>
      <c r="AF290" s="138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</row>
    <row r="291">
      <c r="A291" s="11"/>
      <c r="B291" s="11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  <c r="AE291" s="138"/>
      <c r="AF291" s="138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</row>
    <row r="292">
      <c r="A292" s="11"/>
      <c r="B292" s="11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  <c r="AD292" s="138"/>
      <c r="AE292" s="138"/>
      <c r="AF292" s="138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</row>
    <row r="293">
      <c r="A293" s="11"/>
      <c r="B293" s="11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38"/>
      <c r="AD293" s="138"/>
      <c r="AE293" s="138"/>
      <c r="AF293" s="138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</row>
    <row r="294">
      <c r="A294" s="11"/>
      <c r="B294" s="11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  <c r="AD294" s="138"/>
      <c r="AE294" s="138"/>
      <c r="AF294" s="138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</row>
    <row r="295">
      <c r="A295" s="11"/>
      <c r="B295" s="11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  <c r="AD295" s="138"/>
      <c r="AE295" s="138"/>
      <c r="AF295" s="138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</row>
    <row r="296">
      <c r="A296" s="11"/>
      <c r="B296" s="11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  <c r="AE296" s="138"/>
      <c r="AF296" s="138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</row>
    <row r="297">
      <c r="A297" s="11"/>
      <c r="B297" s="11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</row>
    <row r="298">
      <c r="A298" s="11"/>
      <c r="B298" s="11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  <c r="AE298" s="138"/>
      <c r="AF298" s="138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</row>
    <row r="299">
      <c r="A299" s="11"/>
      <c r="B299" s="11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  <c r="AD299" s="138"/>
      <c r="AE299" s="138"/>
      <c r="AF299" s="138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</row>
    <row r="300">
      <c r="A300" s="11"/>
      <c r="B300" s="11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38"/>
      <c r="AD300" s="138"/>
      <c r="AE300" s="138"/>
      <c r="AF300" s="138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</row>
    <row r="301">
      <c r="A301" s="11"/>
      <c r="B301" s="11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/>
      <c r="AD301" s="138"/>
      <c r="AE301" s="138"/>
      <c r="AF301" s="138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</row>
    <row r="302">
      <c r="A302" s="11"/>
      <c r="B302" s="11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38"/>
      <c r="AD302" s="138"/>
      <c r="AE302" s="138"/>
      <c r="AF302" s="138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</row>
    <row r="303">
      <c r="A303" s="11"/>
      <c r="B303" s="11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  <c r="AD303" s="138"/>
      <c r="AE303" s="138"/>
      <c r="AF303" s="138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</row>
    <row r="304">
      <c r="A304" s="11"/>
      <c r="B304" s="11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  <c r="AD304" s="138"/>
      <c r="AE304" s="138"/>
      <c r="AF304" s="138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</row>
    <row r="305">
      <c r="A305" s="11"/>
      <c r="B305" s="11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  <c r="AD305" s="138"/>
      <c r="AE305" s="138"/>
      <c r="AF305" s="138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</row>
    <row r="306">
      <c r="A306" s="11"/>
      <c r="B306" s="11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  <c r="AD306" s="138"/>
      <c r="AE306" s="138"/>
      <c r="AF306" s="138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</row>
    <row r="307">
      <c r="A307" s="11"/>
      <c r="B307" s="11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  <c r="AD307" s="138"/>
      <c r="AE307" s="138"/>
      <c r="AF307" s="138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</row>
    <row r="308">
      <c r="A308" s="11"/>
      <c r="B308" s="11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  <c r="AD308" s="138"/>
      <c r="AE308" s="138"/>
      <c r="AF308" s="138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</row>
    <row r="309">
      <c r="A309" s="11"/>
      <c r="B309" s="11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</row>
    <row r="310">
      <c r="A310" s="11"/>
      <c r="B310" s="11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</row>
    <row r="311">
      <c r="A311" s="11"/>
      <c r="B311" s="11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  <c r="AD311" s="138"/>
      <c r="AE311" s="138"/>
      <c r="AF311" s="138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</row>
    <row r="312">
      <c r="A312" s="11"/>
      <c r="B312" s="11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  <c r="AD312" s="138"/>
      <c r="AE312" s="138"/>
      <c r="AF312" s="138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</row>
    <row r="313">
      <c r="A313" s="11"/>
      <c r="B313" s="11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  <c r="AD313" s="138"/>
      <c r="AE313" s="138"/>
      <c r="AF313" s="138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</row>
    <row r="314">
      <c r="A314" s="11"/>
      <c r="B314" s="11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</row>
    <row r="315">
      <c r="A315" s="11"/>
      <c r="B315" s="11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38"/>
      <c r="AD315" s="138"/>
      <c r="AE315" s="138"/>
      <c r="AF315" s="138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</row>
    <row r="316">
      <c r="A316" s="11"/>
      <c r="B316" s="11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  <c r="AE316" s="138"/>
      <c r="AF316" s="138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</row>
    <row r="317">
      <c r="A317" s="11"/>
      <c r="B317" s="11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  <c r="AE317" s="138"/>
      <c r="AF317" s="138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</row>
    <row r="318">
      <c r="A318" s="11"/>
      <c r="B318" s="11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  <c r="AE318" s="138"/>
      <c r="AF318" s="138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</row>
    <row r="319">
      <c r="A319" s="11"/>
      <c r="B319" s="11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  <c r="AE319" s="138"/>
      <c r="AF319" s="138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</row>
    <row r="320">
      <c r="A320" s="11"/>
      <c r="B320" s="11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  <c r="AE320" s="138"/>
      <c r="AF320" s="138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</row>
    <row r="321">
      <c r="A321" s="11"/>
      <c r="B321" s="11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38"/>
      <c r="AD321" s="138"/>
      <c r="AE321" s="138"/>
      <c r="AF321" s="138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</row>
    <row r="322">
      <c r="A322" s="11"/>
      <c r="B322" s="11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</row>
    <row r="323">
      <c r="A323" s="11"/>
      <c r="B323" s="11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38"/>
      <c r="AD323" s="138"/>
      <c r="AE323" s="138"/>
      <c r="AF323" s="138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</row>
    <row r="324">
      <c r="A324" s="11"/>
      <c r="B324" s="11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  <c r="AD324" s="138"/>
      <c r="AE324" s="138"/>
      <c r="AF324" s="138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</row>
    <row r="325">
      <c r="A325" s="11"/>
      <c r="B325" s="11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  <c r="AD325" s="138"/>
      <c r="AE325" s="138"/>
      <c r="AF325" s="138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</row>
    <row r="326">
      <c r="A326" s="11"/>
      <c r="B326" s="11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  <c r="AD326" s="138"/>
      <c r="AE326" s="138"/>
      <c r="AF326" s="138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</row>
    <row r="327">
      <c r="A327" s="11"/>
      <c r="B327" s="11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38"/>
      <c r="AD327" s="138"/>
      <c r="AE327" s="138"/>
      <c r="AF327" s="138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</row>
    <row r="328">
      <c r="A328" s="11"/>
      <c r="B328" s="11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</row>
    <row r="329">
      <c r="A329" s="11"/>
      <c r="B329" s="11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  <c r="AD329" s="138"/>
      <c r="AE329" s="138"/>
      <c r="AF329" s="138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</row>
    <row r="330">
      <c r="A330" s="11"/>
      <c r="B330" s="11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  <c r="AD330" s="138"/>
      <c r="AE330" s="138"/>
      <c r="AF330" s="138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</row>
    <row r="331">
      <c r="A331" s="11"/>
      <c r="B331" s="11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  <c r="AD331" s="138"/>
      <c r="AE331" s="138"/>
      <c r="AF331" s="138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</row>
    <row r="332">
      <c r="A332" s="11"/>
      <c r="B332" s="11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  <c r="AD332" s="138"/>
      <c r="AE332" s="138"/>
      <c r="AF332" s="138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</row>
    <row r="333">
      <c r="A333" s="11"/>
      <c r="B333" s="11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  <c r="AD333" s="138"/>
      <c r="AE333" s="138"/>
      <c r="AF333" s="138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</row>
    <row r="334">
      <c r="A334" s="11"/>
      <c r="B334" s="11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  <c r="AE334" s="138"/>
      <c r="AF334" s="138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</row>
    <row r="335">
      <c r="A335" s="11"/>
      <c r="B335" s="11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  <c r="AD335" s="138"/>
      <c r="AE335" s="138"/>
      <c r="AF335" s="138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</row>
    <row r="336">
      <c r="A336" s="11"/>
      <c r="B336" s="11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  <c r="AD336" s="138"/>
      <c r="AE336" s="138"/>
      <c r="AF336" s="138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</row>
    <row r="337">
      <c r="A337" s="11"/>
      <c r="B337" s="11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  <c r="AD337" s="138"/>
      <c r="AE337" s="138"/>
      <c r="AF337" s="138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</row>
    <row r="338">
      <c r="A338" s="11"/>
      <c r="B338" s="11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  <c r="AD338" s="138"/>
      <c r="AE338" s="138"/>
      <c r="AF338" s="138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</row>
    <row r="339">
      <c r="A339" s="11"/>
      <c r="B339" s="11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</row>
    <row r="340">
      <c r="A340" s="11"/>
      <c r="B340" s="11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  <c r="AE340" s="138"/>
      <c r="AF340" s="138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</row>
    <row r="341">
      <c r="A341" s="11"/>
      <c r="B341" s="11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  <c r="AD341" s="138"/>
      <c r="AE341" s="138"/>
      <c r="AF341" s="138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</row>
    <row r="342">
      <c r="A342" s="11"/>
      <c r="B342" s="11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  <c r="AD342" s="138"/>
      <c r="AE342" s="138"/>
      <c r="AF342" s="138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</row>
    <row r="343">
      <c r="A343" s="11"/>
      <c r="B343" s="11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  <c r="AD343" s="138"/>
      <c r="AE343" s="138"/>
      <c r="AF343" s="138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</row>
    <row r="344">
      <c r="A344" s="11"/>
      <c r="B344" s="11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  <c r="AD344" s="138"/>
      <c r="AE344" s="138"/>
      <c r="AF344" s="138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</row>
    <row r="345">
      <c r="A345" s="11"/>
      <c r="B345" s="11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  <c r="AD345" s="138"/>
      <c r="AE345" s="138"/>
      <c r="AF345" s="138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</row>
    <row r="346">
      <c r="A346" s="11"/>
      <c r="B346" s="11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  <c r="AE346" s="138"/>
      <c r="AF346" s="138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</row>
    <row r="347">
      <c r="A347" s="11"/>
      <c r="B347" s="11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  <c r="AD347" s="138"/>
      <c r="AE347" s="138"/>
      <c r="AF347" s="138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</row>
    <row r="348">
      <c r="A348" s="11"/>
      <c r="B348" s="11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  <c r="AD348" s="138"/>
      <c r="AE348" s="138"/>
      <c r="AF348" s="138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</row>
    <row r="349">
      <c r="A349" s="11"/>
      <c r="B349" s="11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  <c r="AD349" s="138"/>
      <c r="AE349" s="138"/>
      <c r="AF349" s="138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</row>
    <row r="350">
      <c r="A350" s="11"/>
      <c r="B350" s="11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  <c r="AD350" s="138"/>
      <c r="AE350" s="138"/>
      <c r="AF350" s="138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</row>
    <row r="351">
      <c r="A351" s="11"/>
      <c r="B351" s="11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  <c r="AD351" s="138"/>
      <c r="AE351" s="138"/>
      <c r="AF351" s="138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</row>
    <row r="352">
      <c r="A352" s="11"/>
      <c r="B352" s="11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  <c r="AE352" s="138"/>
      <c r="AF352" s="138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</row>
    <row r="353">
      <c r="A353" s="11"/>
      <c r="B353" s="11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  <c r="AD353" s="138"/>
      <c r="AE353" s="138"/>
      <c r="AF353" s="138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</row>
    <row r="354">
      <c r="A354" s="11"/>
      <c r="B354" s="11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  <c r="AD354" s="138"/>
      <c r="AE354" s="138"/>
      <c r="AF354" s="138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</row>
    <row r="355">
      <c r="A355" s="11"/>
      <c r="B355" s="11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  <c r="AD355" s="138"/>
      <c r="AE355" s="138"/>
      <c r="AF355" s="138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</row>
    <row r="356">
      <c r="A356" s="11"/>
      <c r="B356" s="11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  <c r="AD356" s="138"/>
      <c r="AE356" s="138"/>
      <c r="AF356" s="138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</row>
    <row r="357">
      <c r="A357" s="11"/>
      <c r="B357" s="11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38"/>
      <c r="AD357" s="138"/>
      <c r="AE357" s="138"/>
      <c r="AF357" s="138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</row>
    <row r="358">
      <c r="A358" s="11"/>
      <c r="B358" s="11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  <c r="AE358" s="138"/>
      <c r="AF358" s="138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</row>
    <row r="359">
      <c r="A359" s="11"/>
      <c r="B359" s="11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  <c r="AD359" s="138"/>
      <c r="AE359" s="138"/>
      <c r="AF359" s="138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</row>
    <row r="360">
      <c r="A360" s="11"/>
      <c r="B360" s="11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  <c r="AD360" s="138"/>
      <c r="AE360" s="138"/>
      <c r="AF360" s="138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</row>
    <row r="361">
      <c r="A361" s="11"/>
      <c r="B361" s="11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  <c r="AD361" s="138"/>
      <c r="AE361" s="138"/>
      <c r="AF361" s="138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</row>
    <row r="362">
      <c r="A362" s="11"/>
      <c r="B362" s="11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  <c r="AD362" s="138"/>
      <c r="AE362" s="138"/>
      <c r="AF362" s="138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</row>
    <row r="363">
      <c r="A363" s="11"/>
      <c r="B363" s="11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  <c r="AD363" s="138"/>
      <c r="AE363" s="138"/>
      <c r="AF363" s="138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</row>
    <row r="364">
      <c r="A364" s="11"/>
      <c r="B364" s="11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  <c r="AE364" s="138"/>
      <c r="AF364" s="138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</row>
    <row r="365">
      <c r="A365" s="11"/>
      <c r="B365" s="11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38"/>
      <c r="AD365" s="138"/>
      <c r="AE365" s="138"/>
      <c r="AF365" s="138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</row>
    <row r="366">
      <c r="A366" s="11"/>
      <c r="B366" s="11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  <c r="AD366" s="138"/>
      <c r="AE366" s="138"/>
      <c r="AF366" s="138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</row>
    <row r="367">
      <c r="A367" s="11"/>
      <c r="B367" s="11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  <c r="AE367" s="138"/>
      <c r="AF367" s="138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</row>
    <row r="368">
      <c r="A368" s="11"/>
      <c r="B368" s="11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  <c r="AD368" s="138"/>
      <c r="AE368" s="138"/>
      <c r="AF368" s="138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</row>
    <row r="369">
      <c r="A369" s="11"/>
      <c r="B369" s="11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  <c r="AD369" s="138"/>
      <c r="AE369" s="138"/>
      <c r="AF369" s="138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</row>
    <row r="370">
      <c r="A370" s="11"/>
      <c r="B370" s="11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  <c r="AE370" s="138"/>
      <c r="AF370" s="138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</row>
    <row r="371">
      <c r="A371" s="11"/>
      <c r="B371" s="11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38"/>
      <c r="AD371" s="138"/>
      <c r="AE371" s="138"/>
      <c r="AF371" s="138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</row>
    <row r="372">
      <c r="A372" s="11"/>
      <c r="B372" s="11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  <c r="AD372" s="138"/>
      <c r="AE372" s="138"/>
      <c r="AF372" s="138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</row>
    <row r="373">
      <c r="A373" s="11"/>
      <c r="B373" s="11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38"/>
      <c r="AD373" s="138"/>
      <c r="AE373" s="138"/>
      <c r="AF373" s="138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</row>
    <row r="374">
      <c r="A374" s="11"/>
      <c r="B374" s="11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  <c r="AD374" s="138"/>
      <c r="AE374" s="138"/>
      <c r="AF374" s="138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</row>
    <row r="375">
      <c r="A375" s="11"/>
      <c r="B375" s="11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  <c r="AD375" s="138"/>
      <c r="AE375" s="138"/>
      <c r="AF375" s="138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</row>
    <row r="376">
      <c r="A376" s="11"/>
      <c r="B376" s="11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  <c r="AE376" s="138"/>
      <c r="AF376" s="138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</row>
    <row r="377">
      <c r="A377" s="11"/>
      <c r="B377" s="11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  <c r="AD377" s="138"/>
      <c r="AE377" s="138"/>
      <c r="AF377" s="138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</row>
    <row r="378">
      <c r="A378" s="11"/>
      <c r="B378" s="11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  <c r="AD378" s="138"/>
      <c r="AE378" s="138"/>
      <c r="AF378" s="138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</row>
    <row r="379">
      <c r="A379" s="11"/>
      <c r="B379" s="11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  <c r="AD379" s="138"/>
      <c r="AE379" s="138"/>
      <c r="AF379" s="138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</row>
    <row r="380">
      <c r="A380" s="11"/>
      <c r="B380" s="11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  <c r="AD380" s="138"/>
      <c r="AE380" s="138"/>
      <c r="AF380" s="138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</row>
    <row r="381">
      <c r="A381" s="11"/>
      <c r="B381" s="11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38"/>
      <c r="AD381" s="138"/>
      <c r="AE381" s="138"/>
      <c r="AF381" s="138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</row>
    <row r="382">
      <c r="A382" s="11"/>
      <c r="B382" s="11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  <c r="AE382" s="138"/>
      <c r="AF382" s="138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</row>
    <row r="383">
      <c r="A383" s="11"/>
      <c r="B383" s="11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38"/>
      <c r="AD383" s="138"/>
      <c r="AE383" s="138"/>
      <c r="AF383" s="138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</row>
    <row r="384">
      <c r="A384" s="11"/>
      <c r="B384" s="11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  <c r="AD384" s="138"/>
      <c r="AE384" s="138"/>
      <c r="AF384" s="138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</row>
    <row r="385">
      <c r="A385" s="11"/>
      <c r="B385" s="11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38"/>
      <c r="AD385" s="138"/>
      <c r="AE385" s="138"/>
      <c r="AF385" s="138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</row>
    <row r="386">
      <c r="A386" s="11"/>
      <c r="B386" s="11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  <c r="AD386" s="138"/>
      <c r="AE386" s="138"/>
      <c r="AF386" s="138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</row>
    <row r="387">
      <c r="A387" s="11"/>
      <c r="B387" s="11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38"/>
      <c r="AD387" s="138"/>
      <c r="AE387" s="138"/>
      <c r="AF387" s="138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</row>
    <row r="388">
      <c r="A388" s="11"/>
      <c r="B388" s="11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  <c r="AE388" s="138"/>
      <c r="AF388" s="138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</row>
    <row r="389">
      <c r="A389" s="11"/>
      <c r="B389" s="11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  <c r="AD389" s="138"/>
      <c r="AE389" s="138"/>
      <c r="AF389" s="138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</row>
    <row r="390">
      <c r="A390" s="11"/>
      <c r="B390" s="11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  <c r="AD390" s="138"/>
      <c r="AE390" s="138"/>
      <c r="AF390" s="138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</row>
    <row r="391">
      <c r="A391" s="11"/>
      <c r="B391" s="11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  <c r="AD391" s="138"/>
      <c r="AE391" s="138"/>
      <c r="AF391" s="138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</row>
    <row r="392">
      <c r="A392" s="11"/>
      <c r="B392" s="11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  <c r="AD392" s="138"/>
      <c r="AE392" s="138"/>
      <c r="AF392" s="138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</row>
    <row r="393">
      <c r="A393" s="11"/>
      <c r="B393" s="11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  <c r="AD393" s="138"/>
      <c r="AE393" s="138"/>
      <c r="AF393" s="138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</row>
    <row r="394">
      <c r="A394" s="11"/>
      <c r="B394" s="11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</row>
    <row r="395">
      <c r="A395" s="11"/>
      <c r="B395" s="11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  <c r="AE395" s="138"/>
      <c r="AF395" s="138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</row>
    <row r="396">
      <c r="A396" s="11"/>
      <c r="B396" s="11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  <c r="AD396" s="138"/>
      <c r="AE396" s="138"/>
      <c r="AF396" s="138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</row>
    <row r="397">
      <c r="A397" s="11"/>
      <c r="B397" s="11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  <c r="AD397" s="138"/>
      <c r="AE397" s="138"/>
      <c r="AF397" s="138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</row>
    <row r="398">
      <c r="A398" s="11"/>
      <c r="B398" s="11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  <c r="AD398" s="138"/>
      <c r="AE398" s="138"/>
      <c r="AF398" s="138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</row>
    <row r="399">
      <c r="A399" s="11"/>
      <c r="B399" s="11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  <c r="AE399" s="138"/>
      <c r="AF399" s="138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</row>
    <row r="400">
      <c r="A400" s="11"/>
      <c r="B400" s="11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  <c r="AE400" s="138"/>
      <c r="AF400" s="138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</row>
    <row r="401">
      <c r="A401" s="11"/>
      <c r="B401" s="11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  <c r="AD401" s="138"/>
      <c r="AE401" s="138"/>
      <c r="AF401" s="138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</row>
    <row r="402">
      <c r="A402" s="11"/>
      <c r="B402" s="11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</row>
    <row r="403">
      <c r="A403" s="11"/>
      <c r="B403" s="11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</row>
    <row r="404">
      <c r="A404" s="11"/>
      <c r="B404" s="11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  <c r="AE404" s="138"/>
      <c r="AF404" s="138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</row>
    <row r="405">
      <c r="A405" s="11"/>
      <c r="B405" s="11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  <c r="AD405" s="138"/>
      <c r="AE405" s="138"/>
      <c r="AF405" s="138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</row>
    <row r="406">
      <c r="A406" s="11"/>
      <c r="B406" s="11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  <c r="AE406" s="138"/>
      <c r="AF406" s="138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</row>
    <row r="407">
      <c r="A407" s="11"/>
      <c r="B407" s="11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</row>
    <row r="408">
      <c r="A408" s="11"/>
      <c r="B408" s="11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</row>
    <row r="409">
      <c r="A409" s="11"/>
      <c r="B409" s="11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</row>
    <row r="410">
      <c r="A410" s="11"/>
      <c r="B410" s="11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</row>
    <row r="411">
      <c r="A411" s="11"/>
      <c r="B411" s="11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</row>
    <row r="412">
      <c r="A412" s="11"/>
      <c r="B412" s="11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  <c r="AE412" s="138"/>
      <c r="AF412" s="138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</row>
    <row r="413">
      <c r="A413" s="11"/>
      <c r="B413" s="11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  <c r="AD413" s="138"/>
      <c r="AE413" s="138"/>
      <c r="AF413" s="138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</row>
    <row r="414">
      <c r="A414" s="11"/>
      <c r="B414" s="11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  <c r="AD414" s="138"/>
      <c r="AE414" s="138"/>
      <c r="AF414" s="138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</row>
    <row r="415">
      <c r="A415" s="11"/>
      <c r="B415" s="11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  <c r="AD415" s="138"/>
      <c r="AE415" s="138"/>
      <c r="AF415" s="138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</row>
    <row r="416">
      <c r="A416" s="11"/>
      <c r="B416" s="11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  <c r="AD416" s="138"/>
      <c r="AE416" s="138"/>
      <c r="AF416" s="138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</row>
    <row r="417">
      <c r="A417" s="11"/>
      <c r="B417" s="11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  <c r="AE417" s="138"/>
      <c r="AF417" s="138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</row>
    <row r="418">
      <c r="A418" s="11"/>
      <c r="B418" s="11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  <c r="AD418" s="138"/>
      <c r="AE418" s="138"/>
      <c r="AF418" s="138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</row>
    <row r="419">
      <c r="A419" s="11"/>
      <c r="B419" s="11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  <c r="AD419" s="138"/>
      <c r="AE419" s="138"/>
      <c r="AF419" s="138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</row>
    <row r="420">
      <c r="A420" s="11"/>
      <c r="B420" s="11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  <c r="AD420" s="138"/>
      <c r="AE420" s="138"/>
      <c r="AF420" s="138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</row>
    <row r="421">
      <c r="A421" s="11"/>
      <c r="B421" s="11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  <c r="AD421" s="138"/>
      <c r="AE421" s="138"/>
      <c r="AF421" s="138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</row>
    <row r="422">
      <c r="A422" s="11"/>
      <c r="B422" s="11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  <c r="AD422" s="138"/>
      <c r="AE422" s="138"/>
      <c r="AF422" s="138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</row>
    <row r="423">
      <c r="A423" s="11"/>
      <c r="B423" s="11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  <c r="AD423" s="138"/>
      <c r="AE423" s="138"/>
      <c r="AF423" s="138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</row>
    <row r="424">
      <c r="A424" s="11"/>
      <c r="B424" s="11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  <c r="AD424" s="138"/>
      <c r="AE424" s="138"/>
      <c r="AF424" s="138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</row>
    <row r="425">
      <c r="A425" s="11"/>
      <c r="B425" s="11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  <c r="AD425" s="138"/>
      <c r="AE425" s="138"/>
      <c r="AF425" s="138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</row>
    <row r="426">
      <c r="A426" s="11"/>
      <c r="B426" s="11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  <c r="AD426" s="138"/>
      <c r="AE426" s="138"/>
      <c r="AF426" s="138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</row>
    <row r="427">
      <c r="A427" s="11"/>
      <c r="B427" s="11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38"/>
      <c r="AD427" s="138"/>
      <c r="AE427" s="138"/>
      <c r="AF427" s="138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</row>
    <row r="428">
      <c r="A428" s="11"/>
      <c r="B428" s="11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  <c r="AD428" s="138"/>
      <c r="AE428" s="138"/>
      <c r="AF428" s="138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</row>
    <row r="429">
      <c r="A429" s="11"/>
      <c r="B429" s="11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  <c r="AD429" s="138"/>
      <c r="AE429" s="138"/>
      <c r="AF429" s="138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</row>
    <row r="430">
      <c r="A430" s="11"/>
      <c r="B430" s="11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  <c r="AD430" s="138"/>
      <c r="AE430" s="138"/>
      <c r="AF430" s="138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</row>
    <row r="431">
      <c r="A431" s="11"/>
      <c r="B431" s="11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  <c r="AE431" s="138"/>
      <c r="AF431" s="138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</row>
    <row r="432">
      <c r="A432" s="11"/>
      <c r="B432" s="11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  <c r="AE432" s="138"/>
      <c r="AF432" s="138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</row>
    <row r="433">
      <c r="A433" s="11"/>
      <c r="B433" s="11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  <c r="AD433" s="138"/>
      <c r="AE433" s="138"/>
      <c r="AF433" s="138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</row>
    <row r="434">
      <c r="A434" s="11"/>
      <c r="B434" s="11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</row>
    <row r="435">
      <c r="A435" s="11"/>
      <c r="B435" s="11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  <c r="AD435" s="138"/>
      <c r="AE435" s="138"/>
      <c r="AF435" s="138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</row>
    <row r="436">
      <c r="A436" s="11"/>
      <c r="B436" s="11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38"/>
      <c r="AD436" s="138"/>
      <c r="AE436" s="138"/>
      <c r="AF436" s="138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</row>
    <row r="437">
      <c r="A437" s="11"/>
      <c r="B437" s="11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  <c r="AD437" s="138"/>
      <c r="AE437" s="138"/>
      <c r="AF437" s="138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</row>
    <row r="438">
      <c r="A438" s="11"/>
      <c r="B438" s="11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  <c r="AD438" s="138"/>
      <c r="AE438" s="138"/>
      <c r="AF438" s="138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</row>
    <row r="439">
      <c r="A439" s="11"/>
      <c r="B439" s="11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38"/>
      <c r="AD439" s="138"/>
      <c r="AE439" s="138"/>
      <c r="AF439" s="138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</row>
    <row r="440">
      <c r="A440" s="11"/>
      <c r="B440" s="11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  <c r="AD440" s="138"/>
      <c r="AE440" s="138"/>
      <c r="AF440" s="138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</row>
    <row r="441">
      <c r="A441" s="11"/>
      <c r="B441" s="11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38"/>
      <c r="AD441" s="138"/>
      <c r="AE441" s="138"/>
      <c r="AF441" s="138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</row>
    <row r="442">
      <c r="A442" s="11"/>
      <c r="B442" s="11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/>
      <c r="AD442" s="138"/>
      <c r="AE442" s="138"/>
      <c r="AF442" s="138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</row>
    <row r="443">
      <c r="A443" s="11"/>
      <c r="B443" s="11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38"/>
      <c r="AD443" s="138"/>
      <c r="AE443" s="138"/>
      <c r="AF443" s="138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</row>
    <row r="444">
      <c r="A444" s="11"/>
      <c r="B444" s="11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  <c r="AD444" s="138"/>
      <c r="AE444" s="138"/>
      <c r="AF444" s="138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</row>
    <row r="445">
      <c r="A445" s="11"/>
      <c r="B445" s="11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  <c r="AD445" s="138"/>
      <c r="AE445" s="138"/>
      <c r="AF445" s="138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</row>
    <row r="446">
      <c r="A446" s="11"/>
      <c r="B446" s="11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  <c r="AD446" s="138"/>
      <c r="AE446" s="138"/>
      <c r="AF446" s="138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</row>
    <row r="447">
      <c r="A447" s="11"/>
      <c r="B447" s="11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  <c r="AD447" s="138"/>
      <c r="AE447" s="138"/>
      <c r="AF447" s="138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</row>
    <row r="448">
      <c r="A448" s="11"/>
      <c r="B448" s="11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  <c r="AD448" s="138"/>
      <c r="AE448" s="138"/>
      <c r="AF448" s="138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</row>
    <row r="449">
      <c r="A449" s="11"/>
      <c r="B449" s="11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  <c r="AD449" s="138"/>
      <c r="AE449" s="138"/>
      <c r="AF449" s="138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</row>
    <row r="450">
      <c r="A450" s="11"/>
      <c r="B450" s="11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  <c r="AD450" s="138"/>
      <c r="AE450" s="138"/>
      <c r="AF450" s="138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</row>
    <row r="451">
      <c r="A451" s="11"/>
      <c r="B451" s="11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  <c r="AD451" s="138"/>
      <c r="AE451" s="138"/>
      <c r="AF451" s="138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</row>
    <row r="452">
      <c r="A452" s="11"/>
      <c r="B452" s="11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</row>
    <row r="453">
      <c r="A453" s="11"/>
      <c r="B453" s="11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  <c r="AD453" s="138"/>
      <c r="AE453" s="138"/>
      <c r="AF453" s="138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</row>
    <row r="454">
      <c r="A454" s="11"/>
      <c r="B454" s="11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  <c r="AD454" s="138"/>
      <c r="AE454" s="138"/>
      <c r="AF454" s="138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</row>
    <row r="455">
      <c r="A455" s="11"/>
      <c r="B455" s="11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  <c r="AD455" s="138"/>
      <c r="AE455" s="138"/>
      <c r="AF455" s="138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</row>
    <row r="456">
      <c r="A456" s="11"/>
      <c r="B456" s="11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  <c r="AD456" s="138"/>
      <c r="AE456" s="138"/>
      <c r="AF456" s="138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</row>
    <row r="457">
      <c r="A457" s="11"/>
      <c r="B457" s="11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  <c r="AD457" s="138"/>
      <c r="AE457" s="138"/>
      <c r="AF457" s="138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</row>
    <row r="458">
      <c r="A458" s="11"/>
      <c r="B458" s="11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  <c r="AD458" s="138"/>
      <c r="AE458" s="138"/>
      <c r="AF458" s="138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</row>
    <row r="459">
      <c r="A459" s="11"/>
      <c r="B459" s="11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  <c r="AD459" s="138"/>
      <c r="AE459" s="138"/>
      <c r="AF459" s="138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</row>
    <row r="460">
      <c r="A460" s="11"/>
      <c r="B460" s="11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  <c r="AD460" s="138"/>
      <c r="AE460" s="138"/>
      <c r="AF460" s="138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</row>
    <row r="461">
      <c r="A461" s="11"/>
      <c r="B461" s="11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  <c r="AD461" s="138"/>
      <c r="AE461" s="138"/>
      <c r="AF461" s="138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</row>
    <row r="462">
      <c r="A462" s="11"/>
      <c r="B462" s="11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  <c r="AD462" s="138"/>
      <c r="AE462" s="138"/>
      <c r="AF462" s="138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</row>
    <row r="463">
      <c r="A463" s="11"/>
      <c r="B463" s="11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  <c r="AD463" s="138"/>
      <c r="AE463" s="138"/>
      <c r="AF463" s="138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</row>
    <row r="464">
      <c r="A464" s="11"/>
      <c r="B464" s="11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  <c r="AD464" s="138"/>
      <c r="AE464" s="138"/>
      <c r="AF464" s="138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</row>
    <row r="465">
      <c r="A465" s="11"/>
      <c r="B465" s="11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  <c r="AD465" s="138"/>
      <c r="AE465" s="138"/>
      <c r="AF465" s="138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</row>
    <row r="466">
      <c r="A466" s="11"/>
      <c r="B466" s="11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  <c r="AD466" s="138"/>
      <c r="AE466" s="138"/>
      <c r="AF466" s="138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</row>
    <row r="467">
      <c r="A467" s="11"/>
      <c r="B467" s="11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  <c r="AD467" s="138"/>
      <c r="AE467" s="138"/>
      <c r="AF467" s="138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</row>
    <row r="468">
      <c r="A468" s="11"/>
      <c r="B468" s="11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  <c r="AD468" s="138"/>
      <c r="AE468" s="138"/>
      <c r="AF468" s="138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</row>
    <row r="469">
      <c r="A469" s="11"/>
      <c r="B469" s="11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  <c r="AD469" s="138"/>
      <c r="AE469" s="138"/>
      <c r="AF469" s="138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</row>
    <row r="470">
      <c r="A470" s="11"/>
      <c r="B470" s="11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  <c r="AD470" s="138"/>
      <c r="AE470" s="138"/>
      <c r="AF470" s="138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</row>
    <row r="471">
      <c r="A471" s="11"/>
      <c r="B471" s="11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  <c r="AD471" s="138"/>
      <c r="AE471" s="138"/>
      <c r="AF471" s="138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</row>
    <row r="472">
      <c r="A472" s="11"/>
      <c r="B472" s="11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  <c r="AD472" s="138"/>
      <c r="AE472" s="138"/>
      <c r="AF472" s="138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</row>
    <row r="473">
      <c r="A473" s="11"/>
      <c r="B473" s="11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  <c r="AD473" s="138"/>
      <c r="AE473" s="138"/>
      <c r="AF473" s="138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</row>
    <row r="474">
      <c r="A474" s="11"/>
      <c r="B474" s="11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  <c r="AD474" s="138"/>
      <c r="AE474" s="138"/>
      <c r="AF474" s="138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</row>
    <row r="475">
      <c r="A475" s="11"/>
      <c r="B475" s="11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  <c r="AD475" s="138"/>
      <c r="AE475" s="138"/>
      <c r="AF475" s="138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</row>
    <row r="476">
      <c r="A476" s="11"/>
      <c r="B476" s="11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  <c r="AD476" s="138"/>
      <c r="AE476" s="138"/>
      <c r="AF476" s="138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</row>
    <row r="477">
      <c r="A477" s="11"/>
      <c r="B477" s="11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  <c r="AD477" s="138"/>
      <c r="AE477" s="138"/>
      <c r="AF477" s="138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</row>
    <row r="478">
      <c r="A478" s="11"/>
      <c r="B478" s="11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  <c r="AD478" s="138"/>
      <c r="AE478" s="138"/>
      <c r="AF478" s="138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</row>
    <row r="479">
      <c r="A479" s="11"/>
      <c r="B479" s="11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  <c r="AD479" s="138"/>
      <c r="AE479" s="138"/>
      <c r="AF479" s="138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</row>
    <row r="480">
      <c r="A480" s="11"/>
      <c r="B480" s="11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  <c r="AD480" s="138"/>
      <c r="AE480" s="138"/>
      <c r="AF480" s="138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</row>
    <row r="481">
      <c r="A481" s="11"/>
      <c r="B481" s="11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  <c r="AD481" s="138"/>
      <c r="AE481" s="138"/>
      <c r="AF481" s="138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</row>
    <row r="482">
      <c r="A482" s="11"/>
      <c r="B482" s="11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  <c r="AD482" s="138"/>
      <c r="AE482" s="138"/>
      <c r="AF482" s="138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</row>
    <row r="483">
      <c r="A483" s="11"/>
      <c r="B483" s="11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  <c r="AD483" s="138"/>
      <c r="AE483" s="138"/>
      <c r="AF483" s="138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</row>
    <row r="484">
      <c r="A484" s="11"/>
      <c r="B484" s="11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  <c r="AD484" s="138"/>
      <c r="AE484" s="138"/>
      <c r="AF484" s="138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</row>
    <row r="485">
      <c r="A485" s="11"/>
      <c r="B485" s="11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  <c r="AD485" s="138"/>
      <c r="AE485" s="138"/>
      <c r="AF485" s="138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</row>
    <row r="486">
      <c r="A486" s="11"/>
      <c r="B486" s="11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  <c r="AD486" s="138"/>
      <c r="AE486" s="138"/>
      <c r="AF486" s="138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</row>
    <row r="487">
      <c r="A487" s="11"/>
      <c r="B487" s="11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  <c r="AD487" s="138"/>
      <c r="AE487" s="138"/>
      <c r="AF487" s="138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</row>
    <row r="488">
      <c r="A488" s="11"/>
      <c r="B488" s="11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  <c r="AD488" s="138"/>
      <c r="AE488" s="138"/>
      <c r="AF488" s="138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</row>
    <row r="489">
      <c r="A489" s="11"/>
      <c r="B489" s="11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  <c r="AD489" s="138"/>
      <c r="AE489" s="138"/>
      <c r="AF489" s="138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</row>
    <row r="490">
      <c r="A490" s="11"/>
      <c r="B490" s="11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  <c r="AD490" s="138"/>
      <c r="AE490" s="138"/>
      <c r="AF490" s="138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</row>
    <row r="491">
      <c r="A491" s="11"/>
      <c r="B491" s="11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  <c r="AD491" s="138"/>
      <c r="AE491" s="138"/>
      <c r="AF491" s="138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</row>
    <row r="492">
      <c r="A492" s="11"/>
      <c r="B492" s="11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  <c r="AD492" s="138"/>
      <c r="AE492" s="138"/>
      <c r="AF492" s="138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</row>
    <row r="493">
      <c r="A493" s="11"/>
      <c r="B493" s="11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  <c r="AD493" s="138"/>
      <c r="AE493" s="138"/>
      <c r="AF493" s="138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</row>
    <row r="494">
      <c r="A494" s="11"/>
      <c r="B494" s="11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  <c r="AD494" s="138"/>
      <c r="AE494" s="138"/>
      <c r="AF494" s="138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</row>
    <row r="495">
      <c r="A495" s="11"/>
      <c r="B495" s="11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  <c r="AD495" s="138"/>
      <c r="AE495" s="138"/>
      <c r="AF495" s="138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</row>
    <row r="496">
      <c r="A496" s="11"/>
      <c r="B496" s="11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  <c r="AD496" s="138"/>
      <c r="AE496" s="138"/>
      <c r="AF496" s="138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</row>
    <row r="497">
      <c r="A497" s="11"/>
      <c r="B497" s="11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  <c r="AD497" s="138"/>
      <c r="AE497" s="138"/>
      <c r="AF497" s="138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</row>
    <row r="498">
      <c r="A498" s="11"/>
      <c r="B498" s="11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  <c r="AD498" s="138"/>
      <c r="AE498" s="138"/>
      <c r="AF498" s="138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</row>
    <row r="499">
      <c r="A499" s="11"/>
      <c r="B499" s="11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  <c r="AD499" s="138"/>
      <c r="AE499" s="138"/>
      <c r="AF499" s="138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</row>
    <row r="500">
      <c r="A500" s="11"/>
      <c r="B500" s="11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  <c r="AD500" s="138"/>
      <c r="AE500" s="138"/>
      <c r="AF500" s="138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</row>
    <row r="501">
      <c r="A501" s="11"/>
      <c r="B501" s="11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  <c r="AD501" s="138"/>
      <c r="AE501" s="138"/>
      <c r="AF501" s="138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</row>
    <row r="502">
      <c r="A502" s="11"/>
      <c r="B502" s="11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  <c r="AD502" s="138"/>
      <c r="AE502" s="138"/>
      <c r="AF502" s="138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</row>
    <row r="503">
      <c r="A503" s="11"/>
      <c r="B503" s="11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  <c r="AD503" s="138"/>
      <c r="AE503" s="138"/>
      <c r="AF503" s="138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</row>
    <row r="504">
      <c r="A504" s="11"/>
      <c r="B504" s="11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  <c r="AD504" s="138"/>
      <c r="AE504" s="138"/>
      <c r="AF504" s="138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</row>
    <row r="505">
      <c r="A505" s="11"/>
      <c r="B505" s="11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  <c r="AD505" s="138"/>
      <c r="AE505" s="138"/>
      <c r="AF505" s="138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</row>
    <row r="506">
      <c r="A506" s="11"/>
      <c r="B506" s="11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  <c r="AD506" s="138"/>
      <c r="AE506" s="138"/>
      <c r="AF506" s="138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</row>
    <row r="507">
      <c r="A507" s="11"/>
      <c r="B507" s="11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  <c r="AD507" s="138"/>
      <c r="AE507" s="138"/>
      <c r="AF507" s="138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</row>
    <row r="508">
      <c r="A508" s="11"/>
      <c r="B508" s="11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  <c r="AD508" s="138"/>
      <c r="AE508" s="138"/>
      <c r="AF508" s="138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</row>
    <row r="509">
      <c r="A509" s="11"/>
      <c r="B509" s="11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  <c r="AD509" s="138"/>
      <c r="AE509" s="138"/>
      <c r="AF509" s="138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</row>
    <row r="510">
      <c r="A510" s="11"/>
      <c r="B510" s="11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  <c r="AD510" s="138"/>
      <c r="AE510" s="138"/>
      <c r="AF510" s="138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</row>
    <row r="511">
      <c r="A511" s="11"/>
      <c r="B511" s="11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  <c r="AD511" s="138"/>
      <c r="AE511" s="138"/>
      <c r="AF511" s="138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</row>
    <row r="512">
      <c r="A512" s="11"/>
      <c r="B512" s="11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  <c r="AD512" s="138"/>
      <c r="AE512" s="138"/>
      <c r="AF512" s="138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</row>
    <row r="513">
      <c r="A513" s="11"/>
      <c r="B513" s="11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  <c r="AD513" s="138"/>
      <c r="AE513" s="138"/>
      <c r="AF513" s="138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</row>
    <row r="514">
      <c r="A514" s="11"/>
      <c r="B514" s="11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  <c r="AD514" s="138"/>
      <c r="AE514" s="138"/>
      <c r="AF514" s="138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</row>
    <row r="515">
      <c r="A515" s="11"/>
      <c r="B515" s="11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  <c r="AD515" s="138"/>
      <c r="AE515" s="138"/>
      <c r="AF515" s="138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</row>
    <row r="516">
      <c r="A516" s="11"/>
      <c r="B516" s="11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  <c r="AD516" s="138"/>
      <c r="AE516" s="138"/>
      <c r="AF516" s="138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</row>
    <row r="517">
      <c r="A517" s="11"/>
      <c r="B517" s="11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  <c r="AD517" s="138"/>
      <c r="AE517" s="138"/>
      <c r="AF517" s="138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</row>
    <row r="518">
      <c r="A518" s="11"/>
      <c r="B518" s="11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  <c r="AD518" s="138"/>
      <c r="AE518" s="138"/>
      <c r="AF518" s="138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</row>
    <row r="519">
      <c r="A519" s="11"/>
      <c r="B519" s="11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  <c r="AD519" s="138"/>
      <c r="AE519" s="138"/>
      <c r="AF519" s="138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</row>
    <row r="520">
      <c r="A520" s="11"/>
      <c r="B520" s="11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  <c r="AD520" s="138"/>
      <c r="AE520" s="138"/>
      <c r="AF520" s="138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</row>
    <row r="521">
      <c r="A521" s="11"/>
      <c r="B521" s="11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  <c r="AD521" s="138"/>
      <c r="AE521" s="138"/>
      <c r="AF521" s="138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</row>
    <row r="522">
      <c r="A522" s="11"/>
      <c r="B522" s="11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  <c r="AD522" s="138"/>
      <c r="AE522" s="138"/>
      <c r="AF522" s="138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</row>
    <row r="523">
      <c r="A523" s="11"/>
      <c r="B523" s="11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  <c r="AD523" s="138"/>
      <c r="AE523" s="138"/>
      <c r="AF523" s="138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</row>
    <row r="524">
      <c r="A524" s="11"/>
      <c r="B524" s="11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  <c r="AD524" s="138"/>
      <c r="AE524" s="138"/>
      <c r="AF524" s="138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</row>
    <row r="525">
      <c r="A525" s="11"/>
      <c r="B525" s="11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  <c r="AD525" s="138"/>
      <c r="AE525" s="138"/>
      <c r="AF525" s="138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</row>
    <row r="526">
      <c r="A526" s="11"/>
      <c r="B526" s="11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  <c r="AD526" s="138"/>
      <c r="AE526" s="138"/>
      <c r="AF526" s="138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</row>
    <row r="527">
      <c r="A527" s="11"/>
      <c r="B527" s="11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  <c r="AD527" s="138"/>
      <c r="AE527" s="138"/>
      <c r="AF527" s="138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</row>
    <row r="528">
      <c r="A528" s="11"/>
      <c r="B528" s="11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  <c r="AD528" s="138"/>
      <c r="AE528" s="138"/>
      <c r="AF528" s="138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</row>
    <row r="529">
      <c r="A529" s="11"/>
      <c r="B529" s="11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  <c r="AD529" s="138"/>
      <c r="AE529" s="138"/>
      <c r="AF529" s="138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</row>
    <row r="530">
      <c r="A530" s="11"/>
      <c r="B530" s="11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  <c r="AD530" s="138"/>
      <c r="AE530" s="138"/>
      <c r="AF530" s="138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</row>
    <row r="531">
      <c r="A531" s="11"/>
      <c r="B531" s="11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  <c r="AD531" s="138"/>
      <c r="AE531" s="138"/>
      <c r="AF531" s="138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</row>
    <row r="532">
      <c r="A532" s="11"/>
      <c r="B532" s="11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  <c r="AD532" s="138"/>
      <c r="AE532" s="138"/>
      <c r="AF532" s="138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</row>
    <row r="533">
      <c r="A533" s="11"/>
      <c r="B533" s="11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  <c r="AD533" s="138"/>
      <c r="AE533" s="138"/>
      <c r="AF533" s="138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</row>
    <row r="534">
      <c r="A534" s="11"/>
      <c r="B534" s="11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  <c r="AD534" s="138"/>
      <c r="AE534" s="138"/>
      <c r="AF534" s="138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</row>
    <row r="535">
      <c r="A535" s="11"/>
      <c r="B535" s="11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  <c r="AD535" s="138"/>
      <c r="AE535" s="138"/>
      <c r="AF535" s="138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</row>
    <row r="536">
      <c r="A536" s="11"/>
      <c r="B536" s="11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  <c r="AD536" s="138"/>
      <c r="AE536" s="138"/>
      <c r="AF536" s="138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</row>
    <row r="537">
      <c r="A537" s="11"/>
      <c r="B537" s="11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  <c r="AD537" s="138"/>
      <c r="AE537" s="138"/>
      <c r="AF537" s="138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</row>
    <row r="538">
      <c r="A538" s="11"/>
      <c r="B538" s="11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  <c r="AD538" s="138"/>
      <c r="AE538" s="138"/>
      <c r="AF538" s="138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</row>
    <row r="539">
      <c r="A539" s="11"/>
      <c r="B539" s="11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  <c r="AD539" s="138"/>
      <c r="AE539" s="138"/>
      <c r="AF539" s="138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</row>
  </sheetData>
  <printOptions gridLines="1"/>
  <pageMargins bottom="0.75" footer="0.0" header="0.0" left="0.7" right="0.7" top="0.75"/>
  <pageSetup paperSize="14" orientation="landscape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4" width="14.25"/>
    <col customWidth="1" min="5" max="5" width="18.25"/>
    <col customWidth="1" min="6" max="6" width="16.63"/>
  </cols>
  <sheetData>
    <row r="1">
      <c r="A1" s="159" t="s">
        <v>660</v>
      </c>
      <c r="B1" s="159" t="s">
        <v>661</v>
      </c>
      <c r="C1" s="159" t="s">
        <v>662</v>
      </c>
      <c r="D1" s="159" t="s">
        <v>663</v>
      </c>
      <c r="E1" s="159" t="s">
        <v>664</v>
      </c>
      <c r="F1" s="159" t="s">
        <v>665</v>
      </c>
    </row>
    <row r="2">
      <c r="A2" s="160" t="s">
        <v>58</v>
      </c>
      <c r="B2" s="161">
        <f>(countifs('⬇️ PEMASUKAN'!$H$801:$H999,A2,'⬇️ PEMASUKAN'!$K$801:$K999,"K.PT - PAKET 1",'⬇️ PEMASUKAN'!$M$801:$M999,"LUNAS")+countifs('⬇️ PEMASUKAN'!$H$801:$H999,A2,'⬇️ PEMASUKAN'!$K$801:$K999,"K.PT - PAKET 1",'⬇️ PEMASUKAN'!$M$801:$M999,"DP"))+(countifs('⬇️ PEMASUKAN'!$H$801:$H999,A2,'⬇️ PEMASUKAN'!$K$801:$K999,"K.PT - PAKET SILVER",'⬇️ PEMASUKAN'!$M$801:$M999,"LUNAS")+countifs('⬇️ PEMASUKAN'!$H$801:$H999,A2,'⬇️ PEMASUKAN'!$K$801:$K999,"K.PT - PAKET SILVER",'⬇️ PEMASUKAN'!$M$801:$M999,"DP"))</f>
        <v>0</v>
      </c>
      <c r="C2" s="161">
        <f>(countifs('⬇️ PEMASUKAN'!$H$801:$H999,A2,'⬇️ PEMASUKAN'!$K$801:$K999,"K.PT - PAKET 2",'⬇️ PEMASUKAN'!$M$801:$M999,"LUNAS")+countifs('⬇️ PEMASUKAN'!$H$801:$H999,A2,'⬇️ PEMASUKAN'!$K$801:$K999,"K.PT - PAKET 2",'⬇️ PEMASUKAN'!$M$801:$M999,"DP"))+(countifs('⬇️ PEMASUKAN'!$H$801:$H999,A2,'⬇️ PEMASUKAN'!$K$801:$K999,"K.PT - PAKET GOLD",'⬇️ PEMASUKAN'!$M$801:$M999,"LUNAS")+countifs('⬇️ PEMASUKAN'!$H$801:$H999,A2,'⬇️ PEMASUKAN'!$K$801:$K999,"K.PT - PAKET GOLD",'⬇️ PEMASUKAN'!$M$801:$M999,"DP"))</f>
        <v>0</v>
      </c>
      <c r="D2" s="161">
        <f>(countifs('⬇️ PEMASUKAN'!$H$801:$H999,A2,'⬇️ PEMASUKAN'!$K$801:$K999,"K.PT - PAKET PLATINUM",'⬇️ PEMASUKAN'!$M$801:$M999,"LUNAS")+countifs('⬇️ PEMASUKAN'!$H$801:$H999,A2,'⬇️ PEMASUKAN'!$K$801:$K999,"K.PT - PAKET PLATINUM",'⬇️ PEMASUKAN'!$M$801:$M999,"DP"))</f>
        <v>0</v>
      </c>
      <c r="E2" s="161">
        <f>(countifs('⬇️ PEMASUKAN'!$H$801:$H999,A2,'⬇️ PEMASUKAN'!$K$801:$K999,"*V.ST*",'⬇️ PEMASUKAN'!$M$801:$M999,"LUNAS")+countifs('⬇️ PEMASUKAN'!$H$801:$H999,A2,'⬇️ PEMASUKAN'!$K$801:$K999,"*V.ST*",'⬇️ PEMASUKAN'!$M$801:$M999,"DP"))+(countifs('⬇️ PEMASUKAN'!$H$801:$H999,A2,'⬇️ PEMASUKAN'!$K$801:$K999,"*V.TA*",'⬇️ PEMASUKAN'!$M$801:$M999,"LUNAS")+countifs('⬇️ PEMASUKAN'!$H$801:$H999,A2,'⬇️ PEMASUKAN'!$K$801:$K999,"*V.TA*",'⬇️ PEMASUKAN'!$M$801:$M999,"DP"))</f>
        <v>0</v>
      </c>
      <c r="F2" s="161">
        <f>(countifs('⬇️ PEMASUKAN'!$H$801:$H999,A2,'⬇️ PEMASUKAN'!$K$801:$K999,"*V.PT*",'⬇️ PEMASUKAN'!$M$801:$M999,"LUNAS")+countifs('⬇️ PEMASUKAN'!$H$801:$H999,A2,'⬇️ PEMASUKAN'!$K$801:$K999,"*V.PT*",'⬇️ PEMASUKAN'!$M$801:$M999,"DP"))</f>
        <v>0</v>
      </c>
    </row>
    <row r="3">
      <c r="A3" s="162" t="s">
        <v>654</v>
      </c>
      <c r="B3" s="161">
        <f>(countifs('⬇️ PEMASUKAN'!$H$801:$H999,A3,'⬇️ PEMASUKAN'!$K$801:$K999,"K.PT - PAKET 1",'⬇️ PEMASUKAN'!$M$801:$M999,"LUNAS")+countifs('⬇️ PEMASUKAN'!$H$801:$H999,A3,'⬇️ PEMASUKAN'!$K$801:$K999,"K.PT - PAKET 1",'⬇️ PEMASUKAN'!$M$801:$M999,"DP"))+(countifs('⬇️ PEMASUKAN'!$H$801:$H999,A3,'⬇️ PEMASUKAN'!$K$801:$K999,"K.PT - PAKET SILVER",'⬇️ PEMASUKAN'!$M$801:$M999,"LUNAS")+countifs('⬇️ PEMASUKAN'!$H$801:$H999,A3,'⬇️ PEMASUKAN'!$K$801:$K999,"K.PT - PAKET SILVER",'⬇️ PEMASUKAN'!$M$801:$M999,"DP"))</f>
        <v>0</v>
      </c>
      <c r="C3" s="161">
        <f>(countifs('⬇️ PEMASUKAN'!$H$801:$H999,A3,'⬇️ PEMASUKAN'!$K$801:$K999,"K.PT - PAKET 2",'⬇️ PEMASUKAN'!$M$801:$M999,"LUNAS")+countifs('⬇️ PEMASUKAN'!$H$801:$H999,A3,'⬇️ PEMASUKAN'!$K$801:$K999,"K.PT - PAKET 2",'⬇️ PEMASUKAN'!$M$801:$M999,"DP"))+(countifs('⬇️ PEMASUKAN'!$H$801:$H999,A3,'⬇️ PEMASUKAN'!$K$801:$K999,"K.PT - PAKET GOLD",'⬇️ PEMASUKAN'!$M$801:$M999,"LUNAS")+countifs('⬇️ PEMASUKAN'!$H$801:$H999,A3,'⬇️ PEMASUKAN'!$K$801:$K999,"K.PT - PAKET GOLD",'⬇️ PEMASUKAN'!$M$801:$M999,"DP"))</f>
        <v>0</v>
      </c>
      <c r="D3" s="161">
        <f>(countifs('⬇️ PEMASUKAN'!$H$801:$H999,A3,'⬇️ PEMASUKAN'!$K$801:$K999,"K.PT - PAKET PLATINUM",'⬇️ PEMASUKAN'!$M$801:$M999,"LUNAS")+countifs('⬇️ PEMASUKAN'!$H$801:$H999,A3,'⬇️ PEMASUKAN'!$K$801:$K999,"K.PT - PAKET PLATINUM",'⬇️ PEMASUKAN'!$M$801:$M999,"DP"))</f>
        <v>0</v>
      </c>
      <c r="E3" s="161">
        <f>(countifs('⬇️ PEMASUKAN'!$H$801:$H999,A3,'⬇️ PEMASUKAN'!$K$801:$K999,"*V.ST*",'⬇️ PEMASUKAN'!$M$801:$M999,"LUNAS")+countifs('⬇️ PEMASUKAN'!$H$801:$H999,A3,'⬇️ PEMASUKAN'!$K$801:$K999,"*V.ST*",'⬇️ PEMASUKAN'!$M$801:$M999,"DP"))+(countifs('⬇️ PEMASUKAN'!$H$801:$H999,A3,'⬇️ PEMASUKAN'!$K$801:$K999,"*V.TA*",'⬇️ PEMASUKAN'!$M$801:$M999,"LUNAS")+countifs('⬇️ PEMASUKAN'!$H$801:$H999,A3,'⬇️ PEMASUKAN'!$K$801:$K999,"*V.TA*",'⬇️ PEMASUKAN'!$M$801:$M999,"DP"))</f>
        <v>0</v>
      </c>
      <c r="F3" s="161">
        <f>(countifs('⬇️ PEMASUKAN'!$H$801:$H999,A3,'⬇️ PEMASUKAN'!$K$801:$K999,"*V.PT*",'⬇️ PEMASUKAN'!$M$801:$M999,"LUNAS")+countifs('⬇️ PEMASUKAN'!$H$801:$H999,A3,'⬇️ PEMASUKAN'!$K$801:$K999,"*V.PT*",'⬇️ PEMASUKAN'!$M$801:$M999,"DP"))</f>
        <v>0</v>
      </c>
    </row>
    <row r="4">
      <c r="A4" s="162" t="s">
        <v>48</v>
      </c>
      <c r="B4" s="161">
        <f>(countifs('⬇️ PEMASUKAN'!$H$801:$H999,A4,'⬇️ PEMASUKAN'!$K$801:$K999,"K.PT - PAKET 1",'⬇️ PEMASUKAN'!$M$801:$M999,"LUNAS")+countifs('⬇️ PEMASUKAN'!$H$801:$H999,A4,'⬇️ PEMASUKAN'!$K$801:$K999,"K.PT - PAKET 1",'⬇️ PEMASUKAN'!$M$801:$M999,"DP"))+(countifs('⬇️ PEMASUKAN'!$H$801:$H999,A4,'⬇️ PEMASUKAN'!$K$801:$K999,"K.PT - PAKET SILVER",'⬇️ PEMASUKAN'!$M$801:$M999,"LUNAS")+countifs('⬇️ PEMASUKAN'!$H$801:$H999,A4,'⬇️ PEMASUKAN'!$K$801:$K999,"K.PT - PAKET SILVER",'⬇️ PEMASUKAN'!$M$801:$M999,"DP"))</f>
        <v>0</v>
      </c>
      <c r="C4" s="161">
        <f>(countifs('⬇️ PEMASUKAN'!$H$801:$H999,A4,'⬇️ PEMASUKAN'!$K$801:$K999,"K.PT - PAKET 2",'⬇️ PEMASUKAN'!$M$801:$M999,"LUNAS")+countifs('⬇️ PEMASUKAN'!$H$801:$H999,A4,'⬇️ PEMASUKAN'!$K$801:$K999,"K.PT - PAKET 2",'⬇️ PEMASUKAN'!$M$801:$M999,"DP"))+(countifs('⬇️ PEMASUKAN'!$H$801:$H999,A4,'⬇️ PEMASUKAN'!$K$801:$K999,"K.PT - PAKET GOLD",'⬇️ PEMASUKAN'!$M$801:$M999,"LUNAS")+countifs('⬇️ PEMASUKAN'!$H$801:$H999,A4,'⬇️ PEMASUKAN'!$K$801:$K999,"K.PT - PAKET GOLD",'⬇️ PEMASUKAN'!$M$801:$M999,"DP"))</f>
        <v>0</v>
      </c>
      <c r="D4" s="161">
        <f>(countifs('⬇️ PEMASUKAN'!$H$801:$H999,A4,'⬇️ PEMASUKAN'!$K$801:$K999,"K.PT - PAKET PLATINUM",'⬇️ PEMASUKAN'!$M$801:$M999,"LUNAS")+countifs('⬇️ PEMASUKAN'!$H$801:$H999,A4,'⬇️ PEMASUKAN'!$K$801:$K999,"K.PT - PAKET PLATINUM",'⬇️ PEMASUKAN'!$M$801:$M999,"DP"))</f>
        <v>0</v>
      </c>
      <c r="E4" s="161">
        <f>(countifs('⬇️ PEMASUKAN'!$H$801:$H999,A4,'⬇️ PEMASUKAN'!$K$801:$K999,"*V.ST*",'⬇️ PEMASUKAN'!$M$801:$M999,"LUNAS")+countifs('⬇️ PEMASUKAN'!$H$801:$H999,A4,'⬇️ PEMASUKAN'!$K$801:$K999,"*V.ST*",'⬇️ PEMASUKAN'!$M$801:$M999,"DP"))+(countifs('⬇️ PEMASUKAN'!$H$801:$H999,A4,'⬇️ PEMASUKAN'!$K$801:$K999,"*V.TA*",'⬇️ PEMASUKAN'!$M$801:$M999,"LUNAS")+countifs('⬇️ PEMASUKAN'!$H$801:$H999,A4,'⬇️ PEMASUKAN'!$K$801:$K999,"*V.TA*",'⬇️ PEMASUKAN'!$M$801:$M999,"DP"))</f>
        <v>0</v>
      </c>
      <c r="F4" s="161">
        <f>(countifs('⬇️ PEMASUKAN'!$H$801:$H999,A4,'⬇️ PEMASUKAN'!$K$801:$K999,"*V.PT*",'⬇️ PEMASUKAN'!$M$801:$M999,"LUNAS")+countifs('⬇️ PEMASUKAN'!$H$801:$H999,A4,'⬇️ PEMASUKAN'!$K$801:$K999,"*V.PT*",'⬇️ PEMASUKAN'!$M$801:$M999,"DP"))</f>
        <v>0</v>
      </c>
    </row>
    <row r="5">
      <c r="A5" s="162" t="s">
        <v>70</v>
      </c>
      <c r="B5" s="161">
        <f>(countifs('⬇️ PEMASUKAN'!$H$801:$H999,A5,'⬇️ PEMASUKAN'!$K$801:$K999,"K.PT - PAKET 1",'⬇️ PEMASUKAN'!$M$801:$M999,"LUNAS")+countifs('⬇️ PEMASUKAN'!$H$801:$H999,A5,'⬇️ PEMASUKAN'!$K$801:$K999,"K.PT - PAKET 1",'⬇️ PEMASUKAN'!$M$801:$M999,"DP"))+(countifs('⬇️ PEMASUKAN'!$H$801:$H999,A5,'⬇️ PEMASUKAN'!$K$801:$K999,"K.PT - PAKET SILVER",'⬇️ PEMASUKAN'!$M$801:$M999,"LUNAS")+countifs('⬇️ PEMASUKAN'!$H$801:$H999,A5,'⬇️ PEMASUKAN'!$K$801:$K999,"K.PT - PAKET SILVER",'⬇️ PEMASUKAN'!$M$801:$M999,"DP"))</f>
        <v>0</v>
      </c>
      <c r="C5" s="161">
        <f>(countifs('⬇️ PEMASUKAN'!$H$801:$H999,A5,'⬇️ PEMASUKAN'!$K$801:$K999,"K.PT - PAKET 2",'⬇️ PEMASUKAN'!$M$801:$M999,"LUNAS")+countifs('⬇️ PEMASUKAN'!$H$801:$H999,A5,'⬇️ PEMASUKAN'!$K$801:$K999,"K.PT - PAKET 2",'⬇️ PEMASUKAN'!$M$801:$M999,"DP"))+(countifs('⬇️ PEMASUKAN'!$H$801:$H999,A5,'⬇️ PEMASUKAN'!$K$801:$K999,"K.PT - PAKET GOLD",'⬇️ PEMASUKAN'!$M$801:$M999,"LUNAS")+countifs('⬇️ PEMASUKAN'!$H$801:$H999,A5,'⬇️ PEMASUKAN'!$K$801:$K999,"K.PT - PAKET GOLD",'⬇️ PEMASUKAN'!$M$801:$M999,"DP"))</f>
        <v>0</v>
      </c>
      <c r="D5" s="161">
        <f>(countifs('⬇️ PEMASUKAN'!$H$801:$H999,A5,'⬇️ PEMASUKAN'!$K$801:$K999,"K.PT - PAKET PLATINUM",'⬇️ PEMASUKAN'!$M$801:$M999,"LUNAS")+countifs('⬇️ PEMASUKAN'!$H$801:$H999,A5,'⬇️ PEMASUKAN'!$K$801:$K999,"K.PT - PAKET PLATINUM",'⬇️ PEMASUKAN'!$M$801:$M999,"DP"))</f>
        <v>0</v>
      </c>
      <c r="E5" s="161">
        <f>(countifs('⬇️ PEMASUKAN'!$H$801:$H999,A5,'⬇️ PEMASUKAN'!$K$801:$K999,"*V.ST*",'⬇️ PEMASUKAN'!$M$801:$M999,"LUNAS")+countifs('⬇️ PEMASUKAN'!$H$801:$H999,A5,'⬇️ PEMASUKAN'!$K$801:$K999,"*V.ST*",'⬇️ PEMASUKAN'!$M$801:$M999,"DP"))+(countifs('⬇️ PEMASUKAN'!$H$801:$H999,A5,'⬇️ PEMASUKAN'!$K$801:$K999,"*V.TA*",'⬇️ PEMASUKAN'!$M$801:$M999,"LUNAS")+countifs('⬇️ PEMASUKAN'!$H$801:$H999,A5,'⬇️ PEMASUKAN'!$K$801:$K999,"*V.TA*",'⬇️ PEMASUKAN'!$M$801:$M999,"DP"))</f>
        <v>0</v>
      </c>
      <c r="F5" s="161">
        <f>(countifs('⬇️ PEMASUKAN'!$H$801:$H999,A5,'⬇️ PEMASUKAN'!$K$801:$K999,"*V.PT*",'⬇️ PEMASUKAN'!$M$801:$M999,"LUNAS")+countifs('⬇️ PEMASUKAN'!$H$801:$H999,A5,'⬇️ PEMASUKAN'!$K$801:$K999,"*V.PT*",'⬇️ PEMASUKAN'!$M$801:$M999,"DP"))</f>
        <v>0</v>
      </c>
    </row>
    <row r="6">
      <c r="A6" s="162" t="s">
        <v>68</v>
      </c>
      <c r="B6" s="161">
        <f>(countifs('⬇️ PEMASUKAN'!$H$801:$H999,A6,'⬇️ PEMASUKAN'!$K$801:$K999,"K.PT - PAKET 1",'⬇️ PEMASUKAN'!$M$801:$M999,"LUNAS")+countifs('⬇️ PEMASUKAN'!$H$801:$H999,A6,'⬇️ PEMASUKAN'!$K$801:$K999,"K.PT - PAKET 1",'⬇️ PEMASUKAN'!$M$801:$M999,"DP"))+(countifs('⬇️ PEMASUKAN'!$H$801:$H999,A6,'⬇️ PEMASUKAN'!$K$801:$K999,"K.PT - PAKET SILVER",'⬇️ PEMASUKAN'!$M$801:$M999,"LUNAS")+countifs('⬇️ PEMASUKAN'!$H$801:$H999,A6,'⬇️ PEMASUKAN'!$K$801:$K999,"K.PT - PAKET SILVER",'⬇️ PEMASUKAN'!$M$801:$M999,"DP"))</f>
        <v>0</v>
      </c>
      <c r="C6" s="161">
        <f>(countifs('⬇️ PEMASUKAN'!$H$801:$H999,A6,'⬇️ PEMASUKAN'!$K$801:$K999,"K.PT - PAKET 2",'⬇️ PEMASUKAN'!$M$801:$M999,"LUNAS")+countifs('⬇️ PEMASUKAN'!$H$801:$H999,A6,'⬇️ PEMASUKAN'!$K$801:$K999,"K.PT - PAKET 2",'⬇️ PEMASUKAN'!$M$801:$M999,"DP"))+(countifs('⬇️ PEMASUKAN'!$H$801:$H999,A6,'⬇️ PEMASUKAN'!$K$801:$K999,"K.PT - PAKET GOLD",'⬇️ PEMASUKAN'!$M$801:$M999,"LUNAS")+countifs('⬇️ PEMASUKAN'!$H$801:$H999,A6,'⬇️ PEMASUKAN'!$K$801:$K999,"K.PT - PAKET GOLD",'⬇️ PEMASUKAN'!$M$801:$M999,"DP"))</f>
        <v>0</v>
      </c>
      <c r="D6" s="161">
        <f>(countifs('⬇️ PEMASUKAN'!$H$801:$H999,A6,'⬇️ PEMASUKAN'!$K$801:$K999,"K.PT - PAKET PLATINUM",'⬇️ PEMASUKAN'!$M$801:$M999,"LUNAS")+countifs('⬇️ PEMASUKAN'!$H$801:$H999,A6,'⬇️ PEMASUKAN'!$K$801:$K999,"K.PT - PAKET PLATINUM",'⬇️ PEMASUKAN'!$M$801:$M999,"DP"))</f>
        <v>0</v>
      </c>
      <c r="E6" s="161">
        <f>(countifs('⬇️ PEMASUKAN'!$H$801:$H999,A6,'⬇️ PEMASUKAN'!$K$801:$K999,"*V.ST*",'⬇️ PEMASUKAN'!$M$801:$M999,"LUNAS")+countifs('⬇️ PEMASUKAN'!$H$801:$H999,A6,'⬇️ PEMASUKAN'!$K$801:$K999,"*V.ST*",'⬇️ PEMASUKAN'!$M$801:$M999,"DP"))+(countifs('⬇️ PEMASUKAN'!$H$801:$H999,A6,'⬇️ PEMASUKAN'!$K$801:$K999,"*V.TA*",'⬇️ PEMASUKAN'!$M$801:$M999,"LUNAS")+countifs('⬇️ PEMASUKAN'!$H$801:$H999,A6,'⬇️ PEMASUKAN'!$K$801:$K999,"*V.TA*",'⬇️ PEMASUKAN'!$M$801:$M999,"DP"))</f>
        <v>0</v>
      </c>
      <c r="F6" s="161">
        <f>(countifs('⬇️ PEMASUKAN'!$H$801:$H999,A6,'⬇️ PEMASUKAN'!$K$801:$K999,"*V.PT*",'⬇️ PEMASUKAN'!$M$801:$M999,"LUNAS")+countifs('⬇️ PEMASUKAN'!$H$801:$H999,A6,'⬇️ PEMASUKAN'!$K$801:$K999,"*V.PT*",'⬇️ PEMASUKAN'!$M$801:$M999,"DP"))</f>
        <v>0</v>
      </c>
    </row>
    <row r="7">
      <c r="A7" s="162" t="s">
        <v>655</v>
      </c>
      <c r="B7" s="161">
        <f>(countifs('⬇️ PEMASUKAN'!$H$801:$H999,A7,'⬇️ PEMASUKAN'!$K$801:$K999,"K.PT - PAKET 1",'⬇️ PEMASUKAN'!$M$801:$M999,"LUNAS")+countifs('⬇️ PEMASUKAN'!$H$801:$H999,A7,'⬇️ PEMASUKAN'!$K$801:$K999,"K.PT - PAKET 1",'⬇️ PEMASUKAN'!$M$801:$M999,"DP"))+(countifs('⬇️ PEMASUKAN'!$H$801:$H999,A7,'⬇️ PEMASUKAN'!$K$801:$K999,"K.PT - PAKET SILVER",'⬇️ PEMASUKAN'!$M$801:$M999,"LUNAS")+countifs('⬇️ PEMASUKAN'!$H$801:$H999,A7,'⬇️ PEMASUKAN'!$K$801:$K999,"K.PT - PAKET SILVER",'⬇️ PEMASUKAN'!$M$801:$M999,"DP"))</f>
        <v>0</v>
      </c>
      <c r="C7" s="161">
        <f>(countifs('⬇️ PEMASUKAN'!$H$801:$H999,A7,'⬇️ PEMASUKAN'!$K$801:$K999,"K.PT - PAKET 2",'⬇️ PEMASUKAN'!$M$801:$M999,"LUNAS")+countifs('⬇️ PEMASUKAN'!$H$801:$H999,A7,'⬇️ PEMASUKAN'!$K$801:$K999,"K.PT - PAKET 2",'⬇️ PEMASUKAN'!$M$801:$M999,"DP"))+(countifs('⬇️ PEMASUKAN'!$H$801:$H999,A7,'⬇️ PEMASUKAN'!$K$801:$K999,"K.PT - PAKET GOLD",'⬇️ PEMASUKAN'!$M$801:$M999,"LUNAS")+countifs('⬇️ PEMASUKAN'!$H$801:$H999,A7,'⬇️ PEMASUKAN'!$K$801:$K999,"K.PT - PAKET GOLD",'⬇️ PEMASUKAN'!$M$801:$M999,"DP"))</f>
        <v>0</v>
      </c>
      <c r="D7" s="161">
        <f>(countifs('⬇️ PEMASUKAN'!$H$801:$H999,A7,'⬇️ PEMASUKAN'!$K$801:$K999,"K.PT - PAKET PLATINUM",'⬇️ PEMASUKAN'!$M$801:$M999,"LUNAS")+countifs('⬇️ PEMASUKAN'!$H$801:$H999,A7,'⬇️ PEMASUKAN'!$K$801:$K999,"K.PT - PAKET PLATINUM",'⬇️ PEMASUKAN'!$M$801:$M999,"DP"))</f>
        <v>0</v>
      </c>
      <c r="E7" s="161">
        <f>(countifs('⬇️ PEMASUKAN'!$H$801:$H999,A7,'⬇️ PEMASUKAN'!$K$801:$K999,"*V.ST*",'⬇️ PEMASUKAN'!$M$801:$M999,"LUNAS")+countifs('⬇️ PEMASUKAN'!$H$801:$H999,A7,'⬇️ PEMASUKAN'!$K$801:$K999,"*V.ST*",'⬇️ PEMASUKAN'!$M$801:$M999,"DP"))+(countifs('⬇️ PEMASUKAN'!$H$801:$H999,A7,'⬇️ PEMASUKAN'!$K$801:$K999,"*V.TA*",'⬇️ PEMASUKAN'!$M$801:$M999,"LUNAS")+countifs('⬇️ PEMASUKAN'!$H$801:$H999,A7,'⬇️ PEMASUKAN'!$K$801:$K999,"*V.TA*",'⬇️ PEMASUKAN'!$M$801:$M999,"DP"))</f>
        <v>0</v>
      </c>
      <c r="F7" s="161">
        <f>(countifs('⬇️ PEMASUKAN'!$H$801:$H999,A7,'⬇️ PEMASUKAN'!$K$801:$K999,"*V.PT*",'⬇️ PEMASUKAN'!$M$801:$M999,"LUNAS")+countifs('⬇️ PEMASUKAN'!$H$801:$H999,A7,'⬇️ PEMASUKAN'!$K$801:$K999,"*V.PT*",'⬇️ PEMASUKAN'!$M$801:$M999,"DP"))</f>
        <v>0</v>
      </c>
    </row>
    <row r="8">
      <c r="A8" s="162" t="s">
        <v>23</v>
      </c>
      <c r="B8" s="161">
        <f>(countifs('⬇️ PEMASUKAN'!$H$801:$H999,A8,'⬇️ PEMASUKAN'!$K$801:$K999,"K.PT - PAKET 1",'⬇️ PEMASUKAN'!$M$801:$M999,"LUNAS")+countifs('⬇️ PEMASUKAN'!$H$801:$H999,A8,'⬇️ PEMASUKAN'!$K$801:$K999,"K.PT - PAKET 1",'⬇️ PEMASUKAN'!$M$801:$M999,"DP"))+(countifs('⬇️ PEMASUKAN'!$H$801:$H999,A8,'⬇️ PEMASUKAN'!$K$801:$K999,"K.PT - PAKET SILVER",'⬇️ PEMASUKAN'!$M$801:$M999,"LUNAS")+countifs('⬇️ PEMASUKAN'!$H$801:$H999,A8,'⬇️ PEMASUKAN'!$K$801:$K999,"K.PT - PAKET SILVER",'⬇️ PEMASUKAN'!$M$801:$M999,"DP"))</f>
        <v>0</v>
      </c>
      <c r="C8" s="161">
        <f>(countifs('⬇️ PEMASUKAN'!$H$801:$H999,A8,'⬇️ PEMASUKAN'!$K$801:$K999,"K.PT - PAKET 2",'⬇️ PEMASUKAN'!$M$801:$M999,"LUNAS")+countifs('⬇️ PEMASUKAN'!$H$801:$H999,A8,'⬇️ PEMASUKAN'!$K$801:$K999,"K.PT - PAKET 2",'⬇️ PEMASUKAN'!$M$801:$M999,"DP"))+(countifs('⬇️ PEMASUKAN'!$H$801:$H999,A8,'⬇️ PEMASUKAN'!$K$801:$K999,"K.PT - PAKET GOLD",'⬇️ PEMASUKAN'!$M$801:$M999,"LUNAS")+countifs('⬇️ PEMASUKAN'!$H$801:$H999,A8,'⬇️ PEMASUKAN'!$K$801:$K999,"K.PT - PAKET GOLD",'⬇️ PEMASUKAN'!$M$801:$M999,"DP"))</f>
        <v>0</v>
      </c>
      <c r="D8" s="161">
        <f>(countifs('⬇️ PEMASUKAN'!$H$801:$H999,A8,'⬇️ PEMASUKAN'!$K$801:$K999,"K.PT - PAKET PLATINUM",'⬇️ PEMASUKAN'!$M$801:$M999,"LUNAS")+countifs('⬇️ PEMASUKAN'!$H$801:$H999,A8,'⬇️ PEMASUKAN'!$K$801:$K999,"K.PT - PAKET PLATINUM",'⬇️ PEMASUKAN'!$M$801:$M999,"DP"))</f>
        <v>0</v>
      </c>
      <c r="E8" s="161">
        <f>(countifs('⬇️ PEMASUKAN'!$H$801:$H999,A8,'⬇️ PEMASUKAN'!$K$801:$K999,"*V.ST*",'⬇️ PEMASUKAN'!$M$801:$M999,"LUNAS")+countifs('⬇️ PEMASUKAN'!$H$801:$H999,A8,'⬇️ PEMASUKAN'!$K$801:$K999,"*V.ST*",'⬇️ PEMASUKAN'!$M$801:$M999,"DP"))+(countifs('⬇️ PEMASUKAN'!$H$801:$H999,A8,'⬇️ PEMASUKAN'!$K$801:$K999,"*V.TA*",'⬇️ PEMASUKAN'!$M$801:$M999,"LUNAS")+countifs('⬇️ PEMASUKAN'!$H$801:$H999,A8,'⬇️ PEMASUKAN'!$K$801:$K999,"*V.TA*",'⬇️ PEMASUKAN'!$M$801:$M999,"DP"))</f>
        <v>0</v>
      </c>
      <c r="F8" s="161">
        <f>(countifs('⬇️ PEMASUKAN'!$H$801:$H999,A8,'⬇️ PEMASUKAN'!$K$801:$K999,"*V.PT*",'⬇️ PEMASUKAN'!$M$801:$M999,"LUNAS")+countifs('⬇️ PEMASUKAN'!$H$801:$H999,A8,'⬇️ PEMASUKAN'!$K$801:$K999,"*V.PT*",'⬇️ PEMASUKAN'!$M$801:$M999,"DP"))</f>
        <v>0</v>
      </c>
    </row>
    <row r="9">
      <c r="A9" s="162" t="s">
        <v>51</v>
      </c>
      <c r="B9" s="161">
        <f>(countifs('⬇️ PEMASUKAN'!$H$801:$H999,A9,'⬇️ PEMASUKAN'!$K$801:$K999,"K.PT - PAKET 1",'⬇️ PEMASUKAN'!$M$801:$M999,"LUNAS")+countifs('⬇️ PEMASUKAN'!$H$801:$H999,A9,'⬇️ PEMASUKAN'!$K$801:$K999,"K.PT - PAKET 1",'⬇️ PEMASUKAN'!$M$801:$M999,"DP"))+(countifs('⬇️ PEMASUKAN'!$H$801:$H999,A9,'⬇️ PEMASUKAN'!$K$801:$K999,"K.PT - PAKET SILVER",'⬇️ PEMASUKAN'!$M$801:$M999,"LUNAS")+countifs('⬇️ PEMASUKAN'!$H$801:$H999,A9,'⬇️ PEMASUKAN'!$K$801:$K999,"K.PT - PAKET SILVER",'⬇️ PEMASUKAN'!$M$801:$M999,"DP"))</f>
        <v>0</v>
      </c>
      <c r="C9" s="161">
        <f>(countifs('⬇️ PEMASUKAN'!$H$801:$H999,A9,'⬇️ PEMASUKAN'!$K$801:$K999,"K.PT - PAKET 2",'⬇️ PEMASUKAN'!$M$801:$M999,"LUNAS")+countifs('⬇️ PEMASUKAN'!$H$801:$H999,A9,'⬇️ PEMASUKAN'!$K$801:$K999,"K.PT - PAKET 2",'⬇️ PEMASUKAN'!$M$801:$M999,"DP"))+(countifs('⬇️ PEMASUKAN'!$H$801:$H999,A9,'⬇️ PEMASUKAN'!$K$801:$K999,"K.PT - PAKET GOLD",'⬇️ PEMASUKAN'!$M$801:$M999,"LUNAS")+countifs('⬇️ PEMASUKAN'!$H$801:$H999,A9,'⬇️ PEMASUKAN'!$K$801:$K999,"K.PT - PAKET GOLD",'⬇️ PEMASUKAN'!$M$801:$M999,"DP"))</f>
        <v>0</v>
      </c>
      <c r="D9" s="161">
        <f>(countifs('⬇️ PEMASUKAN'!$H$801:$H999,A9,'⬇️ PEMASUKAN'!$K$801:$K999,"K.PT - PAKET PLATINUM",'⬇️ PEMASUKAN'!$M$801:$M999,"LUNAS")+countifs('⬇️ PEMASUKAN'!$H$801:$H999,A9,'⬇️ PEMASUKAN'!$K$801:$K999,"K.PT - PAKET PLATINUM",'⬇️ PEMASUKAN'!$M$801:$M999,"DP"))</f>
        <v>0</v>
      </c>
      <c r="E9" s="161">
        <f>(countifs('⬇️ PEMASUKAN'!$H$801:$H999,A9,'⬇️ PEMASUKAN'!$K$801:$K999,"*V.ST*",'⬇️ PEMASUKAN'!$M$801:$M999,"LUNAS")+countifs('⬇️ PEMASUKAN'!$H$801:$H999,A9,'⬇️ PEMASUKAN'!$K$801:$K999,"*V.ST*",'⬇️ PEMASUKAN'!$M$801:$M999,"DP"))+(countifs('⬇️ PEMASUKAN'!$H$801:$H999,A9,'⬇️ PEMASUKAN'!$K$801:$K999,"*V.TA*",'⬇️ PEMASUKAN'!$M$801:$M999,"LUNAS")+countifs('⬇️ PEMASUKAN'!$H$801:$H999,A9,'⬇️ PEMASUKAN'!$K$801:$K999,"*V.TA*",'⬇️ PEMASUKAN'!$M$801:$M999,"DP"))</f>
        <v>0</v>
      </c>
      <c r="F9" s="161">
        <f>(countifs('⬇️ PEMASUKAN'!$H$801:$H999,A9,'⬇️ PEMASUKAN'!$K$801:$K999,"*V.PT*",'⬇️ PEMASUKAN'!$M$801:$M999,"LUNAS")+countifs('⬇️ PEMASUKAN'!$H$801:$H999,A9,'⬇️ PEMASUKAN'!$K$801:$K999,"*V.PT*",'⬇️ PEMASUKAN'!$M$801:$M999,"DP"))</f>
        <v>0</v>
      </c>
    </row>
    <row r="10">
      <c r="A10" s="162" t="s">
        <v>42</v>
      </c>
      <c r="B10" s="161">
        <f>(countifs('⬇️ PEMASUKAN'!$H$801:$H999,A10,'⬇️ PEMASUKAN'!$K$801:$K999,"K.PT - PAKET 1",'⬇️ PEMASUKAN'!$M$801:$M999,"LUNAS")+countifs('⬇️ PEMASUKAN'!$H$801:$H999,A10,'⬇️ PEMASUKAN'!$K$801:$K999,"K.PT - PAKET 1",'⬇️ PEMASUKAN'!$M$801:$M999,"DP"))+(countifs('⬇️ PEMASUKAN'!$H$801:$H999,A10,'⬇️ PEMASUKAN'!$K$801:$K999,"K.PT - PAKET SILVER",'⬇️ PEMASUKAN'!$M$801:$M999,"LUNAS")+countifs('⬇️ PEMASUKAN'!$H$801:$H999,A10,'⬇️ PEMASUKAN'!$K$801:$K999,"K.PT - PAKET SILVER",'⬇️ PEMASUKAN'!$M$801:$M999,"DP"))</f>
        <v>0</v>
      </c>
      <c r="C10" s="161">
        <f>(countifs('⬇️ PEMASUKAN'!$H$801:$H999,A10,'⬇️ PEMASUKAN'!$K$801:$K999,"K.PT - PAKET 2",'⬇️ PEMASUKAN'!$M$801:$M999,"LUNAS")+countifs('⬇️ PEMASUKAN'!$H$801:$H999,A10,'⬇️ PEMASUKAN'!$K$801:$K999,"K.PT - PAKET 2",'⬇️ PEMASUKAN'!$M$801:$M999,"DP"))+(countifs('⬇️ PEMASUKAN'!$H$801:$H999,A10,'⬇️ PEMASUKAN'!$K$801:$K999,"K.PT - PAKET GOLD",'⬇️ PEMASUKAN'!$M$801:$M999,"LUNAS")+countifs('⬇️ PEMASUKAN'!$H$801:$H999,A10,'⬇️ PEMASUKAN'!$K$801:$K999,"K.PT - PAKET GOLD",'⬇️ PEMASUKAN'!$M$801:$M999,"DP"))</f>
        <v>0</v>
      </c>
      <c r="D10" s="161">
        <f>(countifs('⬇️ PEMASUKAN'!$H$801:$H999,A10,'⬇️ PEMASUKAN'!$K$801:$K999,"K.PT - PAKET PLATINUM",'⬇️ PEMASUKAN'!$M$801:$M999,"LUNAS")+countifs('⬇️ PEMASUKAN'!$H$801:$H999,A10,'⬇️ PEMASUKAN'!$K$801:$K999,"K.PT - PAKET PLATINUM",'⬇️ PEMASUKAN'!$M$801:$M999,"DP"))</f>
        <v>0</v>
      </c>
      <c r="E10" s="161">
        <f>(countifs('⬇️ PEMASUKAN'!$H$801:$H999,A10,'⬇️ PEMASUKAN'!$K$801:$K999,"*V.ST*",'⬇️ PEMASUKAN'!$M$801:$M999,"LUNAS")+countifs('⬇️ PEMASUKAN'!$H$801:$H999,A10,'⬇️ PEMASUKAN'!$K$801:$K999,"*V.ST*",'⬇️ PEMASUKAN'!$M$801:$M999,"DP"))+(countifs('⬇️ PEMASUKAN'!$H$801:$H999,A10,'⬇️ PEMASUKAN'!$K$801:$K999,"*V.TA*",'⬇️ PEMASUKAN'!$M$801:$M999,"LUNAS")+countifs('⬇️ PEMASUKAN'!$H$801:$H999,A10,'⬇️ PEMASUKAN'!$K$801:$K999,"*V.TA*",'⬇️ PEMASUKAN'!$M$801:$M999,"DP"))</f>
        <v>0</v>
      </c>
      <c r="F10" s="161">
        <f>(countifs('⬇️ PEMASUKAN'!$H$801:$H999,A10,'⬇️ PEMASUKAN'!$K$801:$K999,"*V.PT*",'⬇️ PEMASUKAN'!$M$801:$M999,"LUNAS")+countifs('⬇️ PEMASUKAN'!$H$801:$H999,A10,'⬇️ PEMASUKAN'!$K$801:$K999,"*V.PT*",'⬇️ PEMASUKAN'!$M$801:$M999,"DP"))</f>
        <v>0</v>
      </c>
    </row>
    <row r="11">
      <c r="A11" s="162" t="s">
        <v>345</v>
      </c>
      <c r="B11" s="161">
        <f>(countifs('⬇️ PEMASUKAN'!$H$801:$H999,A11,'⬇️ PEMASUKAN'!$K$801:$K999,"K.PT - PAKET 1",'⬇️ PEMASUKAN'!$M$801:$M999,"LUNAS")+countifs('⬇️ PEMASUKAN'!$H$801:$H999,A11,'⬇️ PEMASUKAN'!$K$801:$K999,"K.PT - PAKET 1",'⬇️ PEMASUKAN'!$M$801:$M999,"DP"))+(countifs('⬇️ PEMASUKAN'!$H$801:$H999,A11,'⬇️ PEMASUKAN'!$K$801:$K999,"K.PT - PAKET SILVER",'⬇️ PEMASUKAN'!$M$801:$M999,"LUNAS")+countifs('⬇️ PEMASUKAN'!$H$801:$H999,A11,'⬇️ PEMASUKAN'!$K$801:$K999,"K.PT - PAKET SILVER",'⬇️ PEMASUKAN'!$M$801:$M999,"DP"))</f>
        <v>0</v>
      </c>
      <c r="C11" s="161">
        <f>(countifs('⬇️ PEMASUKAN'!$H$801:$H999,A11,'⬇️ PEMASUKAN'!$K$801:$K999,"K.PT - PAKET 2",'⬇️ PEMASUKAN'!$M$801:$M999,"LUNAS")+countifs('⬇️ PEMASUKAN'!$H$801:$H999,A11,'⬇️ PEMASUKAN'!$K$801:$K999,"K.PT - PAKET 2",'⬇️ PEMASUKAN'!$M$801:$M999,"DP"))+(countifs('⬇️ PEMASUKAN'!$H$801:$H999,A11,'⬇️ PEMASUKAN'!$K$801:$K999,"K.PT - PAKET GOLD",'⬇️ PEMASUKAN'!$M$801:$M999,"LUNAS")+countifs('⬇️ PEMASUKAN'!$H$801:$H999,A11,'⬇️ PEMASUKAN'!$K$801:$K999,"K.PT - PAKET GOLD",'⬇️ PEMASUKAN'!$M$801:$M999,"DP"))</f>
        <v>0</v>
      </c>
      <c r="D11" s="161">
        <f>(countifs('⬇️ PEMASUKAN'!$H$801:$H999,A11,'⬇️ PEMASUKAN'!$K$801:$K999,"K.PT - PAKET PLATINUM",'⬇️ PEMASUKAN'!$M$801:$M999,"LUNAS")+countifs('⬇️ PEMASUKAN'!$H$801:$H999,A11,'⬇️ PEMASUKAN'!$K$801:$K999,"K.PT - PAKET PLATINUM",'⬇️ PEMASUKAN'!$M$801:$M999,"DP"))</f>
        <v>0</v>
      </c>
      <c r="E11" s="161">
        <f>(countifs('⬇️ PEMASUKAN'!$H$801:$H999,A11,'⬇️ PEMASUKAN'!$K$801:$K999,"*V.ST*",'⬇️ PEMASUKAN'!$M$801:$M999,"LUNAS")+countifs('⬇️ PEMASUKAN'!$H$801:$H999,A11,'⬇️ PEMASUKAN'!$K$801:$K999,"*V.ST*",'⬇️ PEMASUKAN'!$M$801:$M999,"DP"))+(countifs('⬇️ PEMASUKAN'!$H$801:$H999,A11,'⬇️ PEMASUKAN'!$K$801:$K999,"*V.TA*",'⬇️ PEMASUKAN'!$M$801:$M999,"LUNAS")+countifs('⬇️ PEMASUKAN'!$H$801:$H999,A11,'⬇️ PEMASUKAN'!$K$801:$K999,"*V.TA*",'⬇️ PEMASUKAN'!$M$801:$M999,"DP"))</f>
        <v>0</v>
      </c>
      <c r="F11" s="161">
        <f>(countifs('⬇️ PEMASUKAN'!$H$801:$H999,A11,'⬇️ PEMASUKAN'!$K$801:$K999,"*V.PT*",'⬇️ PEMASUKAN'!$M$801:$M999,"LUNAS")+countifs('⬇️ PEMASUKAN'!$H$801:$H999,A11,'⬇️ PEMASUKAN'!$K$801:$K999,"*V.PT*",'⬇️ PEMASUKAN'!$M$801:$M999,"DP"))</f>
        <v>0</v>
      </c>
    </row>
    <row r="12">
      <c r="A12" s="162" t="s">
        <v>30</v>
      </c>
      <c r="B12" s="161">
        <f>(countifs('⬇️ PEMASUKAN'!$H$801:$H999,A12,'⬇️ PEMASUKAN'!$K$801:$K999,"K.PT - PAKET 1",'⬇️ PEMASUKAN'!$M$801:$M999,"LUNAS")+countifs('⬇️ PEMASUKAN'!$H$801:$H999,A12,'⬇️ PEMASUKAN'!$K$801:$K999,"K.PT - PAKET 1",'⬇️ PEMASUKAN'!$M$801:$M999,"DP"))+(countifs('⬇️ PEMASUKAN'!$H$801:$H999,A12,'⬇️ PEMASUKAN'!$K$801:$K999,"K.PT - PAKET SILVER",'⬇️ PEMASUKAN'!$M$801:$M999,"LUNAS")+countifs('⬇️ PEMASUKAN'!$H$801:$H999,A12,'⬇️ PEMASUKAN'!$K$801:$K999,"K.PT - PAKET SILVER",'⬇️ PEMASUKAN'!$M$801:$M999,"DP"))</f>
        <v>0</v>
      </c>
      <c r="C12" s="161">
        <f>(countifs('⬇️ PEMASUKAN'!$H$801:$H999,A12,'⬇️ PEMASUKAN'!$K$801:$K999,"K.PT - PAKET 2",'⬇️ PEMASUKAN'!$M$801:$M999,"LUNAS")+countifs('⬇️ PEMASUKAN'!$H$801:$H999,A12,'⬇️ PEMASUKAN'!$K$801:$K999,"K.PT - PAKET 2",'⬇️ PEMASUKAN'!$M$801:$M999,"DP"))+(countifs('⬇️ PEMASUKAN'!$H$801:$H999,A12,'⬇️ PEMASUKAN'!$K$801:$K999,"K.PT - PAKET GOLD",'⬇️ PEMASUKAN'!$M$801:$M999,"LUNAS")+countifs('⬇️ PEMASUKAN'!$H$801:$H999,A12,'⬇️ PEMASUKAN'!$K$801:$K999,"K.PT - PAKET GOLD",'⬇️ PEMASUKAN'!$M$801:$M999,"DP"))</f>
        <v>0</v>
      </c>
      <c r="D12" s="161">
        <f>(countifs('⬇️ PEMASUKAN'!$H$801:$H999,A12,'⬇️ PEMASUKAN'!$K$801:$K999,"K.PT - PAKET PLATINUM",'⬇️ PEMASUKAN'!$M$801:$M999,"LUNAS")+countifs('⬇️ PEMASUKAN'!$H$801:$H999,A12,'⬇️ PEMASUKAN'!$K$801:$K999,"K.PT - PAKET PLATINUM",'⬇️ PEMASUKAN'!$M$801:$M999,"DP"))</f>
        <v>0</v>
      </c>
      <c r="E12" s="161">
        <f>(countifs('⬇️ PEMASUKAN'!$H$801:$H999,A12,'⬇️ PEMASUKAN'!$K$801:$K999,"*V.ST*",'⬇️ PEMASUKAN'!$M$801:$M999,"LUNAS")+countifs('⬇️ PEMASUKAN'!$H$801:$H999,A12,'⬇️ PEMASUKAN'!$K$801:$K999,"*V.ST*",'⬇️ PEMASUKAN'!$M$801:$M999,"DP"))+(countifs('⬇️ PEMASUKAN'!$H$801:$H999,A12,'⬇️ PEMASUKAN'!$K$801:$K999,"*V.TA*",'⬇️ PEMASUKAN'!$M$801:$M999,"LUNAS")+countifs('⬇️ PEMASUKAN'!$H$801:$H999,A12,'⬇️ PEMASUKAN'!$K$801:$K999,"*V.TA*",'⬇️ PEMASUKAN'!$M$801:$M999,"DP"))</f>
        <v>0</v>
      </c>
      <c r="F12" s="161">
        <f>(countifs('⬇️ PEMASUKAN'!$H$801:$H999,A12,'⬇️ PEMASUKAN'!$K$801:$K999,"*V.PT*",'⬇️ PEMASUKAN'!$M$801:$M999,"LUNAS")+countifs('⬇️ PEMASUKAN'!$H$801:$H999,A12,'⬇️ PEMASUKAN'!$K$801:$K999,"*V.PT*",'⬇️ PEMASUKAN'!$M$801:$M999,"DP"))</f>
        <v>0</v>
      </c>
    </row>
  </sheetData>
  <dataValidations>
    <dataValidation type="custom" allowBlank="1" showDropDown="1" sqref="B2:F12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7.63"/>
    <col customWidth="1" min="3" max="33" width="3.88"/>
    <col customWidth="1" min="34" max="36" width="7.63"/>
    <col customWidth="1" min="37" max="37" width="2.63"/>
  </cols>
  <sheetData>
    <row r="1">
      <c r="A1" s="11"/>
      <c r="B1" s="102" t="s">
        <v>666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4"/>
      <c r="AI1" s="164"/>
      <c r="AJ1" s="164"/>
      <c r="AK1" s="164"/>
    </row>
    <row r="2">
      <c r="A2" s="11"/>
      <c r="B2" s="165" t="str">
        <f>text(today(),"mmmm")&amp;" "&amp;text(today(),"yyyy")</f>
        <v>Juni 2026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5"/>
      <c r="AI2" s="165"/>
      <c r="AJ2" s="165"/>
      <c r="AK2" s="165"/>
    </row>
    <row r="3">
      <c r="A3" s="11"/>
      <c r="B3" s="11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"/>
      <c r="AI3" s="11"/>
      <c r="AJ3" s="11"/>
      <c r="AK3" s="11"/>
    </row>
    <row r="4">
      <c r="A4" s="11"/>
      <c r="B4" s="11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"/>
      <c r="AI4" s="11"/>
      <c r="AJ4" s="11"/>
      <c r="AK4" s="11"/>
    </row>
    <row r="5">
      <c r="A5" s="167"/>
      <c r="B5" s="168" t="s">
        <v>667</v>
      </c>
      <c r="C5" s="169">
        <v>1.0</v>
      </c>
      <c r="D5" s="169">
        <v>2.0</v>
      </c>
      <c r="E5" s="169">
        <v>3.0</v>
      </c>
      <c r="F5" s="169">
        <v>4.0</v>
      </c>
      <c r="G5" s="169">
        <v>5.0</v>
      </c>
      <c r="H5" s="169">
        <v>6.0</v>
      </c>
      <c r="I5" s="169">
        <v>7.0</v>
      </c>
      <c r="J5" s="169">
        <v>8.0</v>
      </c>
      <c r="K5" s="169">
        <v>9.0</v>
      </c>
      <c r="L5" s="169">
        <v>10.0</v>
      </c>
      <c r="M5" s="169">
        <v>11.0</v>
      </c>
      <c r="N5" s="169">
        <v>12.0</v>
      </c>
      <c r="O5" s="169">
        <v>13.0</v>
      </c>
      <c r="P5" s="169">
        <v>14.0</v>
      </c>
      <c r="Q5" s="169">
        <v>15.0</v>
      </c>
      <c r="R5" s="169">
        <v>16.0</v>
      </c>
      <c r="S5" s="169">
        <v>17.0</v>
      </c>
      <c r="T5" s="169">
        <v>18.0</v>
      </c>
      <c r="U5" s="169">
        <v>19.0</v>
      </c>
      <c r="V5" s="169">
        <v>20.0</v>
      </c>
      <c r="W5" s="169">
        <v>21.0</v>
      </c>
      <c r="X5" s="169">
        <v>22.0</v>
      </c>
      <c r="Y5" s="169">
        <v>23.0</v>
      </c>
      <c r="Z5" s="169">
        <v>24.0</v>
      </c>
      <c r="AA5" s="169">
        <v>25.0</v>
      </c>
      <c r="AB5" s="169">
        <v>26.0</v>
      </c>
      <c r="AC5" s="169">
        <v>27.0</v>
      </c>
      <c r="AD5" s="169">
        <v>28.0</v>
      </c>
      <c r="AE5" s="169">
        <v>29.0</v>
      </c>
      <c r="AF5" s="169">
        <v>30.0</v>
      </c>
      <c r="AG5" s="169">
        <v>31.0</v>
      </c>
      <c r="AH5" s="169" t="s">
        <v>668</v>
      </c>
      <c r="AI5" s="169" t="s">
        <v>669</v>
      </c>
      <c r="AJ5" s="169" t="s">
        <v>670</v>
      </c>
      <c r="AK5" s="170"/>
    </row>
    <row r="6" ht="22.5" customHeight="1">
      <c r="A6" s="11"/>
      <c r="B6" s="171" t="s">
        <v>671</v>
      </c>
      <c r="C6" s="172"/>
      <c r="D6" s="172"/>
      <c r="E6" s="173"/>
      <c r="F6" s="173"/>
      <c r="G6" s="173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4"/>
      <c r="AI6" s="174"/>
      <c r="AJ6" s="174"/>
      <c r="AK6" s="11"/>
    </row>
    <row r="7" ht="22.5" customHeight="1">
      <c r="A7" s="11"/>
      <c r="B7" s="171" t="s">
        <v>672</v>
      </c>
      <c r="C7" s="172"/>
      <c r="D7" s="172"/>
      <c r="E7" s="173"/>
      <c r="F7" s="173"/>
      <c r="G7" s="173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4"/>
      <c r="AI7" s="174"/>
      <c r="AJ7" s="174"/>
      <c r="AK7" s="11"/>
    </row>
    <row r="8" ht="22.5" customHeight="1">
      <c r="A8" s="11"/>
      <c r="B8" s="171" t="s">
        <v>673</v>
      </c>
      <c r="C8" s="172"/>
      <c r="D8" s="172"/>
      <c r="E8" s="173"/>
      <c r="F8" s="173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4"/>
      <c r="AI8" s="174"/>
      <c r="AJ8" s="174"/>
      <c r="AK8" s="11"/>
    </row>
    <row r="9" ht="22.5" customHeight="1">
      <c r="A9" s="11"/>
      <c r="B9" s="171" t="s">
        <v>674</v>
      </c>
      <c r="C9" s="173"/>
      <c r="D9" s="172"/>
      <c r="E9" s="173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4"/>
      <c r="AI9" s="174"/>
      <c r="AJ9" s="174"/>
      <c r="AK9" s="11"/>
    </row>
    <row r="10">
      <c r="A10" s="11"/>
      <c r="B10" s="11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"/>
      <c r="AI10" s="11"/>
      <c r="AJ10" s="11"/>
      <c r="AK10" s="11"/>
    </row>
    <row r="11">
      <c r="A11" s="11"/>
      <c r="B11" s="11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"/>
      <c r="AI11" s="11"/>
      <c r="AJ11" s="11"/>
      <c r="AK11" s="11"/>
    </row>
    <row r="12">
      <c r="A12" s="11"/>
      <c r="B12" s="121" t="s">
        <v>675</v>
      </c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"/>
      <c r="AI12" s="11"/>
      <c r="AJ12" s="11"/>
      <c r="AK12" s="11"/>
    </row>
    <row r="13">
      <c r="A13" s="11"/>
      <c r="B13" s="11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"/>
      <c r="AI13" s="11"/>
      <c r="AJ13" s="11"/>
      <c r="AK13" s="11"/>
    </row>
    <row r="14">
      <c r="A14" s="11"/>
      <c r="B14" s="11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"/>
      <c r="AI14" s="11"/>
      <c r="AJ14" s="11"/>
      <c r="AK14" s="11"/>
    </row>
    <row r="15">
      <c r="A15" s="11"/>
      <c r="B15" s="11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"/>
      <c r="AI15" s="11"/>
      <c r="AJ15" s="11"/>
      <c r="AK15" s="11"/>
    </row>
    <row r="16">
      <c r="A16" s="11"/>
      <c r="B16" s="11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"/>
      <c r="AI16" s="11"/>
      <c r="AJ16" s="11"/>
      <c r="AK16" s="11"/>
    </row>
    <row r="17">
      <c r="A17" s="11"/>
      <c r="B17" s="11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"/>
      <c r="AI17" s="11"/>
      <c r="AJ17" s="11"/>
      <c r="AK17" s="11"/>
    </row>
    <row r="18">
      <c r="A18" s="11"/>
      <c r="B18" s="11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"/>
      <c r="AI18" s="11"/>
      <c r="AJ18" s="11"/>
      <c r="AK18" s="11"/>
    </row>
    <row r="19">
      <c r="A19" s="11"/>
      <c r="B19" s="11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"/>
      <c r="AI19" s="11"/>
      <c r="AJ19" s="11"/>
      <c r="AK19" s="11"/>
    </row>
    <row r="20">
      <c r="A20" s="11"/>
      <c r="B20" s="11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"/>
      <c r="AI20" s="11"/>
      <c r="AJ20" s="11"/>
      <c r="AK20" s="11"/>
    </row>
    <row r="21">
      <c r="A21" s="11"/>
      <c r="B21" s="11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"/>
      <c r="AI21" s="11"/>
      <c r="AJ21" s="11"/>
      <c r="AK21" s="11"/>
    </row>
    <row r="22">
      <c r="A22" s="11"/>
      <c r="B22" s="11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"/>
      <c r="AI22" s="11"/>
      <c r="AJ22" s="11"/>
      <c r="AK22" s="11"/>
    </row>
    <row r="23">
      <c r="A23" s="11"/>
      <c r="B23" s="11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"/>
      <c r="AI23" s="11"/>
      <c r="AJ23" s="11"/>
      <c r="AK23" s="11"/>
    </row>
    <row r="24">
      <c r="A24" s="11"/>
      <c r="B24" s="11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"/>
      <c r="AI24" s="11"/>
      <c r="AJ24" s="11"/>
      <c r="AK24" s="11"/>
    </row>
    <row r="25">
      <c r="A25" s="11"/>
      <c r="B25" s="11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"/>
      <c r="AI25" s="11"/>
      <c r="AJ25" s="11"/>
      <c r="AK25" s="11"/>
    </row>
    <row r="26">
      <c r="A26" s="11"/>
      <c r="B26" s="11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"/>
      <c r="AI26" s="11"/>
      <c r="AJ26" s="11"/>
      <c r="AK26" s="11"/>
    </row>
    <row r="27">
      <c r="A27" s="11"/>
      <c r="B27" s="11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"/>
      <c r="AI27" s="11"/>
      <c r="AJ27" s="11"/>
      <c r="AK27" s="11"/>
    </row>
    <row r="28">
      <c r="A28" s="11"/>
      <c r="B28" s="11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"/>
      <c r="AI28" s="11"/>
      <c r="AJ28" s="11"/>
      <c r="AK28" s="11"/>
    </row>
    <row r="29">
      <c r="A29" s="11"/>
      <c r="B29" s="11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"/>
      <c r="AI29" s="11"/>
      <c r="AJ29" s="11"/>
      <c r="AK29" s="11"/>
    </row>
    <row r="30">
      <c r="A30" s="11"/>
      <c r="B30" s="11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"/>
      <c r="AI30" s="11"/>
      <c r="AJ30" s="11"/>
      <c r="AK30" s="11"/>
    </row>
    <row r="31">
      <c r="A31" s="11"/>
      <c r="B31" s="11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"/>
      <c r="AI31" s="11"/>
      <c r="AJ31" s="11"/>
      <c r="AK31" s="11"/>
    </row>
    <row r="32">
      <c r="A32" s="11"/>
      <c r="B32" s="11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"/>
      <c r="AI32" s="11"/>
      <c r="AJ32" s="11"/>
      <c r="AK32" s="11"/>
    </row>
    <row r="33">
      <c r="A33" s="11"/>
      <c r="B33" s="11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"/>
      <c r="AI33" s="11"/>
      <c r="AJ33" s="11"/>
      <c r="AK33" s="11"/>
    </row>
    <row r="34">
      <c r="A34" s="11"/>
      <c r="B34" s="11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"/>
      <c r="AI34" s="11"/>
      <c r="AJ34" s="11"/>
      <c r="AK34" s="11"/>
    </row>
    <row r="35">
      <c r="A35" s="11"/>
      <c r="B35" s="11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"/>
      <c r="AI35" s="11"/>
      <c r="AJ35" s="11"/>
      <c r="AK35" s="11"/>
    </row>
    <row r="36">
      <c r="A36" s="11"/>
      <c r="B36" s="11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"/>
      <c r="AI36" s="11"/>
      <c r="AJ36" s="11"/>
      <c r="AK36" s="11"/>
    </row>
    <row r="37">
      <c r="A37" s="11"/>
      <c r="B37" s="11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"/>
      <c r="AI37" s="11"/>
      <c r="AJ37" s="11"/>
      <c r="AK37" s="11"/>
    </row>
    <row r="38">
      <c r="A38" s="11"/>
      <c r="B38" s="11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"/>
      <c r="AI38" s="11"/>
      <c r="AJ38" s="11"/>
      <c r="AK38" s="11"/>
    </row>
    <row r="39">
      <c r="A39" s="11"/>
      <c r="B39" s="11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"/>
      <c r="AI39" s="11"/>
      <c r="AJ39" s="11"/>
      <c r="AK39" s="11"/>
    </row>
    <row r="40">
      <c r="A40" s="11"/>
      <c r="B40" s="11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"/>
      <c r="AI40" s="11"/>
      <c r="AJ40" s="11"/>
      <c r="AK40" s="11"/>
    </row>
    <row r="41">
      <c r="A41" s="11"/>
      <c r="B41" s="11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"/>
      <c r="AI41" s="11"/>
      <c r="AJ41" s="11"/>
      <c r="AK41" s="11"/>
    </row>
    <row r="42">
      <c r="A42" s="11"/>
      <c r="B42" s="11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"/>
      <c r="AI42" s="11"/>
      <c r="AJ42" s="11"/>
      <c r="AK42" s="11"/>
    </row>
    <row r="43">
      <c r="A43" s="11"/>
      <c r="B43" s="11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"/>
      <c r="AI43" s="11"/>
      <c r="AJ43" s="11"/>
      <c r="AK43" s="11"/>
    </row>
    <row r="44">
      <c r="A44" s="11"/>
      <c r="B44" s="11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"/>
      <c r="AI44" s="11"/>
      <c r="AJ44" s="11"/>
      <c r="AK44" s="11"/>
    </row>
    <row r="45">
      <c r="A45" s="11"/>
      <c r="B45" s="11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"/>
      <c r="AI45" s="11"/>
      <c r="AJ45" s="11"/>
      <c r="AK45" s="11"/>
    </row>
    <row r="46">
      <c r="A46" s="11"/>
      <c r="B46" s="11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"/>
      <c r="AI46" s="11"/>
      <c r="AJ46" s="11"/>
      <c r="AK46" s="11"/>
    </row>
    <row r="47">
      <c r="A47" s="11"/>
      <c r="B47" s="11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"/>
      <c r="AI47" s="11"/>
      <c r="AJ47" s="11"/>
      <c r="AK47" s="11"/>
    </row>
    <row r="48">
      <c r="A48" s="11"/>
      <c r="B48" s="11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"/>
      <c r="AI48" s="11"/>
      <c r="AJ48" s="11"/>
      <c r="AK48" s="11"/>
    </row>
    <row r="49">
      <c r="A49" s="11"/>
      <c r="B49" s="11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"/>
      <c r="AI49" s="11"/>
      <c r="AJ49" s="11"/>
      <c r="AK49" s="11"/>
    </row>
    <row r="50">
      <c r="A50" s="11"/>
      <c r="B50" s="11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"/>
      <c r="AI50" s="11"/>
      <c r="AJ50" s="11"/>
      <c r="AK50" s="11"/>
    </row>
    <row r="51">
      <c r="A51" s="11"/>
      <c r="B51" s="11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"/>
      <c r="AI51" s="11"/>
      <c r="AJ51" s="11"/>
      <c r="AK51" s="11"/>
    </row>
    <row r="52">
      <c r="A52" s="11"/>
      <c r="B52" s="11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"/>
      <c r="AI52" s="11"/>
      <c r="AJ52" s="11"/>
      <c r="AK52" s="11"/>
    </row>
    <row r="53">
      <c r="A53" s="11"/>
      <c r="B53" s="11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"/>
      <c r="AI53" s="11"/>
      <c r="AJ53" s="11"/>
      <c r="AK53" s="11"/>
    </row>
    <row r="54">
      <c r="A54" s="11"/>
      <c r="B54" s="11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"/>
      <c r="AI54" s="11"/>
      <c r="AJ54" s="11"/>
      <c r="AK54" s="11"/>
    </row>
    <row r="55">
      <c r="A55" s="11"/>
      <c r="B55" s="11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"/>
      <c r="AI55" s="11"/>
      <c r="AJ55" s="11"/>
      <c r="AK55" s="11"/>
    </row>
    <row r="56">
      <c r="A56" s="11"/>
      <c r="B56" s="11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"/>
      <c r="AI56" s="11"/>
      <c r="AJ56" s="11"/>
      <c r="AK56" s="11"/>
    </row>
    <row r="57">
      <c r="A57" s="11"/>
      <c r="B57" s="11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"/>
      <c r="AI57" s="11"/>
      <c r="AJ57" s="11"/>
      <c r="AK57" s="11"/>
    </row>
    <row r="58">
      <c r="A58" s="11"/>
      <c r="B58" s="11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"/>
      <c r="AI58" s="11"/>
      <c r="AJ58" s="11"/>
      <c r="AK58" s="11"/>
    </row>
    <row r="59">
      <c r="A59" s="11"/>
      <c r="B59" s="11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"/>
      <c r="AI59" s="11"/>
      <c r="AJ59" s="11"/>
      <c r="AK59" s="11"/>
    </row>
    <row r="60">
      <c r="A60" s="11"/>
      <c r="B60" s="11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"/>
      <c r="AI60" s="11"/>
      <c r="AJ60" s="11"/>
      <c r="AK60" s="11"/>
    </row>
    <row r="61">
      <c r="A61" s="11"/>
      <c r="B61" s="11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"/>
      <c r="AI61" s="11"/>
      <c r="AJ61" s="11"/>
      <c r="AK61" s="11"/>
    </row>
    <row r="62">
      <c r="A62" s="11"/>
      <c r="B62" s="11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"/>
      <c r="AI62" s="11"/>
      <c r="AJ62" s="11"/>
      <c r="AK62" s="11"/>
    </row>
    <row r="63">
      <c r="A63" s="11"/>
      <c r="B63" s="11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"/>
      <c r="AI63" s="11"/>
      <c r="AJ63" s="11"/>
      <c r="AK63" s="11"/>
    </row>
    <row r="64">
      <c r="A64" s="11"/>
      <c r="B64" s="11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"/>
      <c r="AI64" s="11"/>
      <c r="AJ64" s="11"/>
      <c r="AK64" s="11"/>
    </row>
    <row r="65">
      <c r="A65" s="11"/>
      <c r="B65" s="11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"/>
      <c r="AI65" s="11"/>
      <c r="AJ65" s="11"/>
      <c r="AK65" s="11"/>
    </row>
    <row r="66">
      <c r="A66" s="11"/>
      <c r="B66" s="11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"/>
      <c r="AI66" s="11"/>
      <c r="AJ66" s="11"/>
      <c r="AK66" s="11"/>
    </row>
    <row r="67">
      <c r="A67" s="11"/>
      <c r="B67" s="11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"/>
      <c r="AI67" s="11"/>
      <c r="AJ67" s="11"/>
      <c r="AK67" s="11"/>
    </row>
    <row r="68">
      <c r="A68" s="11"/>
      <c r="B68" s="11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"/>
      <c r="AI68" s="11"/>
      <c r="AJ68" s="11"/>
      <c r="AK68" s="11"/>
    </row>
    <row r="69">
      <c r="A69" s="11"/>
      <c r="B69" s="11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"/>
      <c r="AI69" s="11"/>
      <c r="AJ69" s="11"/>
      <c r="AK69" s="11"/>
    </row>
    <row r="70">
      <c r="A70" s="11"/>
      <c r="B70" s="11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"/>
      <c r="AI70" s="11"/>
      <c r="AJ70" s="11"/>
      <c r="AK70" s="11"/>
    </row>
    <row r="71">
      <c r="A71" s="11"/>
      <c r="B71" s="11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"/>
      <c r="AI71" s="11"/>
      <c r="AJ71" s="11"/>
      <c r="AK71" s="11"/>
    </row>
    <row r="72">
      <c r="A72" s="11"/>
      <c r="B72" s="11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"/>
      <c r="AI72" s="11"/>
      <c r="AJ72" s="11"/>
      <c r="AK72" s="11"/>
    </row>
    <row r="73">
      <c r="A73" s="11"/>
      <c r="B73" s="11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"/>
      <c r="AI73" s="11"/>
      <c r="AJ73" s="11"/>
      <c r="AK73" s="11"/>
    </row>
    <row r="74">
      <c r="A74" s="11"/>
      <c r="B74" s="11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"/>
      <c r="AI74" s="11"/>
      <c r="AJ74" s="11"/>
      <c r="AK74" s="11"/>
    </row>
    <row r="75">
      <c r="A75" s="11"/>
      <c r="B75" s="11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"/>
      <c r="AI75" s="11"/>
      <c r="AJ75" s="11"/>
      <c r="AK75" s="11"/>
    </row>
    <row r="76">
      <c r="A76" s="11"/>
      <c r="B76" s="11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"/>
      <c r="AI76" s="11"/>
      <c r="AJ76" s="11"/>
      <c r="AK76" s="11"/>
    </row>
    <row r="77">
      <c r="A77" s="11"/>
      <c r="B77" s="11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"/>
      <c r="AI77" s="11"/>
      <c r="AJ77" s="11"/>
      <c r="AK77" s="11"/>
    </row>
    <row r="78">
      <c r="A78" s="11"/>
      <c r="B78" s="11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"/>
      <c r="AI78" s="11"/>
      <c r="AJ78" s="11"/>
      <c r="AK78" s="11"/>
    </row>
    <row r="79">
      <c r="A79" s="11"/>
      <c r="B79" s="11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"/>
      <c r="AI79" s="11"/>
      <c r="AJ79" s="11"/>
      <c r="AK79" s="11"/>
    </row>
    <row r="80">
      <c r="A80" s="11"/>
      <c r="B80" s="11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"/>
      <c r="AI80" s="11"/>
      <c r="AJ80" s="11"/>
      <c r="AK80" s="11"/>
    </row>
    <row r="81">
      <c r="A81" s="11"/>
      <c r="B81" s="11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"/>
      <c r="AI81" s="11"/>
      <c r="AJ81" s="11"/>
      <c r="AK81" s="11"/>
    </row>
    <row r="82">
      <c r="A82" s="11"/>
      <c r="B82" s="11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"/>
      <c r="AI82" s="11"/>
      <c r="AJ82" s="11"/>
      <c r="AK82" s="11"/>
    </row>
    <row r="83">
      <c r="A83" s="11"/>
      <c r="B83" s="11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"/>
      <c r="AI83" s="11"/>
      <c r="AJ83" s="11"/>
      <c r="AK83" s="11"/>
    </row>
    <row r="84">
      <c r="A84" s="11"/>
      <c r="B84" s="11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"/>
      <c r="AI84" s="11"/>
      <c r="AJ84" s="11"/>
      <c r="AK84" s="11"/>
    </row>
    <row r="85">
      <c r="A85" s="11"/>
      <c r="B85" s="11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"/>
      <c r="AI85" s="11"/>
      <c r="AJ85" s="11"/>
      <c r="AK85" s="11"/>
    </row>
    <row r="86">
      <c r="A86" s="11"/>
      <c r="B86" s="11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"/>
      <c r="AI86" s="11"/>
      <c r="AJ86" s="11"/>
      <c r="AK86" s="11"/>
    </row>
    <row r="87">
      <c r="A87" s="11"/>
      <c r="B87" s="11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"/>
      <c r="AI87" s="11"/>
      <c r="AJ87" s="11"/>
      <c r="AK87" s="11"/>
    </row>
    <row r="88">
      <c r="A88" s="11"/>
      <c r="B88" s="11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"/>
      <c r="AI88" s="11"/>
      <c r="AJ88" s="11"/>
      <c r="AK88" s="11"/>
    </row>
    <row r="89">
      <c r="A89" s="11"/>
      <c r="B89" s="11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"/>
      <c r="AI89" s="11"/>
      <c r="AJ89" s="11"/>
      <c r="AK89" s="11"/>
    </row>
    <row r="90">
      <c r="A90" s="11"/>
      <c r="B90" s="11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"/>
      <c r="AI90" s="11"/>
      <c r="AJ90" s="11"/>
      <c r="AK90" s="11"/>
    </row>
    <row r="91">
      <c r="A91" s="11"/>
      <c r="B91" s="11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"/>
      <c r="AI91" s="11"/>
      <c r="AJ91" s="11"/>
      <c r="AK91" s="11"/>
    </row>
    <row r="92">
      <c r="A92" s="11"/>
      <c r="B92" s="11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"/>
      <c r="AI92" s="11"/>
      <c r="AJ92" s="11"/>
      <c r="AK92" s="11"/>
    </row>
    <row r="93">
      <c r="A93" s="11"/>
      <c r="B93" s="11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"/>
      <c r="AI93" s="11"/>
      <c r="AJ93" s="11"/>
      <c r="AK93" s="11"/>
    </row>
    <row r="94">
      <c r="A94" s="11"/>
      <c r="B94" s="11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"/>
      <c r="AI94" s="11"/>
      <c r="AJ94" s="11"/>
      <c r="AK94" s="11"/>
    </row>
    <row r="95">
      <c r="A95" s="11"/>
      <c r="B95" s="11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"/>
      <c r="AI95" s="11"/>
      <c r="AJ95" s="11"/>
      <c r="AK95" s="11"/>
    </row>
    <row r="96">
      <c r="A96" s="11"/>
      <c r="B96" s="11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"/>
      <c r="AI96" s="11"/>
      <c r="AJ96" s="11"/>
      <c r="AK96" s="11"/>
    </row>
    <row r="97">
      <c r="A97" s="11"/>
      <c r="B97" s="11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"/>
      <c r="AI97" s="11"/>
      <c r="AJ97" s="11"/>
      <c r="AK97" s="11"/>
    </row>
    <row r="98">
      <c r="A98" s="11"/>
      <c r="B98" s="11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"/>
      <c r="AI98" s="11"/>
      <c r="AJ98" s="11"/>
      <c r="AK98" s="11"/>
    </row>
    <row r="99">
      <c r="A99" s="11"/>
      <c r="B99" s="11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"/>
      <c r="AI99" s="11"/>
      <c r="AJ99" s="11"/>
      <c r="AK99" s="11"/>
    </row>
    <row r="100">
      <c r="A100" s="11"/>
      <c r="B100" s="11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"/>
      <c r="AI100" s="11"/>
      <c r="AJ100" s="11"/>
      <c r="AK100" s="11"/>
    </row>
    <row r="101">
      <c r="A101" s="11"/>
      <c r="B101" s="11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"/>
      <c r="AI101" s="11"/>
      <c r="AJ101" s="11"/>
      <c r="AK101" s="11"/>
    </row>
    <row r="102">
      <c r="A102" s="11"/>
      <c r="B102" s="11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"/>
      <c r="AI102" s="11"/>
      <c r="AJ102" s="11"/>
      <c r="AK102" s="11"/>
    </row>
    <row r="103">
      <c r="A103" s="11"/>
      <c r="B103" s="11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"/>
      <c r="AI103" s="11"/>
      <c r="AJ103" s="11"/>
      <c r="AK103" s="11"/>
    </row>
    <row r="104">
      <c r="A104" s="11"/>
      <c r="B104" s="11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"/>
      <c r="AI104" s="11"/>
      <c r="AJ104" s="11"/>
      <c r="AK104" s="11"/>
    </row>
    <row r="105">
      <c r="A105" s="11"/>
      <c r="B105" s="11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"/>
      <c r="AI105" s="11"/>
      <c r="AJ105" s="11"/>
      <c r="AK105" s="11"/>
    </row>
    <row r="106">
      <c r="A106" s="11"/>
      <c r="B106" s="11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"/>
      <c r="AI106" s="11"/>
      <c r="AJ106" s="11"/>
      <c r="AK106" s="11"/>
    </row>
    <row r="107">
      <c r="A107" s="11"/>
      <c r="B107" s="11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"/>
      <c r="AI107" s="11"/>
      <c r="AJ107" s="11"/>
      <c r="AK107" s="11"/>
    </row>
    <row r="108">
      <c r="A108" s="11"/>
      <c r="B108" s="11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"/>
      <c r="AI108" s="11"/>
      <c r="AJ108" s="11"/>
      <c r="AK108" s="11"/>
    </row>
    <row r="109">
      <c r="A109" s="11"/>
      <c r="B109" s="11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"/>
      <c r="AI109" s="11"/>
      <c r="AJ109" s="11"/>
      <c r="AK109" s="11"/>
    </row>
    <row r="110">
      <c r="A110" s="11"/>
      <c r="B110" s="11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"/>
      <c r="AI110" s="11"/>
      <c r="AJ110" s="11"/>
      <c r="AK110" s="11"/>
    </row>
    <row r="111">
      <c r="A111" s="11"/>
      <c r="B111" s="11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"/>
      <c r="AI111" s="11"/>
      <c r="AJ111" s="11"/>
      <c r="AK111" s="11"/>
    </row>
    <row r="112">
      <c r="A112" s="11"/>
      <c r="B112" s="11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"/>
      <c r="AI112" s="11"/>
      <c r="AJ112" s="11"/>
      <c r="AK112" s="11"/>
    </row>
    <row r="113">
      <c r="A113" s="11"/>
      <c r="B113" s="11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"/>
      <c r="AI113" s="11"/>
      <c r="AJ113" s="11"/>
      <c r="AK113" s="11"/>
    </row>
    <row r="114">
      <c r="A114" s="11"/>
      <c r="B114" s="11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"/>
      <c r="AI114" s="11"/>
      <c r="AJ114" s="11"/>
      <c r="AK114" s="11"/>
    </row>
    <row r="115">
      <c r="A115" s="11"/>
      <c r="B115" s="11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"/>
      <c r="AI115" s="11"/>
      <c r="AJ115" s="11"/>
      <c r="AK115" s="11"/>
    </row>
    <row r="116">
      <c r="A116" s="11"/>
      <c r="B116" s="11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"/>
      <c r="AI116" s="11"/>
      <c r="AJ116" s="11"/>
      <c r="AK116" s="11"/>
    </row>
    <row r="117">
      <c r="A117" s="11"/>
      <c r="B117" s="11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"/>
      <c r="AI117" s="11"/>
      <c r="AJ117" s="11"/>
      <c r="AK117" s="11"/>
    </row>
    <row r="118">
      <c r="A118" s="11"/>
      <c r="B118" s="11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"/>
      <c r="AI118" s="11"/>
      <c r="AJ118" s="11"/>
      <c r="AK118" s="11"/>
    </row>
    <row r="119">
      <c r="A119" s="11"/>
      <c r="B119" s="11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"/>
      <c r="AI119" s="11"/>
      <c r="AJ119" s="11"/>
      <c r="AK119" s="11"/>
    </row>
    <row r="120">
      <c r="A120" s="11"/>
      <c r="B120" s="11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"/>
      <c r="AI120" s="11"/>
      <c r="AJ120" s="11"/>
      <c r="AK120" s="11"/>
    </row>
    <row r="121">
      <c r="A121" s="11"/>
      <c r="B121" s="11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"/>
      <c r="AI121" s="11"/>
      <c r="AJ121" s="11"/>
      <c r="AK121" s="11"/>
    </row>
    <row r="122">
      <c r="A122" s="11"/>
      <c r="B122" s="11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"/>
      <c r="AI122" s="11"/>
      <c r="AJ122" s="11"/>
      <c r="AK122" s="11"/>
    </row>
    <row r="123">
      <c r="A123" s="11"/>
      <c r="B123" s="11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"/>
      <c r="AI123" s="11"/>
      <c r="AJ123" s="11"/>
      <c r="AK123" s="11"/>
    </row>
    <row r="124">
      <c r="A124" s="11"/>
      <c r="B124" s="11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"/>
      <c r="AI124" s="11"/>
      <c r="AJ124" s="11"/>
      <c r="AK124" s="11"/>
    </row>
    <row r="125">
      <c r="A125" s="11"/>
      <c r="B125" s="11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"/>
      <c r="AI125" s="11"/>
      <c r="AJ125" s="11"/>
      <c r="AK125" s="11"/>
    </row>
    <row r="126">
      <c r="A126" s="11"/>
      <c r="B126" s="11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"/>
      <c r="AI126" s="11"/>
      <c r="AJ126" s="11"/>
      <c r="AK126" s="11"/>
    </row>
    <row r="127">
      <c r="A127" s="11"/>
      <c r="B127" s="11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"/>
      <c r="AI127" s="11"/>
      <c r="AJ127" s="11"/>
      <c r="AK127" s="11"/>
    </row>
    <row r="128">
      <c r="A128" s="11"/>
      <c r="B128" s="11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"/>
      <c r="AI128" s="11"/>
      <c r="AJ128" s="11"/>
      <c r="AK128" s="11"/>
    </row>
    <row r="129">
      <c r="A129" s="11"/>
      <c r="B129" s="11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"/>
      <c r="AI129" s="11"/>
      <c r="AJ129" s="11"/>
      <c r="AK129" s="11"/>
    </row>
    <row r="130">
      <c r="A130" s="11"/>
      <c r="B130" s="11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"/>
      <c r="AI130" s="11"/>
      <c r="AJ130" s="11"/>
      <c r="AK130" s="11"/>
    </row>
    <row r="131">
      <c r="A131" s="11"/>
      <c r="B131" s="11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"/>
      <c r="AI131" s="11"/>
      <c r="AJ131" s="11"/>
      <c r="AK131" s="11"/>
    </row>
    <row r="132">
      <c r="A132" s="11"/>
      <c r="B132" s="11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"/>
      <c r="AI132" s="11"/>
      <c r="AJ132" s="11"/>
      <c r="AK132" s="11"/>
    </row>
    <row r="133">
      <c r="A133" s="11"/>
      <c r="B133" s="11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"/>
      <c r="AI133" s="11"/>
      <c r="AJ133" s="11"/>
      <c r="AK133" s="11"/>
    </row>
    <row r="134">
      <c r="A134" s="11"/>
      <c r="B134" s="11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"/>
      <c r="AI134" s="11"/>
      <c r="AJ134" s="11"/>
      <c r="AK134" s="11"/>
    </row>
    <row r="135">
      <c r="A135" s="11"/>
      <c r="B135" s="11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"/>
      <c r="AI135" s="11"/>
      <c r="AJ135" s="11"/>
      <c r="AK135" s="11"/>
    </row>
    <row r="136">
      <c r="A136" s="11"/>
      <c r="B136" s="11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"/>
      <c r="AI136" s="11"/>
      <c r="AJ136" s="11"/>
      <c r="AK136" s="11"/>
    </row>
    <row r="137">
      <c r="A137" s="11"/>
      <c r="B137" s="11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"/>
      <c r="AI137" s="11"/>
      <c r="AJ137" s="11"/>
      <c r="AK137" s="11"/>
    </row>
    <row r="138">
      <c r="A138" s="11"/>
      <c r="B138" s="11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"/>
      <c r="AI138" s="11"/>
      <c r="AJ138" s="11"/>
      <c r="AK138" s="11"/>
    </row>
    <row r="139">
      <c r="A139" s="11"/>
      <c r="B139" s="11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"/>
      <c r="AI139" s="11"/>
      <c r="AJ139" s="11"/>
      <c r="AK139" s="11"/>
    </row>
    <row r="140">
      <c r="A140" s="11"/>
      <c r="B140" s="11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"/>
      <c r="AI140" s="11"/>
      <c r="AJ140" s="11"/>
      <c r="AK140" s="11"/>
    </row>
    <row r="141">
      <c r="A141" s="11"/>
      <c r="B141" s="11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"/>
      <c r="AI141" s="11"/>
      <c r="AJ141" s="11"/>
      <c r="AK141" s="11"/>
    </row>
    <row r="142">
      <c r="A142" s="11"/>
      <c r="B142" s="11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"/>
      <c r="AI142" s="11"/>
      <c r="AJ142" s="11"/>
      <c r="AK142" s="11"/>
    </row>
    <row r="143">
      <c r="A143" s="11"/>
      <c r="B143" s="11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"/>
      <c r="AI143" s="11"/>
      <c r="AJ143" s="11"/>
      <c r="AK143" s="11"/>
    </row>
    <row r="144">
      <c r="A144" s="11"/>
      <c r="B144" s="11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"/>
      <c r="AI144" s="11"/>
      <c r="AJ144" s="11"/>
      <c r="AK144" s="11"/>
    </row>
    <row r="145">
      <c r="A145" s="11"/>
      <c r="B145" s="11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"/>
      <c r="AI145" s="11"/>
      <c r="AJ145" s="11"/>
      <c r="AK145" s="11"/>
    </row>
    <row r="146">
      <c r="A146" s="11"/>
      <c r="B146" s="11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"/>
      <c r="AI146" s="11"/>
      <c r="AJ146" s="11"/>
      <c r="AK146" s="11"/>
    </row>
    <row r="147">
      <c r="A147" s="11"/>
      <c r="B147" s="11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"/>
      <c r="AI147" s="11"/>
      <c r="AJ147" s="11"/>
      <c r="AK147" s="11"/>
    </row>
    <row r="148">
      <c r="A148" s="11"/>
      <c r="B148" s="11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"/>
      <c r="AI148" s="11"/>
      <c r="AJ148" s="11"/>
      <c r="AK148" s="11"/>
    </row>
    <row r="149">
      <c r="A149" s="11"/>
      <c r="B149" s="11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"/>
      <c r="AI149" s="11"/>
      <c r="AJ149" s="11"/>
      <c r="AK149" s="11"/>
    </row>
    <row r="150">
      <c r="A150" s="11"/>
      <c r="B150" s="11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"/>
      <c r="AI150" s="11"/>
      <c r="AJ150" s="11"/>
      <c r="AK150" s="11"/>
    </row>
    <row r="151">
      <c r="A151" s="11"/>
      <c r="B151" s="11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"/>
      <c r="AI151" s="11"/>
      <c r="AJ151" s="11"/>
      <c r="AK151" s="11"/>
    </row>
    <row r="152">
      <c r="A152" s="11"/>
      <c r="B152" s="11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"/>
      <c r="AI152" s="11"/>
      <c r="AJ152" s="11"/>
      <c r="AK152" s="11"/>
    </row>
    <row r="153">
      <c r="A153" s="11"/>
      <c r="B153" s="11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"/>
      <c r="AI153" s="11"/>
      <c r="AJ153" s="11"/>
      <c r="AK153" s="11"/>
    </row>
    <row r="154">
      <c r="A154" s="11"/>
      <c r="B154" s="11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"/>
      <c r="AI154" s="11"/>
      <c r="AJ154" s="11"/>
      <c r="AK154" s="11"/>
    </row>
    <row r="155">
      <c r="A155" s="11"/>
      <c r="B155" s="11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"/>
      <c r="AI155" s="11"/>
      <c r="AJ155" s="11"/>
      <c r="AK155" s="11"/>
    </row>
    <row r="156">
      <c r="A156" s="11"/>
      <c r="B156" s="11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"/>
      <c r="AI156" s="11"/>
      <c r="AJ156" s="11"/>
      <c r="AK156" s="11"/>
    </row>
    <row r="157">
      <c r="A157" s="11"/>
      <c r="B157" s="11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"/>
      <c r="AI157" s="11"/>
      <c r="AJ157" s="11"/>
      <c r="AK157" s="11"/>
    </row>
    <row r="158">
      <c r="A158" s="11"/>
      <c r="B158" s="11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"/>
      <c r="AI158" s="11"/>
      <c r="AJ158" s="11"/>
      <c r="AK158" s="11"/>
    </row>
    <row r="159">
      <c r="A159" s="11"/>
      <c r="B159" s="11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"/>
      <c r="AI159" s="11"/>
      <c r="AJ159" s="11"/>
      <c r="AK159" s="11"/>
    </row>
    <row r="160">
      <c r="A160" s="11"/>
      <c r="B160" s="11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"/>
      <c r="AI160" s="11"/>
      <c r="AJ160" s="11"/>
      <c r="AK160" s="11"/>
    </row>
    <row r="161">
      <c r="A161" s="11"/>
      <c r="B161" s="11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"/>
      <c r="AI161" s="11"/>
      <c r="AJ161" s="11"/>
      <c r="AK161" s="11"/>
    </row>
    <row r="162">
      <c r="A162" s="11"/>
      <c r="B162" s="11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"/>
      <c r="AI162" s="11"/>
      <c r="AJ162" s="11"/>
      <c r="AK162" s="11"/>
    </row>
    <row r="163">
      <c r="A163" s="11"/>
      <c r="B163" s="11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"/>
      <c r="AI163" s="11"/>
      <c r="AJ163" s="11"/>
      <c r="AK163" s="11"/>
    </row>
    <row r="164">
      <c r="A164" s="11"/>
      <c r="B164" s="11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"/>
      <c r="AI164" s="11"/>
      <c r="AJ164" s="11"/>
      <c r="AK164" s="11"/>
    </row>
    <row r="165">
      <c r="A165" s="11"/>
      <c r="B165" s="11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"/>
      <c r="AI165" s="11"/>
      <c r="AJ165" s="11"/>
      <c r="AK165" s="11"/>
    </row>
    <row r="166">
      <c r="A166" s="11"/>
      <c r="B166" s="11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"/>
      <c r="AI166" s="11"/>
      <c r="AJ166" s="11"/>
      <c r="AK166" s="11"/>
    </row>
    <row r="167">
      <c r="A167" s="11"/>
      <c r="B167" s="11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"/>
      <c r="AI167" s="11"/>
      <c r="AJ167" s="11"/>
      <c r="AK167" s="11"/>
    </row>
    <row r="168">
      <c r="A168" s="11"/>
      <c r="B168" s="11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"/>
      <c r="AI168" s="11"/>
      <c r="AJ168" s="11"/>
      <c r="AK168" s="11"/>
    </row>
    <row r="169">
      <c r="A169" s="11"/>
      <c r="B169" s="11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"/>
      <c r="AI169" s="11"/>
      <c r="AJ169" s="11"/>
      <c r="AK169" s="11"/>
    </row>
    <row r="170">
      <c r="A170" s="11"/>
      <c r="B170" s="11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"/>
      <c r="AI170" s="11"/>
      <c r="AJ170" s="11"/>
      <c r="AK170" s="11"/>
    </row>
    <row r="171">
      <c r="A171" s="11"/>
      <c r="B171" s="11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"/>
      <c r="AI171" s="11"/>
      <c r="AJ171" s="11"/>
      <c r="AK171" s="11"/>
    </row>
    <row r="172">
      <c r="A172" s="11"/>
      <c r="B172" s="11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"/>
      <c r="AI172" s="11"/>
      <c r="AJ172" s="11"/>
      <c r="AK172" s="11"/>
    </row>
    <row r="173">
      <c r="A173" s="11"/>
      <c r="B173" s="11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"/>
      <c r="AI173" s="11"/>
      <c r="AJ173" s="11"/>
      <c r="AK173" s="11"/>
    </row>
    <row r="174">
      <c r="A174" s="11"/>
      <c r="B174" s="11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"/>
      <c r="AI174" s="11"/>
      <c r="AJ174" s="11"/>
      <c r="AK174" s="11"/>
    </row>
    <row r="175">
      <c r="A175" s="11"/>
      <c r="B175" s="11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"/>
      <c r="AI175" s="11"/>
      <c r="AJ175" s="11"/>
      <c r="AK175" s="11"/>
    </row>
    <row r="176">
      <c r="A176" s="11"/>
      <c r="B176" s="11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"/>
      <c r="AI176" s="11"/>
      <c r="AJ176" s="11"/>
      <c r="AK176" s="11"/>
    </row>
    <row r="177">
      <c r="A177" s="11"/>
      <c r="B177" s="11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"/>
      <c r="AI177" s="11"/>
      <c r="AJ177" s="11"/>
      <c r="AK177" s="11"/>
    </row>
    <row r="178">
      <c r="A178" s="11"/>
      <c r="B178" s="11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"/>
      <c r="AI178" s="11"/>
      <c r="AJ178" s="11"/>
      <c r="AK178" s="11"/>
    </row>
    <row r="179">
      <c r="A179" s="11"/>
      <c r="B179" s="11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"/>
      <c r="AI179" s="11"/>
      <c r="AJ179" s="11"/>
      <c r="AK179" s="11"/>
    </row>
    <row r="180">
      <c r="A180" s="11"/>
      <c r="B180" s="11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"/>
      <c r="AI180" s="11"/>
      <c r="AJ180" s="11"/>
      <c r="AK180" s="11"/>
    </row>
    <row r="181">
      <c r="A181" s="11"/>
      <c r="B181" s="11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"/>
      <c r="AI181" s="11"/>
      <c r="AJ181" s="11"/>
      <c r="AK181" s="11"/>
    </row>
    <row r="182">
      <c r="A182" s="11"/>
      <c r="B182" s="11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"/>
      <c r="AI182" s="11"/>
      <c r="AJ182" s="11"/>
      <c r="AK182" s="11"/>
    </row>
    <row r="183">
      <c r="A183" s="11"/>
      <c r="B183" s="11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"/>
      <c r="AI183" s="11"/>
      <c r="AJ183" s="11"/>
      <c r="AK183" s="11"/>
    </row>
    <row r="184">
      <c r="A184" s="11"/>
      <c r="B184" s="11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"/>
      <c r="AI184" s="11"/>
      <c r="AJ184" s="11"/>
      <c r="AK184" s="11"/>
    </row>
    <row r="185">
      <c r="A185" s="11"/>
      <c r="B185" s="11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"/>
      <c r="AI185" s="11"/>
      <c r="AJ185" s="11"/>
      <c r="AK185" s="11"/>
    </row>
    <row r="186">
      <c r="A186" s="11"/>
      <c r="B186" s="11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"/>
      <c r="AI186" s="11"/>
      <c r="AJ186" s="11"/>
      <c r="AK186" s="11"/>
    </row>
    <row r="187">
      <c r="A187" s="11"/>
      <c r="B187" s="11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"/>
      <c r="AI187" s="11"/>
      <c r="AJ187" s="11"/>
      <c r="AK187" s="11"/>
    </row>
    <row r="188">
      <c r="A188" s="11"/>
      <c r="B188" s="11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"/>
      <c r="AI188" s="11"/>
      <c r="AJ188" s="11"/>
      <c r="AK188" s="11"/>
    </row>
    <row r="189">
      <c r="A189" s="11"/>
      <c r="B189" s="11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"/>
      <c r="AI189" s="11"/>
      <c r="AJ189" s="11"/>
      <c r="AK189" s="11"/>
    </row>
    <row r="190">
      <c r="A190" s="11"/>
      <c r="B190" s="11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"/>
      <c r="AI190" s="11"/>
      <c r="AJ190" s="11"/>
      <c r="AK190" s="11"/>
    </row>
    <row r="191">
      <c r="A191" s="11"/>
      <c r="B191" s="11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"/>
      <c r="AI191" s="11"/>
      <c r="AJ191" s="11"/>
      <c r="AK191" s="11"/>
    </row>
    <row r="192">
      <c r="A192" s="11"/>
      <c r="B192" s="11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  <c r="AH192" s="11"/>
      <c r="AI192" s="11"/>
      <c r="AJ192" s="11"/>
      <c r="AK192" s="11"/>
    </row>
    <row r="193">
      <c r="A193" s="11"/>
      <c r="B193" s="11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  <c r="AH193" s="11"/>
      <c r="AI193" s="11"/>
      <c r="AJ193" s="11"/>
      <c r="AK193" s="11"/>
    </row>
    <row r="194">
      <c r="A194" s="11"/>
      <c r="B194" s="11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  <c r="AH194" s="11"/>
      <c r="AI194" s="11"/>
      <c r="AJ194" s="11"/>
      <c r="AK194" s="11"/>
    </row>
    <row r="195">
      <c r="A195" s="11"/>
      <c r="B195" s="11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"/>
      <c r="AI195" s="11"/>
      <c r="AJ195" s="11"/>
      <c r="AK195" s="11"/>
    </row>
    <row r="196">
      <c r="A196" s="11"/>
      <c r="B196" s="11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"/>
      <c r="AI196" s="11"/>
      <c r="AJ196" s="11"/>
      <c r="AK196" s="11"/>
    </row>
    <row r="197">
      <c r="A197" s="11"/>
      <c r="B197" s="11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"/>
      <c r="AI197" s="11"/>
      <c r="AJ197" s="11"/>
      <c r="AK197" s="11"/>
    </row>
    <row r="198">
      <c r="A198" s="11"/>
      <c r="B198" s="11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"/>
      <c r="AI198" s="11"/>
      <c r="AJ198" s="11"/>
      <c r="AK198" s="11"/>
    </row>
    <row r="199">
      <c r="A199" s="11"/>
      <c r="B199" s="11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"/>
      <c r="AI199" s="11"/>
      <c r="AJ199" s="11"/>
      <c r="AK199" s="11"/>
    </row>
    <row r="200">
      <c r="A200" s="11"/>
      <c r="B200" s="11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"/>
      <c r="AI200" s="11"/>
      <c r="AJ200" s="11"/>
      <c r="AK200" s="11"/>
    </row>
    <row r="201">
      <c r="A201" s="11"/>
      <c r="B201" s="11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  <c r="AH201" s="11"/>
      <c r="AI201" s="11"/>
      <c r="AJ201" s="11"/>
      <c r="AK201" s="11"/>
    </row>
    <row r="202">
      <c r="A202" s="11"/>
      <c r="B202" s="11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"/>
      <c r="AI202" s="11"/>
      <c r="AJ202" s="11"/>
      <c r="AK202" s="11"/>
    </row>
    <row r="203">
      <c r="A203" s="11"/>
      <c r="B203" s="11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"/>
      <c r="AI203" s="11"/>
      <c r="AJ203" s="11"/>
      <c r="AK203" s="11"/>
    </row>
    <row r="204">
      <c r="A204" s="11"/>
      <c r="B204" s="11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  <c r="AH204" s="11"/>
      <c r="AI204" s="11"/>
      <c r="AJ204" s="11"/>
      <c r="AK204" s="11"/>
    </row>
    <row r="205">
      <c r="A205" s="11"/>
      <c r="B205" s="11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"/>
      <c r="AI205" s="11"/>
      <c r="AJ205" s="11"/>
      <c r="AK205" s="11"/>
    </row>
    <row r="206">
      <c r="A206" s="11"/>
      <c r="B206" s="11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"/>
      <c r="AI206" s="11"/>
      <c r="AJ206" s="11"/>
      <c r="AK206" s="11"/>
    </row>
    <row r="207">
      <c r="A207" s="11"/>
      <c r="B207" s="11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"/>
      <c r="AI207" s="11"/>
      <c r="AJ207" s="11"/>
      <c r="AK207" s="11"/>
    </row>
    <row r="208">
      <c r="A208" s="11"/>
      <c r="B208" s="11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  <c r="AH208" s="11"/>
      <c r="AI208" s="11"/>
      <c r="AJ208" s="11"/>
      <c r="AK208" s="11"/>
    </row>
    <row r="209">
      <c r="A209" s="11"/>
      <c r="B209" s="11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  <c r="AH209" s="11"/>
      <c r="AI209" s="11"/>
      <c r="AJ209" s="11"/>
      <c r="AK209" s="11"/>
    </row>
    <row r="210">
      <c r="A210" s="11"/>
      <c r="B210" s="11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  <c r="AH210" s="11"/>
      <c r="AI210" s="11"/>
      <c r="AJ210" s="11"/>
      <c r="AK210" s="11"/>
    </row>
    <row r="211">
      <c r="A211" s="11"/>
      <c r="B211" s="11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"/>
      <c r="AI211" s="11"/>
      <c r="AJ211" s="11"/>
      <c r="AK211" s="11"/>
    </row>
    <row r="212">
      <c r="A212" s="11"/>
      <c r="B212" s="11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  <c r="AH212" s="11"/>
      <c r="AI212" s="11"/>
      <c r="AJ212" s="11"/>
      <c r="AK212" s="11"/>
    </row>
    <row r="213">
      <c r="A213" s="11"/>
      <c r="B213" s="11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  <c r="AH213" s="11"/>
      <c r="AI213" s="11"/>
      <c r="AJ213" s="11"/>
      <c r="AK213" s="11"/>
    </row>
    <row r="214">
      <c r="A214" s="11"/>
      <c r="B214" s="11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"/>
      <c r="AI214" s="11"/>
      <c r="AJ214" s="11"/>
      <c r="AK214" s="11"/>
    </row>
    <row r="215">
      <c r="A215" s="11"/>
      <c r="B215" s="11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"/>
      <c r="AI215" s="11"/>
      <c r="AJ215" s="11"/>
      <c r="AK215" s="11"/>
    </row>
    <row r="216">
      <c r="A216" s="11"/>
      <c r="B216" s="11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  <c r="AH216" s="11"/>
      <c r="AI216" s="11"/>
      <c r="AJ216" s="11"/>
      <c r="AK216" s="11"/>
    </row>
    <row r="217">
      <c r="A217" s="11"/>
      <c r="B217" s="11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"/>
      <c r="AI217" s="11"/>
      <c r="AJ217" s="11"/>
      <c r="AK217" s="11"/>
    </row>
    <row r="218">
      <c r="A218" s="11"/>
      <c r="B218" s="11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  <c r="AH218" s="11"/>
      <c r="AI218" s="11"/>
      <c r="AJ218" s="11"/>
      <c r="AK218" s="11"/>
    </row>
    <row r="219">
      <c r="A219" s="11"/>
      <c r="B219" s="11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H219" s="11"/>
      <c r="AI219" s="11"/>
      <c r="AJ219" s="11"/>
      <c r="AK219" s="11"/>
    </row>
    <row r="220">
      <c r="A220" s="11"/>
      <c r="B220" s="11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H220" s="11"/>
      <c r="AI220" s="11"/>
      <c r="AJ220" s="11"/>
      <c r="AK220" s="11"/>
    </row>
    <row r="221">
      <c r="A221" s="11"/>
      <c r="B221" s="11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H221" s="11"/>
      <c r="AI221" s="11"/>
      <c r="AJ221" s="11"/>
      <c r="AK221" s="11"/>
    </row>
    <row r="222">
      <c r="A222" s="11"/>
      <c r="B222" s="11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"/>
      <c r="AI222" s="11"/>
      <c r="AJ222" s="11"/>
      <c r="AK222" s="11"/>
    </row>
    <row r="223">
      <c r="A223" s="11"/>
      <c r="B223" s="11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"/>
      <c r="AI223" s="11"/>
      <c r="AJ223" s="11"/>
      <c r="AK223" s="11"/>
    </row>
    <row r="224">
      <c r="A224" s="11"/>
      <c r="B224" s="11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"/>
      <c r="AI224" s="11"/>
      <c r="AJ224" s="11"/>
      <c r="AK224" s="11"/>
    </row>
    <row r="225">
      <c r="A225" s="11"/>
      <c r="B225" s="11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"/>
      <c r="AI225" s="11"/>
      <c r="AJ225" s="11"/>
      <c r="AK225" s="11"/>
    </row>
    <row r="226">
      <c r="A226" s="11"/>
      <c r="B226" s="11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"/>
      <c r="AI226" s="11"/>
      <c r="AJ226" s="11"/>
      <c r="AK226" s="11"/>
    </row>
    <row r="227">
      <c r="A227" s="11"/>
      <c r="B227" s="11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"/>
      <c r="AI227" s="11"/>
      <c r="AJ227" s="11"/>
      <c r="AK227" s="11"/>
    </row>
    <row r="228">
      <c r="A228" s="11"/>
      <c r="B228" s="11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H228" s="11"/>
      <c r="AI228" s="11"/>
      <c r="AJ228" s="11"/>
      <c r="AK228" s="11"/>
    </row>
    <row r="229">
      <c r="A229" s="11"/>
      <c r="B229" s="11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H229" s="11"/>
      <c r="AI229" s="11"/>
      <c r="AJ229" s="11"/>
      <c r="AK229" s="11"/>
    </row>
    <row r="230">
      <c r="A230" s="11"/>
      <c r="B230" s="11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"/>
      <c r="AI230" s="11"/>
      <c r="AJ230" s="11"/>
      <c r="AK230" s="11"/>
    </row>
    <row r="231">
      <c r="A231" s="11"/>
      <c r="B231" s="11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H231" s="11"/>
      <c r="AI231" s="11"/>
      <c r="AJ231" s="11"/>
      <c r="AK231" s="11"/>
    </row>
    <row r="232">
      <c r="A232" s="11"/>
      <c r="B232" s="11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"/>
      <c r="AI232" s="11"/>
      <c r="AJ232" s="11"/>
      <c r="AK232" s="11"/>
    </row>
    <row r="233">
      <c r="A233" s="11"/>
      <c r="B233" s="11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H233" s="11"/>
      <c r="AI233" s="11"/>
      <c r="AJ233" s="11"/>
      <c r="AK233" s="11"/>
    </row>
    <row r="234">
      <c r="A234" s="11"/>
      <c r="B234" s="11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H234" s="11"/>
      <c r="AI234" s="11"/>
      <c r="AJ234" s="11"/>
      <c r="AK234" s="11"/>
    </row>
    <row r="235">
      <c r="A235" s="11"/>
      <c r="B235" s="11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H235" s="11"/>
      <c r="AI235" s="11"/>
      <c r="AJ235" s="11"/>
      <c r="AK235" s="11"/>
    </row>
    <row r="236">
      <c r="A236" s="11"/>
      <c r="B236" s="11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H236" s="11"/>
      <c r="AI236" s="11"/>
      <c r="AJ236" s="11"/>
      <c r="AK236" s="11"/>
    </row>
    <row r="237">
      <c r="A237" s="11"/>
      <c r="B237" s="11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H237" s="11"/>
      <c r="AI237" s="11"/>
      <c r="AJ237" s="11"/>
      <c r="AK237" s="11"/>
    </row>
    <row r="238">
      <c r="A238" s="11"/>
      <c r="B238" s="11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"/>
      <c r="AI238" s="11"/>
      <c r="AJ238" s="11"/>
      <c r="AK238" s="11"/>
    </row>
    <row r="239">
      <c r="A239" s="11"/>
      <c r="B239" s="11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H239" s="11"/>
      <c r="AI239" s="11"/>
      <c r="AJ239" s="11"/>
      <c r="AK239" s="11"/>
    </row>
    <row r="240">
      <c r="A240" s="11"/>
      <c r="B240" s="11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H240" s="11"/>
      <c r="AI240" s="11"/>
      <c r="AJ240" s="11"/>
      <c r="AK240" s="11"/>
    </row>
    <row r="241">
      <c r="A241" s="11"/>
      <c r="B241" s="11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"/>
      <c r="AI241" s="11"/>
      <c r="AJ241" s="11"/>
      <c r="AK241" s="11"/>
    </row>
    <row r="242">
      <c r="A242" s="11"/>
      <c r="B242" s="11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H242" s="11"/>
      <c r="AI242" s="11"/>
      <c r="AJ242" s="11"/>
      <c r="AK242" s="11"/>
    </row>
    <row r="243">
      <c r="A243" s="11"/>
      <c r="B243" s="11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"/>
      <c r="AI243" s="11"/>
      <c r="AJ243" s="11"/>
      <c r="AK243" s="11"/>
    </row>
    <row r="244">
      <c r="A244" s="11"/>
      <c r="B244" s="11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H244" s="11"/>
      <c r="AI244" s="11"/>
      <c r="AJ244" s="11"/>
      <c r="AK244" s="11"/>
    </row>
    <row r="245">
      <c r="A245" s="11"/>
      <c r="B245" s="11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"/>
      <c r="AI245" s="11"/>
      <c r="AJ245" s="11"/>
      <c r="AK245" s="11"/>
    </row>
    <row r="246">
      <c r="A246" s="11"/>
      <c r="B246" s="11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H246" s="11"/>
      <c r="AI246" s="11"/>
      <c r="AJ246" s="11"/>
      <c r="AK246" s="11"/>
    </row>
    <row r="247">
      <c r="A247" s="11"/>
      <c r="B247" s="11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11"/>
      <c r="AI247" s="11"/>
      <c r="AJ247" s="11"/>
      <c r="AK247" s="11"/>
    </row>
    <row r="248">
      <c r="A248" s="11"/>
      <c r="B248" s="11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H248" s="11"/>
      <c r="AI248" s="11"/>
      <c r="AJ248" s="11"/>
      <c r="AK248" s="11"/>
    </row>
    <row r="249">
      <c r="A249" s="11"/>
      <c r="B249" s="11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"/>
      <c r="AI249" s="11"/>
      <c r="AJ249" s="11"/>
      <c r="AK249" s="11"/>
    </row>
    <row r="250">
      <c r="A250" s="11"/>
      <c r="B250" s="11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H250" s="11"/>
      <c r="AI250" s="11"/>
      <c r="AJ250" s="11"/>
      <c r="AK250" s="11"/>
    </row>
    <row r="251">
      <c r="A251" s="11"/>
      <c r="B251" s="11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H251" s="11"/>
      <c r="AI251" s="11"/>
      <c r="AJ251" s="11"/>
      <c r="AK251" s="11"/>
    </row>
    <row r="252">
      <c r="A252" s="11"/>
      <c r="B252" s="11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H252" s="11"/>
      <c r="AI252" s="11"/>
      <c r="AJ252" s="11"/>
      <c r="AK252" s="11"/>
    </row>
    <row r="253">
      <c r="A253" s="11"/>
      <c r="B253" s="11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H253" s="11"/>
      <c r="AI253" s="11"/>
      <c r="AJ253" s="11"/>
      <c r="AK253" s="11"/>
    </row>
    <row r="254">
      <c r="A254" s="11"/>
      <c r="B254" s="11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"/>
      <c r="AI254" s="11"/>
      <c r="AJ254" s="11"/>
      <c r="AK254" s="11"/>
    </row>
    <row r="255">
      <c r="A255" s="11"/>
      <c r="B255" s="11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"/>
      <c r="AI255" s="11"/>
      <c r="AJ255" s="11"/>
      <c r="AK255" s="11"/>
    </row>
    <row r="256">
      <c r="A256" s="11"/>
      <c r="B256" s="11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H256" s="11"/>
      <c r="AI256" s="11"/>
      <c r="AJ256" s="11"/>
      <c r="AK256" s="11"/>
    </row>
    <row r="257">
      <c r="A257" s="11"/>
      <c r="B257" s="11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"/>
      <c r="AI257" s="11"/>
      <c r="AJ257" s="11"/>
      <c r="AK257" s="11"/>
    </row>
    <row r="258">
      <c r="A258" s="11"/>
      <c r="B258" s="11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H258" s="11"/>
      <c r="AI258" s="11"/>
      <c r="AJ258" s="11"/>
      <c r="AK258" s="11"/>
    </row>
    <row r="259">
      <c r="A259" s="11"/>
      <c r="B259" s="11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H259" s="11"/>
      <c r="AI259" s="11"/>
      <c r="AJ259" s="11"/>
      <c r="AK259" s="11"/>
    </row>
    <row r="260">
      <c r="A260" s="11"/>
      <c r="B260" s="11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H260" s="11"/>
      <c r="AI260" s="11"/>
      <c r="AJ260" s="11"/>
      <c r="AK260" s="11"/>
    </row>
    <row r="261">
      <c r="A261" s="11"/>
      <c r="B261" s="11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H261" s="11"/>
      <c r="AI261" s="11"/>
      <c r="AJ261" s="11"/>
      <c r="AK261" s="11"/>
    </row>
    <row r="262">
      <c r="A262" s="11"/>
      <c r="B262" s="11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H262" s="11"/>
      <c r="AI262" s="11"/>
      <c r="AJ262" s="11"/>
      <c r="AK262" s="11"/>
    </row>
    <row r="263">
      <c r="A263" s="11"/>
      <c r="B263" s="11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H263" s="11"/>
      <c r="AI263" s="11"/>
      <c r="AJ263" s="11"/>
      <c r="AK263" s="11"/>
    </row>
    <row r="264">
      <c r="A264" s="11"/>
      <c r="B264" s="11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"/>
      <c r="AI264" s="11"/>
      <c r="AJ264" s="11"/>
      <c r="AK264" s="11"/>
    </row>
    <row r="265">
      <c r="A265" s="11"/>
      <c r="B265" s="11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H265" s="11"/>
      <c r="AI265" s="11"/>
      <c r="AJ265" s="11"/>
      <c r="AK265" s="11"/>
    </row>
    <row r="266">
      <c r="A266" s="11"/>
      <c r="B266" s="11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"/>
      <c r="AI266" s="11"/>
      <c r="AJ266" s="11"/>
      <c r="AK266" s="11"/>
    </row>
    <row r="267">
      <c r="A267" s="11"/>
      <c r="B267" s="11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H267" s="11"/>
      <c r="AI267" s="11"/>
      <c r="AJ267" s="11"/>
      <c r="AK267" s="11"/>
    </row>
    <row r="268">
      <c r="A268" s="11"/>
      <c r="B268" s="11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H268" s="11"/>
      <c r="AI268" s="11"/>
      <c r="AJ268" s="11"/>
      <c r="AK268" s="11"/>
    </row>
    <row r="269">
      <c r="A269" s="11"/>
      <c r="B269" s="11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H269" s="11"/>
      <c r="AI269" s="11"/>
      <c r="AJ269" s="11"/>
      <c r="AK269" s="11"/>
    </row>
    <row r="270">
      <c r="A270" s="11"/>
      <c r="B270" s="11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H270" s="11"/>
      <c r="AI270" s="11"/>
      <c r="AJ270" s="11"/>
      <c r="AK270" s="11"/>
    </row>
    <row r="271">
      <c r="A271" s="11"/>
      <c r="B271" s="11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"/>
      <c r="AI271" s="11"/>
      <c r="AJ271" s="11"/>
      <c r="AK271" s="11"/>
    </row>
    <row r="272">
      <c r="A272" s="11"/>
      <c r="B272" s="11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H272" s="11"/>
      <c r="AI272" s="11"/>
      <c r="AJ272" s="11"/>
      <c r="AK272" s="11"/>
    </row>
    <row r="273">
      <c r="A273" s="11"/>
      <c r="B273" s="11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H273" s="11"/>
      <c r="AI273" s="11"/>
      <c r="AJ273" s="11"/>
      <c r="AK273" s="11"/>
    </row>
    <row r="274">
      <c r="A274" s="11"/>
      <c r="B274" s="11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H274" s="11"/>
      <c r="AI274" s="11"/>
      <c r="AJ274" s="11"/>
      <c r="AK274" s="11"/>
    </row>
    <row r="275">
      <c r="A275" s="11"/>
      <c r="B275" s="11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  <c r="AC275" s="119"/>
      <c r="AD275" s="119"/>
      <c r="AE275" s="119"/>
      <c r="AF275" s="119"/>
      <c r="AG275" s="119"/>
      <c r="AH275" s="11"/>
      <c r="AI275" s="11"/>
      <c r="AJ275" s="11"/>
      <c r="AK275" s="11"/>
    </row>
    <row r="276">
      <c r="A276" s="11"/>
      <c r="B276" s="11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  <c r="AC276" s="119"/>
      <c r="AD276" s="119"/>
      <c r="AE276" s="119"/>
      <c r="AF276" s="119"/>
      <c r="AG276" s="119"/>
      <c r="AH276" s="11"/>
      <c r="AI276" s="11"/>
      <c r="AJ276" s="11"/>
      <c r="AK276" s="11"/>
    </row>
    <row r="277">
      <c r="A277" s="11"/>
      <c r="B277" s="11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19"/>
      <c r="AE277" s="119"/>
      <c r="AF277" s="119"/>
      <c r="AG277" s="119"/>
      <c r="AH277" s="11"/>
      <c r="AI277" s="11"/>
      <c r="AJ277" s="11"/>
      <c r="AK277" s="11"/>
    </row>
    <row r="278">
      <c r="A278" s="11"/>
      <c r="B278" s="11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  <c r="AE278" s="119"/>
      <c r="AF278" s="119"/>
      <c r="AG278" s="119"/>
      <c r="AH278" s="11"/>
      <c r="AI278" s="11"/>
      <c r="AJ278" s="11"/>
      <c r="AK278" s="11"/>
    </row>
    <row r="279">
      <c r="A279" s="11"/>
      <c r="B279" s="11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  <c r="AC279" s="119"/>
      <c r="AD279" s="119"/>
      <c r="AE279" s="119"/>
      <c r="AF279" s="119"/>
      <c r="AG279" s="119"/>
      <c r="AH279" s="11"/>
      <c r="AI279" s="11"/>
      <c r="AJ279" s="11"/>
      <c r="AK279" s="11"/>
    </row>
    <row r="280">
      <c r="A280" s="11"/>
      <c r="B280" s="11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  <c r="AE280" s="119"/>
      <c r="AF280" s="119"/>
      <c r="AG280" s="119"/>
      <c r="AH280" s="11"/>
      <c r="AI280" s="11"/>
      <c r="AJ280" s="11"/>
      <c r="AK280" s="11"/>
    </row>
    <row r="281">
      <c r="A281" s="11"/>
      <c r="B281" s="11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H281" s="11"/>
      <c r="AI281" s="11"/>
      <c r="AJ281" s="11"/>
      <c r="AK281" s="11"/>
    </row>
    <row r="282">
      <c r="A282" s="11"/>
      <c r="B282" s="11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  <c r="AC282" s="119"/>
      <c r="AD282" s="119"/>
      <c r="AE282" s="119"/>
      <c r="AF282" s="119"/>
      <c r="AG282" s="119"/>
      <c r="AH282" s="11"/>
      <c r="AI282" s="11"/>
      <c r="AJ282" s="11"/>
      <c r="AK282" s="11"/>
    </row>
    <row r="283">
      <c r="A283" s="11"/>
      <c r="B283" s="11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  <c r="AC283" s="119"/>
      <c r="AD283" s="119"/>
      <c r="AE283" s="119"/>
      <c r="AF283" s="119"/>
      <c r="AG283" s="119"/>
      <c r="AH283" s="11"/>
      <c r="AI283" s="11"/>
      <c r="AJ283" s="11"/>
      <c r="AK283" s="11"/>
    </row>
    <row r="284">
      <c r="A284" s="11"/>
      <c r="B284" s="11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  <c r="AC284" s="119"/>
      <c r="AD284" s="119"/>
      <c r="AE284" s="119"/>
      <c r="AF284" s="119"/>
      <c r="AG284" s="119"/>
      <c r="AH284" s="11"/>
      <c r="AI284" s="11"/>
      <c r="AJ284" s="11"/>
      <c r="AK284" s="11"/>
    </row>
    <row r="285">
      <c r="A285" s="11"/>
      <c r="B285" s="11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  <c r="AC285" s="119"/>
      <c r="AD285" s="119"/>
      <c r="AE285" s="119"/>
      <c r="AF285" s="119"/>
      <c r="AG285" s="119"/>
      <c r="AH285" s="11"/>
      <c r="AI285" s="11"/>
      <c r="AJ285" s="11"/>
      <c r="AK285" s="11"/>
    </row>
    <row r="286">
      <c r="A286" s="11"/>
      <c r="B286" s="11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  <c r="AC286" s="119"/>
      <c r="AD286" s="119"/>
      <c r="AE286" s="119"/>
      <c r="AF286" s="119"/>
      <c r="AG286" s="119"/>
      <c r="AH286" s="11"/>
      <c r="AI286" s="11"/>
      <c r="AJ286" s="11"/>
      <c r="AK286" s="11"/>
    </row>
    <row r="287">
      <c r="A287" s="11"/>
      <c r="B287" s="11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  <c r="AC287" s="119"/>
      <c r="AD287" s="119"/>
      <c r="AE287" s="119"/>
      <c r="AF287" s="119"/>
      <c r="AG287" s="119"/>
      <c r="AH287" s="11"/>
      <c r="AI287" s="11"/>
      <c r="AJ287" s="11"/>
      <c r="AK287" s="11"/>
    </row>
    <row r="288">
      <c r="A288" s="11"/>
      <c r="B288" s="11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  <c r="AC288" s="119"/>
      <c r="AD288" s="119"/>
      <c r="AE288" s="119"/>
      <c r="AF288" s="119"/>
      <c r="AG288" s="119"/>
      <c r="AH288" s="11"/>
      <c r="AI288" s="11"/>
      <c r="AJ288" s="11"/>
      <c r="AK288" s="11"/>
    </row>
    <row r="289">
      <c r="A289" s="11"/>
      <c r="B289" s="11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  <c r="AC289" s="119"/>
      <c r="AD289" s="119"/>
      <c r="AE289" s="119"/>
      <c r="AF289" s="119"/>
      <c r="AG289" s="119"/>
      <c r="AH289" s="11"/>
      <c r="AI289" s="11"/>
      <c r="AJ289" s="11"/>
      <c r="AK289" s="11"/>
    </row>
    <row r="290">
      <c r="A290" s="11"/>
      <c r="B290" s="11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  <c r="AC290" s="119"/>
      <c r="AD290" s="119"/>
      <c r="AE290" s="119"/>
      <c r="AF290" s="119"/>
      <c r="AG290" s="119"/>
      <c r="AH290" s="11"/>
      <c r="AI290" s="11"/>
      <c r="AJ290" s="11"/>
      <c r="AK290" s="11"/>
    </row>
    <row r="291">
      <c r="A291" s="11"/>
      <c r="B291" s="11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  <c r="AC291" s="119"/>
      <c r="AD291" s="119"/>
      <c r="AE291" s="119"/>
      <c r="AF291" s="119"/>
      <c r="AG291" s="119"/>
      <c r="AH291" s="11"/>
      <c r="AI291" s="11"/>
      <c r="AJ291" s="11"/>
      <c r="AK291" s="11"/>
    </row>
    <row r="292">
      <c r="A292" s="11"/>
      <c r="B292" s="11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  <c r="AC292" s="119"/>
      <c r="AD292" s="119"/>
      <c r="AE292" s="119"/>
      <c r="AF292" s="119"/>
      <c r="AG292" s="119"/>
      <c r="AH292" s="11"/>
      <c r="AI292" s="11"/>
      <c r="AJ292" s="11"/>
      <c r="AK292" s="11"/>
    </row>
    <row r="293">
      <c r="A293" s="11"/>
      <c r="B293" s="11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  <c r="AA293" s="119"/>
      <c r="AB293" s="119"/>
      <c r="AC293" s="119"/>
      <c r="AD293" s="119"/>
      <c r="AE293" s="119"/>
      <c r="AF293" s="119"/>
      <c r="AG293" s="119"/>
      <c r="AH293" s="11"/>
      <c r="AI293" s="11"/>
      <c r="AJ293" s="11"/>
      <c r="AK293" s="11"/>
    </row>
    <row r="294">
      <c r="A294" s="11"/>
      <c r="B294" s="11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  <c r="AC294" s="119"/>
      <c r="AD294" s="119"/>
      <c r="AE294" s="119"/>
      <c r="AF294" s="119"/>
      <c r="AG294" s="119"/>
      <c r="AH294" s="11"/>
      <c r="AI294" s="11"/>
      <c r="AJ294" s="11"/>
      <c r="AK294" s="11"/>
    </row>
    <row r="295">
      <c r="A295" s="11"/>
      <c r="B295" s="11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  <c r="AC295" s="119"/>
      <c r="AD295" s="119"/>
      <c r="AE295" s="119"/>
      <c r="AF295" s="119"/>
      <c r="AG295" s="119"/>
      <c r="AH295" s="11"/>
      <c r="AI295" s="11"/>
      <c r="AJ295" s="11"/>
      <c r="AK295" s="11"/>
    </row>
    <row r="296">
      <c r="A296" s="11"/>
      <c r="B296" s="11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  <c r="AC296" s="119"/>
      <c r="AD296" s="119"/>
      <c r="AE296" s="119"/>
      <c r="AF296" s="119"/>
      <c r="AG296" s="119"/>
      <c r="AH296" s="11"/>
      <c r="AI296" s="11"/>
      <c r="AJ296" s="11"/>
      <c r="AK296" s="11"/>
    </row>
    <row r="297">
      <c r="A297" s="11"/>
      <c r="B297" s="11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  <c r="AA297" s="119"/>
      <c r="AB297" s="119"/>
      <c r="AC297" s="119"/>
      <c r="AD297" s="119"/>
      <c r="AE297" s="119"/>
      <c r="AF297" s="119"/>
      <c r="AG297" s="119"/>
      <c r="AH297" s="11"/>
      <c r="AI297" s="11"/>
      <c r="AJ297" s="11"/>
      <c r="AK297" s="11"/>
    </row>
    <row r="298">
      <c r="A298" s="11"/>
      <c r="B298" s="11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  <c r="AA298" s="119"/>
      <c r="AB298" s="119"/>
      <c r="AC298" s="119"/>
      <c r="AD298" s="119"/>
      <c r="AE298" s="119"/>
      <c r="AF298" s="119"/>
      <c r="AG298" s="119"/>
      <c r="AH298" s="11"/>
      <c r="AI298" s="11"/>
      <c r="AJ298" s="11"/>
      <c r="AK298" s="11"/>
    </row>
    <row r="299">
      <c r="A299" s="11"/>
      <c r="B299" s="11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  <c r="AC299" s="119"/>
      <c r="AD299" s="119"/>
      <c r="AE299" s="119"/>
      <c r="AF299" s="119"/>
      <c r="AG299" s="119"/>
      <c r="AH299" s="11"/>
      <c r="AI299" s="11"/>
      <c r="AJ299" s="11"/>
      <c r="AK299" s="11"/>
    </row>
    <row r="300">
      <c r="A300" s="11"/>
      <c r="B300" s="11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  <c r="AC300" s="119"/>
      <c r="AD300" s="119"/>
      <c r="AE300" s="119"/>
      <c r="AF300" s="119"/>
      <c r="AG300" s="119"/>
      <c r="AH300" s="11"/>
      <c r="AI300" s="11"/>
      <c r="AJ300" s="11"/>
      <c r="AK300" s="11"/>
    </row>
    <row r="301">
      <c r="A301" s="11"/>
      <c r="B301" s="11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  <c r="AC301" s="119"/>
      <c r="AD301" s="119"/>
      <c r="AE301" s="119"/>
      <c r="AF301" s="119"/>
      <c r="AG301" s="119"/>
      <c r="AH301" s="11"/>
      <c r="AI301" s="11"/>
      <c r="AJ301" s="11"/>
      <c r="AK301" s="11"/>
    </row>
    <row r="302">
      <c r="A302" s="11"/>
      <c r="B302" s="11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  <c r="AC302" s="119"/>
      <c r="AD302" s="119"/>
      <c r="AE302" s="119"/>
      <c r="AF302" s="119"/>
      <c r="AG302" s="119"/>
      <c r="AH302" s="11"/>
      <c r="AI302" s="11"/>
      <c r="AJ302" s="11"/>
      <c r="AK302" s="11"/>
    </row>
    <row r="303">
      <c r="A303" s="11"/>
      <c r="B303" s="11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  <c r="AC303" s="119"/>
      <c r="AD303" s="119"/>
      <c r="AE303" s="119"/>
      <c r="AF303" s="119"/>
      <c r="AG303" s="119"/>
      <c r="AH303" s="11"/>
      <c r="AI303" s="11"/>
      <c r="AJ303" s="11"/>
      <c r="AK303" s="11"/>
    </row>
    <row r="304">
      <c r="A304" s="11"/>
      <c r="B304" s="11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  <c r="AC304" s="119"/>
      <c r="AD304" s="119"/>
      <c r="AE304" s="119"/>
      <c r="AF304" s="119"/>
      <c r="AG304" s="119"/>
      <c r="AH304" s="11"/>
      <c r="AI304" s="11"/>
      <c r="AJ304" s="11"/>
      <c r="AK304" s="11"/>
    </row>
    <row r="305">
      <c r="A305" s="11"/>
      <c r="B305" s="11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  <c r="AC305" s="119"/>
      <c r="AD305" s="119"/>
      <c r="AE305" s="119"/>
      <c r="AF305" s="119"/>
      <c r="AG305" s="119"/>
      <c r="AH305" s="11"/>
      <c r="AI305" s="11"/>
      <c r="AJ305" s="11"/>
      <c r="AK305" s="11"/>
    </row>
    <row r="306">
      <c r="A306" s="11"/>
      <c r="B306" s="11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  <c r="AC306" s="119"/>
      <c r="AD306" s="119"/>
      <c r="AE306" s="119"/>
      <c r="AF306" s="119"/>
      <c r="AG306" s="119"/>
      <c r="AH306" s="11"/>
      <c r="AI306" s="11"/>
      <c r="AJ306" s="11"/>
      <c r="AK306" s="11"/>
    </row>
    <row r="307">
      <c r="A307" s="11"/>
      <c r="B307" s="11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  <c r="AA307" s="119"/>
      <c r="AB307" s="119"/>
      <c r="AC307" s="119"/>
      <c r="AD307" s="119"/>
      <c r="AE307" s="119"/>
      <c r="AF307" s="119"/>
      <c r="AG307" s="119"/>
      <c r="AH307" s="11"/>
      <c r="AI307" s="11"/>
      <c r="AJ307" s="11"/>
      <c r="AK307" s="11"/>
    </row>
    <row r="308">
      <c r="A308" s="11"/>
      <c r="B308" s="11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  <c r="AA308" s="119"/>
      <c r="AB308" s="119"/>
      <c r="AC308" s="119"/>
      <c r="AD308" s="119"/>
      <c r="AE308" s="119"/>
      <c r="AF308" s="119"/>
      <c r="AG308" s="119"/>
      <c r="AH308" s="11"/>
      <c r="AI308" s="11"/>
      <c r="AJ308" s="11"/>
      <c r="AK308" s="11"/>
    </row>
    <row r="309">
      <c r="A309" s="11"/>
      <c r="B309" s="11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  <c r="AA309" s="119"/>
      <c r="AB309" s="119"/>
      <c r="AC309" s="119"/>
      <c r="AD309" s="119"/>
      <c r="AE309" s="119"/>
      <c r="AF309" s="119"/>
      <c r="AG309" s="119"/>
      <c r="AH309" s="11"/>
      <c r="AI309" s="11"/>
      <c r="AJ309" s="11"/>
      <c r="AK309" s="11"/>
    </row>
    <row r="310">
      <c r="A310" s="11"/>
      <c r="B310" s="11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  <c r="AC310" s="119"/>
      <c r="AD310" s="119"/>
      <c r="AE310" s="119"/>
      <c r="AF310" s="119"/>
      <c r="AG310" s="119"/>
      <c r="AH310" s="11"/>
      <c r="AI310" s="11"/>
      <c r="AJ310" s="11"/>
      <c r="AK310" s="11"/>
    </row>
    <row r="311">
      <c r="A311" s="11"/>
      <c r="B311" s="11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  <c r="AC311" s="119"/>
      <c r="AD311" s="119"/>
      <c r="AE311" s="119"/>
      <c r="AF311" s="119"/>
      <c r="AG311" s="119"/>
      <c r="AH311" s="11"/>
      <c r="AI311" s="11"/>
      <c r="AJ311" s="11"/>
      <c r="AK311" s="11"/>
    </row>
    <row r="312">
      <c r="A312" s="11"/>
      <c r="B312" s="11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  <c r="AC312" s="119"/>
      <c r="AD312" s="119"/>
      <c r="AE312" s="119"/>
      <c r="AF312" s="119"/>
      <c r="AG312" s="119"/>
      <c r="AH312" s="11"/>
      <c r="AI312" s="11"/>
      <c r="AJ312" s="11"/>
      <c r="AK312" s="11"/>
    </row>
    <row r="313">
      <c r="A313" s="11"/>
      <c r="B313" s="11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  <c r="AC313" s="119"/>
      <c r="AD313" s="119"/>
      <c r="AE313" s="119"/>
      <c r="AF313" s="119"/>
      <c r="AG313" s="119"/>
      <c r="AH313" s="11"/>
      <c r="AI313" s="11"/>
      <c r="AJ313" s="11"/>
      <c r="AK313" s="11"/>
    </row>
    <row r="314">
      <c r="A314" s="11"/>
      <c r="B314" s="11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  <c r="AC314" s="119"/>
      <c r="AD314" s="119"/>
      <c r="AE314" s="119"/>
      <c r="AF314" s="119"/>
      <c r="AG314" s="119"/>
      <c r="AH314" s="11"/>
      <c r="AI314" s="11"/>
      <c r="AJ314" s="11"/>
      <c r="AK314" s="11"/>
    </row>
    <row r="315">
      <c r="A315" s="11"/>
      <c r="B315" s="11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  <c r="AC315" s="119"/>
      <c r="AD315" s="119"/>
      <c r="AE315" s="119"/>
      <c r="AF315" s="119"/>
      <c r="AG315" s="119"/>
      <c r="AH315" s="11"/>
      <c r="AI315" s="11"/>
      <c r="AJ315" s="11"/>
      <c r="AK315" s="11"/>
    </row>
    <row r="316">
      <c r="A316" s="11"/>
      <c r="B316" s="11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  <c r="AA316" s="119"/>
      <c r="AB316" s="119"/>
      <c r="AC316" s="119"/>
      <c r="AD316" s="119"/>
      <c r="AE316" s="119"/>
      <c r="AF316" s="119"/>
      <c r="AG316" s="119"/>
      <c r="AH316" s="11"/>
      <c r="AI316" s="11"/>
      <c r="AJ316" s="11"/>
      <c r="AK316" s="11"/>
    </row>
    <row r="317">
      <c r="A317" s="11"/>
      <c r="B317" s="11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  <c r="AA317" s="119"/>
      <c r="AB317" s="119"/>
      <c r="AC317" s="119"/>
      <c r="AD317" s="119"/>
      <c r="AE317" s="119"/>
      <c r="AF317" s="119"/>
      <c r="AG317" s="119"/>
      <c r="AH317" s="11"/>
      <c r="AI317" s="11"/>
      <c r="AJ317" s="11"/>
      <c r="AK317" s="11"/>
    </row>
    <row r="318">
      <c r="A318" s="11"/>
      <c r="B318" s="11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  <c r="AC318" s="119"/>
      <c r="AD318" s="119"/>
      <c r="AE318" s="119"/>
      <c r="AF318" s="119"/>
      <c r="AG318" s="119"/>
      <c r="AH318" s="11"/>
      <c r="AI318" s="11"/>
      <c r="AJ318" s="11"/>
      <c r="AK318" s="11"/>
    </row>
    <row r="319">
      <c r="A319" s="11"/>
      <c r="B319" s="11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  <c r="AC319" s="119"/>
      <c r="AD319" s="119"/>
      <c r="AE319" s="119"/>
      <c r="AF319" s="119"/>
      <c r="AG319" s="119"/>
      <c r="AH319" s="11"/>
      <c r="AI319" s="11"/>
      <c r="AJ319" s="11"/>
      <c r="AK319" s="11"/>
    </row>
    <row r="320">
      <c r="A320" s="11"/>
      <c r="B320" s="11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  <c r="AC320" s="119"/>
      <c r="AD320" s="119"/>
      <c r="AE320" s="119"/>
      <c r="AF320" s="119"/>
      <c r="AG320" s="119"/>
      <c r="AH320" s="11"/>
      <c r="AI320" s="11"/>
      <c r="AJ320" s="11"/>
      <c r="AK320" s="11"/>
    </row>
    <row r="321">
      <c r="A321" s="11"/>
      <c r="B321" s="11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  <c r="AA321" s="119"/>
      <c r="AB321" s="119"/>
      <c r="AC321" s="119"/>
      <c r="AD321" s="119"/>
      <c r="AE321" s="119"/>
      <c r="AF321" s="119"/>
      <c r="AG321" s="119"/>
      <c r="AH321" s="11"/>
      <c r="AI321" s="11"/>
      <c r="AJ321" s="11"/>
      <c r="AK321" s="11"/>
    </row>
    <row r="322">
      <c r="A322" s="11"/>
      <c r="B322" s="11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  <c r="AA322" s="119"/>
      <c r="AB322" s="119"/>
      <c r="AC322" s="119"/>
      <c r="AD322" s="119"/>
      <c r="AE322" s="119"/>
      <c r="AF322" s="119"/>
      <c r="AG322" s="119"/>
      <c r="AH322" s="11"/>
      <c r="AI322" s="11"/>
      <c r="AJ322" s="11"/>
      <c r="AK322" s="11"/>
    </row>
    <row r="323">
      <c r="A323" s="11"/>
      <c r="B323" s="11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  <c r="AC323" s="119"/>
      <c r="AD323" s="119"/>
      <c r="AE323" s="119"/>
      <c r="AF323" s="119"/>
      <c r="AG323" s="119"/>
      <c r="AH323" s="11"/>
      <c r="AI323" s="11"/>
      <c r="AJ323" s="11"/>
      <c r="AK323" s="11"/>
    </row>
    <row r="324">
      <c r="A324" s="11"/>
      <c r="B324" s="11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  <c r="AC324" s="119"/>
      <c r="AD324" s="119"/>
      <c r="AE324" s="119"/>
      <c r="AF324" s="119"/>
      <c r="AG324" s="119"/>
      <c r="AH324" s="11"/>
      <c r="AI324" s="11"/>
      <c r="AJ324" s="11"/>
      <c r="AK324" s="11"/>
    </row>
    <row r="325">
      <c r="A325" s="11"/>
      <c r="B325" s="11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  <c r="AC325" s="119"/>
      <c r="AD325" s="119"/>
      <c r="AE325" s="119"/>
      <c r="AF325" s="119"/>
      <c r="AG325" s="119"/>
      <c r="AH325" s="11"/>
      <c r="AI325" s="11"/>
      <c r="AJ325" s="11"/>
      <c r="AK325" s="11"/>
    </row>
    <row r="326">
      <c r="A326" s="11"/>
      <c r="B326" s="11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  <c r="AA326" s="119"/>
      <c r="AB326" s="119"/>
      <c r="AC326" s="119"/>
      <c r="AD326" s="119"/>
      <c r="AE326" s="119"/>
      <c r="AF326" s="119"/>
      <c r="AG326" s="119"/>
      <c r="AH326" s="11"/>
      <c r="AI326" s="11"/>
      <c r="AJ326" s="11"/>
      <c r="AK326" s="11"/>
    </row>
    <row r="327">
      <c r="A327" s="11"/>
      <c r="B327" s="11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  <c r="AA327" s="119"/>
      <c r="AB327" s="119"/>
      <c r="AC327" s="119"/>
      <c r="AD327" s="119"/>
      <c r="AE327" s="119"/>
      <c r="AF327" s="119"/>
      <c r="AG327" s="119"/>
      <c r="AH327" s="11"/>
      <c r="AI327" s="11"/>
      <c r="AJ327" s="11"/>
      <c r="AK327" s="11"/>
    </row>
    <row r="328">
      <c r="A328" s="11"/>
      <c r="B328" s="11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  <c r="AC328" s="119"/>
      <c r="AD328" s="119"/>
      <c r="AE328" s="119"/>
      <c r="AF328" s="119"/>
      <c r="AG328" s="119"/>
      <c r="AH328" s="11"/>
      <c r="AI328" s="11"/>
      <c r="AJ328" s="11"/>
      <c r="AK328" s="11"/>
    </row>
    <row r="329">
      <c r="A329" s="11"/>
      <c r="B329" s="11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  <c r="AC329" s="119"/>
      <c r="AD329" s="119"/>
      <c r="AE329" s="119"/>
      <c r="AF329" s="119"/>
      <c r="AG329" s="119"/>
      <c r="AH329" s="11"/>
      <c r="AI329" s="11"/>
      <c r="AJ329" s="11"/>
      <c r="AK329" s="11"/>
    </row>
    <row r="330">
      <c r="A330" s="11"/>
      <c r="B330" s="11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  <c r="AC330" s="119"/>
      <c r="AD330" s="119"/>
      <c r="AE330" s="119"/>
      <c r="AF330" s="119"/>
      <c r="AG330" s="119"/>
      <c r="AH330" s="11"/>
      <c r="AI330" s="11"/>
      <c r="AJ330" s="11"/>
      <c r="AK330" s="11"/>
    </row>
    <row r="331">
      <c r="A331" s="11"/>
      <c r="B331" s="11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  <c r="AC331" s="119"/>
      <c r="AD331" s="119"/>
      <c r="AE331" s="119"/>
      <c r="AF331" s="119"/>
      <c r="AG331" s="119"/>
      <c r="AH331" s="11"/>
      <c r="AI331" s="11"/>
      <c r="AJ331" s="11"/>
      <c r="AK331" s="11"/>
    </row>
    <row r="332">
      <c r="A332" s="11"/>
      <c r="B332" s="11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  <c r="AC332" s="119"/>
      <c r="AD332" s="119"/>
      <c r="AE332" s="119"/>
      <c r="AF332" s="119"/>
      <c r="AG332" s="119"/>
      <c r="AH332" s="11"/>
      <c r="AI332" s="11"/>
      <c r="AJ332" s="11"/>
      <c r="AK332" s="11"/>
    </row>
    <row r="333">
      <c r="A333" s="11"/>
      <c r="B333" s="11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  <c r="AC333" s="119"/>
      <c r="AD333" s="119"/>
      <c r="AE333" s="119"/>
      <c r="AF333" s="119"/>
      <c r="AG333" s="119"/>
      <c r="AH333" s="11"/>
      <c r="AI333" s="11"/>
      <c r="AJ333" s="11"/>
      <c r="AK333" s="11"/>
    </row>
    <row r="334">
      <c r="A334" s="11"/>
      <c r="B334" s="11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  <c r="AC334" s="119"/>
      <c r="AD334" s="119"/>
      <c r="AE334" s="119"/>
      <c r="AF334" s="119"/>
      <c r="AG334" s="119"/>
      <c r="AH334" s="11"/>
      <c r="AI334" s="11"/>
      <c r="AJ334" s="11"/>
      <c r="AK334" s="11"/>
    </row>
    <row r="335">
      <c r="A335" s="11"/>
      <c r="B335" s="11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  <c r="AA335" s="119"/>
      <c r="AB335" s="119"/>
      <c r="AC335" s="119"/>
      <c r="AD335" s="119"/>
      <c r="AE335" s="119"/>
      <c r="AF335" s="119"/>
      <c r="AG335" s="119"/>
      <c r="AH335" s="11"/>
      <c r="AI335" s="11"/>
      <c r="AJ335" s="11"/>
      <c r="AK335" s="11"/>
    </row>
    <row r="336">
      <c r="A336" s="11"/>
      <c r="B336" s="11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  <c r="AA336" s="119"/>
      <c r="AB336" s="119"/>
      <c r="AC336" s="119"/>
      <c r="AD336" s="119"/>
      <c r="AE336" s="119"/>
      <c r="AF336" s="119"/>
      <c r="AG336" s="119"/>
      <c r="AH336" s="11"/>
      <c r="AI336" s="11"/>
      <c r="AJ336" s="11"/>
      <c r="AK336" s="11"/>
    </row>
    <row r="337">
      <c r="A337" s="11"/>
      <c r="B337" s="11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  <c r="AA337" s="119"/>
      <c r="AB337" s="119"/>
      <c r="AC337" s="119"/>
      <c r="AD337" s="119"/>
      <c r="AE337" s="119"/>
      <c r="AF337" s="119"/>
      <c r="AG337" s="119"/>
      <c r="AH337" s="11"/>
      <c r="AI337" s="11"/>
      <c r="AJ337" s="11"/>
      <c r="AK337" s="11"/>
    </row>
    <row r="338">
      <c r="A338" s="11"/>
      <c r="B338" s="11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  <c r="AA338" s="119"/>
      <c r="AB338" s="119"/>
      <c r="AC338" s="119"/>
      <c r="AD338" s="119"/>
      <c r="AE338" s="119"/>
      <c r="AF338" s="119"/>
      <c r="AG338" s="119"/>
      <c r="AH338" s="11"/>
      <c r="AI338" s="11"/>
      <c r="AJ338" s="11"/>
      <c r="AK338" s="11"/>
    </row>
    <row r="339">
      <c r="A339" s="11"/>
      <c r="B339" s="11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  <c r="AC339" s="119"/>
      <c r="AD339" s="119"/>
      <c r="AE339" s="119"/>
      <c r="AF339" s="119"/>
      <c r="AG339" s="119"/>
      <c r="AH339" s="11"/>
      <c r="AI339" s="11"/>
      <c r="AJ339" s="11"/>
      <c r="AK339" s="11"/>
    </row>
    <row r="340">
      <c r="A340" s="11"/>
      <c r="B340" s="11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  <c r="AC340" s="119"/>
      <c r="AD340" s="119"/>
      <c r="AE340" s="119"/>
      <c r="AF340" s="119"/>
      <c r="AG340" s="119"/>
      <c r="AH340" s="11"/>
      <c r="AI340" s="11"/>
      <c r="AJ340" s="11"/>
      <c r="AK340" s="11"/>
    </row>
    <row r="341">
      <c r="A341" s="11"/>
      <c r="B341" s="11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  <c r="AC341" s="119"/>
      <c r="AD341" s="119"/>
      <c r="AE341" s="119"/>
      <c r="AF341" s="119"/>
      <c r="AG341" s="119"/>
      <c r="AH341" s="11"/>
      <c r="AI341" s="11"/>
      <c r="AJ341" s="11"/>
      <c r="AK341" s="11"/>
    </row>
    <row r="342">
      <c r="A342" s="11"/>
      <c r="B342" s="11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  <c r="AC342" s="119"/>
      <c r="AD342" s="119"/>
      <c r="AE342" s="119"/>
      <c r="AF342" s="119"/>
      <c r="AG342" s="119"/>
      <c r="AH342" s="11"/>
      <c r="AI342" s="11"/>
      <c r="AJ342" s="11"/>
      <c r="AK342" s="11"/>
    </row>
    <row r="343">
      <c r="A343" s="11"/>
      <c r="B343" s="11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  <c r="AC343" s="119"/>
      <c r="AD343" s="119"/>
      <c r="AE343" s="119"/>
      <c r="AF343" s="119"/>
      <c r="AG343" s="119"/>
      <c r="AH343" s="11"/>
      <c r="AI343" s="11"/>
      <c r="AJ343" s="11"/>
      <c r="AK343" s="11"/>
    </row>
    <row r="344">
      <c r="A344" s="11"/>
      <c r="B344" s="11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  <c r="AC344" s="119"/>
      <c r="AD344" s="119"/>
      <c r="AE344" s="119"/>
      <c r="AF344" s="119"/>
      <c r="AG344" s="119"/>
      <c r="AH344" s="11"/>
      <c r="AI344" s="11"/>
      <c r="AJ344" s="11"/>
      <c r="AK344" s="11"/>
    </row>
    <row r="345">
      <c r="A345" s="11"/>
      <c r="B345" s="11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  <c r="AA345" s="119"/>
      <c r="AB345" s="119"/>
      <c r="AC345" s="119"/>
      <c r="AD345" s="119"/>
      <c r="AE345" s="119"/>
      <c r="AF345" s="119"/>
      <c r="AG345" s="119"/>
      <c r="AH345" s="11"/>
      <c r="AI345" s="11"/>
      <c r="AJ345" s="11"/>
      <c r="AK345" s="11"/>
    </row>
    <row r="346">
      <c r="A346" s="11"/>
      <c r="B346" s="11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  <c r="AC346" s="119"/>
      <c r="AD346" s="119"/>
      <c r="AE346" s="119"/>
      <c r="AF346" s="119"/>
      <c r="AG346" s="119"/>
      <c r="AH346" s="11"/>
      <c r="AI346" s="11"/>
      <c r="AJ346" s="11"/>
      <c r="AK346" s="11"/>
    </row>
    <row r="347">
      <c r="A347" s="11"/>
      <c r="B347" s="11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  <c r="AC347" s="119"/>
      <c r="AD347" s="119"/>
      <c r="AE347" s="119"/>
      <c r="AF347" s="119"/>
      <c r="AG347" s="119"/>
      <c r="AH347" s="11"/>
      <c r="AI347" s="11"/>
      <c r="AJ347" s="11"/>
      <c r="AK347" s="11"/>
    </row>
    <row r="348">
      <c r="A348" s="11"/>
      <c r="B348" s="11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  <c r="AC348" s="119"/>
      <c r="AD348" s="119"/>
      <c r="AE348" s="119"/>
      <c r="AF348" s="119"/>
      <c r="AG348" s="119"/>
      <c r="AH348" s="11"/>
      <c r="AI348" s="11"/>
      <c r="AJ348" s="11"/>
      <c r="AK348" s="11"/>
    </row>
    <row r="349">
      <c r="A349" s="11"/>
      <c r="B349" s="11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  <c r="AC349" s="119"/>
      <c r="AD349" s="119"/>
      <c r="AE349" s="119"/>
      <c r="AF349" s="119"/>
      <c r="AG349" s="119"/>
      <c r="AH349" s="11"/>
      <c r="AI349" s="11"/>
      <c r="AJ349" s="11"/>
      <c r="AK349" s="11"/>
    </row>
    <row r="350">
      <c r="A350" s="11"/>
      <c r="B350" s="11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  <c r="AC350" s="119"/>
      <c r="AD350" s="119"/>
      <c r="AE350" s="119"/>
      <c r="AF350" s="119"/>
      <c r="AG350" s="119"/>
      <c r="AH350" s="11"/>
      <c r="AI350" s="11"/>
      <c r="AJ350" s="11"/>
      <c r="AK350" s="11"/>
    </row>
    <row r="351">
      <c r="A351" s="11"/>
      <c r="B351" s="11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  <c r="AC351" s="119"/>
      <c r="AD351" s="119"/>
      <c r="AE351" s="119"/>
      <c r="AF351" s="119"/>
      <c r="AG351" s="119"/>
      <c r="AH351" s="11"/>
      <c r="AI351" s="11"/>
      <c r="AJ351" s="11"/>
      <c r="AK351" s="11"/>
    </row>
    <row r="352">
      <c r="A352" s="11"/>
      <c r="B352" s="11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  <c r="AA352" s="119"/>
      <c r="AB352" s="119"/>
      <c r="AC352" s="119"/>
      <c r="AD352" s="119"/>
      <c r="AE352" s="119"/>
      <c r="AF352" s="119"/>
      <c r="AG352" s="119"/>
      <c r="AH352" s="11"/>
      <c r="AI352" s="11"/>
      <c r="AJ352" s="11"/>
      <c r="AK352" s="11"/>
    </row>
    <row r="353">
      <c r="A353" s="11"/>
      <c r="B353" s="11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  <c r="AC353" s="119"/>
      <c r="AD353" s="119"/>
      <c r="AE353" s="119"/>
      <c r="AF353" s="119"/>
      <c r="AG353" s="119"/>
      <c r="AH353" s="11"/>
      <c r="AI353" s="11"/>
      <c r="AJ353" s="11"/>
      <c r="AK353" s="11"/>
    </row>
    <row r="354">
      <c r="A354" s="11"/>
      <c r="B354" s="11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  <c r="AC354" s="119"/>
      <c r="AD354" s="119"/>
      <c r="AE354" s="119"/>
      <c r="AF354" s="119"/>
      <c r="AG354" s="119"/>
      <c r="AH354" s="11"/>
      <c r="AI354" s="11"/>
      <c r="AJ354" s="11"/>
      <c r="AK354" s="11"/>
    </row>
    <row r="355">
      <c r="A355" s="11"/>
      <c r="B355" s="11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  <c r="AC355" s="119"/>
      <c r="AD355" s="119"/>
      <c r="AE355" s="119"/>
      <c r="AF355" s="119"/>
      <c r="AG355" s="119"/>
      <c r="AH355" s="11"/>
      <c r="AI355" s="11"/>
      <c r="AJ355" s="11"/>
      <c r="AK355" s="11"/>
    </row>
    <row r="356">
      <c r="A356" s="11"/>
      <c r="B356" s="11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  <c r="AC356" s="119"/>
      <c r="AD356" s="119"/>
      <c r="AE356" s="119"/>
      <c r="AF356" s="119"/>
      <c r="AG356" s="119"/>
      <c r="AH356" s="11"/>
      <c r="AI356" s="11"/>
      <c r="AJ356" s="11"/>
      <c r="AK356" s="11"/>
    </row>
    <row r="357">
      <c r="A357" s="11"/>
      <c r="B357" s="11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  <c r="AC357" s="119"/>
      <c r="AD357" s="119"/>
      <c r="AE357" s="119"/>
      <c r="AF357" s="119"/>
      <c r="AG357" s="119"/>
      <c r="AH357" s="11"/>
      <c r="AI357" s="11"/>
      <c r="AJ357" s="11"/>
      <c r="AK357" s="11"/>
    </row>
    <row r="358">
      <c r="A358" s="11"/>
      <c r="B358" s="11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  <c r="AC358" s="119"/>
      <c r="AD358" s="119"/>
      <c r="AE358" s="119"/>
      <c r="AF358" s="119"/>
      <c r="AG358" s="119"/>
      <c r="AH358" s="11"/>
      <c r="AI358" s="11"/>
      <c r="AJ358" s="11"/>
      <c r="AK358" s="11"/>
    </row>
    <row r="359">
      <c r="A359" s="11"/>
      <c r="B359" s="11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  <c r="AC359" s="119"/>
      <c r="AD359" s="119"/>
      <c r="AE359" s="119"/>
      <c r="AF359" s="119"/>
      <c r="AG359" s="119"/>
      <c r="AH359" s="11"/>
      <c r="AI359" s="11"/>
      <c r="AJ359" s="11"/>
      <c r="AK359" s="11"/>
    </row>
    <row r="360">
      <c r="A360" s="11"/>
      <c r="B360" s="11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  <c r="AC360" s="119"/>
      <c r="AD360" s="119"/>
      <c r="AE360" s="119"/>
      <c r="AF360" s="119"/>
      <c r="AG360" s="119"/>
      <c r="AH360" s="11"/>
      <c r="AI360" s="11"/>
      <c r="AJ360" s="11"/>
      <c r="AK360" s="11"/>
    </row>
    <row r="361">
      <c r="A361" s="11"/>
      <c r="B361" s="11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  <c r="AC361" s="119"/>
      <c r="AD361" s="119"/>
      <c r="AE361" s="119"/>
      <c r="AF361" s="119"/>
      <c r="AG361" s="119"/>
      <c r="AH361" s="11"/>
      <c r="AI361" s="11"/>
      <c r="AJ361" s="11"/>
      <c r="AK361" s="11"/>
    </row>
    <row r="362">
      <c r="A362" s="11"/>
      <c r="B362" s="11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  <c r="AC362" s="119"/>
      <c r="AD362" s="119"/>
      <c r="AE362" s="119"/>
      <c r="AF362" s="119"/>
      <c r="AG362" s="119"/>
      <c r="AH362" s="11"/>
      <c r="AI362" s="11"/>
      <c r="AJ362" s="11"/>
      <c r="AK362" s="11"/>
    </row>
    <row r="363">
      <c r="A363" s="11"/>
      <c r="B363" s="11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  <c r="AA363" s="119"/>
      <c r="AB363" s="119"/>
      <c r="AC363" s="119"/>
      <c r="AD363" s="119"/>
      <c r="AE363" s="119"/>
      <c r="AF363" s="119"/>
      <c r="AG363" s="119"/>
      <c r="AH363" s="11"/>
      <c r="AI363" s="11"/>
      <c r="AJ363" s="11"/>
      <c r="AK363" s="11"/>
    </row>
    <row r="364">
      <c r="A364" s="11"/>
      <c r="B364" s="11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  <c r="AA364" s="119"/>
      <c r="AB364" s="119"/>
      <c r="AC364" s="119"/>
      <c r="AD364" s="119"/>
      <c r="AE364" s="119"/>
      <c r="AF364" s="119"/>
      <c r="AG364" s="119"/>
      <c r="AH364" s="11"/>
      <c r="AI364" s="11"/>
      <c r="AJ364" s="11"/>
      <c r="AK364" s="11"/>
    </row>
    <row r="365">
      <c r="A365" s="11"/>
      <c r="B365" s="11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  <c r="AA365" s="119"/>
      <c r="AB365" s="119"/>
      <c r="AC365" s="119"/>
      <c r="AD365" s="119"/>
      <c r="AE365" s="119"/>
      <c r="AF365" s="119"/>
      <c r="AG365" s="119"/>
      <c r="AH365" s="11"/>
      <c r="AI365" s="11"/>
      <c r="AJ365" s="11"/>
      <c r="AK365" s="11"/>
    </row>
    <row r="366">
      <c r="A366" s="11"/>
      <c r="B366" s="11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  <c r="AA366" s="119"/>
      <c r="AB366" s="119"/>
      <c r="AC366" s="119"/>
      <c r="AD366" s="119"/>
      <c r="AE366" s="119"/>
      <c r="AF366" s="119"/>
      <c r="AG366" s="119"/>
      <c r="AH366" s="11"/>
      <c r="AI366" s="11"/>
      <c r="AJ366" s="11"/>
      <c r="AK366" s="11"/>
    </row>
    <row r="367">
      <c r="A367" s="11"/>
      <c r="B367" s="11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  <c r="AC367" s="119"/>
      <c r="AD367" s="119"/>
      <c r="AE367" s="119"/>
      <c r="AF367" s="119"/>
      <c r="AG367" s="119"/>
      <c r="AH367" s="11"/>
      <c r="AI367" s="11"/>
      <c r="AJ367" s="11"/>
      <c r="AK367" s="11"/>
    </row>
    <row r="368">
      <c r="A368" s="11"/>
      <c r="B368" s="11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  <c r="AC368" s="119"/>
      <c r="AD368" s="119"/>
      <c r="AE368" s="119"/>
      <c r="AF368" s="119"/>
      <c r="AG368" s="119"/>
      <c r="AH368" s="11"/>
      <c r="AI368" s="11"/>
      <c r="AJ368" s="11"/>
      <c r="AK368" s="11"/>
    </row>
    <row r="369">
      <c r="A369" s="11"/>
      <c r="B369" s="11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  <c r="AC369" s="119"/>
      <c r="AD369" s="119"/>
      <c r="AE369" s="119"/>
      <c r="AF369" s="119"/>
      <c r="AG369" s="119"/>
      <c r="AH369" s="11"/>
      <c r="AI369" s="11"/>
      <c r="AJ369" s="11"/>
      <c r="AK369" s="11"/>
    </row>
    <row r="370">
      <c r="A370" s="11"/>
      <c r="B370" s="11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  <c r="AA370" s="119"/>
      <c r="AB370" s="119"/>
      <c r="AC370" s="119"/>
      <c r="AD370" s="119"/>
      <c r="AE370" s="119"/>
      <c r="AF370" s="119"/>
      <c r="AG370" s="119"/>
      <c r="AH370" s="11"/>
      <c r="AI370" s="11"/>
      <c r="AJ370" s="11"/>
      <c r="AK370" s="11"/>
    </row>
    <row r="371">
      <c r="A371" s="11"/>
      <c r="B371" s="11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  <c r="AA371" s="119"/>
      <c r="AB371" s="119"/>
      <c r="AC371" s="119"/>
      <c r="AD371" s="119"/>
      <c r="AE371" s="119"/>
      <c r="AF371" s="119"/>
      <c r="AG371" s="119"/>
      <c r="AH371" s="11"/>
      <c r="AI371" s="11"/>
      <c r="AJ371" s="11"/>
      <c r="AK371" s="11"/>
    </row>
    <row r="372">
      <c r="A372" s="11"/>
      <c r="B372" s="11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  <c r="AC372" s="119"/>
      <c r="AD372" s="119"/>
      <c r="AE372" s="119"/>
      <c r="AF372" s="119"/>
      <c r="AG372" s="119"/>
      <c r="AH372" s="11"/>
      <c r="AI372" s="11"/>
      <c r="AJ372" s="11"/>
      <c r="AK372" s="11"/>
    </row>
    <row r="373">
      <c r="A373" s="11"/>
      <c r="B373" s="11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  <c r="AC373" s="119"/>
      <c r="AD373" s="119"/>
      <c r="AE373" s="119"/>
      <c r="AF373" s="119"/>
      <c r="AG373" s="119"/>
      <c r="AH373" s="11"/>
      <c r="AI373" s="11"/>
      <c r="AJ373" s="11"/>
      <c r="AK373" s="11"/>
    </row>
    <row r="374">
      <c r="A374" s="11"/>
      <c r="B374" s="11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  <c r="AC374" s="119"/>
      <c r="AD374" s="119"/>
      <c r="AE374" s="119"/>
      <c r="AF374" s="119"/>
      <c r="AG374" s="119"/>
      <c r="AH374" s="11"/>
      <c r="AI374" s="11"/>
      <c r="AJ374" s="11"/>
      <c r="AK374" s="11"/>
    </row>
    <row r="375">
      <c r="A375" s="11"/>
      <c r="B375" s="11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  <c r="AC375" s="119"/>
      <c r="AD375" s="119"/>
      <c r="AE375" s="119"/>
      <c r="AF375" s="119"/>
      <c r="AG375" s="119"/>
      <c r="AH375" s="11"/>
      <c r="AI375" s="11"/>
      <c r="AJ375" s="11"/>
      <c r="AK375" s="11"/>
    </row>
    <row r="376">
      <c r="A376" s="11"/>
      <c r="B376" s="11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  <c r="AC376" s="119"/>
      <c r="AD376" s="119"/>
      <c r="AE376" s="119"/>
      <c r="AF376" s="119"/>
      <c r="AG376" s="119"/>
      <c r="AH376" s="11"/>
      <c r="AI376" s="11"/>
      <c r="AJ376" s="11"/>
      <c r="AK376" s="11"/>
    </row>
    <row r="377">
      <c r="A377" s="11"/>
      <c r="B377" s="11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  <c r="AC377" s="119"/>
      <c r="AD377" s="119"/>
      <c r="AE377" s="119"/>
      <c r="AF377" s="119"/>
      <c r="AG377" s="119"/>
      <c r="AH377" s="11"/>
      <c r="AI377" s="11"/>
      <c r="AJ377" s="11"/>
      <c r="AK377" s="11"/>
    </row>
    <row r="378">
      <c r="A378" s="11"/>
      <c r="B378" s="11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  <c r="AA378" s="119"/>
      <c r="AB378" s="119"/>
      <c r="AC378" s="119"/>
      <c r="AD378" s="119"/>
      <c r="AE378" s="119"/>
      <c r="AF378" s="119"/>
      <c r="AG378" s="119"/>
      <c r="AH378" s="11"/>
      <c r="AI378" s="11"/>
      <c r="AJ378" s="11"/>
      <c r="AK378" s="11"/>
    </row>
    <row r="379">
      <c r="A379" s="11"/>
      <c r="B379" s="11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  <c r="AA379" s="119"/>
      <c r="AB379" s="119"/>
      <c r="AC379" s="119"/>
      <c r="AD379" s="119"/>
      <c r="AE379" s="119"/>
      <c r="AF379" s="119"/>
      <c r="AG379" s="119"/>
      <c r="AH379" s="11"/>
      <c r="AI379" s="11"/>
      <c r="AJ379" s="11"/>
      <c r="AK379" s="11"/>
    </row>
    <row r="380">
      <c r="A380" s="11"/>
      <c r="B380" s="11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  <c r="AC380" s="119"/>
      <c r="AD380" s="119"/>
      <c r="AE380" s="119"/>
      <c r="AF380" s="119"/>
      <c r="AG380" s="119"/>
      <c r="AH380" s="11"/>
      <c r="AI380" s="11"/>
      <c r="AJ380" s="11"/>
      <c r="AK380" s="11"/>
    </row>
    <row r="381">
      <c r="A381" s="11"/>
      <c r="B381" s="11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  <c r="AC381" s="119"/>
      <c r="AD381" s="119"/>
      <c r="AE381" s="119"/>
      <c r="AF381" s="119"/>
      <c r="AG381" s="119"/>
      <c r="AH381" s="11"/>
      <c r="AI381" s="11"/>
      <c r="AJ381" s="11"/>
      <c r="AK381" s="11"/>
    </row>
    <row r="382">
      <c r="A382" s="11"/>
      <c r="B382" s="11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  <c r="AC382" s="119"/>
      <c r="AD382" s="119"/>
      <c r="AE382" s="119"/>
      <c r="AF382" s="119"/>
      <c r="AG382" s="119"/>
      <c r="AH382" s="11"/>
      <c r="AI382" s="11"/>
      <c r="AJ382" s="11"/>
      <c r="AK382" s="11"/>
    </row>
    <row r="383">
      <c r="A383" s="11"/>
      <c r="B383" s="11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  <c r="AC383" s="119"/>
      <c r="AD383" s="119"/>
      <c r="AE383" s="119"/>
      <c r="AF383" s="119"/>
      <c r="AG383" s="119"/>
      <c r="AH383" s="11"/>
      <c r="AI383" s="11"/>
      <c r="AJ383" s="11"/>
      <c r="AK383" s="11"/>
    </row>
    <row r="384">
      <c r="A384" s="11"/>
      <c r="B384" s="11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  <c r="AA384" s="119"/>
      <c r="AB384" s="119"/>
      <c r="AC384" s="119"/>
      <c r="AD384" s="119"/>
      <c r="AE384" s="119"/>
      <c r="AF384" s="119"/>
      <c r="AG384" s="119"/>
      <c r="AH384" s="11"/>
      <c r="AI384" s="11"/>
      <c r="AJ384" s="11"/>
      <c r="AK384" s="11"/>
    </row>
    <row r="385">
      <c r="A385" s="11"/>
      <c r="B385" s="11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  <c r="AA385" s="119"/>
      <c r="AB385" s="119"/>
      <c r="AC385" s="119"/>
      <c r="AD385" s="119"/>
      <c r="AE385" s="119"/>
      <c r="AF385" s="119"/>
      <c r="AG385" s="119"/>
      <c r="AH385" s="11"/>
      <c r="AI385" s="11"/>
      <c r="AJ385" s="11"/>
      <c r="AK385" s="11"/>
    </row>
    <row r="386">
      <c r="A386" s="11"/>
      <c r="B386" s="11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  <c r="AC386" s="119"/>
      <c r="AD386" s="119"/>
      <c r="AE386" s="119"/>
      <c r="AF386" s="119"/>
      <c r="AG386" s="119"/>
      <c r="AH386" s="11"/>
      <c r="AI386" s="11"/>
      <c r="AJ386" s="11"/>
      <c r="AK386" s="11"/>
    </row>
    <row r="387">
      <c r="A387" s="11"/>
      <c r="B387" s="11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  <c r="AC387" s="119"/>
      <c r="AD387" s="119"/>
      <c r="AE387" s="119"/>
      <c r="AF387" s="119"/>
      <c r="AG387" s="119"/>
      <c r="AH387" s="11"/>
      <c r="AI387" s="11"/>
      <c r="AJ387" s="11"/>
      <c r="AK387" s="11"/>
    </row>
    <row r="388">
      <c r="A388" s="11"/>
      <c r="B388" s="11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  <c r="AC388" s="119"/>
      <c r="AD388" s="119"/>
      <c r="AE388" s="119"/>
      <c r="AF388" s="119"/>
      <c r="AG388" s="119"/>
      <c r="AH388" s="11"/>
      <c r="AI388" s="11"/>
      <c r="AJ388" s="11"/>
      <c r="AK388" s="11"/>
    </row>
    <row r="389">
      <c r="A389" s="11"/>
      <c r="B389" s="11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  <c r="AC389" s="119"/>
      <c r="AD389" s="119"/>
      <c r="AE389" s="119"/>
      <c r="AF389" s="119"/>
      <c r="AG389" s="119"/>
      <c r="AH389" s="11"/>
      <c r="AI389" s="11"/>
      <c r="AJ389" s="11"/>
      <c r="AK389" s="11"/>
    </row>
    <row r="390">
      <c r="A390" s="11"/>
      <c r="B390" s="11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  <c r="AA390" s="119"/>
      <c r="AB390" s="119"/>
      <c r="AC390" s="119"/>
      <c r="AD390" s="119"/>
      <c r="AE390" s="119"/>
      <c r="AF390" s="119"/>
      <c r="AG390" s="119"/>
      <c r="AH390" s="11"/>
      <c r="AI390" s="11"/>
      <c r="AJ390" s="11"/>
      <c r="AK390" s="11"/>
    </row>
    <row r="391">
      <c r="A391" s="11"/>
      <c r="B391" s="11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  <c r="AA391" s="119"/>
      <c r="AB391" s="119"/>
      <c r="AC391" s="119"/>
      <c r="AD391" s="119"/>
      <c r="AE391" s="119"/>
      <c r="AF391" s="119"/>
      <c r="AG391" s="119"/>
      <c r="AH391" s="11"/>
      <c r="AI391" s="11"/>
      <c r="AJ391" s="11"/>
      <c r="AK391" s="11"/>
    </row>
    <row r="392">
      <c r="A392" s="11"/>
      <c r="B392" s="11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  <c r="AC392" s="119"/>
      <c r="AD392" s="119"/>
      <c r="AE392" s="119"/>
      <c r="AF392" s="119"/>
      <c r="AG392" s="119"/>
      <c r="AH392" s="11"/>
      <c r="AI392" s="11"/>
      <c r="AJ392" s="11"/>
      <c r="AK392" s="11"/>
    </row>
    <row r="393">
      <c r="A393" s="11"/>
      <c r="B393" s="11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  <c r="AC393" s="119"/>
      <c r="AD393" s="119"/>
      <c r="AE393" s="119"/>
      <c r="AF393" s="119"/>
      <c r="AG393" s="119"/>
      <c r="AH393" s="11"/>
      <c r="AI393" s="11"/>
      <c r="AJ393" s="11"/>
      <c r="AK393" s="11"/>
    </row>
    <row r="394">
      <c r="A394" s="11"/>
      <c r="B394" s="11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  <c r="AC394" s="119"/>
      <c r="AD394" s="119"/>
      <c r="AE394" s="119"/>
      <c r="AF394" s="119"/>
      <c r="AG394" s="119"/>
      <c r="AH394" s="11"/>
      <c r="AI394" s="11"/>
      <c r="AJ394" s="11"/>
      <c r="AK394" s="11"/>
    </row>
    <row r="395">
      <c r="A395" s="11"/>
      <c r="B395" s="11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  <c r="AC395" s="119"/>
      <c r="AD395" s="119"/>
      <c r="AE395" s="119"/>
      <c r="AF395" s="119"/>
      <c r="AG395" s="119"/>
      <c r="AH395" s="11"/>
      <c r="AI395" s="11"/>
      <c r="AJ395" s="11"/>
      <c r="AK395" s="11"/>
    </row>
    <row r="396">
      <c r="A396" s="11"/>
      <c r="B396" s="11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  <c r="AC396" s="119"/>
      <c r="AD396" s="119"/>
      <c r="AE396" s="119"/>
      <c r="AF396" s="119"/>
      <c r="AG396" s="119"/>
      <c r="AH396" s="11"/>
      <c r="AI396" s="11"/>
      <c r="AJ396" s="11"/>
      <c r="AK396" s="11"/>
    </row>
    <row r="397">
      <c r="A397" s="11"/>
      <c r="B397" s="11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  <c r="AA397" s="119"/>
      <c r="AB397" s="119"/>
      <c r="AC397" s="119"/>
      <c r="AD397" s="119"/>
      <c r="AE397" s="119"/>
      <c r="AF397" s="119"/>
      <c r="AG397" s="119"/>
      <c r="AH397" s="11"/>
      <c r="AI397" s="11"/>
      <c r="AJ397" s="11"/>
      <c r="AK397" s="11"/>
    </row>
    <row r="398">
      <c r="A398" s="11"/>
      <c r="B398" s="11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  <c r="AA398" s="119"/>
      <c r="AB398" s="119"/>
      <c r="AC398" s="119"/>
      <c r="AD398" s="119"/>
      <c r="AE398" s="119"/>
      <c r="AF398" s="119"/>
      <c r="AG398" s="119"/>
      <c r="AH398" s="11"/>
      <c r="AI398" s="11"/>
      <c r="AJ398" s="11"/>
      <c r="AK398" s="11"/>
    </row>
    <row r="399">
      <c r="A399" s="11"/>
      <c r="B399" s="11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  <c r="AC399" s="119"/>
      <c r="AD399" s="119"/>
      <c r="AE399" s="119"/>
      <c r="AF399" s="119"/>
      <c r="AG399" s="119"/>
      <c r="AH399" s="11"/>
      <c r="AI399" s="11"/>
      <c r="AJ399" s="11"/>
      <c r="AK399" s="11"/>
    </row>
    <row r="400">
      <c r="A400" s="11"/>
      <c r="B400" s="11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  <c r="AC400" s="119"/>
      <c r="AD400" s="119"/>
      <c r="AE400" s="119"/>
      <c r="AF400" s="119"/>
      <c r="AG400" s="119"/>
      <c r="AH400" s="11"/>
      <c r="AI400" s="11"/>
      <c r="AJ400" s="11"/>
      <c r="AK400" s="11"/>
    </row>
    <row r="401">
      <c r="A401" s="11"/>
      <c r="B401" s="11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  <c r="AC401" s="119"/>
      <c r="AD401" s="119"/>
      <c r="AE401" s="119"/>
      <c r="AF401" s="119"/>
      <c r="AG401" s="119"/>
      <c r="AH401" s="11"/>
      <c r="AI401" s="11"/>
      <c r="AJ401" s="11"/>
      <c r="AK401" s="11"/>
    </row>
    <row r="402">
      <c r="A402" s="11"/>
      <c r="B402" s="11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  <c r="AC402" s="119"/>
      <c r="AD402" s="119"/>
      <c r="AE402" s="119"/>
      <c r="AF402" s="119"/>
      <c r="AG402" s="119"/>
      <c r="AH402" s="11"/>
      <c r="AI402" s="11"/>
      <c r="AJ402" s="11"/>
      <c r="AK402" s="11"/>
    </row>
    <row r="403">
      <c r="A403" s="11"/>
      <c r="B403" s="11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  <c r="AC403" s="119"/>
      <c r="AD403" s="119"/>
      <c r="AE403" s="119"/>
      <c r="AF403" s="119"/>
      <c r="AG403" s="119"/>
      <c r="AH403" s="11"/>
      <c r="AI403" s="11"/>
      <c r="AJ403" s="11"/>
      <c r="AK403" s="11"/>
    </row>
    <row r="404">
      <c r="A404" s="11"/>
      <c r="B404" s="11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  <c r="AC404" s="119"/>
      <c r="AD404" s="119"/>
      <c r="AE404" s="119"/>
      <c r="AF404" s="119"/>
      <c r="AG404" s="119"/>
      <c r="AH404" s="11"/>
      <c r="AI404" s="11"/>
      <c r="AJ404" s="11"/>
      <c r="AK404" s="11"/>
    </row>
    <row r="405">
      <c r="A405" s="11"/>
      <c r="B405" s="11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  <c r="AC405" s="119"/>
      <c r="AD405" s="119"/>
      <c r="AE405" s="119"/>
      <c r="AF405" s="119"/>
      <c r="AG405" s="119"/>
      <c r="AH405" s="11"/>
      <c r="AI405" s="11"/>
      <c r="AJ405" s="11"/>
      <c r="AK405" s="11"/>
    </row>
    <row r="406">
      <c r="A406" s="11"/>
      <c r="B406" s="11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  <c r="AC406" s="119"/>
      <c r="AD406" s="119"/>
      <c r="AE406" s="119"/>
      <c r="AF406" s="119"/>
      <c r="AG406" s="119"/>
      <c r="AH406" s="11"/>
      <c r="AI406" s="11"/>
      <c r="AJ406" s="11"/>
      <c r="AK406" s="11"/>
    </row>
    <row r="407">
      <c r="A407" s="11"/>
      <c r="B407" s="11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  <c r="AC407" s="119"/>
      <c r="AD407" s="119"/>
      <c r="AE407" s="119"/>
      <c r="AF407" s="119"/>
      <c r="AG407" s="119"/>
      <c r="AH407" s="11"/>
      <c r="AI407" s="11"/>
      <c r="AJ407" s="11"/>
      <c r="AK407" s="11"/>
    </row>
    <row r="408">
      <c r="A408" s="11"/>
      <c r="B408" s="11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  <c r="AC408" s="119"/>
      <c r="AD408" s="119"/>
      <c r="AE408" s="119"/>
      <c r="AF408" s="119"/>
      <c r="AG408" s="119"/>
      <c r="AH408" s="11"/>
      <c r="AI408" s="11"/>
      <c r="AJ408" s="11"/>
      <c r="AK408" s="11"/>
    </row>
    <row r="409">
      <c r="A409" s="11"/>
      <c r="B409" s="11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  <c r="AC409" s="119"/>
      <c r="AD409" s="119"/>
      <c r="AE409" s="119"/>
      <c r="AF409" s="119"/>
      <c r="AG409" s="119"/>
      <c r="AH409" s="11"/>
      <c r="AI409" s="11"/>
      <c r="AJ409" s="11"/>
      <c r="AK409" s="11"/>
    </row>
    <row r="410">
      <c r="A410" s="11"/>
      <c r="B410" s="11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  <c r="AC410" s="119"/>
      <c r="AD410" s="119"/>
      <c r="AE410" s="119"/>
      <c r="AF410" s="119"/>
      <c r="AG410" s="119"/>
      <c r="AH410" s="11"/>
      <c r="AI410" s="11"/>
      <c r="AJ410" s="11"/>
      <c r="AK410" s="11"/>
    </row>
    <row r="411">
      <c r="A411" s="11"/>
      <c r="B411" s="11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  <c r="AC411" s="119"/>
      <c r="AD411" s="119"/>
      <c r="AE411" s="119"/>
      <c r="AF411" s="119"/>
      <c r="AG411" s="119"/>
      <c r="AH411" s="11"/>
      <c r="AI411" s="11"/>
      <c r="AJ411" s="11"/>
      <c r="AK411" s="11"/>
    </row>
    <row r="412">
      <c r="A412" s="11"/>
      <c r="B412" s="11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  <c r="AC412" s="119"/>
      <c r="AD412" s="119"/>
      <c r="AE412" s="119"/>
      <c r="AF412" s="119"/>
      <c r="AG412" s="119"/>
      <c r="AH412" s="11"/>
      <c r="AI412" s="11"/>
      <c r="AJ412" s="11"/>
      <c r="AK412" s="11"/>
    </row>
    <row r="413">
      <c r="A413" s="11"/>
      <c r="B413" s="11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  <c r="AC413" s="119"/>
      <c r="AD413" s="119"/>
      <c r="AE413" s="119"/>
      <c r="AF413" s="119"/>
      <c r="AG413" s="119"/>
      <c r="AH413" s="11"/>
      <c r="AI413" s="11"/>
      <c r="AJ413" s="11"/>
      <c r="AK413" s="11"/>
    </row>
    <row r="414">
      <c r="A414" s="11"/>
      <c r="B414" s="11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  <c r="AC414" s="119"/>
      <c r="AD414" s="119"/>
      <c r="AE414" s="119"/>
      <c r="AF414" s="119"/>
      <c r="AG414" s="119"/>
      <c r="AH414" s="11"/>
      <c r="AI414" s="11"/>
      <c r="AJ414" s="11"/>
      <c r="AK414" s="11"/>
    </row>
    <row r="415">
      <c r="A415" s="11"/>
      <c r="B415" s="11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  <c r="AC415" s="119"/>
      <c r="AD415" s="119"/>
      <c r="AE415" s="119"/>
      <c r="AF415" s="119"/>
      <c r="AG415" s="119"/>
      <c r="AH415" s="11"/>
      <c r="AI415" s="11"/>
      <c r="AJ415" s="11"/>
      <c r="AK415" s="11"/>
    </row>
    <row r="416">
      <c r="A416" s="11"/>
      <c r="B416" s="11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  <c r="AC416" s="119"/>
      <c r="AD416" s="119"/>
      <c r="AE416" s="119"/>
      <c r="AF416" s="119"/>
      <c r="AG416" s="119"/>
      <c r="AH416" s="11"/>
      <c r="AI416" s="11"/>
      <c r="AJ416" s="11"/>
      <c r="AK416" s="11"/>
    </row>
    <row r="417">
      <c r="A417" s="11"/>
      <c r="B417" s="11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  <c r="AC417" s="119"/>
      <c r="AD417" s="119"/>
      <c r="AE417" s="119"/>
      <c r="AF417" s="119"/>
      <c r="AG417" s="119"/>
      <c r="AH417" s="11"/>
      <c r="AI417" s="11"/>
      <c r="AJ417" s="11"/>
      <c r="AK417" s="11"/>
    </row>
    <row r="418">
      <c r="A418" s="11"/>
      <c r="B418" s="11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  <c r="AC418" s="119"/>
      <c r="AD418" s="119"/>
      <c r="AE418" s="119"/>
      <c r="AF418" s="119"/>
      <c r="AG418" s="119"/>
      <c r="AH418" s="11"/>
      <c r="AI418" s="11"/>
      <c r="AJ418" s="11"/>
      <c r="AK418" s="11"/>
    </row>
    <row r="419">
      <c r="A419" s="11"/>
      <c r="B419" s="11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  <c r="AC419" s="119"/>
      <c r="AD419" s="119"/>
      <c r="AE419" s="119"/>
      <c r="AF419" s="119"/>
      <c r="AG419" s="119"/>
      <c r="AH419" s="11"/>
      <c r="AI419" s="11"/>
      <c r="AJ419" s="11"/>
      <c r="AK419" s="11"/>
    </row>
    <row r="420">
      <c r="A420" s="11"/>
      <c r="B420" s="11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  <c r="AC420" s="119"/>
      <c r="AD420" s="119"/>
      <c r="AE420" s="119"/>
      <c r="AF420" s="119"/>
      <c r="AG420" s="119"/>
      <c r="AH420" s="11"/>
      <c r="AI420" s="11"/>
      <c r="AJ420" s="11"/>
      <c r="AK420" s="11"/>
    </row>
    <row r="421">
      <c r="A421" s="11"/>
      <c r="B421" s="11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  <c r="AC421" s="119"/>
      <c r="AD421" s="119"/>
      <c r="AE421" s="119"/>
      <c r="AF421" s="119"/>
      <c r="AG421" s="119"/>
      <c r="AH421" s="11"/>
      <c r="AI421" s="11"/>
      <c r="AJ421" s="11"/>
      <c r="AK421" s="11"/>
    </row>
    <row r="422">
      <c r="A422" s="11"/>
      <c r="B422" s="11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  <c r="AC422" s="119"/>
      <c r="AD422" s="119"/>
      <c r="AE422" s="119"/>
      <c r="AF422" s="119"/>
      <c r="AG422" s="119"/>
      <c r="AH422" s="11"/>
      <c r="AI422" s="11"/>
      <c r="AJ422" s="11"/>
      <c r="AK422" s="11"/>
    </row>
    <row r="423">
      <c r="A423" s="11"/>
      <c r="B423" s="11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  <c r="AC423" s="119"/>
      <c r="AD423" s="119"/>
      <c r="AE423" s="119"/>
      <c r="AF423" s="119"/>
      <c r="AG423" s="119"/>
      <c r="AH423" s="11"/>
      <c r="AI423" s="11"/>
      <c r="AJ423" s="11"/>
      <c r="AK423" s="11"/>
    </row>
    <row r="424">
      <c r="A424" s="11"/>
      <c r="B424" s="11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  <c r="AC424" s="119"/>
      <c r="AD424" s="119"/>
      <c r="AE424" s="119"/>
      <c r="AF424" s="119"/>
      <c r="AG424" s="119"/>
      <c r="AH424" s="11"/>
      <c r="AI424" s="11"/>
      <c r="AJ424" s="11"/>
      <c r="AK424" s="11"/>
    </row>
    <row r="425">
      <c r="A425" s="11"/>
      <c r="B425" s="11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  <c r="AC425" s="119"/>
      <c r="AD425" s="119"/>
      <c r="AE425" s="119"/>
      <c r="AF425" s="119"/>
      <c r="AG425" s="119"/>
      <c r="AH425" s="11"/>
      <c r="AI425" s="11"/>
      <c r="AJ425" s="11"/>
      <c r="AK425" s="11"/>
    </row>
    <row r="426">
      <c r="A426" s="11"/>
      <c r="B426" s="11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  <c r="AC426" s="119"/>
      <c r="AD426" s="119"/>
      <c r="AE426" s="119"/>
      <c r="AF426" s="119"/>
      <c r="AG426" s="119"/>
      <c r="AH426" s="11"/>
      <c r="AI426" s="11"/>
      <c r="AJ426" s="11"/>
      <c r="AK426" s="11"/>
    </row>
    <row r="427">
      <c r="A427" s="11"/>
      <c r="B427" s="11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  <c r="AC427" s="119"/>
      <c r="AD427" s="119"/>
      <c r="AE427" s="119"/>
      <c r="AF427" s="119"/>
      <c r="AG427" s="119"/>
      <c r="AH427" s="11"/>
      <c r="AI427" s="11"/>
      <c r="AJ427" s="11"/>
      <c r="AK427" s="11"/>
    </row>
    <row r="428">
      <c r="A428" s="11"/>
      <c r="B428" s="11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  <c r="AC428" s="119"/>
      <c r="AD428" s="119"/>
      <c r="AE428" s="119"/>
      <c r="AF428" s="119"/>
      <c r="AG428" s="119"/>
      <c r="AH428" s="11"/>
      <c r="AI428" s="11"/>
      <c r="AJ428" s="11"/>
      <c r="AK428" s="11"/>
    </row>
    <row r="429">
      <c r="A429" s="11"/>
      <c r="B429" s="11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  <c r="AC429" s="119"/>
      <c r="AD429" s="119"/>
      <c r="AE429" s="119"/>
      <c r="AF429" s="119"/>
      <c r="AG429" s="119"/>
      <c r="AH429" s="11"/>
      <c r="AI429" s="11"/>
      <c r="AJ429" s="11"/>
      <c r="AK429" s="11"/>
    </row>
    <row r="430">
      <c r="A430" s="11"/>
      <c r="B430" s="11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  <c r="AC430" s="119"/>
      <c r="AD430" s="119"/>
      <c r="AE430" s="119"/>
      <c r="AF430" s="119"/>
      <c r="AG430" s="119"/>
      <c r="AH430" s="11"/>
      <c r="AI430" s="11"/>
      <c r="AJ430" s="11"/>
      <c r="AK430" s="11"/>
    </row>
    <row r="431">
      <c r="A431" s="11"/>
      <c r="B431" s="11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  <c r="AC431" s="119"/>
      <c r="AD431" s="119"/>
      <c r="AE431" s="119"/>
      <c r="AF431" s="119"/>
      <c r="AG431" s="119"/>
      <c r="AH431" s="11"/>
      <c r="AI431" s="11"/>
      <c r="AJ431" s="11"/>
      <c r="AK431" s="11"/>
    </row>
    <row r="432">
      <c r="A432" s="11"/>
      <c r="B432" s="11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  <c r="AC432" s="119"/>
      <c r="AD432" s="119"/>
      <c r="AE432" s="119"/>
      <c r="AF432" s="119"/>
      <c r="AG432" s="119"/>
      <c r="AH432" s="11"/>
      <c r="AI432" s="11"/>
      <c r="AJ432" s="11"/>
      <c r="AK432" s="11"/>
    </row>
    <row r="433">
      <c r="A433" s="11"/>
      <c r="B433" s="11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  <c r="AC433" s="119"/>
      <c r="AD433" s="119"/>
      <c r="AE433" s="119"/>
      <c r="AF433" s="119"/>
      <c r="AG433" s="119"/>
      <c r="AH433" s="11"/>
      <c r="AI433" s="11"/>
      <c r="AJ433" s="11"/>
      <c r="AK433" s="11"/>
    </row>
    <row r="434">
      <c r="A434" s="11"/>
      <c r="B434" s="11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  <c r="AA434" s="119"/>
      <c r="AB434" s="119"/>
      <c r="AC434" s="119"/>
      <c r="AD434" s="119"/>
      <c r="AE434" s="119"/>
      <c r="AF434" s="119"/>
      <c r="AG434" s="119"/>
      <c r="AH434" s="11"/>
      <c r="AI434" s="11"/>
      <c r="AJ434" s="11"/>
      <c r="AK434" s="11"/>
    </row>
    <row r="435">
      <c r="A435" s="11"/>
      <c r="B435" s="11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  <c r="AA435" s="119"/>
      <c r="AB435" s="119"/>
      <c r="AC435" s="119"/>
      <c r="AD435" s="119"/>
      <c r="AE435" s="119"/>
      <c r="AF435" s="119"/>
      <c r="AG435" s="119"/>
      <c r="AH435" s="11"/>
      <c r="AI435" s="11"/>
      <c r="AJ435" s="11"/>
      <c r="AK435" s="11"/>
    </row>
    <row r="436">
      <c r="A436" s="11"/>
      <c r="B436" s="11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  <c r="AC436" s="119"/>
      <c r="AD436" s="119"/>
      <c r="AE436" s="119"/>
      <c r="AF436" s="119"/>
      <c r="AG436" s="119"/>
      <c r="AH436" s="11"/>
      <c r="AI436" s="11"/>
      <c r="AJ436" s="11"/>
      <c r="AK436" s="11"/>
    </row>
    <row r="437">
      <c r="A437" s="11"/>
      <c r="B437" s="11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  <c r="AC437" s="119"/>
      <c r="AD437" s="119"/>
      <c r="AE437" s="119"/>
      <c r="AF437" s="119"/>
      <c r="AG437" s="119"/>
      <c r="AH437" s="11"/>
      <c r="AI437" s="11"/>
      <c r="AJ437" s="11"/>
      <c r="AK437" s="11"/>
    </row>
    <row r="438">
      <c r="A438" s="11"/>
      <c r="B438" s="11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  <c r="AC438" s="119"/>
      <c r="AD438" s="119"/>
      <c r="AE438" s="119"/>
      <c r="AF438" s="119"/>
      <c r="AG438" s="119"/>
      <c r="AH438" s="11"/>
      <c r="AI438" s="11"/>
      <c r="AJ438" s="11"/>
      <c r="AK438" s="11"/>
    </row>
    <row r="439">
      <c r="A439" s="11"/>
      <c r="B439" s="11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  <c r="AC439" s="119"/>
      <c r="AD439" s="119"/>
      <c r="AE439" s="119"/>
      <c r="AF439" s="119"/>
      <c r="AG439" s="119"/>
      <c r="AH439" s="11"/>
      <c r="AI439" s="11"/>
      <c r="AJ439" s="11"/>
      <c r="AK439" s="11"/>
    </row>
    <row r="440">
      <c r="A440" s="11"/>
      <c r="B440" s="11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  <c r="AC440" s="119"/>
      <c r="AD440" s="119"/>
      <c r="AE440" s="119"/>
      <c r="AF440" s="119"/>
      <c r="AG440" s="119"/>
      <c r="AH440" s="11"/>
      <c r="AI440" s="11"/>
      <c r="AJ440" s="11"/>
      <c r="AK440" s="11"/>
    </row>
    <row r="441">
      <c r="A441" s="11"/>
      <c r="B441" s="11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  <c r="AC441" s="119"/>
      <c r="AD441" s="119"/>
      <c r="AE441" s="119"/>
      <c r="AF441" s="119"/>
      <c r="AG441" s="119"/>
      <c r="AH441" s="11"/>
      <c r="AI441" s="11"/>
      <c r="AJ441" s="11"/>
      <c r="AK441" s="11"/>
    </row>
    <row r="442">
      <c r="A442" s="11"/>
      <c r="B442" s="11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  <c r="AC442" s="119"/>
      <c r="AD442" s="119"/>
      <c r="AE442" s="119"/>
      <c r="AF442" s="119"/>
      <c r="AG442" s="119"/>
      <c r="AH442" s="11"/>
      <c r="AI442" s="11"/>
      <c r="AJ442" s="11"/>
      <c r="AK442" s="11"/>
    </row>
    <row r="443">
      <c r="A443" s="11"/>
      <c r="B443" s="11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  <c r="AC443" s="119"/>
      <c r="AD443" s="119"/>
      <c r="AE443" s="119"/>
      <c r="AF443" s="119"/>
      <c r="AG443" s="119"/>
      <c r="AH443" s="11"/>
      <c r="AI443" s="11"/>
      <c r="AJ443" s="11"/>
      <c r="AK443" s="11"/>
    </row>
    <row r="444">
      <c r="A444" s="11"/>
      <c r="B444" s="11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  <c r="AC444" s="119"/>
      <c r="AD444" s="119"/>
      <c r="AE444" s="119"/>
      <c r="AF444" s="119"/>
      <c r="AG444" s="119"/>
      <c r="AH444" s="11"/>
      <c r="AI444" s="11"/>
      <c r="AJ444" s="11"/>
      <c r="AK444" s="11"/>
    </row>
    <row r="445">
      <c r="A445" s="11"/>
      <c r="B445" s="11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  <c r="AC445" s="119"/>
      <c r="AD445" s="119"/>
      <c r="AE445" s="119"/>
      <c r="AF445" s="119"/>
      <c r="AG445" s="119"/>
      <c r="AH445" s="11"/>
      <c r="AI445" s="11"/>
      <c r="AJ445" s="11"/>
      <c r="AK445" s="11"/>
    </row>
    <row r="446">
      <c r="A446" s="11"/>
      <c r="B446" s="11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  <c r="AC446" s="119"/>
      <c r="AD446" s="119"/>
      <c r="AE446" s="119"/>
      <c r="AF446" s="119"/>
      <c r="AG446" s="119"/>
      <c r="AH446" s="11"/>
      <c r="AI446" s="11"/>
      <c r="AJ446" s="11"/>
      <c r="AK446" s="11"/>
    </row>
    <row r="447">
      <c r="A447" s="11"/>
      <c r="B447" s="11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  <c r="AC447" s="119"/>
      <c r="AD447" s="119"/>
      <c r="AE447" s="119"/>
      <c r="AF447" s="119"/>
      <c r="AG447" s="119"/>
      <c r="AH447" s="11"/>
      <c r="AI447" s="11"/>
      <c r="AJ447" s="11"/>
      <c r="AK447" s="11"/>
    </row>
    <row r="448">
      <c r="A448" s="11"/>
      <c r="B448" s="11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  <c r="AC448" s="119"/>
      <c r="AD448" s="119"/>
      <c r="AE448" s="119"/>
      <c r="AF448" s="119"/>
      <c r="AG448" s="119"/>
      <c r="AH448" s="11"/>
      <c r="AI448" s="11"/>
      <c r="AJ448" s="11"/>
      <c r="AK448" s="11"/>
    </row>
    <row r="449">
      <c r="A449" s="11"/>
      <c r="B449" s="11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  <c r="AC449" s="119"/>
      <c r="AD449" s="119"/>
      <c r="AE449" s="119"/>
      <c r="AF449" s="119"/>
      <c r="AG449" s="119"/>
      <c r="AH449" s="11"/>
      <c r="AI449" s="11"/>
      <c r="AJ449" s="11"/>
      <c r="AK449" s="11"/>
    </row>
    <row r="450">
      <c r="A450" s="11"/>
      <c r="B450" s="11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  <c r="AC450" s="119"/>
      <c r="AD450" s="119"/>
      <c r="AE450" s="119"/>
      <c r="AF450" s="119"/>
      <c r="AG450" s="119"/>
      <c r="AH450" s="11"/>
      <c r="AI450" s="11"/>
      <c r="AJ450" s="11"/>
      <c r="AK450" s="11"/>
    </row>
    <row r="451">
      <c r="A451" s="11"/>
      <c r="B451" s="11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  <c r="AA451" s="119"/>
      <c r="AB451" s="119"/>
      <c r="AC451" s="119"/>
      <c r="AD451" s="119"/>
      <c r="AE451" s="119"/>
      <c r="AF451" s="119"/>
      <c r="AG451" s="119"/>
      <c r="AH451" s="11"/>
      <c r="AI451" s="11"/>
      <c r="AJ451" s="11"/>
      <c r="AK451" s="11"/>
    </row>
    <row r="452">
      <c r="A452" s="11"/>
      <c r="B452" s="11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  <c r="AC452" s="119"/>
      <c r="AD452" s="119"/>
      <c r="AE452" s="119"/>
      <c r="AF452" s="119"/>
      <c r="AG452" s="119"/>
      <c r="AH452" s="11"/>
      <c r="AI452" s="11"/>
      <c r="AJ452" s="11"/>
      <c r="AK452" s="11"/>
    </row>
    <row r="453">
      <c r="A453" s="11"/>
      <c r="B453" s="11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  <c r="AC453" s="119"/>
      <c r="AD453" s="119"/>
      <c r="AE453" s="119"/>
      <c r="AF453" s="119"/>
      <c r="AG453" s="119"/>
      <c r="AH453" s="11"/>
      <c r="AI453" s="11"/>
      <c r="AJ453" s="11"/>
      <c r="AK453" s="11"/>
    </row>
    <row r="454">
      <c r="A454" s="11"/>
      <c r="B454" s="11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  <c r="AC454" s="119"/>
      <c r="AD454" s="119"/>
      <c r="AE454" s="119"/>
      <c r="AF454" s="119"/>
      <c r="AG454" s="119"/>
      <c r="AH454" s="11"/>
      <c r="AI454" s="11"/>
      <c r="AJ454" s="11"/>
      <c r="AK454" s="11"/>
    </row>
    <row r="455">
      <c r="A455" s="11"/>
      <c r="B455" s="11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  <c r="AC455" s="119"/>
      <c r="AD455" s="119"/>
      <c r="AE455" s="119"/>
      <c r="AF455" s="119"/>
      <c r="AG455" s="119"/>
      <c r="AH455" s="11"/>
      <c r="AI455" s="11"/>
      <c r="AJ455" s="11"/>
      <c r="AK455" s="11"/>
    </row>
    <row r="456">
      <c r="A456" s="11"/>
      <c r="B456" s="11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  <c r="AC456" s="119"/>
      <c r="AD456" s="119"/>
      <c r="AE456" s="119"/>
      <c r="AF456" s="119"/>
      <c r="AG456" s="119"/>
      <c r="AH456" s="11"/>
      <c r="AI456" s="11"/>
      <c r="AJ456" s="11"/>
      <c r="AK456" s="11"/>
    </row>
    <row r="457">
      <c r="A457" s="11"/>
      <c r="B457" s="11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  <c r="AC457" s="119"/>
      <c r="AD457" s="119"/>
      <c r="AE457" s="119"/>
      <c r="AF457" s="119"/>
      <c r="AG457" s="119"/>
      <c r="AH457" s="11"/>
      <c r="AI457" s="11"/>
      <c r="AJ457" s="11"/>
      <c r="AK457" s="11"/>
    </row>
    <row r="458">
      <c r="A458" s="11"/>
      <c r="B458" s="11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  <c r="AC458" s="119"/>
      <c r="AD458" s="119"/>
      <c r="AE458" s="119"/>
      <c r="AF458" s="119"/>
      <c r="AG458" s="119"/>
      <c r="AH458" s="11"/>
      <c r="AI458" s="11"/>
      <c r="AJ458" s="11"/>
      <c r="AK458" s="11"/>
    </row>
    <row r="459">
      <c r="A459" s="11"/>
      <c r="B459" s="11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  <c r="AC459" s="119"/>
      <c r="AD459" s="119"/>
      <c r="AE459" s="119"/>
      <c r="AF459" s="119"/>
      <c r="AG459" s="119"/>
      <c r="AH459" s="11"/>
      <c r="AI459" s="11"/>
      <c r="AJ459" s="11"/>
      <c r="AK459" s="11"/>
    </row>
    <row r="460">
      <c r="A460" s="11"/>
      <c r="B460" s="11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  <c r="AC460" s="119"/>
      <c r="AD460" s="119"/>
      <c r="AE460" s="119"/>
      <c r="AF460" s="119"/>
      <c r="AG460" s="119"/>
      <c r="AH460" s="11"/>
      <c r="AI460" s="11"/>
      <c r="AJ460" s="11"/>
      <c r="AK460" s="11"/>
    </row>
    <row r="461">
      <c r="A461" s="11"/>
      <c r="B461" s="11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  <c r="AC461" s="119"/>
      <c r="AD461" s="119"/>
      <c r="AE461" s="119"/>
      <c r="AF461" s="119"/>
      <c r="AG461" s="119"/>
      <c r="AH461" s="11"/>
      <c r="AI461" s="11"/>
      <c r="AJ461" s="11"/>
      <c r="AK461" s="11"/>
    </row>
    <row r="462">
      <c r="A462" s="11"/>
      <c r="B462" s="11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  <c r="AC462" s="119"/>
      <c r="AD462" s="119"/>
      <c r="AE462" s="119"/>
      <c r="AF462" s="119"/>
      <c r="AG462" s="119"/>
      <c r="AH462" s="11"/>
      <c r="AI462" s="11"/>
      <c r="AJ462" s="11"/>
      <c r="AK462" s="11"/>
    </row>
    <row r="463">
      <c r="A463" s="11"/>
      <c r="B463" s="11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  <c r="AC463" s="119"/>
      <c r="AD463" s="119"/>
      <c r="AE463" s="119"/>
      <c r="AF463" s="119"/>
      <c r="AG463" s="119"/>
      <c r="AH463" s="11"/>
      <c r="AI463" s="11"/>
      <c r="AJ463" s="11"/>
      <c r="AK463" s="11"/>
    </row>
    <row r="464">
      <c r="A464" s="11"/>
      <c r="B464" s="11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  <c r="AC464" s="119"/>
      <c r="AD464" s="119"/>
      <c r="AE464" s="119"/>
      <c r="AF464" s="119"/>
      <c r="AG464" s="119"/>
      <c r="AH464" s="11"/>
      <c r="AI464" s="11"/>
      <c r="AJ464" s="11"/>
      <c r="AK464" s="11"/>
    </row>
    <row r="465">
      <c r="A465" s="11"/>
      <c r="B465" s="11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  <c r="AC465" s="119"/>
      <c r="AD465" s="119"/>
      <c r="AE465" s="119"/>
      <c r="AF465" s="119"/>
      <c r="AG465" s="119"/>
      <c r="AH465" s="11"/>
      <c r="AI465" s="11"/>
      <c r="AJ465" s="11"/>
      <c r="AK465" s="11"/>
    </row>
    <row r="466">
      <c r="A466" s="11"/>
      <c r="B466" s="11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  <c r="AC466" s="119"/>
      <c r="AD466" s="119"/>
      <c r="AE466" s="119"/>
      <c r="AF466" s="119"/>
      <c r="AG466" s="119"/>
      <c r="AH466" s="11"/>
      <c r="AI466" s="11"/>
      <c r="AJ466" s="11"/>
      <c r="AK466" s="11"/>
    </row>
    <row r="467">
      <c r="A467" s="11"/>
      <c r="B467" s="11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  <c r="AC467" s="119"/>
      <c r="AD467" s="119"/>
      <c r="AE467" s="119"/>
      <c r="AF467" s="119"/>
      <c r="AG467" s="119"/>
      <c r="AH467" s="11"/>
      <c r="AI467" s="11"/>
      <c r="AJ467" s="11"/>
      <c r="AK467" s="11"/>
    </row>
    <row r="468">
      <c r="A468" s="11"/>
      <c r="B468" s="11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  <c r="AC468" s="119"/>
      <c r="AD468" s="119"/>
      <c r="AE468" s="119"/>
      <c r="AF468" s="119"/>
      <c r="AG468" s="119"/>
      <c r="AH468" s="11"/>
      <c r="AI468" s="11"/>
      <c r="AJ468" s="11"/>
      <c r="AK468" s="11"/>
    </row>
    <row r="469">
      <c r="A469" s="11"/>
      <c r="B469" s="11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  <c r="AC469" s="119"/>
      <c r="AD469" s="119"/>
      <c r="AE469" s="119"/>
      <c r="AF469" s="119"/>
      <c r="AG469" s="119"/>
      <c r="AH469" s="11"/>
      <c r="AI469" s="11"/>
      <c r="AJ469" s="11"/>
      <c r="AK469" s="11"/>
    </row>
    <row r="470">
      <c r="A470" s="11"/>
      <c r="B470" s="11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  <c r="AC470" s="119"/>
      <c r="AD470" s="119"/>
      <c r="AE470" s="119"/>
      <c r="AF470" s="119"/>
      <c r="AG470" s="119"/>
      <c r="AH470" s="11"/>
      <c r="AI470" s="11"/>
      <c r="AJ470" s="11"/>
      <c r="AK470" s="11"/>
    </row>
    <row r="471">
      <c r="A471" s="11"/>
      <c r="B471" s="11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  <c r="AC471" s="119"/>
      <c r="AD471" s="119"/>
      <c r="AE471" s="119"/>
      <c r="AF471" s="119"/>
      <c r="AG471" s="119"/>
      <c r="AH471" s="11"/>
      <c r="AI471" s="11"/>
      <c r="AJ471" s="11"/>
      <c r="AK471" s="11"/>
    </row>
    <row r="472">
      <c r="A472" s="11"/>
      <c r="B472" s="11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  <c r="AC472" s="119"/>
      <c r="AD472" s="119"/>
      <c r="AE472" s="119"/>
      <c r="AF472" s="119"/>
      <c r="AG472" s="119"/>
      <c r="AH472" s="11"/>
      <c r="AI472" s="11"/>
      <c r="AJ472" s="11"/>
      <c r="AK472" s="11"/>
    </row>
    <row r="473">
      <c r="A473" s="11"/>
      <c r="B473" s="11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  <c r="AA473" s="119"/>
      <c r="AB473" s="119"/>
      <c r="AC473" s="119"/>
      <c r="AD473" s="119"/>
      <c r="AE473" s="119"/>
      <c r="AF473" s="119"/>
      <c r="AG473" s="119"/>
      <c r="AH473" s="11"/>
      <c r="AI473" s="11"/>
      <c r="AJ473" s="11"/>
      <c r="AK473" s="11"/>
    </row>
    <row r="474">
      <c r="A474" s="11"/>
      <c r="B474" s="11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  <c r="AC474" s="119"/>
      <c r="AD474" s="119"/>
      <c r="AE474" s="119"/>
      <c r="AF474" s="119"/>
      <c r="AG474" s="119"/>
      <c r="AH474" s="11"/>
      <c r="AI474" s="11"/>
      <c r="AJ474" s="11"/>
      <c r="AK474" s="11"/>
    </row>
    <row r="475">
      <c r="A475" s="11"/>
      <c r="B475" s="11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  <c r="AC475" s="119"/>
      <c r="AD475" s="119"/>
      <c r="AE475" s="119"/>
      <c r="AF475" s="119"/>
      <c r="AG475" s="119"/>
      <c r="AH475" s="11"/>
      <c r="AI475" s="11"/>
      <c r="AJ475" s="11"/>
      <c r="AK475" s="11"/>
    </row>
    <row r="476">
      <c r="A476" s="11"/>
      <c r="B476" s="11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  <c r="AC476" s="119"/>
      <c r="AD476" s="119"/>
      <c r="AE476" s="119"/>
      <c r="AF476" s="119"/>
      <c r="AG476" s="119"/>
      <c r="AH476" s="11"/>
      <c r="AI476" s="11"/>
      <c r="AJ476" s="11"/>
      <c r="AK476" s="11"/>
    </row>
    <row r="477">
      <c r="A477" s="11"/>
      <c r="B477" s="11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  <c r="AC477" s="119"/>
      <c r="AD477" s="119"/>
      <c r="AE477" s="119"/>
      <c r="AF477" s="119"/>
      <c r="AG477" s="119"/>
      <c r="AH477" s="11"/>
      <c r="AI477" s="11"/>
      <c r="AJ477" s="11"/>
      <c r="AK477" s="11"/>
    </row>
    <row r="478">
      <c r="A478" s="11"/>
      <c r="B478" s="11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  <c r="AA478" s="119"/>
      <c r="AB478" s="119"/>
      <c r="AC478" s="119"/>
      <c r="AD478" s="119"/>
      <c r="AE478" s="119"/>
      <c r="AF478" s="119"/>
      <c r="AG478" s="119"/>
      <c r="AH478" s="11"/>
      <c r="AI478" s="11"/>
      <c r="AJ478" s="11"/>
      <c r="AK478" s="11"/>
    </row>
    <row r="479">
      <c r="A479" s="11"/>
      <c r="B479" s="11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  <c r="AA479" s="119"/>
      <c r="AB479" s="119"/>
      <c r="AC479" s="119"/>
      <c r="AD479" s="119"/>
      <c r="AE479" s="119"/>
      <c r="AF479" s="119"/>
      <c r="AG479" s="119"/>
      <c r="AH479" s="11"/>
      <c r="AI479" s="11"/>
      <c r="AJ479" s="11"/>
      <c r="AK479" s="11"/>
    </row>
    <row r="480">
      <c r="A480" s="11"/>
      <c r="B480" s="11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  <c r="AA480" s="119"/>
      <c r="AB480" s="119"/>
      <c r="AC480" s="119"/>
      <c r="AD480" s="119"/>
      <c r="AE480" s="119"/>
      <c r="AF480" s="119"/>
      <c r="AG480" s="119"/>
      <c r="AH480" s="11"/>
      <c r="AI480" s="11"/>
      <c r="AJ480" s="11"/>
      <c r="AK480" s="11"/>
    </row>
    <row r="481">
      <c r="A481" s="11"/>
      <c r="B481" s="11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  <c r="AA481" s="119"/>
      <c r="AB481" s="119"/>
      <c r="AC481" s="119"/>
      <c r="AD481" s="119"/>
      <c r="AE481" s="119"/>
      <c r="AF481" s="119"/>
      <c r="AG481" s="119"/>
      <c r="AH481" s="11"/>
      <c r="AI481" s="11"/>
      <c r="AJ481" s="11"/>
      <c r="AK481" s="11"/>
    </row>
    <row r="482">
      <c r="A482" s="11"/>
      <c r="B482" s="11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  <c r="AA482" s="119"/>
      <c r="AB482" s="119"/>
      <c r="AC482" s="119"/>
      <c r="AD482" s="119"/>
      <c r="AE482" s="119"/>
      <c r="AF482" s="119"/>
      <c r="AG482" s="119"/>
      <c r="AH482" s="11"/>
      <c r="AI482" s="11"/>
      <c r="AJ482" s="11"/>
      <c r="AK482" s="11"/>
    </row>
    <row r="483">
      <c r="A483" s="11"/>
      <c r="B483" s="11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  <c r="AA483" s="119"/>
      <c r="AB483" s="119"/>
      <c r="AC483" s="119"/>
      <c r="AD483" s="119"/>
      <c r="AE483" s="119"/>
      <c r="AF483" s="119"/>
      <c r="AG483" s="119"/>
      <c r="AH483" s="11"/>
      <c r="AI483" s="11"/>
      <c r="AJ483" s="11"/>
      <c r="AK483" s="11"/>
    </row>
    <row r="484">
      <c r="A484" s="11"/>
      <c r="B484" s="11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  <c r="AA484" s="119"/>
      <c r="AB484" s="119"/>
      <c r="AC484" s="119"/>
      <c r="AD484" s="119"/>
      <c r="AE484" s="119"/>
      <c r="AF484" s="119"/>
      <c r="AG484" s="119"/>
      <c r="AH484" s="11"/>
      <c r="AI484" s="11"/>
      <c r="AJ484" s="11"/>
      <c r="AK484" s="11"/>
    </row>
    <row r="485">
      <c r="A485" s="11"/>
      <c r="B485" s="11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  <c r="AA485" s="119"/>
      <c r="AB485" s="119"/>
      <c r="AC485" s="119"/>
      <c r="AD485" s="119"/>
      <c r="AE485" s="119"/>
      <c r="AF485" s="119"/>
      <c r="AG485" s="119"/>
      <c r="AH485" s="11"/>
      <c r="AI485" s="11"/>
      <c r="AJ485" s="11"/>
      <c r="AK485" s="11"/>
    </row>
    <row r="486">
      <c r="A486" s="11"/>
      <c r="B486" s="11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  <c r="AA486" s="119"/>
      <c r="AB486" s="119"/>
      <c r="AC486" s="119"/>
      <c r="AD486" s="119"/>
      <c r="AE486" s="119"/>
      <c r="AF486" s="119"/>
      <c r="AG486" s="119"/>
      <c r="AH486" s="11"/>
      <c r="AI486" s="11"/>
      <c r="AJ486" s="11"/>
      <c r="AK486" s="11"/>
    </row>
    <row r="487">
      <c r="A487" s="11"/>
      <c r="B487" s="11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  <c r="AA487" s="119"/>
      <c r="AB487" s="119"/>
      <c r="AC487" s="119"/>
      <c r="AD487" s="119"/>
      <c r="AE487" s="119"/>
      <c r="AF487" s="119"/>
      <c r="AG487" s="119"/>
      <c r="AH487" s="11"/>
      <c r="AI487" s="11"/>
      <c r="AJ487" s="11"/>
      <c r="AK487" s="11"/>
    </row>
    <row r="488">
      <c r="A488" s="11"/>
      <c r="B488" s="11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  <c r="AA488" s="119"/>
      <c r="AB488" s="119"/>
      <c r="AC488" s="119"/>
      <c r="AD488" s="119"/>
      <c r="AE488" s="119"/>
      <c r="AF488" s="119"/>
      <c r="AG488" s="119"/>
      <c r="AH488" s="11"/>
      <c r="AI488" s="11"/>
      <c r="AJ488" s="11"/>
      <c r="AK488" s="11"/>
    </row>
    <row r="489">
      <c r="A489" s="11"/>
      <c r="B489" s="11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  <c r="AA489" s="119"/>
      <c r="AB489" s="119"/>
      <c r="AC489" s="119"/>
      <c r="AD489" s="119"/>
      <c r="AE489" s="119"/>
      <c r="AF489" s="119"/>
      <c r="AG489" s="119"/>
      <c r="AH489" s="11"/>
      <c r="AI489" s="11"/>
      <c r="AJ489" s="11"/>
      <c r="AK489" s="11"/>
    </row>
    <row r="490">
      <c r="A490" s="11"/>
      <c r="B490" s="11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  <c r="AA490" s="119"/>
      <c r="AB490" s="119"/>
      <c r="AC490" s="119"/>
      <c r="AD490" s="119"/>
      <c r="AE490" s="119"/>
      <c r="AF490" s="119"/>
      <c r="AG490" s="119"/>
      <c r="AH490" s="11"/>
      <c r="AI490" s="11"/>
      <c r="AJ490" s="11"/>
      <c r="AK490" s="11"/>
    </row>
    <row r="491">
      <c r="A491" s="11"/>
      <c r="B491" s="11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  <c r="AA491" s="119"/>
      <c r="AB491" s="119"/>
      <c r="AC491" s="119"/>
      <c r="AD491" s="119"/>
      <c r="AE491" s="119"/>
      <c r="AF491" s="119"/>
      <c r="AG491" s="119"/>
      <c r="AH491" s="11"/>
      <c r="AI491" s="11"/>
      <c r="AJ491" s="11"/>
      <c r="AK491" s="11"/>
    </row>
    <row r="492">
      <c r="A492" s="11"/>
      <c r="B492" s="11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  <c r="AC492" s="119"/>
      <c r="AD492" s="119"/>
      <c r="AE492" s="119"/>
      <c r="AF492" s="119"/>
      <c r="AG492" s="119"/>
      <c r="AH492" s="11"/>
      <c r="AI492" s="11"/>
      <c r="AJ492" s="11"/>
      <c r="AK492" s="11"/>
    </row>
    <row r="493">
      <c r="A493" s="11"/>
      <c r="B493" s="11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  <c r="AA493" s="119"/>
      <c r="AB493" s="119"/>
      <c r="AC493" s="119"/>
      <c r="AD493" s="119"/>
      <c r="AE493" s="119"/>
      <c r="AF493" s="119"/>
      <c r="AG493" s="119"/>
      <c r="AH493" s="11"/>
      <c r="AI493" s="11"/>
      <c r="AJ493" s="11"/>
      <c r="AK493" s="11"/>
    </row>
    <row r="494">
      <c r="A494" s="11"/>
      <c r="B494" s="11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  <c r="AC494" s="119"/>
      <c r="AD494" s="119"/>
      <c r="AE494" s="119"/>
      <c r="AF494" s="119"/>
      <c r="AG494" s="119"/>
      <c r="AH494" s="11"/>
      <c r="AI494" s="11"/>
      <c r="AJ494" s="11"/>
      <c r="AK494" s="11"/>
    </row>
    <row r="495">
      <c r="A495" s="11"/>
      <c r="B495" s="11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  <c r="AA495" s="119"/>
      <c r="AB495" s="119"/>
      <c r="AC495" s="119"/>
      <c r="AD495" s="119"/>
      <c r="AE495" s="119"/>
      <c r="AF495" s="119"/>
      <c r="AG495" s="119"/>
      <c r="AH495" s="11"/>
      <c r="AI495" s="11"/>
      <c r="AJ495" s="11"/>
      <c r="AK495" s="11"/>
    </row>
    <row r="496">
      <c r="A496" s="11"/>
      <c r="B496" s="11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  <c r="AC496" s="119"/>
      <c r="AD496" s="119"/>
      <c r="AE496" s="119"/>
      <c r="AF496" s="119"/>
      <c r="AG496" s="119"/>
      <c r="AH496" s="11"/>
      <c r="AI496" s="11"/>
      <c r="AJ496" s="11"/>
      <c r="AK496" s="11"/>
    </row>
    <row r="497">
      <c r="A497" s="11"/>
      <c r="B497" s="11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  <c r="AA497" s="119"/>
      <c r="AB497" s="119"/>
      <c r="AC497" s="119"/>
      <c r="AD497" s="119"/>
      <c r="AE497" s="119"/>
      <c r="AF497" s="119"/>
      <c r="AG497" s="119"/>
      <c r="AH497" s="11"/>
      <c r="AI497" s="11"/>
      <c r="AJ497" s="11"/>
      <c r="AK497" s="11"/>
    </row>
    <row r="498">
      <c r="A498" s="11"/>
      <c r="B498" s="11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  <c r="AA498" s="119"/>
      <c r="AB498" s="119"/>
      <c r="AC498" s="119"/>
      <c r="AD498" s="119"/>
      <c r="AE498" s="119"/>
      <c r="AF498" s="119"/>
      <c r="AG498" s="119"/>
      <c r="AH498" s="11"/>
      <c r="AI498" s="11"/>
      <c r="AJ498" s="11"/>
      <c r="AK498" s="11"/>
    </row>
    <row r="499">
      <c r="A499" s="11"/>
      <c r="B499" s="11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  <c r="AC499" s="119"/>
      <c r="AD499" s="119"/>
      <c r="AE499" s="119"/>
      <c r="AF499" s="119"/>
      <c r="AG499" s="119"/>
      <c r="AH499" s="11"/>
      <c r="AI499" s="11"/>
      <c r="AJ499" s="11"/>
      <c r="AK499" s="11"/>
    </row>
    <row r="500">
      <c r="A500" s="11"/>
      <c r="B500" s="11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  <c r="AC500" s="119"/>
      <c r="AD500" s="119"/>
      <c r="AE500" s="119"/>
      <c r="AF500" s="119"/>
      <c r="AG500" s="119"/>
      <c r="AH500" s="11"/>
      <c r="AI500" s="11"/>
      <c r="AJ500" s="11"/>
      <c r="AK500" s="11"/>
    </row>
    <row r="501">
      <c r="A501" s="11"/>
      <c r="B501" s="11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  <c r="AC501" s="119"/>
      <c r="AD501" s="119"/>
      <c r="AE501" s="119"/>
      <c r="AF501" s="119"/>
      <c r="AG501" s="119"/>
      <c r="AH501" s="11"/>
      <c r="AI501" s="11"/>
      <c r="AJ501" s="11"/>
      <c r="AK501" s="11"/>
    </row>
    <row r="502">
      <c r="A502" s="11"/>
      <c r="B502" s="11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  <c r="AC502" s="119"/>
      <c r="AD502" s="119"/>
      <c r="AE502" s="119"/>
      <c r="AF502" s="119"/>
      <c r="AG502" s="119"/>
      <c r="AH502" s="11"/>
      <c r="AI502" s="11"/>
      <c r="AJ502" s="11"/>
      <c r="AK502" s="11"/>
    </row>
    <row r="503">
      <c r="A503" s="11"/>
      <c r="B503" s="11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  <c r="AC503" s="119"/>
      <c r="AD503" s="119"/>
      <c r="AE503" s="119"/>
      <c r="AF503" s="119"/>
      <c r="AG503" s="119"/>
      <c r="AH503" s="11"/>
      <c r="AI503" s="11"/>
      <c r="AJ503" s="11"/>
      <c r="AK503" s="11"/>
    </row>
    <row r="504">
      <c r="A504" s="11"/>
      <c r="B504" s="11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  <c r="AC504" s="119"/>
      <c r="AD504" s="119"/>
      <c r="AE504" s="119"/>
      <c r="AF504" s="119"/>
      <c r="AG504" s="119"/>
      <c r="AH504" s="11"/>
      <c r="AI504" s="11"/>
      <c r="AJ504" s="11"/>
      <c r="AK504" s="11"/>
    </row>
    <row r="505">
      <c r="A505" s="11"/>
      <c r="B505" s="11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  <c r="AA505" s="119"/>
      <c r="AB505" s="119"/>
      <c r="AC505" s="119"/>
      <c r="AD505" s="119"/>
      <c r="AE505" s="119"/>
      <c r="AF505" s="119"/>
      <c r="AG505" s="119"/>
      <c r="AH505" s="11"/>
      <c r="AI505" s="11"/>
      <c r="AJ505" s="11"/>
      <c r="AK505" s="11"/>
    </row>
    <row r="506">
      <c r="A506" s="11"/>
      <c r="B506" s="11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  <c r="AC506" s="119"/>
      <c r="AD506" s="119"/>
      <c r="AE506" s="119"/>
      <c r="AF506" s="119"/>
      <c r="AG506" s="119"/>
      <c r="AH506" s="11"/>
      <c r="AI506" s="11"/>
      <c r="AJ506" s="11"/>
      <c r="AK506" s="11"/>
    </row>
    <row r="507">
      <c r="A507" s="11"/>
      <c r="B507" s="11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  <c r="AC507" s="119"/>
      <c r="AD507" s="119"/>
      <c r="AE507" s="119"/>
      <c r="AF507" s="119"/>
      <c r="AG507" s="119"/>
      <c r="AH507" s="11"/>
      <c r="AI507" s="11"/>
      <c r="AJ507" s="11"/>
      <c r="AK507" s="11"/>
    </row>
    <row r="508">
      <c r="A508" s="11"/>
      <c r="B508" s="11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  <c r="AC508" s="119"/>
      <c r="AD508" s="119"/>
      <c r="AE508" s="119"/>
      <c r="AF508" s="119"/>
      <c r="AG508" s="119"/>
      <c r="AH508" s="11"/>
      <c r="AI508" s="11"/>
      <c r="AJ508" s="11"/>
      <c r="AK508" s="11"/>
    </row>
    <row r="509">
      <c r="A509" s="11"/>
      <c r="B509" s="11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  <c r="AC509" s="119"/>
      <c r="AD509" s="119"/>
      <c r="AE509" s="119"/>
      <c r="AF509" s="119"/>
      <c r="AG509" s="119"/>
      <c r="AH509" s="11"/>
      <c r="AI509" s="11"/>
      <c r="AJ509" s="11"/>
      <c r="AK509" s="11"/>
    </row>
    <row r="510">
      <c r="A510" s="11"/>
      <c r="B510" s="11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/>
      <c r="AC510" s="119"/>
      <c r="AD510" s="119"/>
      <c r="AE510" s="119"/>
      <c r="AF510" s="119"/>
      <c r="AG510" s="119"/>
      <c r="AH510" s="11"/>
      <c r="AI510" s="11"/>
      <c r="AJ510" s="11"/>
      <c r="AK510" s="11"/>
    </row>
    <row r="511">
      <c r="A511" s="11"/>
      <c r="B511" s="11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  <c r="AC511" s="119"/>
      <c r="AD511" s="119"/>
      <c r="AE511" s="119"/>
      <c r="AF511" s="119"/>
      <c r="AG511" s="119"/>
      <c r="AH511" s="11"/>
      <c r="AI511" s="11"/>
      <c r="AJ511" s="11"/>
      <c r="AK511" s="11"/>
    </row>
    <row r="512">
      <c r="A512" s="11"/>
      <c r="B512" s="11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  <c r="AC512" s="119"/>
      <c r="AD512" s="119"/>
      <c r="AE512" s="119"/>
      <c r="AF512" s="119"/>
      <c r="AG512" s="119"/>
      <c r="AH512" s="11"/>
      <c r="AI512" s="11"/>
      <c r="AJ512" s="11"/>
      <c r="AK512" s="11"/>
    </row>
    <row r="513">
      <c r="A513" s="11"/>
      <c r="B513" s="11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  <c r="AC513" s="119"/>
      <c r="AD513" s="119"/>
      <c r="AE513" s="119"/>
      <c r="AF513" s="119"/>
      <c r="AG513" s="119"/>
      <c r="AH513" s="11"/>
      <c r="AI513" s="11"/>
      <c r="AJ513" s="11"/>
      <c r="AK513" s="11"/>
    </row>
    <row r="514">
      <c r="A514" s="11"/>
      <c r="B514" s="11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  <c r="AC514" s="119"/>
      <c r="AD514" s="119"/>
      <c r="AE514" s="119"/>
      <c r="AF514" s="119"/>
      <c r="AG514" s="119"/>
      <c r="AH514" s="11"/>
      <c r="AI514" s="11"/>
      <c r="AJ514" s="11"/>
      <c r="AK514" s="11"/>
    </row>
    <row r="515">
      <c r="A515" s="11"/>
      <c r="B515" s="11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  <c r="AA515" s="119"/>
      <c r="AB515" s="119"/>
      <c r="AC515" s="119"/>
      <c r="AD515" s="119"/>
      <c r="AE515" s="119"/>
      <c r="AF515" s="119"/>
      <c r="AG515" s="119"/>
      <c r="AH515" s="11"/>
      <c r="AI515" s="11"/>
      <c r="AJ515" s="11"/>
      <c r="AK515" s="11"/>
    </row>
    <row r="516">
      <c r="A516" s="11"/>
      <c r="B516" s="11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  <c r="AC516" s="119"/>
      <c r="AD516" s="119"/>
      <c r="AE516" s="119"/>
      <c r="AF516" s="119"/>
      <c r="AG516" s="119"/>
      <c r="AH516" s="11"/>
      <c r="AI516" s="11"/>
      <c r="AJ516" s="11"/>
      <c r="AK516" s="11"/>
    </row>
    <row r="517">
      <c r="A517" s="11"/>
      <c r="B517" s="11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  <c r="AC517" s="119"/>
      <c r="AD517" s="119"/>
      <c r="AE517" s="119"/>
      <c r="AF517" s="119"/>
      <c r="AG517" s="119"/>
      <c r="AH517" s="11"/>
      <c r="AI517" s="11"/>
      <c r="AJ517" s="11"/>
      <c r="AK517" s="11"/>
    </row>
    <row r="518">
      <c r="A518" s="11"/>
      <c r="B518" s="11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  <c r="AC518" s="119"/>
      <c r="AD518" s="119"/>
      <c r="AE518" s="119"/>
      <c r="AF518" s="119"/>
      <c r="AG518" s="119"/>
      <c r="AH518" s="11"/>
      <c r="AI518" s="11"/>
      <c r="AJ518" s="11"/>
      <c r="AK518" s="11"/>
    </row>
    <row r="519">
      <c r="A519" s="11"/>
      <c r="B519" s="11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  <c r="AC519" s="119"/>
      <c r="AD519" s="119"/>
      <c r="AE519" s="119"/>
      <c r="AF519" s="119"/>
      <c r="AG519" s="119"/>
      <c r="AH519" s="11"/>
      <c r="AI519" s="11"/>
      <c r="AJ519" s="11"/>
      <c r="AK519" s="11"/>
    </row>
    <row r="520">
      <c r="A520" s="11"/>
      <c r="B520" s="11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  <c r="AC520" s="119"/>
      <c r="AD520" s="119"/>
      <c r="AE520" s="119"/>
      <c r="AF520" s="119"/>
      <c r="AG520" s="119"/>
      <c r="AH520" s="11"/>
      <c r="AI520" s="11"/>
      <c r="AJ520" s="11"/>
      <c r="AK520" s="11"/>
    </row>
    <row r="521">
      <c r="A521" s="11"/>
      <c r="B521" s="11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  <c r="AA521" s="119"/>
      <c r="AB521" s="119"/>
      <c r="AC521" s="119"/>
      <c r="AD521" s="119"/>
      <c r="AE521" s="119"/>
      <c r="AF521" s="119"/>
      <c r="AG521" s="119"/>
      <c r="AH521" s="11"/>
      <c r="AI521" s="11"/>
      <c r="AJ521" s="11"/>
      <c r="AK521" s="11"/>
    </row>
    <row r="522">
      <c r="A522" s="11"/>
      <c r="B522" s="11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  <c r="AC522" s="119"/>
      <c r="AD522" s="119"/>
      <c r="AE522" s="119"/>
      <c r="AF522" s="119"/>
      <c r="AG522" s="119"/>
      <c r="AH522" s="11"/>
      <c r="AI522" s="11"/>
      <c r="AJ522" s="11"/>
      <c r="AK522" s="11"/>
    </row>
    <row r="523">
      <c r="A523" s="11"/>
      <c r="B523" s="11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  <c r="AC523" s="119"/>
      <c r="AD523" s="119"/>
      <c r="AE523" s="119"/>
      <c r="AF523" s="119"/>
      <c r="AG523" s="119"/>
      <c r="AH523" s="11"/>
      <c r="AI523" s="11"/>
      <c r="AJ523" s="11"/>
      <c r="AK523" s="11"/>
    </row>
    <row r="524">
      <c r="A524" s="11"/>
      <c r="B524" s="11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  <c r="AC524" s="119"/>
      <c r="AD524" s="119"/>
      <c r="AE524" s="119"/>
      <c r="AF524" s="119"/>
      <c r="AG524" s="119"/>
      <c r="AH524" s="11"/>
      <c r="AI524" s="11"/>
      <c r="AJ524" s="11"/>
      <c r="AK524" s="11"/>
    </row>
    <row r="525">
      <c r="A525" s="11"/>
      <c r="B525" s="11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  <c r="AC525" s="119"/>
      <c r="AD525" s="119"/>
      <c r="AE525" s="119"/>
      <c r="AF525" s="119"/>
      <c r="AG525" s="119"/>
      <c r="AH525" s="11"/>
      <c r="AI525" s="11"/>
      <c r="AJ525" s="11"/>
      <c r="AK525" s="11"/>
    </row>
    <row r="526">
      <c r="A526" s="11"/>
      <c r="B526" s="11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  <c r="AC526" s="119"/>
      <c r="AD526" s="119"/>
      <c r="AE526" s="119"/>
      <c r="AF526" s="119"/>
      <c r="AG526" s="119"/>
      <c r="AH526" s="11"/>
      <c r="AI526" s="11"/>
      <c r="AJ526" s="11"/>
      <c r="AK526" s="11"/>
    </row>
    <row r="527">
      <c r="A527" s="11"/>
      <c r="B527" s="11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  <c r="AC527" s="119"/>
      <c r="AD527" s="119"/>
      <c r="AE527" s="119"/>
      <c r="AF527" s="119"/>
      <c r="AG527" s="119"/>
      <c r="AH527" s="11"/>
      <c r="AI527" s="11"/>
      <c r="AJ527" s="11"/>
      <c r="AK527" s="11"/>
    </row>
    <row r="528">
      <c r="A528" s="11"/>
      <c r="B528" s="11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  <c r="AC528" s="119"/>
      <c r="AD528" s="119"/>
      <c r="AE528" s="119"/>
      <c r="AF528" s="119"/>
      <c r="AG528" s="119"/>
      <c r="AH528" s="11"/>
      <c r="AI528" s="11"/>
      <c r="AJ528" s="11"/>
      <c r="AK528" s="11"/>
    </row>
    <row r="529">
      <c r="A529" s="11"/>
      <c r="B529" s="11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  <c r="AC529" s="119"/>
      <c r="AD529" s="119"/>
      <c r="AE529" s="119"/>
      <c r="AF529" s="119"/>
      <c r="AG529" s="119"/>
      <c r="AH529" s="11"/>
      <c r="AI529" s="11"/>
      <c r="AJ529" s="11"/>
      <c r="AK529" s="11"/>
    </row>
    <row r="530">
      <c r="A530" s="11"/>
      <c r="B530" s="11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  <c r="AC530" s="119"/>
      <c r="AD530" s="119"/>
      <c r="AE530" s="119"/>
      <c r="AF530" s="119"/>
      <c r="AG530" s="119"/>
      <c r="AH530" s="11"/>
      <c r="AI530" s="11"/>
      <c r="AJ530" s="11"/>
      <c r="AK530" s="11"/>
    </row>
    <row r="531">
      <c r="A531" s="11"/>
      <c r="B531" s="11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  <c r="AC531" s="119"/>
      <c r="AD531" s="119"/>
      <c r="AE531" s="119"/>
      <c r="AF531" s="119"/>
      <c r="AG531" s="119"/>
      <c r="AH531" s="11"/>
      <c r="AI531" s="11"/>
      <c r="AJ531" s="11"/>
      <c r="AK531" s="11"/>
    </row>
    <row r="532">
      <c r="A532" s="11"/>
      <c r="B532" s="11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  <c r="AC532" s="119"/>
      <c r="AD532" s="119"/>
      <c r="AE532" s="119"/>
      <c r="AF532" s="119"/>
      <c r="AG532" s="119"/>
      <c r="AH532" s="11"/>
      <c r="AI532" s="11"/>
      <c r="AJ532" s="11"/>
      <c r="AK532" s="11"/>
    </row>
    <row r="533">
      <c r="A533" s="11"/>
      <c r="B533" s="11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  <c r="AC533" s="119"/>
      <c r="AD533" s="119"/>
      <c r="AE533" s="119"/>
      <c r="AF533" s="119"/>
      <c r="AG533" s="119"/>
      <c r="AH533" s="11"/>
      <c r="AI533" s="11"/>
      <c r="AJ533" s="11"/>
      <c r="AK533" s="11"/>
    </row>
    <row r="534">
      <c r="A534" s="11"/>
      <c r="B534" s="11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  <c r="AC534" s="119"/>
      <c r="AD534" s="119"/>
      <c r="AE534" s="119"/>
      <c r="AF534" s="119"/>
      <c r="AG534" s="119"/>
      <c r="AH534" s="11"/>
      <c r="AI534" s="11"/>
      <c r="AJ534" s="11"/>
      <c r="AK534" s="11"/>
    </row>
    <row r="535">
      <c r="A535" s="11"/>
      <c r="B535" s="11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  <c r="AC535" s="119"/>
      <c r="AD535" s="119"/>
      <c r="AE535" s="119"/>
      <c r="AF535" s="119"/>
      <c r="AG535" s="119"/>
      <c r="AH535" s="11"/>
      <c r="AI535" s="11"/>
      <c r="AJ535" s="11"/>
      <c r="AK535" s="11"/>
    </row>
    <row r="536">
      <c r="A536" s="11"/>
      <c r="B536" s="11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  <c r="AC536" s="119"/>
      <c r="AD536" s="119"/>
      <c r="AE536" s="119"/>
      <c r="AF536" s="119"/>
      <c r="AG536" s="119"/>
      <c r="AH536" s="11"/>
      <c r="AI536" s="11"/>
      <c r="AJ536" s="11"/>
      <c r="AK536" s="11"/>
    </row>
    <row r="537">
      <c r="A537" s="11"/>
      <c r="B537" s="11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  <c r="AC537" s="119"/>
      <c r="AD537" s="119"/>
      <c r="AE537" s="119"/>
      <c r="AF537" s="119"/>
      <c r="AG537" s="119"/>
      <c r="AH537" s="11"/>
      <c r="AI537" s="11"/>
      <c r="AJ537" s="11"/>
      <c r="AK537" s="11"/>
    </row>
    <row r="538">
      <c r="A538" s="11"/>
      <c r="B538" s="11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  <c r="AC538" s="119"/>
      <c r="AD538" s="119"/>
      <c r="AE538" s="119"/>
      <c r="AF538" s="119"/>
      <c r="AG538" s="119"/>
      <c r="AH538" s="11"/>
      <c r="AI538" s="11"/>
      <c r="AJ538" s="11"/>
      <c r="AK538" s="11"/>
    </row>
    <row r="539">
      <c r="A539" s="11"/>
      <c r="B539" s="11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  <c r="AC539" s="119"/>
      <c r="AD539" s="119"/>
      <c r="AE539" s="119"/>
      <c r="AF539" s="119"/>
      <c r="AG539" s="119"/>
      <c r="AH539" s="11"/>
      <c r="AI539" s="11"/>
      <c r="AJ539" s="11"/>
      <c r="AK539" s="11"/>
    </row>
    <row r="540">
      <c r="A540" s="11"/>
      <c r="B540" s="11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  <c r="AC540" s="119"/>
      <c r="AD540" s="119"/>
      <c r="AE540" s="119"/>
      <c r="AF540" s="119"/>
      <c r="AG540" s="119"/>
      <c r="AH540" s="11"/>
      <c r="AI540" s="11"/>
      <c r="AJ540" s="11"/>
      <c r="AK540" s="11"/>
    </row>
    <row r="541">
      <c r="A541" s="11"/>
      <c r="B541" s="11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  <c r="AC541" s="119"/>
      <c r="AD541" s="119"/>
      <c r="AE541" s="119"/>
      <c r="AF541" s="119"/>
      <c r="AG541" s="119"/>
      <c r="AH541" s="11"/>
      <c r="AI541" s="11"/>
      <c r="AJ541" s="11"/>
      <c r="AK541" s="11"/>
    </row>
    <row r="542">
      <c r="A542" s="11"/>
      <c r="B542" s="11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  <c r="AC542" s="119"/>
      <c r="AD542" s="119"/>
      <c r="AE542" s="119"/>
      <c r="AF542" s="119"/>
      <c r="AG542" s="119"/>
      <c r="AH542" s="11"/>
      <c r="AI542" s="11"/>
      <c r="AJ542" s="11"/>
      <c r="AK542" s="11"/>
    </row>
    <row r="543">
      <c r="A543" s="11"/>
      <c r="B543" s="11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  <c r="AC543" s="119"/>
      <c r="AD543" s="119"/>
      <c r="AE543" s="119"/>
      <c r="AF543" s="119"/>
      <c r="AG543" s="119"/>
      <c r="AH543" s="11"/>
      <c r="AI543" s="11"/>
      <c r="AJ543" s="11"/>
      <c r="AK543" s="11"/>
    </row>
    <row r="544">
      <c r="A544" s="11"/>
      <c r="B544" s="11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  <c r="AC544" s="119"/>
      <c r="AD544" s="119"/>
      <c r="AE544" s="119"/>
      <c r="AF544" s="119"/>
      <c r="AG544" s="119"/>
      <c r="AH544" s="11"/>
      <c r="AI544" s="11"/>
      <c r="AJ544" s="11"/>
      <c r="AK544" s="11"/>
    </row>
    <row r="545">
      <c r="A545" s="11"/>
      <c r="B545" s="11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  <c r="AC545" s="119"/>
      <c r="AD545" s="119"/>
      <c r="AE545" s="119"/>
      <c r="AF545" s="119"/>
      <c r="AG545" s="119"/>
      <c r="AH545" s="11"/>
      <c r="AI545" s="11"/>
      <c r="AJ545" s="11"/>
      <c r="AK545" s="11"/>
    </row>
    <row r="546">
      <c r="A546" s="11"/>
      <c r="B546" s="11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  <c r="AC546" s="119"/>
      <c r="AD546" s="119"/>
      <c r="AE546" s="119"/>
      <c r="AF546" s="119"/>
      <c r="AG546" s="119"/>
      <c r="AH546" s="11"/>
      <c r="AI546" s="11"/>
      <c r="AJ546" s="11"/>
      <c r="AK546" s="11"/>
    </row>
    <row r="547">
      <c r="A547" s="11"/>
      <c r="B547" s="11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  <c r="AC547" s="119"/>
      <c r="AD547" s="119"/>
      <c r="AE547" s="119"/>
      <c r="AF547" s="119"/>
      <c r="AG547" s="119"/>
      <c r="AH547" s="11"/>
      <c r="AI547" s="11"/>
      <c r="AJ547" s="11"/>
      <c r="AK547" s="11"/>
    </row>
    <row r="548">
      <c r="A548" s="11"/>
      <c r="B548" s="11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  <c r="AC548" s="119"/>
      <c r="AD548" s="119"/>
      <c r="AE548" s="119"/>
      <c r="AF548" s="119"/>
      <c r="AG548" s="119"/>
      <c r="AH548" s="11"/>
      <c r="AI548" s="11"/>
      <c r="AJ548" s="11"/>
      <c r="AK548" s="11"/>
    </row>
    <row r="549">
      <c r="A549" s="11"/>
      <c r="B549" s="11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  <c r="AC549" s="119"/>
      <c r="AD549" s="119"/>
      <c r="AE549" s="119"/>
      <c r="AF549" s="119"/>
      <c r="AG549" s="119"/>
      <c r="AH549" s="11"/>
      <c r="AI549" s="11"/>
      <c r="AJ549" s="11"/>
      <c r="AK549" s="11"/>
    </row>
    <row r="550">
      <c r="A550" s="11"/>
      <c r="B550" s="11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  <c r="AC550" s="119"/>
      <c r="AD550" s="119"/>
      <c r="AE550" s="119"/>
      <c r="AF550" s="119"/>
      <c r="AG550" s="119"/>
      <c r="AH550" s="11"/>
      <c r="AI550" s="11"/>
      <c r="AJ550" s="11"/>
      <c r="AK550" s="11"/>
    </row>
    <row r="551">
      <c r="A551" s="11"/>
      <c r="B551" s="11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  <c r="AC551" s="119"/>
      <c r="AD551" s="119"/>
      <c r="AE551" s="119"/>
      <c r="AF551" s="119"/>
      <c r="AG551" s="119"/>
      <c r="AH551" s="11"/>
      <c r="AI551" s="11"/>
      <c r="AJ551" s="11"/>
      <c r="AK551" s="11"/>
    </row>
    <row r="552">
      <c r="A552" s="11"/>
      <c r="B552" s="11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  <c r="AA552" s="119"/>
      <c r="AB552" s="119"/>
      <c r="AC552" s="119"/>
      <c r="AD552" s="119"/>
      <c r="AE552" s="119"/>
      <c r="AF552" s="119"/>
      <c r="AG552" s="119"/>
      <c r="AH552" s="11"/>
      <c r="AI552" s="11"/>
      <c r="AJ552" s="11"/>
      <c r="AK552" s="11"/>
    </row>
    <row r="553">
      <c r="A553" s="11"/>
      <c r="B553" s="11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  <c r="AA553" s="119"/>
      <c r="AB553" s="119"/>
      <c r="AC553" s="119"/>
      <c r="AD553" s="119"/>
      <c r="AE553" s="119"/>
      <c r="AF553" s="119"/>
      <c r="AG553" s="119"/>
      <c r="AH553" s="11"/>
      <c r="AI553" s="11"/>
      <c r="AJ553" s="11"/>
      <c r="AK553" s="11"/>
    </row>
    <row r="554">
      <c r="A554" s="11"/>
      <c r="B554" s="11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  <c r="AA554" s="119"/>
      <c r="AB554" s="119"/>
      <c r="AC554" s="119"/>
      <c r="AD554" s="119"/>
      <c r="AE554" s="119"/>
      <c r="AF554" s="119"/>
      <c r="AG554" s="119"/>
      <c r="AH554" s="11"/>
      <c r="AI554" s="11"/>
      <c r="AJ554" s="11"/>
      <c r="AK554" s="11"/>
    </row>
    <row r="555">
      <c r="A555" s="11"/>
      <c r="B555" s="11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  <c r="AA555" s="119"/>
      <c r="AB555" s="119"/>
      <c r="AC555" s="119"/>
      <c r="AD555" s="119"/>
      <c r="AE555" s="119"/>
      <c r="AF555" s="119"/>
      <c r="AG555" s="119"/>
      <c r="AH555" s="11"/>
      <c r="AI555" s="11"/>
      <c r="AJ555" s="11"/>
      <c r="AK555" s="11"/>
    </row>
    <row r="556">
      <c r="A556" s="11"/>
      <c r="B556" s="11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  <c r="AA556" s="119"/>
      <c r="AB556" s="119"/>
      <c r="AC556" s="119"/>
      <c r="AD556" s="119"/>
      <c r="AE556" s="119"/>
      <c r="AF556" s="119"/>
      <c r="AG556" s="119"/>
      <c r="AH556" s="11"/>
      <c r="AI556" s="11"/>
      <c r="AJ556" s="11"/>
      <c r="AK556" s="11"/>
    </row>
    <row r="557">
      <c r="A557" s="11"/>
      <c r="B557" s="11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  <c r="AA557" s="119"/>
      <c r="AB557" s="119"/>
      <c r="AC557" s="119"/>
      <c r="AD557" s="119"/>
      <c r="AE557" s="119"/>
      <c r="AF557" s="119"/>
      <c r="AG557" s="119"/>
      <c r="AH557" s="11"/>
      <c r="AI557" s="11"/>
      <c r="AJ557" s="11"/>
      <c r="AK557" s="11"/>
    </row>
    <row r="558">
      <c r="A558" s="11"/>
      <c r="B558" s="11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  <c r="AA558" s="119"/>
      <c r="AB558" s="119"/>
      <c r="AC558" s="119"/>
      <c r="AD558" s="119"/>
      <c r="AE558" s="119"/>
      <c r="AF558" s="119"/>
      <c r="AG558" s="119"/>
      <c r="AH558" s="11"/>
      <c r="AI558" s="11"/>
      <c r="AJ558" s="11"/>
      <c r="AK558" s="11"/>
    </row>
    <row r="559">
      <c r="A559" s="11"/>
      <c r="B559" s="11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  <c r="AC559" s="119"/>
      <c r="AD559" s="119"/>
      <c r="AE559" s="119"/>
      <c r="AF559" s="119"/>
      <c r="AG559" s="119"/>
      <c r="AH559" s="11"/>
      <c r="AI559" s="11"/>
      <c r="AJ559" s="11"/>
      <c r="AK559" s="11"/>
    </row>
    <row r="560">
      <c r="A560" s="11"/>
      <c r="B560" s="11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  <c r="AA560" s="119"/>
      <c r="AB560" s="119"/>
      <c r="AC560" s="119"/>
      <c r="AD560" s="119"/>
      <c r="AE560" s="119"/>
      <c r="AF560" s="119"/>
      <c r="AG560" s="119"/>
      <c r="AH560" s="11"/>
      <c r="AI560" s="11"/>
      <c r="AJ560" s="11"/>
      <c r="AK560" s="11"/>
    </row>
    <row r="561">
      <c r="A561" s="11"/>
      <c r="B561" s="11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  <c r="AC561" s="119"/>
      <c r="AD561" s="119"/>
      <c r="AE561" s="119"/>
      <c r="AF561" s="119"/>
      <c r="AG561" s="119"/>
      <c r="AH561" s="11"/>
      <c r="AI561" s="11"/>
      <c r="AJ561" s="11"/>
      <c r="AK561" s="11"/>
    </row>
    <row r="562">
      <c r="A562" s="11"/>
      <c r="B562" s="11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  <c r="AC562" s="119"/>
      <c r="AD562" s="119"/>
      <c r="AE562" s="119"/>
      <c r="AF562" s="119"/>
      <c r="AG562" s="119"/>
      <c r="AH562" s="11"/>
      <c r="AI562" s="11"/>
      <c r="AJ562" s="11"/>
      <c r="AK562" s="11"/>
    </row>
    <row r="563">
      <c r="A563" s="11"/>
      <c r="B563" s="11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  <c r="AC563" s="119"/>
      <c r="AD563" s="119"/>
      <c r="AE563" s="119"/>
      <c r="AF563" s="119"/>
      <c r="AG563" s="119"/>
      <c r="AH563" s="11"/>
      <c r="AI563" s="11"/>
      <c r="AJ563" s="11"/>
      <c r="AK563" s="11"/>
    </row>
    <row r="564">
      <c r="A564" s="11"/>
      <c r="B564" s="11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  <c r="AC564" s="119"/>
      <c r="AD564" s="119"/>
      <c r="AE564" s="119"/>
      <c r="AF564" s="119"/>
      <c r="AG564" s="119"/>
      <c r="AH564" s="11"/>
      <c r="AI564" s="11"/>
      <c r="AJ564" s="11"/>
      <c r="AK564" s="11"/>
    </row>
    <row r="565">
      <c r="A565" s="11"/>
      <c r="B565" s="11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  <c r="AC565" s="119"/>
      <c r="AD565" s="119"/>
      <c r="AE565" s="119"/>
      <c r="AF565" s="119"/>
      <c r="AG565" s="119"/>
      <c r="AH565" s="11"/>
      <c r="AI565" s="11"/>
      <c r="AJ565" s="11"/>
      <c r="AK565" s="11"/>
    </row>
    <row r="566">
      <c r="A566" s="11"/>
      <c r="B566" s="11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  <c r="AA566" s="119"/>
      <c r="AB566" s="119"/>
      <c r="AC566" s="119"/>
      <c r="AD566" s="119"/>
      <c r="AE566" s="119"/>
      <c r="AF566" s="119"/>
      <c r="AG566" s="119"/>
      <c r="AH566" s="11"/>
      <c r="AI566" s="11"/>
      <c r="AJ566" s="11"/>
      <c r="AK566" s="11"/>
    </row>
    <row r="567">
      <c r="A567" s="11"/>
      <c r="B567" s="11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  <c r="AA567" s="119"/>
      <c r="AB567" s="119"/>
      <c r="AC567" s="119"/>
      <c r="AD567" s="119"/>
      <c r="AE567" s="119"/>
      <c r="AF567" s="119"/>
      <c r="AG567" s="119"/>
      <c r="AH567" s="11"/>
      <c r="AI567" s="11"/>
      <c r="AJ567" s="11"/>
      <c r="AK567" s="11"/>
    </row>
    <row r="568">
      <c r="A568" s="11"/>
      <c r="B568" s="11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  <c r="AC568" s="119"/>
      <c r="AD568" s="119"/>
      <c r="AE568" s="119"/>
      <c r="AF568" s="119"/>
      <c r="AG568" s="119"/>
      <c r="AH568" s="11"/>
      <c r="AI568" s="11"/>
      <c r="AJ568" s="11"/>
      <c r="AK568" s="11"/>
    </row>
    <row r="569">
      <c r="A569" s="11"/>
      <c r="B569" s="11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  <c r="AC569" s="119"/>
      <c r="AD569" s="119"/>
      <c r="AE569" s="119"/>
      <c r="AF569" s="119"/>
      <c r="AG569" s="119"/>
      <c r="AH569" s="11"/>
      <c r="AI569" s="11"/>
      <c r="AJ569" s="11"/>
      <c r="AK569" s="11"/>
    </row>
    <row r="570">
      <c r="A570" s="11"/>
      <c r="B570" s="11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  <c r="AC570" s="119"/>
      <c r="AD570" s="119"/>
      <c r="AE570" s="119"/>
      <c r="AF570" s="119"/>
      <c r="AG570" s="119"/>
      <c r="AH570" s="11"/>
      <c r="AI570" s="11"/>
      <c r="AJ570" s="11"/>
      <c r="AK570" s="11"/>
    </row>
    <row r="571">
      <c r="A571" s="11"/>
      <c r="B571" s="11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  <c r="AC571" s="119"/>
      <c r="AD571" s="119"/>
      <c r="AE571" s="119"/>
      <c r="AF571" s="119"/>
      <c r="AG571" s="119"/>
      <c r="AH571" s="11"/>
      <c r="AI571" s="11"/>
      <c r="AJ571" s="11"/>
      <c r="AK571" s="11"/>
    </row>
    <row r="572">
      <c r="A572" s="11"/>
      <c r="B572" s="11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  <c r="AC572" s="119"/>
      <c r="AD572" s="119"/>
      <c r="AE572" s="119"/>
      <c r="AF572" s="119"/>
      <c r="AG572" s="119"/>
      <c r="AH572" s="11"/>
      <c r="AI572" s="11"/>
      <c r="AJ572" s="11"/>
      <c r="AK572" s="11"/>
    </row>
    <row r="573">
      <c r="A573" s="11"/>
      <c r="B573" s="11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  <c r="AC573" s="119"/>
      <c r="AD573" s="119"/>
      <c r="AE573" s="119"/>
      <c r="AF573" s="119"/>
      <c r="AG573" s="119"/>
      <c r="AH573" s="11"/>
      <c r="AI573" s="11"/>
      <c r="AJ573" s="11"/>
      <c r="AK573" s="11"/>
    </row>
    <row r="574">
      <c r="A574" s="11"/>
      <c r="B574" s="11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  <c r="AC574" s="119"/>
      <c r="AD574" s="119"/>
      <c r="AE574" s="119"/>
      <c r="AF574" s="119"/>
      <c r="AG574" s="119"/>
      <c r="AH574" s="11"/>
      <c r="AI574" s="11"/>
      <c r="AJ574" s="11"/>
      <c r="AK574" s="11"/>
    </row>
    <row r="575">
      <c r="A575" s="11"/>
      <c r="B575" s="11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  <c r="AC575" s="119"/>
      <c r="AD575" s="119"/>
      <c r="AE575" s="119"/>
      <c r="AF575" s="119"/>
      <c r="AG575" s="119"/>
      <c r="AH575" s="11"/>
      <c r="AI575" s="11"/>
      <c r="AJ575" s="11"/>
      <c r="AK575" s="11"/>
    </row>
    <row r="576">
      <c r="A576" s="11"/>
      <c r="B576" s="11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  <c r="AA576" s="119"/>
      <c r="AB576" s="119"/>
      <c r="AC576" s="119"/>
      <c r="AD576" s="119"/>
      <c r="AE576" s="119"/>
      <c r="AF576" s="119"/>
      <c r="AG576" s="119"/>
      <c r="AH576" s="11"/>
      <c r="AI576" s="11"/>
      <c r="AJ576" s="11"/>
      <c r="AK576" s="11"/>
    </row>
    <row r="577">
      <c r="A577" s="11"/>
      <c r="B577" s="11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  <c r="AC577" s="119"/>
      <c r="AD577" s="119"/>
      <c r="AE577" s="119"/>
      <c r="AF577" s="119"/>
      <c r="AG577" s="119"/>
      <c r="AH577" s="11"/>
      <c r="AI577" s="11"/>
      <c r="AJ577" s="11"/>
      <c r="AK577" s="11"/>
    </row>
    <row r="578">
      <c r="A578" s="11"/>
      <c r="B578" s="11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  <c r="AA578" s="119"/>
      <c r="AB578" s="119"/>
      <c r="AC578" s="119"/>
      <c r="AD578" s="119"/>
      <c r="AE578" s="119"/>
      <c r="AF578" s="119"/>
      <c r="AG578" s="119"/>
      <c r="AH578" s="11"/>
      <c r="AI578" s="11"/>
      <c r="AJ578" s="11"/>
      <c r="AK578" s="11"/>
    </row>
    <row r="579">
      <c r="A579" s="11"/>
      <c r="B579" s="11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  <c r="AC579" s="119"/>
      <c r="AD579" s="119"/>
      <c r="AE579" s="119"/>
      <c r="AF579" s="119"/>
      <c r="AG579" s="119"/>
      <c r="AH579" s="11"/>
      <c r="AI579" s="11"/>
      <c r="AJ579" s="11"/>
      <c r="AK579" s="11"/>
    </row>
    <row r="580">
      <c r="A580" s="11"/>
      <c r="B580" s="11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  <c r="AC580" s="119"/>
      <c r="AD580" s="119"/>
      <c r="AE580" s="119"/>
      <c r="AF580" s="119"/>
      <c r="AG580" s="119"/>
      <c r="AH580" s="11"/>
      <c r="AI580" s="11"/>
      <c r="AJ580" s="11"/>
      <c r="AK580" s="11"/>
    </row>
    <row r="581">
      <c r="A581" s="11"/>
      <c r="B581" s="11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  <c r="AC581" s="119"/>
      <c r="AD581" s="119"/>
      <c r="AE581" s="119"/>
      <c r="AF581" s="119"/>
      <c r="AG581" s="119"/>
      <c r="AH581" s="11"/>
      <c r="AI581" s="11"/>
      <c r="AJ581" s="11"/>
      <c r="AK581" s="11"/>
    </row>
    <row r="582">
      <c r="A582" s="11"/>
      <c r="B582" s="11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  <c r="AC582" s="119"/>
      <c r="AD582" s="119"/>
      <c r="AE582" s="119"/>
      <c r="AF582" s="119"/>
      <c r="AG582" s="119"/>
      <c r="AH582" s="11"/>
      <c r="AI582" s="11"/>
      <c r="AJ582" s="11"/>
      <c r="AK582" s="11"/>
    </row>
    <row r="583">
      <c r="A583" s="11"/>
      <c r="B583" s="11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  <c r="AC583" s="119"/>
      <c r="AD583" s="119"/>
      <c r="AE583" s="119"/>
      <c r="AF583" s="119"/>
      <c r="AG583" s="119"/>
      <c r="AH583" s="11"/>
      <c r="AI583" s="11"/>
      <c r="AJ583" s="11"/>
      <c r="AK583" s="11"/>
    </row>
    <row r="584">
      <c r="A584" s="11"/>
      <c r="B584" s="11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  <c r="AC584" s="119"/>
      <c r="AD584" s="119"/>
      <c r="AE584" s="119"/>
      <c r="AF584" s="119"/>
      <c r="AG584" s="119"/>
      <c r="AH584" s="11"/>
      <c r="AI584" s="11"/>
      <c r="AJ584" s="11"/>
      <c r="AK584" s="11"/>
    </row>
    <row r="585">
      <c r="A585" s="11"/>
      <c r="B585" s="11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  <c r="AC585" s="119"/>
      <c r="AD585" s="119"/>
      <c r="AE585" s="119"/>
      <c r="AF585" s="119"/>
      <c r="AG585" s="119"/>
      <c r="AH585" s="11"/>
      <c r="AI585" s="11"/>
      <c r="AJ585" s="11"/>
      <c r="AK585" s="11"/>
    </row>
    <row r="586">
      <c r="A586" s="11"/>
      <c r="B586" s="11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  <c r="AA586" s="119"/>
      <c r="AB586" s="119"/>
      <c r="AC586" s="119"/>
      <c r="AD586" s="119"/>
      <c r="AE586" s="119"/>
      <c r="AF586" s="119"/>
      <c r="AG586" s="119"/>
      <c r="AH586" s="11"/>
      <c r="AI586" s="11"/>
      <c r="AJ586" s="11"/>
      <c r="AK586" s="11"/>
    </row>
    <row r="587">
      <c r="A587" s="11"/>
      <c r="B587" s="11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  <c r="AC587" s="119"/>
      <c r="AD587" s="119"/>
      <c r="AE587" s="119"/>
      <c r="AF587" s="119"/>
      <c r="AG587" s="119"/>
      <c r="AH587" s="11"/>
      <c r="AI587" s="11"/>
      <c r="AJ587" s="11"/>
      <c r="AK587" s="11"/>
    </row>
    <row r="588">
      <c r="A588" s="11"/>
      <c r="B588" s="11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  <c r="AA588" s="119"/>
      <c r="AB588" s="119"/>
      <c r="AC588" s="119"/>
      <c r="AD588" s="119"/>
      <c r="AE588" s="119"/>
      <c r="AF588" s="119"/>
      <c r="AG588" s="119"/>
      <c r="AH588" s="11"/>
      <c r="AI588" s="11"/>
      <c r="AJ588" s="11"/>
      <c r="AK588" s="11"/>
    </row>
    <row r="589">
      <c r="A589" s="11"/>
      <c r="B589" s="11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  <c r="AA589" s="119"/>
      <c r="AB589" s="119"/>
      <c r="AC589" s="119"/>
      <c r="AD589" s="119"/>
      <c r="AE589" s="119"/>
      <c r="AF589" s="119"/>
      <c r="AG589" s="119"/>
      <c r="AH589" s="11"/>
      <c r="AI589" s="11"/>
      <c r="AJ589" s="11"/>
      <c r="AK589" s="11"/>
    </row>
    <row r="590">
      <c r="A590" s="11"/>
      <c r="B590" s="11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  <c r="AA590" s="119"/>
      <c r="AB590" s="119"/>
      <c r="AC590" s="119"/>
      <c r="AD590" s="119"/>
      <c r="AE590" s="119"/>
      <c r="AF590" s="119"/>
      <c r="AG590" s="119"/>
      <c r="AH590" s="11"/>
      <c r="AI590" s="11"/>
      <c r="AJ590" s="11"/>
      <c r="AK590" s="11"/>
    </row>
    <row r="591">
      <c r="A591" s="11"/>
      <c r="B591" s="11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  <c r="AA591" s="119"/>
      <c r="AB591" s="119"/>
      <c r="AC591" s="119"/>
      <c r="AD591" s="119"/>
      <c r="AE591" s="119"/>
      <c r="AF591" s="119"/>
      <c r="AG591" s="119"/>
      <c r="AH591" s="11"/>
      <c r="AI591" s="11"/>
      <c r="AJ591" s="11"/>
      <c r="AK591" s="11"/>
    </row>
    <row r="592">
      <c r="A592" s="11"/>
      <c r="B592" s="11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  <c r="AC592" s="119"/>
      <c r="AD592" s="119"/>
      <c r="AE592" s="119"/>
      <c r="AF592" s="119"/>
      <c r="AG592" s="119"/>
      <c r="AH592" s="11"/>
      <c r="AI592" s="11"/>
      <c r="AJ592" s="11"/>
      <c r="AK592" s="11"/>
    </row>
    <row r="593">
      <c r="A593" s="11"/>
      <c r="B593" s="11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  <c r="AC593" s="119"/>
      <c r="AD593" s="119"/>
      <c r="AE593" s="119"/>
      <c r="AF593" s="119"/>
      <c r="AG593" s="119"/>
      <c r="AH593" s="11"/>
      <c r="AI593" s="11"/>
      <c r="AJ593" s="11"/>
      <c r="AK593" s="11"/>
    </row>
    <row r="594">
      <c r="A594" s="11"/>
      <c r="B594" s="11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  <c r="AA594" s="119"/>
      <c r="AB594" s="119"/>
      <c r="AC594" s="119"/>
      <c r="AD594" s="119"/>
      <c r="AE594" s="119"/>
      <c r="AF594" s="119"/>
      <c r="AG594" s="119"/>
      <c r="AH594" s="11"/>
      <c r="AI594" s="11"/>
      <c r="AJ594" s="11"/>
      <c r="AK594" s="11"/>
    </row>
    <row r="595">
      <c r="A595" s="11"/>
      <c r="B595" s="11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  <c r="AA595" s="119"/>
      <c r="AB595" s="119"/>
      <c r="AC595" s="119"/>
      <c r="AD595" s="119"/>
      <c r="AE595" s="119"/>
      <c r="AF595" s="119"/>
      <c r="AG595" s="119"/>
      <c r="AH595" s="11"/>
      <c r="AI595" s="11"/>
      <c r="AJ595" s="11"/>
      <c r="AK595" s="11"/>
    </row>
    <row r="596">
      <c r="A596" s="11"/>
      <c r="B596" s="11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  <c r="AC596" s="119"/>
      <c r="AD596" s="119"/>
      <c r="AE596" s="119"/>
      <c r="AF596" s="119"/>
      <c r="AG596" s="119"/>
      <c r="AH596" s="11"/>
      <c r="AI596" s="11"/>
      <c r="AJ596" s="11"/>
      <c r="AK596" s="11"/>
    </row>
    <row r="597">
      <c r="A597" s="11"/>
      <c r="B597" s="11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  <c r="AA597" s="119"/>
      <c r="AB597" s="119"/>
      <c r="AC597" s="119"/>
      <c r="AD597" s="119"/>
      <c r="AE597" s="119"/>
      <c r="AF597" s="119"/>
      <c r="AG597" s="119"/>
      <c r="AH597" s="11"/>
      <c r="AI597" s="11"/>
      <c r="AJ597" s="11"/>
      <c r="AK597" s="11"/>
    </row>
    <row r="598">
      <c r="A598" s="11"/>
      <c r="B598" s="11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  <c r="AC598" s="119"/>
      <c r="AD598" s="119"/>
      <c r="AE598" s="119"/>
      <c r="AF598" s="119"/>
      <c r="AG598" s="119"/>
      <c r="AH598" s="11"/>
      <c r="AI598" s="11"/>
      <c r="AJ598" s="11"/>
      <c r="AK598" s="11"/>
    </row>
    <row r="599">
      <c r="A599" s="11"/>
      <c r="B599" s="11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  <c r="AA599" s="119"/>
      <c r="AB599" s="119"/>
      <c r="AC599" s="119"/>
      <c r="AD599" s="119"/>
      <c r="AE599" s="119"/>
      <c r="AF599" s="119"/>
      <c r="AG599" s="119"/>
      <c r="AH599" s="11"/>
      <c r="AI599" s="11"/>
      <c r="AJ599" s="11"/>
      <c r="AK599" s="11"/>
    </row>
    <row r="600">
      <c r="A600" s="11"/>
      <c r="B600" s="11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  <c r="AC600" s="119"/>
      <c r="AD600" s="119"/>
      <c r="AE600" s="119"/>
      <c r="AF600" s="119"/>
      <c r="AG600" s="119"/>
      <c r="AH600" s="11"/>
      <c r="AI600" s="11"/>
      <c r="AJ600" s="11"/>
      <c r="AK600" s="11"/>
    </row>
    <row r="601">
      <c r="A601" s="11"/>
      <c r="B601" s="11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  <c r="AA601" s="119"/>
      <c r="AB601" s="119"/>
      <c r="AC601" s="119"/>
      <c r="AD601" s="119"/>
      <c r="AE601" s="119"/>
      <c r="AF601" s="119"/>
      <c r="AG601" s="119"/>
      <c r="AH601" s="11"/>
      <c r="AI601" s="11"/>
      <c r="AJ601" s="11"/>
      <c r="AK601" s="11"/>
    </row>
    <row r="602">
      <c r="A602" s="11"/>
      <c r="B602" s="11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  <c r="AC602" s="119"/>
      <c r="AD602" s="119"/>
      <c r="AE602" s="119"/>
      <c r="AF602" s="119"/>
      <c r="AG602" s="119"/>
      <c r="AH602" s="11"/>
      <c r="AI602" s="11"/>
      <c r="AJ602" s="11"/>
      <c r="AK602" s="11"/>
    </row>
    <row r="603">
      <c r="A603" s="11"/>
      <c r="B603" s="11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  <c r="AC603" s="119"/>
      <c r="AD603" s="119"/>
      <c r="AE603" s="119"/>
      <c r="AF603" s="119"/>
      <c r="AG603" s="119"/>
      <c r="AH603" s="11"/>
      <c r="AI603" s="11"/>
      <c r="AJ603" s="11"/>
      <c r="AK603" s="11"/>
    </row>
    <row r="604">
      <c r="A604" s="11"/>
      <c r="B604" s="11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  <c r="AC604" s="119"/>
      <c r="AD604" s="119"/>
      <c r="AE604" s="119"/>
      <c r="AF604" s="119"/>
      <c r="AG604" s="119"/>
      <c r="AH604" s="11"/>
      <c r="AI604" s="11"/>
      <c r="AJ604" s="11"/>
      <c r="AK604" s="11"/>
    </row>
    <row r="605">
      <c r="A605" s="11"/>
      <c r="B605" s="11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  <c r="AC605" s="119"/>
      <c r="AD605" s="119"/>
      <c r="AE605" s="119"/>
      <c r="AF605" s="119"/>
      <c r="AG605" s="119"/>
      <c r="AH605" s="11"/>
      <c r="AI605" s="11"/>
      <c r="AJ605" s="11"/>
      <c r="AK605" s="11"/>
    </row>
    <row r="606">
      <c r="A606" s="11"/>
      <c r="B606" s="11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  <c r="AC606" s="119"/>
      <c r="AD606" s="119"/>
      <c r="AE606" s="119"/>
      <c r="AF606" s="119"/>
      <c r="AG606" s="119"/>
      <c r="AH606" s="11"/>
      <c r="AI606" s="11"/>
      <c r="AJ606" s="11"/>
      <c r="AK606" s="11"/>
    </row>
    <row r="607">
      <c r="A607" s="11"/>
      <c r="B607" s="11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  <c r="AA607" s="119"/>
      <c r="AB607" s="119"/>
      <c r="AC607" s="119"/>
      <c r="AD607" s="119"/>
      <c r="AE607" s="119"/>
      <c r="AF607" s="119"/>
      <c r="AG607" s="119"/>
      <c r="AH607" s="11"/>
      <c r="AI607" s="11"/>
      <c r="AJ607" s="11"/>
      <c r="AK607" s="11"/>
    </row>
    <row r="608">
      <c r="A608" s="11"/>
      <c r="B608" s="11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  <c r="AC608" s="119"/>
      <c r="AD608" s="119"/>
      <c r="AE608" s="119"/>
      <c r="AF608" s="119"/>
      <c r="AG608" s="119"/>
      <c r="AH608" s="11"/>
      <c r="AI608" s="11"/>
      <c r="AJ608" s="11"/>
      <c r="AK608" s="11"/>
    </row>
    <row r="609">
      <c r="A609" s="11"/>
      <c r="B609" s="11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  <c r="AC609" s="119"/>
      <c r="AD609" s="119"/>
      <c r="AE609" s="119"/>
      <c r="AF609" s="119"/>
      <c r="AG609" s="119"/>
      <c r="AH609" s="11"/>
      <c r="AI609" s="11"/>
      <c r="AJ609" s="11"/>
      <c r="AK609" s="11"/>
    </row>
    <row r="610">
      <c r="A610" s="11"/>
      <c r="B610" s="11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  <c r="AA610" s="119"/>
      <c r="AB610" s="119"/>
      <c r="AC610" s="119"/>
      <c r="AD610" s="119"/>
      <c r="AE610" s="119"/>
      <c r="AF610" s="119"/>
      <c r="AG610" s="119"/>
      <c r="AH610" s="11"/>
      <c r="AI610" s="11"/>
      <c r="AJ610" s="11"/>
      <c r="AK610" s="11"/>
    </row>
    <row r="611">
      <c r="A611" s="11"/>
      <c r="B611" s="11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  <c r="AC611" s="119"/>
      <c r="AD611" s="119"/>
      <c r="AE611" s="119"/>
      <c r="AF611" s="119"/>
      <c r="AG611" s="119"/>
      <c r="AH611" s="11"/>
      <c r="AI611" s="11"/>
      <c r="AJ611" s="11"/>
      <c r="AK611" s="11"/>
    </row>
    <row r="612">
      <c r="A612" s="11"/>
      <c r="B612" s="11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  <c r="AC612" s="119"/>
      <c r="AD612" s="119"/>
      <c r="AE612" s="119"/>
      <c r="AF612" s="119"/>
      <c r="AG612" s="119"/>
      <c r="AH612" s="11"/>
      <c r="AI612" s="11"/>
      <c r="AJ612" s="11"/>
      <c r="AK612" s="11"/>
    </row>
    <row r="613">
      <c r="A613" s="11"/>
      <c r="B613" s="11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  <c r="AA613" s="119"/>
      <c r="AB613" s="119"/>
      <c r="AC613" s="119"/>
      <c r="AD613" s="119"/>
      <c r="AE613" s="119"/>
      <c r="AF613" s="119"/>
      <c r="AG613" s="119"/>
      <c r="AH613" s="11"/>
      <c r="AI613" s="11"/>
      <c r="AJ613" s="11"/>
      <c r="AK613" s="11"/>
    </row>
    <row r="614">
      <c r="A614" s="11"/>
      <c r="B614" s="11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  <c r="AA614" s="119"/>
      <c r="AB614" s="119"/>
      <c r="AC614" s="119"/>
      <c r="AD614" s="119"/>
      <c r="AE614" s="119"/>
      <c r="AF614" s="119"/>
      <c r="AG614" s="119"/>
      <c r="AH614" s="11"/>
      <c r="AI614" s="11"/>
      <c r="AJ614" s="11"/>
      <c r="AK614" s="11"/>
    </row>
    <row r="615">
      <c r="A615" s="11"/>
      <c r="B615" s="11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  <c r="AC615" s="119"/>
      <c r="AD615" s="119"/>
      <c r="AE615" s="119"/>
      <c r="AF615" s="119"/>
      <c r="AG615" s="119"/>
      <c r="AH615" s="11"/>
      <c r="AI615" s="11"/>
      <c r="AJ615" s="11"/>
      <c r="AK615" s="11"/>
    </row>
    <row r="616">
      <c r="A616" s="11"/>
      <c r="B616" s="11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  <c r="AA616" s="119"/>
      <c r="AB616" s="119"/>
      <c r="AC616" s="119"/>
      <c r="AD616" s="119"/>
      <c r="AE616" s="119"/>
      <c r="AF616" s="119"/>
      <c r="AG616" s="119"/>
      <c r="AH616" s="11"/>
      <c r="AI616" s="11"/>
      <c r="AJ616" s="11"/>
      <c r="AK616" s="11"/>
    </row>
    <row r="617">
      <c r="A617" s="11"/>
      <c r="B617" s="11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  <c r="AA617" s="119"/>
      <c r="AB617" s="119"/>
      <c r="AC617" s="119"/>
      <c r="AD617" s="119"/>
      <c r="AE617" s="119"/>
      <c r="AF617" s="119"/>
      <c r="AG617" s="119"/>
      <c r="AH617" s="11"/>
      <c r="AI617" s="11"/>
      <c r="AJ617" s="11"/>
      <c r="AK617" s="11"/>
    </row>
    <row r="618">
      <c r="A618" s="11"/>
      <c r="B618" s="11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  <c r="AA618" s="119"/>
      <c r="AB618" s="119"/>
      <c r="AC618" s="119"/>
      <c r="AD618" s="119"/>
      <c r="AE618" s="119"/>
      <c r="AF618" s="119"/>
      <c r="AG618" s="119"/>
      <c r="AH618" s="11"/>
      <c r="AI618" s="11"/>
      <c r="AJ618" s="11"/>
      <c r="AK618" s="11"/>
    </row>
    <row r="619">
      <c r="A619" s="11"/>
      <c r="B619" s="11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  <c r="AA619" s="119"/>
      <c r="AB619" s="119"/>
      <c r="AC619" s="119"/>
      <c r="AD619" s="119"/>
      <c r="AE619" s="119"/>
      <c r="AF619" s="119"/>
      <c r="AG619" s="119"/>
      <c r="AH619" s="11"/>
      <c r="AI619" s="11"/>
      <c r="AJ619" s="11"/>
      <c r="AK619" s="11"/>
    </row>
    <row r="620">
      <c r="A620" s="11"/>
      <c r="B620" s="11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  <c r="AA620" s="119"/>
      <c r="AB620" s="119"/>
      <c r="AC620" s="119"/>
      <c r="AD620" s="119"/>
      <c r="AE620" s="119"/>
      <c r="AF620" s="119"/>
      <c r="AG620" s="119"/>
      <c r="AH620" s="11"/>
      <c r="AI620" s="11"/>
      <c r="AJ620" s="11"/>
      <c r="AK620" s="11"/>
    </row>
    <row r="621">
      <c r="A621" s="11"/>
      <c r="B621" s="11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  <c r="AA621" s="119"/>
      <c r="AB621" s="119"/>
      <c r="AC621" s="119"/>
      <c r="AD621" s="119"/>
      <c r="AE621" s="119"/>
      <c r="AF621" s="119"/>
      <c r="AG621" s="119"/>
      <c r="AH621" s="11"/>
      <c r="AI621" s="11"/>
      <c r="AJ621" s="11"/>
      <c r="AK621" s="11"/>
    </row>
    <row r="622">
      <c r="A622" s="11"/>
      <c r="B622" s="11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  <c r="AC622" s="119"/>
      <c r="AD622" s="119"/>
      <c r="AE622" s="119"/>
      <c r="AF622" s="119"/>
      <c r="AG622" s="119"/>
      <c r="AH622" s="11"/>
      <c r="AI622" s="11"/>
      <c r="AJ622" s="11"/>
      <c r="AK622" s="11"/>
    </row>
    <row r="623">
      <c r="A623" s="11"/>
      <c r="B623" s="11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  <c r="AA623" s="119"/>
      <c r="AB623" s="119"/>
      <c r="AC623" s="119"/>
      <c r="AD623" s="119"/>
      <c r="AE623" s="119"/>
      <c r="AF623" s="119"/>
      <c r="AG623" s="119"/>
      <c r="AH623" s="11"/>
      <c r="AI623" s="11"/>
      <c r="AJ623" s="11"/>
      <c r="AK623" s="11"/>
    </row>
    <row r="624">
      <c r="A624" s="11"/>
      <c r="B624" s="11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  <c r="AA624" s="119"/>
      <c r="AB624" s="119"/>
      <c r="AC624" s="119"/>
      <c r="AD624" s="119"/>
      <c r="AE624" s="119"/>
      <c r="AF624" s="119"/>
      <c r="AG624" s="119"/>
      <c r="AH624" s="11"/>
      <c r="AI624" s="11"/>
      <c r="AJ624" s="11"/>
      <c r="AK624" s="11"/>
    </row>
    <row r="625">
      <c r="A625" s="11"/>
      <c r="B625" s="11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  <c r="AA625" s="119"/>
      <c r="AB625" s="119"/>
      <c r="AC625" s="119"/>
      <c r="AD625" s="119"/>
      <c r="AE625" s="119"/>
      <c r="AF625" s="119"/>
      <c r="AG625" s="119"/>
      <c r="AH625" s="11"/>
      <c r="AI625" s="11"/>
      <c r="AJ625" s="11"/>
      <c r="AK625" s="11"/>
    </row>
    <row r="626">
      <c r="A626" s="11"/>
      <c r="B626" s="11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  <c r="AC626" s="119"/>
      <c r="AD626" s="119"/>
      <c r="AE626" s="119"/>
      <c r="AF626" s="119"/>
      <c r="AG626" s="119"/>
      <c r="AH626" s="11"/>
      <c r="AI626" s="11"/>
      <c r="AJ626" s="11"/>
      <c r="AK626" s="11"/>
    </row>
    <row r="627">
      <c r="A627" s="11"/>
      <c r="B627" s="11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  <c r="AC627" s="119"/>
      <c r="AD627" s="119"/>
      <c r="AE627" s="119"/>
      <c r="AF627" s="119"/>
      <c r="AG627" s="119"/>
      <c r="AH627" s="11"/>
      <c r="AI627" s="11"/>
      <c r="AJ627" s="11"/>
      <c r="AK627" s="11"/>
    </row>
    <row r="628">
      <c r="A628" s="11"/>
      <c r="B628" s="11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  <c r="AA628" s="119"/>
      <c r="AB628" s="119"/>
      <c r="AC628" s="119"/>
      <c r="AD628" s="119"/>
      <c r="AE628" s="119"/>
      <c r="AF628" s="119"/>
      <c r="AG628" s="119"/>
      <c r="AH628" s="11"/>
      <c r="AI628" s="11"/>
      <c r="AJ628" s="11"/>
      <c r="AK628" s="11"/>
    </row>
    <row r="629">
      <c r="A629" s="11"/>
      <c r="B629" s="11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  <c r="AC629" s="119"/>
      <c r="AD629" s="119"/>
      <c r="AE629" s="119"/>
      <c r="AF629" s="119"/>
      <c r="AG629" s="119"/>
      <c r="AH629" s="11"/>
      <c r="AI629" s="11"/>
      <c r="AJ629" s="11"/>
      <c r="AK629" s="11"/>
    </row>
    <row r="630">
      <c r="A630" s="11"/>
      <c r="B630" s="11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  <c r="AC630" s="119"/>
      <c r="AD630" s="119"/>
      <c r="AE630" s="119"/>
      <c r="AF630" s="119"/>
      <c r="AG630" s="119"/>
      <c r="AH630" s="11"/>
      <c r="AI630" s="11"/>
      <c r="AJ630" s="11"/>
      <c r="AK630" s="11"/>
    </row>
    <row r="631">
      <c r="A631" s="11"/>
      <c r="B631" s="11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  <c r="AC631" s="119"/>
      <c r="AD631" s="119"/>
      <c r="AE631" s="119"/>
      <c r="AF631" s="119"/>
      <c r="AG631" s="119"/>
      <c r="AH631" s="11"/>
      <c r="AI631" s="11"/>
      <c r="AJ631" s="11"/>
      <c r="AK631" s="11"/>
    </row>
    <row r="632">
      <c r="A632" s="11"/>
      <c r="B632" s="11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  <c r="AC632" s="119"/>
      <c r="AD632" s="119"/>
      <c r="AE632" s="119"/>
      <c r="AF632" s="119"/>
      <c r="AG632" s="119"/>
      <c r="AH632" s="11"/>
      <c r="AI632" s="11"/>
      <c r="AJ632" s="11"/>
      <c r="AK632" s="11"/>
    </row>
    <row r="633">
      <c r="A633" s="11"/>
      <c r="B633" s="11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  <c r="AC633" s="119"/>
      <c r="AD633" s="119"/>
      <c r="AE633" s="119"/>
      <c r="AF633" s="119"/>
      <c r="AG633" s="119"/>
      <c r="AH633" s="11"/>
      <c r="AI633" s="11"/>
      <c r="AJ633" s="11"/>
      <c r="AK633" s="11"/>
    </row>
    <row r="634">
      <c r="A634" s="11"/>
      <c r="B634" s="11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  <c r="AA634" s="119"/>
      <c r="AB634" s="119"/>
      <c r="AC634" s="119"/>
      <c r="AD634" s="119"/>
      <c r="AE634" s="119"/>
      <c r="AF634" s="119"/>
      <c r="AG634" s="119"/>
      <c r="AH634" s="11"/>
      <c r="AI634" s="11"/>
      <c r="AJ634" s="11"/>
      <c r="AK634" s="11"/>
    </row>
    <row r="635">
      <c r="A635" s="11"/>
      <c r="B635" s="11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  <c r="AC635" s="119"/>
      <c r="AD635" s="119"/>
      <c r="AE635" s="119"/>
      <c r="AF635" s="119"/>
      <c r="AG635" s="119"/>
      <c r="AH635" s="11"/>
      <c r="AI635" s="11"/>
      <c r="AJ635" s="11"/>
      <c r="AK635" s="11"/>
    </row>
    <row r="636">
      <c r="A636" s="11"/>
      <c r="B636" s="11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  <c r="AC636" s="119"/>
      <c r="AD636" s="119"/>
      <c r="AE636" s="119"/>
      <c r="AF636" s="119"/>
      <c r="AG636" s="119"/>
      <c r="AH636" s="11"/>
      <c r="AI636" s="11"/>
      <c r="AJ636" s="11"/>
      <c r="AK636" s="11"/>
    </row>
    <row r="637">
      <c r="A637" s="11"/>
      <c r="B637" s="11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  <c r="AC637" s="119"/>
      <c r="AD637" s="119"/>
      <c r="AE637" s="119"/>
      <c r="AF637" s="119"/>
      <c r="AG637" s="119"/>
      <c r="AH637" s="11"/>
      <c r="AI637" s="11"/>
      <c r="AJ637" s="11"/>
      <c r="AK637" s="11"/>
    </row>
    <row r="638">
      <c r="A638" s="11"/>
      <c r="B638" s="11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  <c r="AC638" s="119"/>
      <c r="AD638" s="119"/>
      <c r="AE638" s="119"/>
      <c r="AF638" s="119"/>
      <c r="AG638" s="119"/>
      <c r="AH638" s="11"/>
      <c r="AI638" s="11"/>
      <c r="AJ638" s="11"/>
      <c r="AK638" s="11"/>
    </row>
    <row r="639">
      <c r="A639" s="11"/>
      <c r="B639" s="11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  <c r="AC639" s="119"/>
      <c r="AD639" s="119"/>
      <c r="AE639" s="119"/>
      <c r="AF639" s="119"/>
      <c r="AG639" s="119"/>
      <c r="AH639" s="11"/>
      <c r="AI639" s="11"/>
      <c r="AJ639" s="11"/>
      <c r="AK639" s="11"/>
    </row>
    <row r="640">
      <c r="A640" s="11"/>
      <c r="B640" s="11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  <c r="AC640" s="119"/>
      <c r="AD640" s="119"/>
      <c r="AE640" s="119"/>
      <c r="AF640" s="119"/>
      <c r="AG640" s="119"/>
      <c r="AH640" s="11"/>
      <c r="AI640" s="11"/>
      <c r="AJ640" s="11"/>
      <c r="AK640" s="11"/>
    </row>
    <row r="641">
      <c r="A641" s="11"/>
      <c r="B641" s="11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  <c r="AC641" s="119"/>
      <c r="AD641" s="119"/>
      <c r="AE641" s="119"/>
      <c r="AF641" s="119"/>
      <c r="AG641" s="119"/>
      <c r="AH641" s="11"/>
      <c r="AI641" s="11"/>
      <c r="AJ641" s="11"/>
      <c r="AK641" s="11"/>
    </row>
    <row r="642">
      <c r="A642" s="11"/>
      <c r="B642" s="11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  <c r="AC642" s="119"/>
      <c r="AD642" s="119"/>
      <c r="AE642" s="119"/>
      <c r="AF642" s="119"/>
      <c r="AG642" s="119"/>
      <c r="AH642" s="11"/>
      <c r="AI642" s="11"/>
      <c r="AJ642" s="11"/>
      <c r="AK642" s="11"/>
    </row>
    <row r="643">
      <c r="A643" s="11"/>
      <c r="B643" s="11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  <c r="AA643" s="119"/>
      <c r="AB643" s="119"/>
      <c r="AC643" s="119"/>
      <c r="AD643" s="119"/>
      <c r="AE643" s="119"/>
      <c r="AF643" s="119"/>
      <c r="AG643" s="119"/>
      <c r="AH643" s="11"/>
      <c r="AI643" s="11"/>
      <c r="AJ643" s="11"/>
      <c r="AK643" s="11"/>
    </row>
    <row r="644">
      <c r="A644" s="11"/>
      <c r="B644" s="11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  <c r="AC644" s="119"/>
      <c r="AD644" s="119"/>
      <c r="AE644" s="119"/>
      <c r="AF644" s="119"/>
      <c r="AG644" s="119"/>
      <c r="AH644" s="11"/>
      <c r="AI644" s="11"/>
      <c r="AJ644" s="11"/>
      <c r="AK644" s="11"/>
    </row>
    <row r="645">
      <c r="A645" s="11"/>
      <c r="B645" s="11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  <c r="AC645" s="119"/>
      <c r="AD645" s="119"/>
      <c r="AE645" s="119"/>
      <c r="AF645" s="119"/>
      <c r="AG645" s="119"/>
      <c r="AH645" s="11"/>
      <c r="AI645" s="11"/>
      <c r="AJ645" s="11"/>
      <c r="AK645" s="11"/>
    </row>
    <row r="646">
      <c r="A646" s="11"/>
      <c r="B646" s="11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  <c r="AC646" s="119"/>
      <c r="AD646" s="119"/>
      <c r="AE646" s="119"/>
      <c r="AF646" s="119"/>
      <c r="AG646" s="119"/>
      <c r="AH646" s="11"/>
      <c r="AI646" s="11"/>
      <c r="AJ646" s="11"/>
      <c r="AK646" s="11"/>
    </row>
    <row r="647">
      <c r="A647" s="11"/>
      <c r="B647" s="11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  <c r="AC647" s="119"/>
      <c r="AD647" s="119"/>
      <c r="AE647" s="119"/>
      <c r="AF647" s="119"/>
      <c r="AG647" s="119"/>
      <c r="AH647" s="11"/>
      <c r="AI647" s="11"/>
      <c r="AJ647" s="11"/>
      <c r="AK647" s="11"/>
    </row>
    <row r="648">
      <c r="A648" s="11"/>
      <c r="B648" s="11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  <c r="AC648" s="119"/>
      <c r="AD648" s="119"/>
      <c r="AE648" s="119"/>
      <c r="AF648" s="119"/>
      <c r="AG648" s="119"/>
      <c r="AH648" s="11"/>
      <c r="AI648" s="11"/>
      <c r="AJ648" s="11"/>
      <c r="AK648" s="11"/>
    </row>
    <row r="649">
      <c r="A649" s="11"/>
      <c r="B649" s="11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  <c r="AC649" s="119"/>
      <c r="AD649" s="119"/>
      <c r="AE649" s="119"/>
      <c r="AF649" s="119"/>
      <c r="AG649" s="119"/>
      <c r="AH649" s="11"/>
      <c r="AI649" s="11"/>
      <c r="AJ649" s="11"/>
      <c r="AK649" s="11"/>
    </row>
    <row r="650">
      <c r="A650" s="11"/>
      <c r="B650" s="11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  <c r="AC650" s="119"/>
      <c r="AD650" s="119"/>
      <c r="AE650" s="119"/>
      <c r="AF650" s="119"/>
      <c r="AG650" s="119"/>
      <c r="AH650" s="11"/>
      <c r="AI650" s="11"/>
      <c r="AJ650" s="11"/>
      <c r="AK650" s="11"/>
    </row>
    <row r="651">
      <c r="A651" s="11"/>
      <c r="B651" s="11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  <c r="AC651" s="119"/>
      <c r="AD651" s="119"/>
      <c r="AE651" s="119"/>
      <c r="AF651" s="119"/>
      <c r="AG651" s="119"/>
      <c r="AH651" s="11"/>
      <c r="AI651" s="11"/>
      <c r="AJ651" s="11"/>
      <c r="AK651" s="11"/>
    </row>
    <row r="652">
      <c r="A652" s="11"/>
      <c r="B652" s="11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  <c r="AA652" s="119"/>
      <c r="AB652" s="119"/>
      <c r="AC652" s="119"/>
      <c r="AD652" s="119"/>
      <c r="AE652" s="119"/>
      <c r="AF652" s="119"/>
      <c r="AG652" s="119"/>
      <c r="AH652" s="11"/>
      <c r="AI652" s="11"/>
      <c r="AJ652" s="11"/>
      <c r="AK652" s="11"/>
    </row>
    <row r="653">
      <c r="A653" s="11"/>
      <c r="B653" s="11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  <c r="AC653" s="119"/>
      <c r="AD653" s="119"/>
      <c r="AE653" s="119"/>
      <c r="AF653" s="119"/>
      <c r="AG653" s="119"/>
      <c r="AH653" s="11"/>
      <c r="AI653" s="11"/>
      <c r="AJ653" s="11"/>
      <c r="AK653" s="11"/>
    </row>
    <row r="654">
      <c r="A654" s="11"/>
      <c r="B654" s="11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  <c r="AC654" s="119"/>
      <c r="AD654" s="119"/>
      <c r="AE654" s="119"/>
      <c r="AF654" s="119"/>
      <c r="AG654" s="119"/>
      <c r="AH654" s="11"/>
      <c r="AI654" s="11"/>
      <c r="AJ654" s="11"/>
      <c r="AK654" s="11"/>
    </row>
    <row r="655">
      <c r="A655" s="11"/>
      <c r="B655" s="11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  <c r="AC655" s="119"/>
      <c r="AD655" s="119"/>
      <c r="AE655" s="119"/>
      <c r="AF655" s="119"/>
      <c r="AG655" s="119"/>
      <c r="AH655" s="11"/>
      <c r="AI655" s="11"/>
      <c r="AJ655" s="11"/>
      <c r="AK655" s="11"/>
    </row>
    <row r="656">
      <c r="A656" s="11"/>
      <c r="B656" s="11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  <c r="AC656" s="119"/>
      <c r="AD656" s="119"/>
      <c r="AE656" s="119"/>
      <c r="AF656" s="119"/>
      <c r="AG656" s="119"/>
      <c r="AH656" s="11"/>
      <c r="AI656" s="11"/>
      <c r="AJ656" s="11"/>
      <c r="AK656" s="11"/>
    </row>
    <row r="657">
      <c r="A657" s="11"/>
      <c r="B657" s="11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  <c r="AC657" s="119"/>
      <c r="AD657" s="119"/>
      <c r="AE657" s="119"/>
      <c r="AF657" s="119"/>
      <c r="AG657" s="119"/>
      <c r="AH657" s="11"/>
      <c r="AI657" s="11"/>
      <c r="AJ657" s="11"/>
      <c r="AK657" s="11"/>
    </row>
    <row r="658">
      <c r="A658" s="11"/>
      <c r="B658" s="11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  <c r="AA658" s="119"/>
      <c r="AB658" s="119"/>
      <c r="AC658" s="119"/>
      <c r="AD658" s="119"/>
      <c r="AE658" s="119"/>
      <c r="AF658" s="119"/>
      <c r="AG658" s="119"/>
      <c r="AH658" s="11"/>
      <c r="AI658" s="11"/>
      <c r="AJ658" s="11"/>
      <c r="AK658" s="11"/>
    </row>
    <row r="659">
      <c r="A659" s="11"/>
      <c r="B659" s="11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  <c r="AA659" s="119"/>
      <c r="AB659" s="119"/>
      <c r="AC659" s="119"/>
      <c r="AD659" s="119"/>
      <c r="AE659" s="119"/>
      <c r="AF659" s="119"/>
      <c r="AG659" s="119"/>
      <c r="AH659" s="11"/>
      <c r="AI659" s="11"/>
      <c r="AJ659" s="11"/>
      <c r="AK659" s="11"/>
    </row>
    <row r="660">
      <c r="A660" s="11"/>
      <c r="B660" s="11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  <c r="AC660" s="119"/>
      <c r="AD660" s="119"/>
      <c r="AE660" s="119"/>
      <c r="AF660" s="119"/>
      <c r="AG660" s="119"/>
      <c r="AH660" s="11"/>
      <c r="AI660" s="11"/>
      <c r="AJ660" s="11"/>
      <c r="AK660" s="11"/>
    </row>
    <row r="661">
      <c r="A661" s="11"/>
      <c r="B661" s="11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  <c r="AC661" s="119"/>
      <c r="AD661" s="119"/>
      <c r="AE661" s="119"/>
      <c r="AF661" s="119"/>
      <c r="AG661" s="119"/>
      <c r="AH661" s="11"/>
      <c r="AI661" s="11"/>
      <c r="AJ661" s="11"/>
      <c r="AK661" s="11"/>
    </row>
    <row r="662">
      <c r="A662" s="11"/>
      <c r="B662" s="11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  <c r="AC662" s="119"/>
      <c r="AD662" s="119"/>
      <c r="AE662" s="119"/>
      <c r="AF662" s="119"/>
      <c r="AG662" s="119"/>
      <c r="AH662" s="11"/>
      <c r="AI662" s="11"/>
      <c r="AJ662" s="11"/>
      <c r="AK662" s="11"/>
    </row>
    <row r="663">
      <c r="A663" s="11"/>
      <c r="B663" s="11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  <c r="AC663" s="119"/>
      <c r="AD663" s="119"/>
      <c r="AE663" s="119"/>
      <c r="AF663" s="119"/>
      <c r="AG663" s="119"/>
      <c r="AH663" s="11"/>
      <c r="AI663" s="11"/>
      <c r="AJ663" s="11"/>
      <c r="AK663" s="11"/>
    </row>
    <row r="664">
      <c r="A664" s="11"/>
      <c r="B664" s="11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  <c r="AC664" s="119"/>
      <c r="AD664" s="119"/>
      <c r="AE664" s="119"/>
      <c r="AF664" s="119"/>
      <c r="AG664" s="119"/>
      <c r="AH664" s="11"/>
      <c r="AI664" s="11"/>
      <c r="AJ664" s="11"/>
      <c r="AK664" s="11"/>
    </row>
    <row r="665">
      <c r="A665" s="11"/>
      <c r="B665" s="11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  <c r="AC665" s="119"/>
      <c r="AD665" s="119"/>
      <c r="AE665" s="119"/>
      <c r="AF665" s="119"/>
      <c r="AG665" s="119"/>
      <c r="AH665" s="11"/>
      <c r="AI665" s="11"/>
      <c r="AJ665" s="11"/>
      <c r="AK665" s="11"/>
    </row>
    <row r="666">
      <c r="A666" s="11"/>
      <c r="B666" s="11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  <c r="AC666" s="119"/>
      <c r="AD666" s="119"/>
      <c r="AE666" s="119"/>
      <c r="AF666" s="119"/>
      <c r="AG666" s="119"/>
      <c r="AH666" s="11"/>
      <c r="AI666" s="11"/>
      <c r="AJ666" s="11"/>
      <c r="AK666" s="11"/>
    </row>
    <row r="667">
      <c r="A667" s="11"/>
      <c r="B667" s="11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  <c r="AC667" s="119"/>
      <c r="AD667" s="119"/>
      <c r="AE667" s="119"/>
      <c r="AF667" s="119"/>
      <c r="AG667" s="119"/>
      <c r="AH667" s="11"/>
      <c r="AI667" s="11"/>
      <c r="AJ667" s="11"/>
      <c r="AK667" s="11"/>
    </row>
    <row r="668">
      <c r="A668" s="11"/>
      <c r="B668" s="11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  <c r="AA668" s="119"/>
      <c r="AB668" s="119"/>
      <c r="AC668" s="119"/>
      <c r="AD668" s="119"/>
      <c r="AE668" s="119"/>
      <c r="AF668" s="119"/>
      <c r="AG668" s="119"/>
      <c r="AH668" s="11"/>
      <c r="AI668" s="11"/>
      <c r="AJ668" s="11"/>
      <c r="AK668" s="11"/>
    </row>
    <row r="669">
      <c r="A669" s="11"/>
      <c r="B669" s="11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  <c r="AC669" s="119"/>
      <c r="AD669" s="119"/>
      <c r="AE669" s="119"/>
      <c r="AF669" s="119"/>
      <c r="AG669" s="119"/>
      <c r="AH669" s="11"/>
      <c r="AI669" s="11"/>
      <c r="AJ669" s="11"/>
      <c r="AK669" s="11"/>
    </row>
    <row r="670">
      <c r="A670" s="11"/>
      <c r="B670" s="11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  <c r="AA670" s="119"/>
      <c r="AB670" s="119"/>
      <c r="AC670" s="119"/>
      <c r="AD670" s="119"/>
      <c r="AE670" s="119"/>
      <c r="AF670" s="119"/>
      <c r="AG670" s="119"/>
      <c r="AH670" s="11"/>
      <c r="AI670" s="11"/>
      <c r="AJ670" s="11"/>
      <c r="AK670" s="11"/>
    </row>
    <row r="671">
      <c r="A671" s="11"/>
      <c r="B671" s="11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  <c r="AC671" s="119"/>
      <c r="AD671" s="119"/>
      <c r="AE671" s="119"/>
      <c r="AF671" s="119"/>
      <c r="AG671" s="119"/>
      <c r="AH671" s="11"/>
      <c r="AI671" s="11"/>
      <c r="AJ671" s="11"/>
      <c r="AK671" s="11"/>
    </row>
    <row r="672">
      <c r="A672" s="11"/>
      <c r="B672" s="11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  <c r="AC672" s="119"/>
      <c r="AD672" s="119"/>
      <c r="AE672" s="119"/>
      <c r="AF672" s="119"/>
      <c r="AG672" s="119"/>
      <c r="AH672" s="11"/>
      <c r="AI672" s="11"/>
      <c r="AJ672" s="11"/>
      <c r="AK672" s="11"/>
    </row>
    <row r="673">
      <c r="A673" s="11"/>
      <c r="B673" s="11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  <c r="AC673" s="119"/>
      <c r="AD673" s="119"/>
      <c r="AE673" s="119"/>
      <c r="AF673" s="119"/>
      <c r="AG673" s="119"/>
      <c r="AH673" s="11"/>
      <c r="AI673" s="11"/>
      <c r="AJ673" s="11"/>
      <c r="AK673" s="11"/>
    </row>
    <row r="674">
      <c r="A674" s="11"/>
      <c r="B674" s="11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  <c r="AC674" s="119"/>
      <c r="AD674" s="119"/>
      <c r="AE674" s="119"/>
      <c r="AF674" s="119"/>
      <c r="AG674" s="119"/>
      <c r="AH674" s="11"/>
      <c r="AI674" s="11"/>
      <c r="AJ674" s="11"/>
      <c r="AK674" s="11"/>
    </row>
    <row r="675">
      <c r="A675" s="11"/>
      <c r="B675" s="11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  <c r="AC675" s="119"/>
      <c r="AD675" s="119"/>
      <c r="AE675" s="119"/>
      <c r="AF675" s="119"/>
      <c r="AG675" s="119"/>
      <c r="AH675" s="11"/>
      <c r="AI675" s="11"/>
      <c r="AJ675" s="11"/>
      <c r="AK675" s="11"/>
    </row>
    <row r="676">
      <c r="A676" s="11"/>
      <c r="B676" s="11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  <c r="AC676" s="119"/>
      <c r="AD676" s="119"/>
      <c r="AE676" s="119"/>
      <c r="AF676" s="119"/>
      <c r="AG676" s="119"/>
      <c r="AH676" s="11"/>
      <c r="AI676" s="11"/>
      <c r="AJ676" s="11"/>
      <c r="AK676" s="11"/>
    </row>
    <row r="677">
      <c r="A677" s="11"/>
      <c r="B677" s="11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  <c r="AC677" s="119"/>
      <c r="AD677" s="119"/>
      <c r="AE677" s="119"/>
      <c r="AF677" s="119"/>
      <c r="AG677" s="119"/>
      <c r="AH677" s="11"/>
      <c r="AI677" s="11"/>
      <c r="AJ677" s="11"/>
      <c r="AK677" s="11"/>
    </row>
    <row r="678">
      <c r="A678" s="11"/>
      <c r="B678" s="11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  <c r="AA678" s="119"/>
      <c r="AB678" s="119"/>
      <c r="AC678" s="119"/>
      <c r="AD678" s="119"/>
      <c r="AE678" s="119"/>
      <c r="AF678" s="119"/>
      <c r="AG678" s="119"/>
      <c r="AH678" s="11"/>
      <c r="AI678" s="11"/>
      <c r="AJ678" s="11"/>
      <c r="AK678" s="11"/>
    </row>
    <row r="679">
      <c r="A679" s="11"/>
      <c r="B679" s="11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  <c r="AA679" s="119"/>
      <c r="AB679" s="119"/>
      <c r="AC679" s="119"/>
      <c r="AD679" s="119"/>
      <c r="AE679" s="119"/>
      <c r="AF679" s="119"/>
      <c r="AG679" s="119"/>
      <c r="AH679" s="11"/>
      <c r="AI679" s="11"/>
      <c r="AJ679" s="11"/>
      <c r="AK679" s="11"/>
    </row>
    <row r="680">
      <c r="A680" s="11"/>
      <c r="B680" s="11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  <c r="AA680" s="119"/>
      <c r="AB680" s="119"/>
      <c r="AC680" s="119"/>
      <c r="AD680" s="119"/>
      <c r="AE680" s="119"/>
      <c r="AF680" s="119"/>
      <c r="AG680" s="119"/>
      <c r="AH680" s="11"/>
      <c r="AI680" s="11"/>
      <c r="AJ680" s="11"/>
      <c r="AK680" s="11"/>
    </row>
    <row r="681">
      <c r="A681" s="11"/>
      <c r="B681" s="11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  <c r="AA681" s="119"/>
      <c r="AB681" s="119"/>
      <c r="AC681" s="119"/>
      <c r="AD681" s="119"/>
      <c r="AE681" s="119"/>
      <c r="AF681" s="119"/>
      <c r="AG681" s="119"/>
      <c r="AH681" s="11"/>
      <c r="AI681" s="11"/>
      <c r="AJ681" s="11"/>
      <c r="AK681" s="11"/>
    </row>
    <row r="682">
      <c r="A682" s="11"/>
      <c r="B682" s="11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  <c r="AA682" s="119"/>
      <c r="AB682" s="119"/>
      <c r="AC682" s="119"/>
      <c r="AD682" s="119"/>
      <c r="AE682" s="119"/>
      <c r="AF682" s="119"/>
      <c r="AG682" s="119"/>
      <c r="AH682" s="11"/>
      <c r="AI682" s="11"/>
      <c r="AJ682" s="11"/>
      <c r="AK682" s="11"/>
    </row>
    <row r="683">
      <c r="A683" s="11"/>
      <c r="B683" s="11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  <c r="AA683" s="119"/>
      <c r="AB683" s="119"/>
      <c r="AC683" s="119"/>
      <c r="AD683" s="119"/>
      <c r="AE683" s="119"/>
      <c r="AF683" s="119"/>
      <c r="AG683" s="119"/>
      <c r="AH683" s="11"/>
      <c r="AI683" s="11"/>
      <c r="AJ683" s="11"/>
      <c r="AK683" s="11"/>
    </row>
    <row r="684">
      <c r="A684" s="11"/>
      <c r="B684" s="11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  <c r="AA684" s="119"/>
      <c r="AB684" s="119"/>
      <c r="AC684" s="119"/>
      <c r="AD684" s="119"/>
      <c r="AE684" s="119"/>
      <c r="AF684" s="119"/>
      <c r="AG684" s="119"/>
      <c r="AH684" s="11"/>
      <c r="AI684" s="11"/>
      <c r="AJ684" s="11"/>
      <c r="AK684" s="11"/>
    </row>
    <row r="685">
      <c r="A685" s="11"/>
      <c r="B685" s="11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  <c r="AC685" s="119"/>
      <c r="AD685" s="119"/>
      <c r="AE685" s="119"/>
      <c r="AF685" s="119"/>
      <c r="AG685" s="119"/>
      <c r="AH685" s="11"/>
      <c r="AI685" s="11"/>
      <c r="AJ685" s="11"/>
      <c r="AK685" s="11"/>
    </row>
    <row r="686">
      <c r="A686" s="11"/>
      <c r="B686" s="11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  <c r="AA686" s="119"/>
      <c r="AB686" s="119"/>
      <c r="AC686" s="119"/>
      <c r="AD686" s="119"/>
      <c r="AE686" s="119"/>
      <c r="AF686" s="119"/>
      <c r="AG686" s="119"/>
      <c r="AH686" s="11"/>
      <c r="AI686" s="11"/>
      <c r="AJ686" s="11"/>
      <c r="AK686" s="11"/>
    </row>
    <row r="687">
      <c r="A687" s="11"/>
      <c r="B687" s="11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  <c r="AC687" s="119"/>
      <c r="AD687" s="119"/>
      <c r="AE687" s="119"/>
      <c r="AF687" s="119"/>
      <c r="AG687" s="119"/>
      <c r="AH687" s="11"/>
      <c r="AI687" s="11"/>
      <c r="AJ687" s="11"/>
      <c r="AK687" s="11"/>
    </row>
    <row r="688">
      <c r="A688" s="11"/>
      <c r="B688" s="11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  <c r="AA688" s="119"/>
      <c r="AB688" s="119"/>
      <c r="AC688" s="119"/>
      <c r="AD688" s="119"/>
      <c r="AE688" s="119"/>
      <c r="AF688" s="119"/>
      <c r="AG688" s="119"/>
      <c r="AH688" s="11"/>
      <c r="AI688" s="11"/>
      <c r="AJ688" s="11"/>
      <c r="AK688" s="11"/>
    </row>
    <row r="689">
      <c r="A689" s="11"/>
      <c r="B689" s="11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  <c r="AA689" s="119"/>
      <c r="AB689" s="119"/>
      <c r="AC689" s="119"/>
      <c r="AD689" s="119"/>
      <c r="AE689" s="119"/>
      <c r="AF689" s="119"/>
      <c r="AG689" s="119"/>
      <c r="AH689" s="11"/>
      <c r="AI689" s="11"/>
      <c r="AJ689" s="11"/>
      <c r="AK689" s="11"/>
    </row>
    <row r="690">
      <c r="A690" s="11"/>
      <c r="B690" s="11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  <c r="AA690" s="119"/>
      <c r="AB690" s="119"/>
      <c r="AC690" s="119"/>
      <c r="AD690" s="119"/>
      <c r="AE690" s="119"/>
      <c r="AF690" s="119"/>
      <c r="AG690" s="119"/>
      <c r="AH690" s="11"/>
      <c r="AI690" s="11"/>
      <c r="AJ690" s="11"/>
      <c r="AK690" s="11"/>
    </row>
    <row r="691">
      <c r="A691" s="11"/>
      <c r="B691" s="11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  <c r="AA691" s="119"/>
      <c r="AB691" s="119"/>
      <c r="AC691" s="119"/>
      <c r="AD691" s="119"/>
      <c r="AE691" s="119"/>
      <c r="AF691" s="119"/>
      <c r="AG691" s="119"/>
      <c r="AH691" s="11"/>
      <c r="AI691" s="11"/>
      <c r="AJ691" s="11"/>
      <c r="AK691" s="11"/>
    </row>
    <row r="692">
      <c r="A692" s="11"/>
      <c r="B692" s="11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  <c r="AA692" s="119"/>
      <c r="AB692" s="119"/>
      <c r="AC692" s="119"/>
      <c r="AD692" s="119"/>
      <c r="AE692" s="119"/>
      <c r="AF692" s="119"/>
      <c r="AG692" s="119"/>
      <c r="AH692" s="11"/>
      <c r="AI692" s="11"/>
      <c r="AJ692" s="11"/>
      <c r="AK692" s="11"/>
    </row>
    <row r="693">
      <c r="A693" s="11"/>
      <c r="B693" s="11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  <c r="AA693" s="119"/>
      <c r="AB693" s="119"/>
      <c r="AC693" s="119"/>
      <c r="AD693" s="119"/>
      <c r="AE693" s="119"/>
      <c r="AF693" s="119"/>
      <c r="AG693" s="119"/>
      <c r="AH693" s="11"/>
      <c r="AI693" s="11"/>
      <c r="AJ693" s="11"/>
      <c r="AK693" s="11"/>
    </row>
    <row r="694">
      <c r="A694" s="11"/>
      <c r="B694" s="11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  <c r="AA694" s="119"/>
      <c r="AB694" s="119"/>
      <c r="AC694" s="119"/>
      <c r="AD694" s="119"/>
      <c r="AE694" s="119"/>
      <c r="AF694" s="119"/>
      <c r="AG694" s="119"/>
      <c r="AH694" s="11"/>
      <c r="AI694" s="11"/>
      <c r="AJ694" s="11"/>
      <c r="AK694" s="11"/>
    </row>
    <row r="695">
      <c r="A695" s="11"/>
      <c r="B695" s="11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  <c r="AA695" s="119"/>
      <c r="AB695" s="119"/>
      <c r="AC695" s="119"/>
      <c r="AD695" s="119"/>
      <c r="AE695" s="119"/>
      <c r="AF695" s="119"/>
      <c r="AG695" s="119"/>
      <c r="AH695" s="11"/>
      <c r="AI695" s="11"/>
      <c r="AJ695" s="11"/>
      <c r="AK695" s="11"/>
    </row>
    <row r="696">
      <c r="A696" s="11"/>
      <c r="B696" s="11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  <c r="AA696" s="119"/>
      <c r="AB696" s="119"/>
      <c r="AC696" s="119"/>
      <c r="AD696" s="119"/>
      <c r="AE696" s="119"/>
      <c r="AF696" s="119"/>
      <c r="AG696" s="119"/>
      <c r="AH696" s="11"/>
      <c r="AI696" s="11"/>
      <c r="AJ696" s="11"/>
      <c r="AK696" s="11"/>
    </row>
    <row r="697">
      <c r="A697" s="11"/>
      <c r="B697" s="11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  <c r="AA697" s="119"/>
      <c r="AB697" s="119"/>
      <c r="AC697" s="119"/>
      <c r="AD697" s="119"/>
      <c r="AE697" s="119"/>
      <c r="AF697" s="119"/>
      <c r="AG697" s="119"/>
      <c r="AH697" s="11"/>
      <c r="AI697" s="11"/>
      <c r="AJ697" s="11"/>
      <c r="AK697" s="11"/>
    </row>
    <row r="698">
      <c r="A698" s="11"/>
      <c r="B698" s="11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  <c r="AA698" s="119"/>
      <c r="AB698" s="119"/>
      <c r="AC698" s="119"/>
      <c r="AD698" s="119"/>
      <c r="AE698" s="119"/>
      <c r="AF698" s="119"/>
      <c r="AG698" s="119"/>
      <c r="AH698" s="11"/>
      <c r="AI698" s="11"/>
      <c r="AJ698" s="11"/>
      <c r="AK698" s="11"/>
    </row>
    <row r="699">
      <c r="A699" s="11"/>
      <c r="B699" s="11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  <c r="AA699" s="119"/>
      <c r="AB699" s="119"/>
      <c r="AC699" s="119"/>
      <c r="AD699" s="119"/>
      <c r="AE699" s="119"/>
      <c r="AF699" s="119"/>
      <c r="AG699" s="119"/>
      <c r="AH699" s="11"/>
      <c r="AI699" s="11"/>
      <c r="AJ699" s="11"/>
      <c r="AK699" s="11"/>
    </row>
    <row r="700">
      <c r="A700" s="11"/>
      <c r="B700" s="11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  <c r="AA700" s="119"/>
      <c r="AB700" s="119"/>
      <c r="AC700" s="119"/>
      <c r="AD700" s="119"/>
      <c r="AE700" s="119"/>
      <c r="AF700" s="119"/>
      <c r="AG700" s="119"/>
      <c r="AH700" s="11"/>
      <c r="AI700" s="11"/>
      <c r="AJ700" s="11"/>
      <c r="AK700" s="11"/>
    </row>
    <row r="701">
      <c r="A701" s="11"/>
      <c r="B701" s="11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  <c r="AA701" s="119"/>
      <c r="AB701" s="119"/>
      <c r="AC701" s="119"/>
      <c r="AD701" s="119"/>
      <c r="AE701" s="119"/>
      <c r="AF701" s="119"/>
      <c r="AG701" s="119"/>
      <c r="AH701" s="11"/>
      <c r="AI701" s="11"/>
      <c r="AJ701" s="11"/>
      <c r="AK701" s="11"/>
    </row>
    <row r="702">
      <c r="A702" s="11"/>
      <c r="B702" s="11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  <c r="AC702" s="119"/>
      <c r="AD702" s="119"/>
      <c r="AE702" s="119"/>
      <c r="AF702" s="119"/>
      <c r="AG702" s="119"/>
      <c r="AH702" s="11"/>
      <c r="AI702" s="11"/>
      <c r="AJ702" s="11"/>
      <c r="AK702" s="11"/>
    </row>
    <row r="703">
      <c r="A703" s="11"/>
      <c r="B703" s="11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  <c r="AA703" s="119"/>
      <c r="AB703" s="119"/>
      <c r="AC703" s="119"/>
      <c r="AD703" s="119"/>
      <c r="AE703" s="119"/>
      <c r="AF703" s="119"/>
      <c r="AG703" s="119"/>
      <c r="AH703" s="11"/>
      <c r="AI703" s="11"/>
      <c r="AJ703" s="11"/>
      <c r="AK703" s="11"/>
    </row>
    <row r="704">
      <c r="A704" s="11"/>
      <c r="B704" s="11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  <c r="AA704" s="119"/>
      <c r="AB704" s="119"/>
      <c r="AC704" s="119"/>
      <c r="AD704" s="119"/>
      <c r="AE704" s="119"/>
      <c r="AF704" s="119"/>
      <c r="AG704" s="119"/>
      <c r="AH704" s="11"/>
      <c r="AI704" s="11"/>
      <c r="AJ704" s="11"/>
      <c r="AK704" s="11"/>
    </row>
    <row r="705">
      <c r="A705" s="11"/>
      <c r="B705" s="11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  <c r="AA705" s="119"/>
      <c r="AB705" s="119"/>
      <c r="AC705" s="119"/>
      <c r="AD705" s="119"/>
      <c r="AE705" s="119"/>
      <c r="AF705" s="119"/>
      <c r="AG705" s="119"/>
      <c r="AH705" s="11"/>
      <c r="AI705" s="11"/>
      <c r="AJ705" s="11"/>
      <c r="AK705" s="11"/>
    </row>
    <row r="706">
      <c r="A706" s="11"/>
      <c r="B706" s="11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  <c r="AA706" s="119"/>
      <c r="AB706" s="119"/>
      <c r="AC706" s="119"/>
      <c r="AD706" s="119"/>
      <c r="AE706" s="119"/>
      <c r="AF706" s="119"/>
      <c r="AG706" s="119"/>
      <c r="AH706" s="11"/>
      <c r="AI706" s="11"/>
      <c r="AJ706" s="11"/>
      <c r="AK706" s="11"/>
    </row>
    <row r="707">
      <c r="A707" s="11"/>
      <c r="B707" s="11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  <c r="AA707" s="119"/>
      <c r="AB707" s="119"/>
      <c r="AC707" s="119"/>
      <c r="AD707" s="119"/>
      <c r="AE707" s="119"/>
      <c r="AF707" s="119"/>
      <c r="AG707" s="119"/>
      <c r="AH707" s="11"/>
      <c r="AI707" s="11"/>
      <c r="AJ707" s="11"/>
      <c r="AK707" s="11"/>
    </row>
    <row r="708">
      <c r="A708" s="11"/>
      <c r="B708" s="11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  <c r="AA708" s="119"/>
      <c r="AB708" s="119"/>
      <c r="AC708" s="119"/>
      <c r="AD708" s="119"/>
      <c r="AE708" s="119"/>
      <c r="AF708" s="119"/>
      <c r="AG708" s="119"/>
      <c r="AH708" s="11"/>
      <c r="AI708" s="11"/>
      <c r="AJ708" s="11"/>
      <c r="AK708" s="11"/>
    </row>
    <row r="709">
      <c r="A709" s="11"/>
      <c r="B709" s="11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  <c r="AC709" s="119"/>
      <c r="AD709" s="119"/>
      <c r="AE709" s="119"/>
      <c r="AF709" s="119"/>
      <c r="AG709" s="119"/>
      <c r="AH709" s="11"/>
      <c r="AI709" s="11"/>
      <c r="AJ709" s="11"/>
      <c r="AK709" s="11"/>
    </row>
    <row r="710">
      <c r="A710" s="11"/>
      <c r="B710" s="11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  <c r="AA710" s="119"/>
      <c r="AB710" s="119"/>
      <c r="AC710" s="119"/>
      <c r="AD710" s="119"/>
      <c r="AE710" s="119"/>
      <c r="AF710" s="119"/>
      <c r="AG710" s="119"/>
      <c r="AH710" s="11"/>
      <c r="AI710" s="11"/>
      <c r="AJ710" s="11"/>
      <c r="AK710" s="11"/>
    </row>
    <row r="711">
      <c r="A711" s="11"/>
      <c r="B711" s="11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  <c r="AA711" s="119"/>
      <c r="AB711" s="119"/>
      <c r="AC711" s="119"/>
      <c r="AD711" s="119"/>
      <c r="AE711" s="119"/>
      <c r="AF711" s="119"/>
      <c r="AG711" s="119"/>
      <c r="AH711" s="11"/>
      <c r="AI711" s="11"/>
      <c r="AJ711" s="11"/>
      <c r="AK711" s="11"/>
    </row>
    <row r="712">
      <c r="A712" s="11"/>
      <c r="B712" s="11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  <c r="AA712" s="119"/>
      <c r="AB712" s="119"/>
      <c r="AC712" s="119"/>
      <c r="AD712" s="119"/>
      <c r="AE712" s="119"/>
      <c r="AF712" s="119"/>
      <c r="AG712" s="119"/>
      <c r="AH712" s="11"/>
      <c r="AI712" s="11"/>
      <c r="AJ712" s="11"/>
      <c r="AK712" s="11"/>
    </row>
    <row r="713">
      <c r="A713" s="11"/>
      <c r="B713" s="11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  <c r="AA713" s="119"/>
      <c r="AB713" s="119"/>
      <c r="AC713" s="119"/>
      <c r="AD713" s="119"/>
      <c r="AE713" s="119"/>
      <c r="AF713" s="119"/>
      <c r="AG713" s="119"/>
      <c r="AH713" s="11"/>
      <c r="AI713" s="11"/>
      <c r="AJ713" s="11"/>
      <c r="AK713" s="11"/>
    </row>
    <row r="714">
      <c r="A714" s="11"/>
      <c r="B714" s="11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  <c r="AA714" s="119"/>
      <c r="AB714" s="119"/>
      <c r="AC714" s="119"/>
      <c r="AD714" s="119"/>
      <c r="AE714" s="119"/>
      <c r="AF714" s="119"/>
      <c r="AG714" s="119"/>
      <c r="AH714" s="11"/>
      <c r="AI714" s="11"/>
      <c r="AJ714" s="11"/>
      <c r="AK714" s="11"/>
    </row>
    <row r="715">
      <c r="A715" s="11"/>
      <c r="B715" s="11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  <c r="AA715" s="119"/>
      <c r="AB715" s="119"/>
      <c r="AC715" s="119"/>
      <c r="AD715" s="119"/>
      <c r="AE715" s="119"/>
      <c r="AF715" s="119"/>
      <c r="AG715" s="119"/>
      <c r="AH715" s="11"/>
      <c r="AI715" s="11"/>
      <c r="AJ715" s="11"/>
      <c r="AK715" s="11"/>
    </row>
    <row r="716">
      <c r="A716" s="11"/>
      <c r="B716" s="11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  <c r="AA716" s="119"/>
      <c r="AB716" s="119"/>
      <c r="AC716" s="119"/>
      <c r="AD716" s="119"/>
      <c r="AE716" s="119"/>
      <c r="AF716" s="119"/>
      <c r="AG716" s="119"/>
      <c r="AH716" s="11"/>
      <c r="AI716" s="11"/>
      <c r="AJ716" s="11"/>
      <c r="AK716" s="11"/>
    </row>
    <row r="717">
      <c r="A717" s="11"/>
      <c r="B717" s="11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  <c r="AA717" s="119"/>
      <c r="AB717" s="119"/>
      <c r="AC717" s="119"/>
      <c r="AD717" s="119"/>
      <c r="AE717" s="119"/>
      <c r="AF717" s="119"/>
      <c r="AG717" s="119"/>
      <c r="AH717" s="11"/>
      <c r="AI717" s="11"/>
      <c r="AJ717" s="11"/>
      <c r="AK717" s="11"/>
    </row>
    <row r="718">
      <c r="A718" s="11"/>
      <c r="B718" s="11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  <c r="AA718" s="119"/>
      <c r="AB718" s="119"/>
      <c r="AC718" s="119"/>
      <c r="AD718" s="119"/>
      <c r="AE718" s="119"/>
      <c r="AF718" s="119"/>
      <c r="AG718" s="119"/>
      <c r="AH718" s="11"/>
      <c r="AI718" s="11"/>
      <c r="AJ718" s="11"/>
      <c r="AK718" s="11"/>
    </row>
    <row r="719">
      <c r="A719" s="11"/>
      <c r="B719" s="11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  <c r="AA719" s="119"/>
      <c r="AB719" s="119"/>
      <c r="AC719" s="119"/>
      <c r="AD719" s="119"/>
      <c r="AE719" s="119"/>
      <c r="AF719" s="119"/>
      <c r="AG719" s="119"/>
      <c r="AH719" s="11"/>
      <c r="AI719" s="11"/>
      <c r="AJ719" s="11"/>
      <c r="AK719" s="11"/>
    </row>
    <row r="720">
      <c r="A720" s="11"/>
      <c r="B720" s="11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  <c r="AA720" s="119"/>
      <c r="AB720" s="119"/>
      <c r="AC720" s="119"/>
      <c r="AD720" s="119"/>
      <c r="AE720" s="119"/>
      <c r="AF720" s="119"/>
      <c r="AG720" s="119"/>
      <c r="AH720" s="11"/>
      <c r="AI720" s="11"/>
      <c r="AJ720" s="11"/>
      <c r="AK720" s="11"/>
    </row>
    <row r="721">
      <c r="A721" s="11"/>
      <c r="B721" s="11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  <c r="AA721" s="119"/>
      <c r="AB721" s="119"/>
      <c r="AC721" s="119"/>
      <c r="AD721" s="119"/>
      <c r="AE721" s="119"/>
      <c r="AF721" s="119"/>
      <c r="AG721" s="119"/>
      <c r="AH721" s="11"/>
      <c r="AI721" s="11"/>
      <c r="AJ721" s="11"/>
      <c r="AK721" s="11"/>
    </row>
    <row r="722">
      <c r="A722" s="11"/>
      <c r="B722" s="11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  <c r="AA722" s="119"/>
      <c r="AB722" s="119"/>
      <c r="AC722" s="119"/>
      <c r="AD722" s="119"/>
      <c r="AE722" s="119"/>
      <c r="AF722" s="119"/>
      <c r="AG722" s="119"/>
      <c r="AH722" s="11"/>
      <c r="AI722" s="11"/>
      <c r="AJ722" s="11"/>
      <c r="AK722" s="11"/>
    </row>
    <row r="723">
      <c r="A723" s="11"/>
      <c r="B723" s="11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  <c r="AA723" s="119"/>
      <c r="AB723" s="119"/>
      <c r="AC723" s="119"/>
      <c r="AD723" s="119"/>
      <c r="AE723" s="119"/>
      <c r="AF723" s="119"/>
      <c r="AG723" s="119"/>
      <c r="AH723" s="11"/>
      <c r="AI723" s="11"/>
      <c r="AJ723" s="11"/>
      <c r="AK723" s="11"/>
    </row>
    <row r="724">
      <c r="A724" s="11"/>
      <c r="B724" s="11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  <c r="AA724" s="119"/>
      <c r="AB724" s="119"/>
      <c r="AC724" s="119"/>
      <c r="AD724" s="119"/>
      <c r="AE724" s="119"/>
      <c r="AF724" s="119"/>
      <c r="AG724" s="119"/>
      <c r="AH724" s="11"/>
      <c r="AI724" s="11"/>
      <c r="AJ724" s="11"/>
      <c r="AK724" s="11"/>
    </row>
    <row r="725">
      <c r="A725" s="11"/>
      <c r="B725" s="11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  <c r="AA725" s="119"/>
      <c r="AB725" s="119"/>
      <c r="AC725" s="119"/>
      <c r="AD725" s="119"/>
      <c r="AE725" s="119"/>
      <c r="AF725" s="119"/>
      <c r="AG725" s="119"/>
      <c r="AH725" s="11"/>
      <c r="AI725" s="11"/>
      <c r="AJ725" s="11"/>
      <c r="AK725" s="11"/>
    </row>
    <row r="726">
      <c r="A726" s="11"/>
      <c r="B726" s="11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  <c r="AA726" s="119"/>
      <c r="AB726" s="119"/>
      <c r="AC726" s="119"/>
      <c r="AD726" s="119"/>
      <c r="AE726" s="119"/>
      <c r="AF726" s="119"/>
      <c r="AG726" s="119"/>
      <c r="AH726" s="11"/>
      <c r="AI726" s="11"/>
      <c r="AJ726" s="11"/>
      <c r="AK726" s="11"/>
    </row>
    <row r="727">
      <c r="A727" s="11"/>
      <c r="B727" s="11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  <c r="AA727" s="119"/>
      <c r="AB727" s="119"/>
      <c r="AC727" s="119"/>
      <c r="AD727" s="119"/>
      <c r="AE727" s="119"/>
      <c r="AF727" s="119"/>
      <c r="AG727" s="119"/>
      <c r="AH727" s="11"/>
      <c r="AI727" s="11"/>
      <c r="AJ727" s="11"/>
      <c r="AK727" s="11"/>
    </row>
    <row r="728">
      <c r="A728" s="11"/>
      <c r="B728" s="11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  <c r="AA728" s="119"/>
      <c r="AB728" s="119"/>
      <c r="AC728" s="119"/>
      <c r="AD728" s="119"/>
      <c r="AE728" s="119"/>
      <c r="AF728" s="119"/>
      <c r="AG728" s="119"/>
      <c r="AH728" s="11"/>
      <c r="AI728" s="11"/>
      <c r="AJ728" s="11"/>
      <c r="AK728" s="11"/>
    </row>
    <row r="729">
      <c r="A729" s="11"/>
      <c r="B729" s="11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  <c r="AA729" s="119"/>
      <c r="AB729" s="119"/>
      <c r="AC729" s="119"/>
      <c r="AD729" s="119"/>
      <c r="AE729" s="119"/>
      <c r="AF729" s="119"/>
      <c r="AG729" s="119"/>
      <c r="AH729" s="11"/>
      <c r="AI729" s="11"/>
      <c r="AJ729" s="11"/>
      <c r="AK729" s="11"/>
    </row>
    <row r="730">
      <c r="A730" s="11"/>
      <c r="B730" s="11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  <c r="AA730" s="119"/>
      <c r="AB730" s="119"/>
      <c r="AC730" s="119"/>
      <c r="AD730" s="119"/>
      <c r="AE730" s="119"/>
      <c r="AF730" s="119"/>
      <c r="AG730" s="119"/>
      <c r="AH730" s="11"/>
      <c r="AI730" s="11"/>
      <c r="AJ730" s="11"/>
      <c r="AK730" s="11"/>
    </row>
    <row r="731">
      <c r="A731" s="11"/>
      <c r="B731" s="11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  <c r="AA731" s="119"/>
      <c r="AB731" s="119"/>
      <c r="AC731" s="119"/>
      <c r="AD731" s="119"/>
      <c r="AE731" s="119"/>
      <c r="AF731" s="119"/>
      <c r="AG731" s="119"/>
      <c r="AH731" s="11"/>
      <c r="AI731" s="11"/>
      <c r="AJ731" s="11"/>
      <c r="AK731" s="11"/>
    </row>
    <row r="732">
      <c r="A732" s="11"/>
      <c r="B732" s="11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  <c r="AA732" s="119"/>
      <c r="AB732" s="119"/>
      <c r="AC732" s="119"/>
      <c r="AD732" s="119"/>
      <c r="AE732" s="119"/>
      <c r="AF732" s="119"/>
      <c r="AG732" s="119"/>
      <c r="AH732" s="11"/>
      <c r="AI732" s="11"/>
      <c r="AJ732" s="11"/>
      <c r="AK732" s="11"/>
    </row>
    <row r="733">
      <c r="A733" s="11"/>
      <c r="B733" s="11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  <c r="AA733" s="119"/>
      <c r="AB733" s="119"/>
      <c r="AC733" s="119"/>
      <c r="AD733" s="119"/>
      <c r="AE733" s="119"/>
      <c r="AF733" s="119"/>
      <c r="AG733" s="119"/>
      <c r="AH733" s="11"/>
      <c r="AI733" s="11"/>
      <c r="AJ733" s="11"/>
      <c r="AK733" s="11"/>
    </row>
    <row r="734">
      <c r="A734" s="11"/>
      <c r="B734" s="11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  <c r="AA734" s="119"/>
      <c r="AB734" s="119"/>
      <c r="AC734" s="119"/>
      <c r="AD734" s="119"/>
      <c r="AE734" s="119"/>
      <c r="AF734" s="119"/>
      <c r="AG734" s="119"/>
      <c r="AH734" s="11"/>
      <c r="AI734" s="11"/>
      <c r="AJ734" s="11"/>
      <c r="AK734" s="11"/>
    </row>
    <row r="735">
      <c r="A735" s="11"/>
      <c r="B735" s="11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  <c r="AA735" s="119"/>
      <c r="AB735" s="119"/>
      <c r="AC735" s="119"/>
      <c r="AD735" s="119"/>
      <c r="AE735" s="119"/>
      <c r="AF735" s="119"/>
      <c r="AG735" s="119"/>
      <c r="AH735" s="11"/>
      <c r="AI735" s="11"/>
      <c r="AJ735" s="11"/>
      <c r="AK735" s="11"/>
    </row>
    <row r="736">
      <c r="A736" s="11"/>
      <c r="B736" s="11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  <c r="AA736" s="119"/>
      <c r="AB736" s="119"/>
      <c r="AC736" s="119"/>
      <c r="AD736" s="119"/>
      <c r="AE736" s="119"/>
      <c r="AF736" s="119"/>
      <c r="AG736" s="119"/>
      <c r="AH736" s="11"/>
      <c r="AI736" s="11"/>
      <c r="AJ736" s="11"/>
      <c r="AK736" s="11"/>
    </row>
    <row r="737">
      <c r="A737" s="11"/>
      <c r="B737" s="11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  <c r="AA737" s="119"/>
      <c r="AB737" s="119"/>
      <c r="AC737" s="119"/>
      <c r="AD737" s="119"/>
      <c r="AE737" s="119"/>
      <c r="AF737" s="119"/>
      <c r="AG737" s="119"/>
      <c r="AH737" s="11"/>
      <c r="AI737" s="11"/>
      <c r="AJ737" s="11"/>
      <c r="AK737" s="11"/>
    </row>
    <row r="738">
      <c r="A738" s="11"/>
      <c r="B738" s="11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  <c r="AA738" s="119"/>
      <c r="AB738" s="119"/>
      <c r="AC738" s="119"/>
      <c r="AD738" s="119"/>
      <c r="AE738" s="119"/>
      <c r="AF738" s="119"/>
      <c r="AG738" s="119"/>
      <c r="AH738" s="11"/>
      <c r="AI738" s="11"/>
      <c r="AJ738" s="11"/>
      <c r="AK738" s="11"/>
    </row>
    <row r="739">
      <c r="A739" s="11"/>
      <c r="B739" s="11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  <c r="AA739" s="119"/>
      <c r="AB739" s="119"/>
      <c r="AC739" s="119"/>
      <c r="AD739" s="119"/>
      <c r="AE739" s="119"/>
      <c r="AF739" s="119"/>
      <c r="AG739" s="119"/>
      <c r="AH739" s="11"/>
      <c r="AI739" s="11"/>
      <c r="AJ739" s="11"/>
      <c r="AK739" s="11"/>
    </row>
    <row r="740">
      <c r="A740" s="11"/>
      <c r="B740" s="11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  <c r="AA740" s="119"/>
      <c r="AB740" s="119"/>
      <c r="AC740" s="119"/>
      <c r="AD740" s="119"/>
      <c r="AE740" s="119"/>
      <c r="AF740" s="119"/>
      <c r="AG740" s="119"/>
      <c r="AH740" s="11"/>
      <c r="AI740" s="11"/>
      <c r="AJ740" s="11"/>
      <c r="AK740" s="11"/>
    </row>
    <row r="741">
      <c r="A741" s="11"/>
      <c r="B741" s="11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  <c r="AA741" s="119"/>
      <c r="AB741" s="119"/>
      <c r="AC741" s="119"/>
      <c r="AD741" s="119"/>
      <c r="AE741" s="119"/>
      <c r="AF741" s="119"/>
      <c r="AG741" s="119"/>
      <c r="AH741" s="11"/>
      <c r="AI741" s="11"/>
      <c r="AJ741" s="11"/>
      <c r="AK741" s="11"/>
    </row>
    <row r="742">
      <c r="A742" s="11"/>
      <c r="B742" s="11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  <c r="AA742" s="119"/>
      <c r="AB742" s="119"/>
      <c r="AC742" s="119"/>
      <c r="AD742" s="119"/>
      <c r="AE742" s="119"/>
      <c r="AF742" s="119"/>
      <c r="AG742" s="119"/>
      <c r="AH742" s="11"/>
      <c r="AI742" s="11"/>
      <c r="AJ742" s="11"/>
      <c r="AK742" s="11"/>
    </row>
    <row r="743">
      <c r="A743" s="11"/>
      <c r="B743" s="11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  <c r="AA743" s="119"/>
      <c r="AB743" s="119"/>
      <c r="AC743" s="119"/>
      <c r="AD743" s="119"/>
      <c r="AE743" s="119"/>
      <c r="AF743" s="119"/>
      <c r="AG743" s="119"/>
      <c r="AH743" s="11"/>
      <c r="AI743" s="11"/>
      <c r="AJ743" s="11"/>
      <c r="AK743" s="11"/>
    </row>
    <row r="744">
      <c r="A744" s="11"/>
      <c r="B744" s="11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  <c r="AA744" s="119"/>
      <c r="AB744" s="119"/>
      <c r="AC744" s="119"/>
      <c r="AD744" s="119"/>
      <c r="AE744" s="119"/>
      <c r="AF744" s="119"/>
      <c r="AG744" s="119"/>
      <c r="AH744" s="11"/>
      <c r="AI744" s="11"/>
      <c r="AJ744" s="11"/>
      <c r="AK744" s="11"/>
    </row>
    <row r="745">
      <c r="A745" s="11"/>
      <c r="B745" s="11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  <c r="AA745" s="119"/>
      <c r="AB745" s="119"/>
      <c r="AC745" s="119"/>
      <c r="AD745" s="119"/>
      <c r="AE745" s="119"/>
      <c r="AF745" s="119"/>
      <c r="AG745" s="119"/>
      <c r="AH745" s="11"/>
      <c r="AI745" s="11"/>
      <c r="AJ745" s="11"/>
      <c r="AK745" s="11"/>
    </row>
    <row r="746">
      <c r="A746" s="11"/>
      <c r="B746" s="11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  <c r="AA746" s="119"/>
      <c r="AB746" s="119"/>
      <c r="AC746" s="119"/>
      <c r="AD746" s="119"/>
      <c r="AE746" s="119"/>
      <c r="AF746" s="119"/>
      <c r="AG746" s="119"/>
      <c r="AH746" s="11"/>
      <c r="AI746" s="11"/>
      <c r="AJ746" s="11"/>
      <c r="AK746" s="11"/>
    </row>
    <row r="747">
      <c r="A747" s="11"/>
      <c r="B747" s="11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  <c r="AA747" s="119"/>
      <c r="AB747" s="119"/>
      <c r="AC747" s="119"/>
      <c r="AD747" s="119"/>
      <c r="AE747" s="119"/>
      <c r="AF747" s="119"/>
      <c r="AG747" s="119"/>
      <c r="AH747" s="11"/>
      <c r="AI747" s="11"/>
      <c r="AJ747" s="11"/>
      <c r="AK747" s="11"/>
    </row>
    <row r="748">
      <c r="A748" s="11"/>
      <c r="B748" s="11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  <c r="AA748" s="119"/>
      <c r="AB748" s="119"/>
      <c r="AC748" s="119"/>
      <c r="AD748" s="119"/>
      <c r="AE748" s="119"/>
      <c r="AF748" s="119"/>
      <c r="AG748" s="119"/>
      <c r="AH748" s="11"/>
      <c r="AI748" s="11"/>
      <c r="AJ748" s="11"/>
      <c r="AK748" s="11"/>
    </row>
    <row r="749">
      <c r="A749" s="11"/>
      <c r="B749" s="11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  <c r="AA749" s="119"/>
      <c r="AB749" s="119"/>
      <c r="AC749" s="119"/>
      <c r="AD749" s="119"/>
      <c r="AE749" s="119"/>
      <c r="AF749" s="119"/>
      <c r="AG749" s="119"/>
      <c r="AH749" s="11"/>
      <c r="AI749" s="11"/>
      <c r="AJ749" s="11"/>
      <c r="AK749" s="11"/>
    </row>
    <row r="750">
      <c r="A750" s="11"/>
      <c r="B750" s="11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  <c r="AA750" s="119"/>
      <c r="AB750" s="119"/>
      <c r="AC750" s="119"/>
      <c r="AD750" s="119"/>
      <c r="AE750" s="119"/>
      <c r="AF750" s="119"/>
      <c r="AG750" s="119"/>
      <c r="AH750" s="11"/>
      <c r="AI750" s="11"/>
      <c r="AJ750" s="11"/>
      <c r="AK750" s="11"/>
    </row>
    <row r="751">
      <c r="A751" s="11"/>
      <c r="B751" s="11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  <c r="AA751" s="119"/>
      <c r="AB751" s="119"/>
      <c r="AC751" s="119"/>
      <c r="AD751" s="119"/>
      <c r="AE751" s="119"/>
      <c r="AF751" s="119"/>
      <c r="AG751" s="119"/>
      <c r="AH751" s="11"/>
      <c r="AI751" s="11"/>
      <c r="AJ751" s="11"/>
      <c r="AK751" s="11"/>
    </row>
    <row r="752">
      <c r="A752" s="11"/>
      <c r="B752" s="11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  <c r="AA752" s="119"/>
      <c r="AB752" s="119"/>
      <c r="AC752" s="119"/>
      <c r="AD752" s="119"/>
      <c r="AE752" s="119"/>
      <c r="AF752" s="119"/>
      <c r="AG752" s="119"/>
      <c r="AH752" s="11"/>
      <c r="AI752" s="11"/>
      <c r="AJ752" s="11"/>
      <c r="AK752" s="11"/>
    </row>
    <row r="753">
      <c r="A753" s="11"/>
      <c r="B753" s="11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  <c r="AA753" s="119"/>
      <c r="AB753" s="119"/>
      <c r="AC753" s="119"/>
      <c r="AD753" s="119"/>
      <c r="AE753" s="119"/>
      <c r="AF753" s="119"/>
      <c r="AG753" s="119"/>
      <c r="AH753" s="11"/>
      <c r="AI753" s="11"/>
      <c r="AJ753" s="11"/>
      <c r="AK753" s="11"/>
    </row>
    <row r="754">
      <c r="A754" s="11"/>
      <c r="B754" s="11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  <c r="AA754" s="119"/>
      <c r="AB754" s="119"/>
      <c r="AC754" s="119"/>
      <c r="AD754" s="119"/>
      <c r="AE754" s="119"/>
      <c r="AF754" s="119"/>
      <c r="AG754" s="119"/>
      <c r="AH754" s="11"/>
      <c r="AI754" s="11"/>
      <c r="AJ754" s="11"/>
      <c r="AK754" s="11"/>
    </row>
    <row r="755">
      <c r="A755" s="11"/>
      <c r="B755" s="11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  <c r="AA755" s="119"/>
      <c r="AB755" s="119"/>
      <c r="AC755" s="119"/>
      <c r="AD755" s="119"/>
      <c r="AE755" s="119"/>
      <c r="AF755" s="119"/>
      <c r="AG755" s="119"/>
      <c r="AH755" s="11"/>
      <c r="AI755" s="11"/>
      <c r="AJ755" s="11"/>
      <c r="AK755" s="11"/>
    </row>
    <row r="756">
      <c r="A756" s="11"/>
      <c r="B756" s="11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  <c r="AA756" s="119"/>
      <c r="AB756" s="119"/>
      <c r="AC756" s="119"/>
      <c r="AD756" s="119"/>
      <c r="AE756" s="119"/>
      <c r="AF756" s="119"/>
      <c r="AG756" s="119"/>
      <c r="AH756" s="11"/>
      <c r="AI756" s="11"/>
      <c r="AJ756" s="11"/>
      <c r="AK756" s="11"/>
    </row>
    <row r="757">
      <c r="A757" s="11"/>
      <c r="B757" s="11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  <c r="AA757" s="119"/>
      <c r="AB757" s="119"/>
      <c r="AC757" s="119"/>
      <c r="AD757" s="119"/>
      <c r="AE757" s="119"/>
      <c r="AF757" s="119"/>
      <c r="AG757" s="119"/>
      <c r="AH757" s="11"/>
      <c r="AI757" s="11"/>
      <c r="AJ757" s="11"/>
      <c r="AK757" s="11"/>
    </row>
    <row r="758">
      <c r="A758" s="11"/>
      <c r="B758" s="11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  <c r="AA758" s="119"/>
      <c r="AB758" s="119"/>
      <c r="AC758" s="119"/>
      <c r="AD758" s="119"/>
      <c r="AE758" s="119"/>
      <c r="AF758" s="119"/>
      <c r="AG758" s="119"/>
      <c r="AH758" s="11"/>
      <c r="AI758" s="11"/>
      <c r="AJ758" s="11"/>
      <c r="AK758" s="11"/>
    </row>
    <row r="759">
      <c r="A759" s="11"/>
      <c r="B759" s="11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  <c r="AA759" s="119"/>
      <c r="AB759" s="119"/>
      <c r="AC759" s="119"/>
      <c r="AD759" s="119"/>
      <c r="AE759" s="119"/>
      <c r="AF759" s="119"/>
      <c r="AG759" s="119"/>
      <c r="AH759" s="11"/>
      <c r="AI759" s="11"/>
      <c r="AJ759" s="11"/>
      <c r="AK759" s="11"/>
    </row>
    <row r="760">
      <c r="A760" s="11"/>
      <c r="B760" s="11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  <c r="AA760" s="119"/>
      <c r="AB760" s="119"/>
      <c r="AC760" s="119"/>
      <c r="AD760" s="119"/>
      <c r="AE760" s="119"/>
      <c r="AF760" s="119"/>
      <c r="AG760" s="119"/>
      <c r="AH760" s="11"/>
      <c r="AI760" s="11"/>
      <c r="AJ760" s="11"/>
      <c r="AK760" s="11"/>
    </row>
    <row r="761">
      <c r="A761" s="11"/>
      <c r="B761" s="11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  <c r="AA761" s="119"/>
      <c r="AB761" s="119"/>
      <c r="AC761" s="119"/>
      <c r="AD761" s="119"/>
      <c r="AE761" s="119"/>
      <c r="AF761" s="119"/>
      <c r="AG761" s="119"/>
      <c r="AH761" s="11"/>
      <c r="AI761" s="11"/>
      <c r="AJ761" s="11"/>
      <c r="AK761" s="11"/>
    </row>
    <row r="762">
      <c r="A762" s="11"/>
      <c r="B762" s="11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  <c r="AA762" s="119"/>
      <c r="AB762" s="119"/>
      <c r="AC762" s="119"/>
      <c r="AD762" s="119"/>
      <c r="AE762" s="119"/>
      <c r="AF762" s="119"/>
      <c r="AG762" s="119"/>
      <c r="AH762" s="11"/>
      <c r="AI762" s="11"/>
      <c r="AJ762" s="11"/>
      <c r="AK762" s="11"/>
    </row>
    <row r="763">
      <c r="A763" s="11"/>
      <c r="B763" s="11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  <c r="AA763" s="119"/>
      <c r="AB763" s="119"/>
      <c r="AC763" s="119"/>
      <c r="AD763" s="119"/>
      <c r="AE763" s="119"/>
      <c r="AF763" s="119"/>
      <c r="AG763" s="119"/>
      <c r="AH763" s="11"/>
      <c r="AI763" s="11"/>
      <c r="AJ763" s="11"/>
      <c r="AK763" s="11"/>
    </row>
    <row r="764">
      <c r="A764" s="11"/>
      <c r="B764" s="11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  <c r="AA764" s="119"/>
      <c r="AB764" s="119"/>
      <c r="AC764" s="119"/>
      <c r="AD764" s="119"/>
      <c r="AE764" s="119"/>
      <c r="AF764" s="119"/>
      <c r="AG764" s="119"/>
      <c r="AH764" s="11"/>
      <c r="AI764" s="11"/>
      <c r="AJ764" s="11"/>
      <c r="AK764" s="11"/>
    </row>
    <row r="765">
      <c r="A765" s="11"/>
      <c r="B765" s="11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  <c r="AA765" s="119"/>
      <c r="AB765" s="119"/>
      <c r="AC765" s="119"/>
      <c r="AD765" s="119"/>
      <c r="AE765" s="119"/>
      <c r="AF765" s="119"/>
      <c r="AG765" s="119"/>
      <c r="AH765" s="11"/>
      <c r="AI765" s="11"/>
      <c r="AJ765" s="11"/>
      <c r="AK765" s="11"/>
    </row>
    <row r="766">
      <c r="A766" s="11"/>
      <c r="B766" s="11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  <c r="AA766" s="119"/>
      <c r="AB766" s="119"/>
      <c r="AC766" s="119"/>
      <c r="AD766" s="119"/>
      <c r="AE766" s="119"/>
      <c r="AF766" s="119"/>
      <c r="AG766" s="119"/>
      <c r="AH766" s="11"/>
      <c r="AI766" s="11"/>
      <c r="AJ766" s="11"/>
      <c r="AK766" s="11"/>
    </row>
    <row r="767">
      <c r="A767" s="11"/>
      <c r="B767" s="11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  <c r="AA767" s="119"/>
      <c r="AB767" s="119"/>
      <c r="AC767" s="119"/>
      <c r="AD767" s="119"/>
      <c r="AE767" s="119"/>
      <c r="AF767" s="119"/>
      <c r="AG767" s="119"/>
      <c r="AH767" s="11"/>
      <c r="AI767" s="11"/>
      <c r="AJ767" s="11"/>
      <c r="AK767" s="11"/>
    </row>
    <row r="768">
      <c r="A768" s="11"/>
      <c r="B768" s="11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  <c r="AA768" s="119"/>
      <c r="AB768" s="119"/>
      <c r="AC768" s="119"/>
      <c r="AD768" s="119"/>
      <c r="AE768" s="119"/>
      <c r="AF768" s="119"/>
      <c r="AG768" s="119"/>
      <c r="AH768" s="11"/>
      <c r="AI768" s="11"/>
      <c r="AJ768" s="11"/>
      <c r="AK768" s="11"/>
    </row>
    <row r="769">
      <c r="A769" s="11"/>
      <c r="B769" s="11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  <c r="AA769" s="119"/>
      <c r="AB769" s="119"/>
      <c r="AC769" s="119"/>
      <c r="AD769" s="119"/>
      <c r="AE769" s="119"/>
      <c r="AF769" s="119"/>
      <c r="AG769" s="119"/>
      <c r="AH769" s="11"/>
      <c r="AI769" s="11"/>
      <c r="AJ769" s="11"/>
      <c r="AK769" s="11"/>
    </row>
    <row r="770">
      <c r="A770" s="11"/>
      <c r="B770" s="11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  <c r="AA770" s="119"/>
      <c r="AB770" s="119"/>
      <c r="AC770" s="119"/>
      <c r="AD770" s="119"/>
      <c r="AE770" s="119"/>
      <c r="AF770" s="119"/>
      <c r="AG770" s="119"/>
      <c r="AH770" s="11"/>
      <c r="AI770" s="11"/>
      <c r="AJ770" s="11"/>
      <c r="AK770" s="11"/>
    </row>
    <row r="771">
      <c r="A771" s="11"/>
      <c r="B771" s="11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  <c r="AA771" s="119"/>
      <c r="AB771" s="119"/>
      <c r="AC771" s="119"/>
      <c r="AD771" s="119"/>
      <c r="AE771" s="119"/>
      <c r="AF771" s="119"/>
      <c r="AG771" s="119"/>
      <c r="AH771" s="11"/>
      <c r="AI771" s="11"/>
      <c r="AJ771" s="11"/>
      <c r="AK771" s="11"/>
    </row>
    <row r="772">
      <c r="A772" s="11"/>
      <c r="B772" s="11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  <c r="AA772" s="119"/>
      <c r="AB772" s="119"/>
      <c r="AC772" s="119"/>
      <c r="AD772" s="119"/>
      <c r="AE772" s="119"/>
      <c r="AF772" s="119"/>
      <c r="AG772" s="119"/>
      <c r="AH772" s="11"/>
      <c r="AI772" s="11"/>
      <c r="AJ772" s="11"/>
      <c r="AK772" s="11"/>
    </row>
    <row r="773">
      <c r="A773" s="11"/>
      <c r="B773" s="11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  <c r="AA773" s="119"/>
      <c r="AB773" s="119"/>
      <c r="AC773" s="119"/>
      <c r="AD773" s="119"/>
      <c r="AE773" s="119"/>
      <c r="AF773" s="119"/>
      <c r="AG773" s="119"/>
      <c r="AH773" s="11"/>
      <c r="AI773" s="11"/>
      <c r="AJ773" s="11"/>
      <c r="AK773" s="11"/>
    </row>
    <row r="774">
      <c r="A774" s="11"/>
      <c r="B774" s="11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  <c r="AA774" s="119"/>
      <c r="AB774" s="119"/>
      <c r="AC774" s="119"/>
      <c r="AD774" s="119"/>
      <c r="AE774" s="119"/>
      <c r="AF774" s="119"/>
      <c r="AG774" s="119"/>
      <c r="AH774" s="11"/>
      <c r="AI774" s="11"/>
      <c r="AJ774" s="11"/>
      <c r="AK774" s="11"/>
    </row>
    <row r="775">
      <c r="A775" s="11"/>
      <c r="B775" s="11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  <c r="AA775" s="119"/>
      <c r="AB775" s="119"/>
      <c r="AC775" s="119"/>
      <c r="AD775" s="119"/>
      <c r="AE775" s="119"/>
      <c r="AF775" s="119"/>
      <c r="AG775" s="119"/>
      <c r="AH775" s="11"/>
      <c r="AI775" s="11"/>
      <c r="AJ775" s="11"/>
      <c r="AK775" s="11"/>
    </row>
    <row r="776">
      <c r="A776" s="11"/>
      <c r="B776" s="11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  <c r="AA776" s="119"/>
      <c r="AB776" s="119"/>
      <c r="AC776" s="119"/>
      <c r="AD776" s="119"/>
      <c r="AE776" s="119"/>
      <c r="AF776" s="119"/>
      <c r="AG776" s="119"/>
      <c r="AH776" s="11"/>
      <c r="AI776" s="11"/>
      <c r="AJ776" s="11"/>
      <c r="AK776" s="11"/>
    </row>
    <row r="777">
      <c r="A777" s="11"/>
      <c r="B777" s="11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  <c r="AA777" s="119"/>
      <c r="AB777" s="119"/>
      <c r="AC777" s="119"/>
      <c r="AD777" s="119"/>
      <c r="AE777" s="119"/>
      <c r="AF777" s="119"/>
      <c r="AG777" s="119"/>
      <c r="AH777" s="11"/>
      <c r="AI777" s="11"/>
      <c r="AJ777" s="11"/>
      <c r="AK777" s="11"/>
    </row>
    <row r="778">
      <c r="A778" s="11"/>
      <c r="B778" s="11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  <c r="AA778" s="119"/>
      <c r="AB778" s="119"/>
      <c r="AC778" s="119"/>
      <c r="AD778" s="119"/>
      <c r="AE778" s="119"/>
      <c r="AF778" s="119"/>
      <c r="AG778" s="119"/>
      <c r="AH778" s="11"/>
      <c r="AI778" s="11"/>
      <c r="AJ778" s="11"/>
      <c r="AK778" s="11"/>
    </row>
    <row r="779">
      <c r="A779" s="11"/>
      <c r="B779" s="11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  <c r="AA779" s="119"/>
      <c r="AB779" s="119"/>
      <c r="AC779" s="119"/>
      <c r="AD779" s="119"/>
      <c r="AE779" s="119"/>
      <c r="AF779" s="119"/>
      <c r="AG779" s="119"/>
      <c r="AH779" s="11"/>
      <c r="AI779" s="11"/>
      <c r="AJ779" s="11"/>
      <c r="AK779" s="11"/>
    </row>
    <row r="780">
      <c r="A780" s="11"/>
      <c r="B780" s="11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  <c r="AA780" s="119"/>
      <c r="AB780" s="119"/>
      <c r="AC780" s="119"/>
      <c r="AD780" s="119"/>
      <c r="AE780" s="119"/>
      <c r="AF780" s="119"/>
      <c r="AG780" s="119"/>
      <c r="AH780" s="11"/>
      <c r="AI780" s="11"/>
      <c r="AJ780" s="11"/>
      <c r="AK780" s="11"/>
    </row>
    <row r="781">
      <c r="A781" s="11"/>
      <c r="B781" s="11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  <c r="AA781" s="119"/>
      <c r="AB781" s="119"/>
      <c r="AC781" s="119"/>
      <c r="AD781" s="119"/>
      <c r="AE781" s="119"/>
      <c r="AF781" s="119"/>
      <c r="AG781" s="119"/>
      <c r="AH781" s="11"/>
      <c r="AI781" s="11"/>
      <c r="AJ781" s="11"/>
      <c r="AK781" s="11"/>
    </row>
    <row r="782">
      <c r="A782" s="11"/>
      <c r="B782" s="11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  <c r="AA782" s="119"/>
      <c r="AB782" s="119"/>
      <c r="AC782" s="119"/>
      <c r="AD782" s="119"/>
      <c r="AE782" s="119"/>
      <c r="AF782" s="119"/>
      <c r="AG782" s="119"/>
      <c r="AH782" s="11"/>
      <c r="AI782" s="11"/>
      <c r="AJ782" s="11"/>
      <c r="AK782" s="11"/>
    </row>
    <row r="783">
      <c r="A783" s="11"/>
      <c r="B783" s="11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  <c r="AA783" s="119"/>
      <c r="AB783" s="119"/>
      <c r="AC783" s="119"/>
      <c r="AD783" s="119"/>
      <c r="AE783" s="119"/>
      <c r="AF783" s="119"/>
      <c r="AG783" s="119"/>
      <c r="AH783" s="11"/>
      <c r="AI783" s="11"/>
      <c r="AJ783" s="11"/>
      <c r="AK783" s="11"/>
    </row>
    <row r="784">
      <c r="A784" s="11"/>
      <c r="B784" s="11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  <c r="AA784" s="119"/>
      <c r="AB784" s="119"/>
      <c r="AC784" s="119"/>
      <c r="AD784" s="119"/>
      <c r="AE784" s="119"/>
      <c r="AF784" s="119"/>
      <c r="AG784" s="119"/>
      <c r="AH784" s="11"/>
      <c r="AI784" s="11"/>
      <c r="AJ784" s="11"/>
      <c r="AK784" s="11"/>
    </row>
    <row r="785">
      <c r="A785" s="11"/>
      <c r="B785" s="11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  <c r="AA785" s="119"/>
      <c r="AB785" s="119"/>
      <c r="AC785" s="119"/>
      <c r="AD785" s="119"/>
      <c r="AE785" s="119"/>
      <c r="AF785" s="119"/>
      <c r="AG785" s="119"/>
      <c r="AH785" s="11"/>
      <c r="AI785" s="11"/>
      <c r="AJ785" s="11"/>
      <c r="AK785" s="11"/>
    </row>
    <row r="786">
      <c r="A786" s="11"/>
      <c r="B786" s="11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  <c r="AA786" s="119"/>
      <c r="AB786" s="119"/>
      <c r="AC786" s="119"/>
      <c r="AD786" s="119"/>
      <c r="AE786" s="119"/>
      <c r="AF786" s="119"/>
      <c r="AG786" s="119"/>
      <c r="AH786" s="11"/>
      <c r="AI786" s="11"/>
      <c r="AJ786" s="11"/>
      <c r="AK786" s="11"/>
    </row>
    <row r="787">
      <c r="A787" s="11"/>
      <c r="B787" s="11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  <c r="AA787" s="119"/>
      <c r="AB787" s="119"/>
      <c r="AC787" s="119"/>
      <c r="AD787" s="119"/>
      <c r="AE787" s="119"/>
      <c r="AF787" s="119"/>
      <c r="AG787" s="119"/>
      <c r="AH787" s="11"/>
      <c r="AI787" s="11"/>
      <c r="AJ787" s="11"/>
      <c r="AK787" s="11"/>
    </row>
    <row r="788">
      <c r="A788" s="11"/>
      <c r="B788" s="11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  <c r="AA788" s="119"/>
      <c r="AB788" s="119"/>
      <c r="AC788" s="119"/>
      <c r="AD788" s="119"/>
      <c r="AE788" s="119"/>
      <c r="AF788" s="119"/>
      <c r="AG788" s="119"/>
      <c r="AH788" s="11"/>
      <c r="AI788" s="11"/>
      <c r="AJ788" s="11"/>
      <c r="AK788" s="11"/>
    </row>
    <row r="789">
      <c r="A789" s="11"/>
      <c r="B789" s="11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  <c r="AA789" s="119"/>
      <c r="AB789" s="119"/>
      <c r="AC789" s="119"/>
      <c r="AD789" s="119"/>
      <c r="AE789" s="119"/>
      <c r="AF789" s="119"/>
      <c r="AG789" s="119"/>
      <c r="AH789" s="11"/>
      <c r="AI789" s="11"/>
      <c r="AJ789" s="11"/>
      <c r="AK789" s="11"/>
    </row>
    <row r="790">
      <c r="A790" s="11"/>
      <c r="B790" s="11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  <c r="AA790" s="119"/>
      <c r="AB790" s="119"/>
      <c r="AC790" s="119"/>
      <c r="AD790" s="119"/>
      <c r="AE790" s="119"/>
      <c r="AF790" s="119"/>
      <c r="AG790" s="119"/>
      <c r="AH790" s="11"/>
      <c r="AI790" s="11"/>
      <c r="AJ790" s="11"/>
      <c r="AK790" s="11"/>
    </row>
    <row r="791">
      <c r="A791" s="11"/>
      <c r="B791" s="11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  <c r="AA791" s="119"/>
      <c r="AB791" s="119"/>
      <c r="AC791" s="119"/>
      <c r="AD791" s="119"/>
      <c r="AE791" s="119"/>
      <c r="AF791" s="119"/>
      <c r="AG791" s="119"/>
      <c r="AH791" s="11"/>
      <c r="AI791" s="11"/>
      <c r="AJ791" s="11"/>
      <c r="AK791" s="11"/>
    </row>
    <row r="792">
      <c r="A792" s="11"/>
      <c r="B792" s="11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  <c r="AA792" s="119"/>
      <c r="AB792" s="119"/>
      <c r="AC792" s="119"/>
      <c r="AD792" s="119"/>
      <c r="AE792" s="119"/>
      <c r="AF792" s="119"/>
      <c r="AG792" s="119"/>
      <c r="AH792" s="11"/>
      <c r="AI792" s="11"/>
      <c r="AJ792" s="11"/>
      <c r="AK792" s="11"/>
    </row>
    <row r="793">
      <c r="A793" s="11"/>
      <c r="B793" s="11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  <c r="AA793" s="119"/>
      <c r="AB793" s="119"/>
      <c r="AC793" s="119"/>
      <c r="AD793" s="119"/>
      <c r="AE793" s="119"/>
      <c r="AF793" s="119"/>
      <c r="AG793" s="119"/>
      <c r="AH793" s="11"/>
      <c r="AI793" s="11"/>
      <c r="AJ793" s="11"/>
      <c r="AK793" s="11"/>
    </row>
    <row r="794">
      <c r="A794" s="11"/>
      <c r="B794" s="11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  <c r="AA794" s="119"/>
      <c r="AB794" s="119"/>
      <c r="AC794" s="119"/>
      <c r="AD794" s="119"/>
      <c r="AE794" s="119"/>
      <c r="AF794" s="119"/>
      <c r="AG794" s="119"/>
      <c r="AH794" s="11"/>
      <c r="AI794" s="11"/>
      <c r="AJ794" s="11"/>
      <c r="AK794" s="11"/>
    </row>
    <row r="795">
      <c r="A795" s="11"/>
      <c r="B795" s="11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  <c r="AA795" s="119"/>
      <c r="AB795" s="119"/>
      <c r="AC795" s="119"/>
      <c r="AD795" s="119"/>
      <c r="AE795" s="119"/>
      <c r="AF795" s="119"/>
      <c r="AG795" s="119"/>
      <c r="AH795" s="11"/>
      <c r="AI795" s="11"/>
      <c r="AJ795" s="11"/>
      <c r="AK795" s="11"/>
    </row>
    <row r="796">
      <c r="A796" s="11"/>
      <c r="B796" s="11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  <c r="AA796" s="119"/>
      <c r="AB796" s="119"/>
      <c r="AC796" s="119"/>
      <c r="AD796" s="119"/>
      <c r="AE796" s="119"/>
      <c r="AF796" s="119"/>
      <c r="AG796" s="119"/>
      <c r="AH796" s="11"/>
      <c r="AI796" s="11"/>
      <c r="AJ796" s="11"/>
      <c r="AK796" s="11"/>
    </row>
    <row r="797">
      <c r="A797" s="11"/>
      <c r="B797" s="11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  <c r="AA797" s="119"/>
      <c r="AB797" s="119"/>
      <c r="AC797" s="119"/>
      <c r="AD797" s="119"/>
      <c r="AE797" s="119"/>
      <c r="AF797" s="119"/>
      <c r="AG797" s="119"/>
      <c r="AH797" s="11"/>
      <c r="AI797" s="11"/>
      <c r="AJ797" s="11"/>
      <c r="AK797" s="11"/>
    </row>
    <row r="798">
      <c r="A798" s="11"/>
      <c r="B798" s="11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  <c r="AA798" s="119"/>
      <c r="AB798" s="119"/>
      <c r="AC798" s="119"/>
      <c r="AD798" s="119"/>
      <c r="AE798" s="119"/>
      <c r="AF798" s="119"/>
      <c r="AG798" s="119"/>
      <c r="AH798" s="11"/>
      <c r="AI798" s="11"/>
      <c r="AJ798" s="11"/>
      <c r="AK798" s="11"/>
    </row>
    <row r="799">
      <c r="A799" s="11"/>
      <c r="B799" s="11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  <c r="AA799" s="119"/>
      <c r="AB799" s="119"/>
      <c r="AC799" s="119"/>
      <c r="AD799" s="119"/>
      <c r="AE799" s="119"/>
      <c r="AF799" s="119"/>
      <c r="AG799" s="119"/>
      <c r="AH799" s="11"/>
      <c r="AI799" s="11"/>
      <c r="AJ799" s="11"/>
      <c r="AK799" s="11"/>
    </row>
    <row r="800">
      <c r="A800" s="11"/>
      <c r="B800" s="11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  <c r="AA800" s="119"/>
      <c r="AB800" s="119"/>
      <c r="AC800" s="119"/>
      <c r="AD800" s="119"/>
      <c r="AE800" s="119"/>
      <c r="AF800" s="119"/>
      <c r="AG800" s="119"/>
      <c r="AH800" s="11"/>
      <c r="AI800" s="11"/>
      <c r="AJ800" s="11"/>
      <c r="AK800" s="11"/>
    </row>
    <row r="801">
      <c r="A801" s="11"/>
      <c r="B801" s="11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  <c r="AA801" s="119"/>
      <c r="AB801" s="119"/>
      <c r="AC801" s="119"/>
      <c r="AD801" s="119"/>
      <c r="AE801" s="119"/>
      <c r="AF801" s="119"/>
      <c r="AG801" s="119"/>
      <c r="AH801" s="11"/>
      <c r="AI801" s="11"/>
      <c r="AJ801" s="11"/>
      <c r="AK801" s="11"/>
    </row>
    <row r="802">
      <c r="A802" s="11"/>
      <c r="B802" s="11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  <c r="AA802" s="119"/>
      <c r="AB802" s="119"/>
      <c r="AC802" s="119"/>
      <c r="AD802" s="119"/>
      <c r="AE802" s="119"/>
      <c r="AF802" s="119"/>
      <c r="AG802" s="119"/>
      <c r="AH802" s="11"/>
      <c r="AI802" s="11"/>
      <c r="AJ802" s="11"/>
      <c r="AK802" s="11"/>
    </row>
    <row r="803">
      <c r="A803" s="11"/>
      <c r="B803" s="11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  <c r="AA803" s="119"/>
      <c r="AB803" s="119"/>
      <c r="AC803" s="119"/>
      <c r="AD803" s="119"/>
      <c r="AE803" s="119"/>
      <c r="AF803" s="119"/>
      <c r="AG803" s="119"/>
      <c r="AH803" s="11"/>
      <c r="AI803" s="11"/>
      <c r="AJ803" s="11"/>
      <c r="AK803" s="11"/>
    </row>
    <row r="804">
      <c r="A804" s="11"/>
      <c r="B804" s="11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  <c r="AA804" s="119"/>
      <c r="AB804" s="119"/>
      <c r="AC804" s="119"/>
      <c r="AD804" s="119"/>
      <c r="AE804" s="119"/>
      <c r="AF804" s="119"/>
      <c r="AG804" s="119"/>
      <c r="AH804" s="11"/>
      <c r="AI804" s="11"/>
      <c r="AJ804" s="11"/>
      <c r="AK804" s="11"/>
    </row>
    <row r="805">
      <c r="A805" s="11"/>
      <c r="B805" s="11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  <c r="AA805" s="119"/>
      <c r="AB805" s="119"/>
      <c r="AC805" s="119"/>
      <c r="AD805" s="119"/>
      <c r="AE805" s="119"/>
      <c r="AF805" s="119"/>
      <c r="AG805" s="119"/>
      <c r="AH805" s="11"/>
      <c r="AI805" s="11"/>
      <c r="AJ805" s="11"/>
      <c r="AK805" s="11"/>
    </row>
    <row r="806">
      <c r="A806" s="11"/>
      <c r="B806" s="11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  <c r="AA806" s="119"/>
      <c r="AB806" s="119"/>
      <c r="AC806" s="119"/>
      <c r="AD806" s="119"/>
      <c r="AE806" s="119"/>
      <c r="AF806" s="119"/>
      <c r="AG806" s="119"/>
      <c r="AH806" s="11"/>
      <c r="AI806" s="11"/>
      <c r="AJ806" s="11"/>
      <c r="AK806" s="11"/>
    </row>
    <row r="807">
      <c r="A807" s="11"/>
      <c r="B807" s="11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  <c r="AA807" s="119"/>
      <c r="AB807" s="119"/>
      <c r="AC807" s="119"/>
      <c r="AD807" s="119"/>
      <c r="AE807" s="119"/>
      <c r="AF807" s="119"/>
      <c r="AG807" s="119"/>
      <c r="AH807" s="11"/>
      <c r="AI807" s="11"/>
      <c r="AJ807" s="11"/>
      <c r="AK807" s="11"/>
    </row>
    <row r="808">
      <c r="A808" s="11"/>
      <c r="B808" s="11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  <c r="AA808" s="119"/>
      <c r="AB808" s="119"/>
      <c r="AC808" s="119"/>
      <c r="AD808" s="119"/>
      <c r="AE808" s="119"/>
      <c r="AF808" s="119"/>
      <c r="AG808" s="119"/>
      <c r="AH808" s="11"/>
      <c r="AI808" s="11"/>
      <c r="AJ808" s="11"/>
      <c r="AK808" s="11"/>
    </row>
    <row r="809">
      <c r="A809" s="11"/>
      <c r="B809" s="11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  <c r="AA809" s="119"/>
      <c r="AB809" s="119"/>
      <c r="AC809" s="119"/>
      <c r="AD809" s="119"/>
      <c r="AE809" s="119"/>
      <c r="AF809" s="119"/>
      <c r="AG809" s="119"/>
      <c r="AH809" s="11"/>
      <c r="AI809" s="11"/>
      <c r="AJ809" s="11"/>
      <c r="AK809" s="11"/>
    </row>
    <row r="810">
      <c r="A810" s="11"/>
      <c r="B810" s="11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  <c r="AA810" s="119"/>
      <c r="AB810" s="119"/>
      <c r="AC810" s="119"/>
      <c r="AD810" s="119"/>
      <c r="AE810" s="119"/>
      <c r="AF810" s="119"/>
      <c r="AG810" s="119"/>
      <c r="AH810" s="11"/>
      <c r="AI810" s="11"/>
      <c r="AJ810" s="11"/>
      <c r="AK810" s="11"/>
    </row>
    <row r="811">
      <c r="A811" s="11"/>
      <c r="B811" s="11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  <c r="AA811" s="119"/>
      <c r="AB811" s="119"/>
      <c r="AC811" s="119"/>
      <c r="AD811" s="119"/>
      <c r="AE811" s="119"/>
      <c r="AF811" s="119"/>
      <c r="AG811" s="119"/>
      <c r="AH811" s="11"/>
      <c r="AI811" s="11"/>
      <c r="AJ811" s="11"/>
      <c r="AK811" s="11"/>
    </row>
    <row r="812">
      <c r="A812" s="11"/>
      <c r="B812" s="11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  <c r="AA812" s="119"/>
      <c r="AB812" s="119"/>
      <c r="AC812" s="119"/>
      <c r="AD812" s="119"/>
      <c r="AE812" s="119"/>
      <c r="AF812" s="119"/>
      <c r="AG812" s="119"/>
      <c r="AH812" s="11"/>
      <c r="AI812" s="11"/>
      <c r="AJ812" s="11"/>
      <c r="AK812" s="11"/>
    </row>
    <row r="813">
      <c r="A813" s="11"/>
      <c r="B813" s="11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  <c r="AA813" s="119"/>
      <c r="AB813" s="119"/>
      <c r="AC813" s="119"/>
      <c r="AD813" s="119"/>
      <c r="AE813" s="119"/>
      <c r="AF813" s="119"/>
      <c r="AG813" s="119"/>
      <c r="AH813" s="11"/>
      <c r="AI813" s="11"/>
      <c r="AJ813" s="11"/>
      <c r="AK813" s="11"/>
    </row>
    <row r="814">
      <c r="A814" s="11"/>
      <c r="B814" s="11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  <c r="AA814" s="119"/>
      <c r="AB814" s="119"/>
      <c r="AC814" s="119"/>
      <c r="AD814" s="119"/>
      <c r="AE814" s="119"/>
      <c r="AF814" s="119"/>
      <c r="AG814" s="119"/>
      <c r="AH814" s="11"/>
      <c r="AI814" s="11"/>
      <c r="AJ814" s="11"/>
      <c r="AK814" s="11"/>
    </row>
    <row r="815">
      <c r="A815" s="11"/>
      <c r="B815" s="11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  <c r="AA815" s="119"/>
      <c r="AB815" s="119"/>
      <c r="AC815" s="119"/>
      <c r="AD815" s="119"/>
      <c r="AE815" s="119"/>
      <c r="AF815" s="119"/>
      <c r="AG815" s="119"/>
      <c r="AH815" s="11"/>
      <c r="AI815" s="11"/>
      <c r="AJ815" s="11"/>
      <c r="AK815" s="11"/>
    </row>
    <row r="816">
      <c r="A816" s="11"/>
      <c r="B816" s="11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  <c r="AA816" s="119"/>
      <c r="AB816" s="119"/>
      <c r="AC816" s="119"/>
      <c r="AD816" s="119"/>
      <c r="AE816" s="119"/>
      <c r="AF816" s="119"/>
      <c r="AG816" s="119"/>
      <c r="AH816" s="11"/>
      <c r="AI816" s="11"/>
      <c r="AJ816" s="11"/>
      <c r="AK816" s="11"/>
    </row>
    <row r="817">
      <c r="A817" s="11"/>
      <c r="B817" s="11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  <c r="AA817" s="119"/>
      <c r="AB817" s="119"/>
      <c r="AC817" s="119"/>
      <c r="AD817" s="119"/>
      <c r="AE817" s="119"/>
      <c r="AF817" s="119"/>
      <c r="AG817" s="119"/>
      <c r="AH817" s="11"/>
      <c r="AI817" s="11"/>
      <c r="AJ817" s="11"/>
      <c r="AK817" s="11"/>
    </row>
    <row r="818">
      <c r="A818" s="11"/>
      <c r="B818" s="11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  <c r="AA818" s="119"/>
      <c r="AB818" s="119"/>
      <c r="AC818" s="119"/>
      <c r="AD818" s="119"/>
      <c r="AE818" s="119"/>
      <c r="AF818" s="119"/>
      <c r="AG818" s="119"/>
      <c r="AH818" s="11"/>
      <c r="AI818" s="11"/>
      <c r="AJ818" s="11"/>
      <c r="AK818" s="11"/>
    </row>
    <row r="819">
      <c r="A819" s="11"/>
      <c r="B819" s="11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  <c r="AA819" s="119"/>
      <c r="AB819" s="119"/>
      <c r="AC819" s="119"/>
      <c r="AD819" s="119"/>
      <c r="AE819" s="119"/>
      <c r="AF819" s="119"/>
      <c r="AG819" s="119"/>
      <c r="AH819" s="11"/>
      <c r="AI819" s="11"/>
      <c r="AJ819" s="11"/>
      <c r="AK819" s="11"/>
    </row>
    <row r="820">
      <c r="A820" s="11"/>
      <c r="B820" s="11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  <c r="AA820" s="119"/>
      <c r="AB820" s="119"/>
      <c r="AC820" s="119"/>
      <c r="AD820" s="119"/>
      <c r="AE820" s="119"/>
      <c r="AF820" s="119"/>
      <c r="AG820" s="119"/>
      <c r="AH820" s="11"/>
      <c r="AI820" s="11"/>
      <c r="AJ820" s="11"/>
      <c r="AK820" s="11"/>
    </row>
    <row r="821">
      <c r="A821" s="11"/>
      <c r="B821" s="11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  <c r="AA821" s="119"/>
      <c r="AB821" s="119"/>
      <c r="AC821" s="119"/>
      <c r="AD821" s="119"/>
      <c r="AE821" s="119"/>
      <c r="AF821" s="119"/>
      <c r="AG821" s="119"/>
      <c r="AH821" s="11"/>
      <c r="AI821" s="11"/>
      <c r="AJ821" s="11"/>
      <c r="AK821" s="11"/>
    </row>
    <row r="822">
      <c r="A822" s="11"/>
      <c r="B822" s="11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  <c r="AA822" s="119"/>
      <c r="AB822" s="119"/>
      <c r="AC822" s="119"/>
      <c r="AD822" s="119"/>
      <c r="AE822" s="119"/>
      <c r="AF822" s="119"/>
      <c r="AG822" s="119"/>
      <c r="AH822" s="11"/>
      <c r="AI822" s="11"/>
      <c r="AJ822" s="11"/>
      <c r="AK822" s="11"/>
    </row>
    <row r="823">
      <c r="A823" s="11"/>
      <c r="B823" s="11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  <c r="AA823" s="119"/>
      <c r="AB823" s="119"/>
      <c r="AC823" s="119"/>
      <c r="AD823" s="119"/>
      <c r="AE823" s="119"/>
      <c r="AF823" s="119"/>
      <c r="AG823" s="119"/>
      <c r="AH823" s="11"/>
      <c r="AI823" s="11"/>
      <c r="AJ823" s="11"/>
      <c r="AK823" s="11"/>
    </row>
    <row r="824">
      <c r="A824" s="11"/>
      <c r="B824" s="11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  <c r="AA824" s="119"/>
      <c r="AB824" s="119"/>
      <c r="AC824" s="119"/>
      <c r="AD824" s="119"/>
      <c r="AE824" s="119"/>
      <c r="AF824" s="119"/>
      <c r="AG824" s="119"/>
      <c r="AH824" s="11"/>
      <c r="AI824" s="11"/>
      <c r="AJ824" s="11"/>
      <c r="AK824" s="11"/>
    </row>
    <row r="825">
      <c r="A825" s="11"/>
      <c r="B825" s="11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  <c r="AA825" s="119"/>
      <c r="AB825" s="119"/>
      <c r="AC825" s="119"/>
      <c r="AD825" s="119"/>
      <c r="AE825" s="119"/>
      <c r="AF825" s="119"/>
      <c r="AG825" s="119"/>
      <c r="AH825" s="11"/>
      <c r="AI825" s="11"/>
      <c r="AJ825" s="11"/>
      <c r="AK825" s="11"/>
    </row>
    <row r="826">
      <c r="A826" s="11"/>
      <c r="B826" s="11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  <c r="AA826" s="119"/>
      <c r="AB826" s="119"/>
      <c r="AC826" s="119"/>
      <c r="AD826" s="119"/>
      <c r="AE826" s="119"/>
      <c r="AF826" s="119"/>
      <c r="AG826" s="119"/>
      <c r="AH826" s="11"/>
      <c r="AI826" s="11"/>
      <c r="AJ826" s="11"/>
      <c r="AK826" s="11"/>
    </row>
    <row r="827">
      <c r="A827" s="11"/>
      <c r="B827" s="11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  <c r="AA827" s="119"/>
      <c r="AB827" s="119"/>
      <c r="AC827" s="119"/>
      <c r="AD827" s="119"/>
      <c r="AE827" s="119"/>
      <c r="AF827" s="119"/>
      <c r="AG827" s="119"/>
      <c r="AH827" s="11"/>
      <c r="AI827" s="11"/>
      <c r="AJ827" s="11"/>
      <c r="AK827" s="11"/>
    </row>
    <row r="828">
      <c r="A828" s="11"/>
      <c r="B828" s="11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  <c r="AA828" s="119"/>
      <c r="AB828" s="119"/>
      <c r="AC828" s="119"/>
      <c r="AD828" s="119"/>
      <c r="AE828" s="119"/>
      <c r="AF828" s="119"/>
      <c r="AG828" s="119"/>
      <c r="AH828" s="11"/>
      <c r="AI828" s="11"/>
      <c r="AJ828" s="11"/>
      <c r="AK828" s="11"/>
    </row>
    <row r="829">
      <c r="A829" s="11"/>
      <c r="B829" s="11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  <c r="AA829" s="119"/>
      <c r="AB829" s="119"/>
      <c r="AC829" s="119"/>
      <c r="AD829" s="119"/>
      <c r="AE829" s="119"/>
      <c r="AF829" s="119"/>
      <c r="AG829" s="119"/>
      <c r="AH829" s="11"/>
      <c r="AI829" s="11"/>
      <c r="AJ829" s="11"/>
      <c r="AK829" s="11"/>
    </row>
    <row r="830">
      <c r="A830" s="11"/>
      <c r="B830" s="11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  <c r="AA830" s="119"/>
      <c r="AB830" s="119"/>
      <c r="AC830" s="119"/>
      <c r="AD830" s="119"/>
      <c r="AE830" s="119"/>
      <c r="AF830" s="119"/>
      <c r="AG830" s="119"/>
      <c r="AH830" s="11"/>
      <c r="AI830" s="11"/>
      <c r="AJ830" s="11"/>
      <c r="AK830" s="11"/>
    </row>
    <row r="831">
      <c r="A831" s="11"/>
      <c r="B831" s="11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  <c r="AA831" s="119"/>
      <c r="AB831" s="119"/>
      <c r="AC831" s="119"/>
      <c r="AD831" s="119"/>
      <c r="AE831" s="119"/>
      <c r="AF831" s="119"/>
      <c r="AG831" s="119"/>
      <c r="AH831" s="11"/>
      <c r="AI831" s="11"/>
      <c r="AJ831" s="11"/>
      <c r="AK831" s="11"/>
    </row>
    <row r="832">
      <c r="A832" s="11"/>
      <c r="B832" s="11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  <c r="AA832" s="119"/>
      <c r="AB832" s="119"/>
      <c r="AC832" s="119"/>
      <c r="AD832" s="119"/>
      <c r="AE832" s="119"/>
      <c r="AF832" s="119"/>
      <c r="AG832" s="119"/>
      <c r="AH832" s="11"/>
      <c r="AI832" s="11"/>
      <c r="AJ832" s="11"/>
      <c r="AK832" s="11"/>
    </row>
    <row r="833">
      <c r="A833" s="11"/>
      <c r="B833" s="11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  <c r="AA833" s="119"/>
      <c r="AB833" s="119"/>
      <c r="AC833" s="119"/>
      <c r="AD833" s="119"/>
      <c r="AE833" s="119"/>
      <c r="AF833" s="119"/>
      <c r="AG833" s="119"/>
      <c r="AH833" s="11"/>
      <c r="AI833" s="11"/>
      <c r="AJ833" s="11"/>
      <c r="AK833" s="11"/>
    </row>
    <row r="834">
      <c r="A834" s="11"/>
      <c r="B834" s="11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  <c r="AA834" s="119"/>
      <c r="AB834" s="119"/>
      <c r="AC834" s="119"/>
      <c r="AD834" s="119"/>
      <c r="AE834" s="119"/>
      <c r="AF834" s="119"/>
      <c r="AG834" s="119"/>
      <c r="AH834" s="11"/>
      <c r="AI834" s="11"/>
      <c r="AJ834" s="11"/>
      <c r="AK834" s="11"/>
    </row>
    <row r="835">
      <c r="A835" s="11"/>
      <c r="B835" s="11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  <c r="AA835" s="119"/>
      <c r="AB835" s="119"/>
      <c r="AC835" s="119"/>
      <c r="AD835" s="119"/>
      <c r="AE835" s="119"/>
      <c r="AF835" s="119"/>
      <c r="AG835" s="119"/>
      <c r="AH835" s="11"/>
      <c r="AI835" s="11"/>
      <c r="AJ835" s="11"/>
      <c r="AK835" s="11"/>
    </row>
    <row r="836">
      <c r="A836" s="11"/>
      <c r="B836" s="11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  <c r="AA836" s="119"/>
      <c r="AB836" s="119"/>
      <c r="AC836" s="119"/>
      <c r="AD836" s="119"/>
      <c r="AE836" s="119"/>
      <c r="AF836" s="119"/>
      <c r="AG836" s="119"/>
      <c r="AH836" s="11"/>
      <c r="AI836" s="11"/>
      <c r="AJ836" s="11"/>
      <c r="AK836" s="11"/>
    </row>
    <row r="837">
      <c r="A837" s="11"/>
      <c r="B837" s="11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  <c r="AA837" s="119"/>
      <c r="AB837" s="119"/>
      <c r="AC837" s="119"/>
      <c r="AD837" s="119"/>
      <c r="AE837" s="119"/>
      <c r="AF837" s="119"/>
      <c r="AG837" s="119"/>
      <c r="AH837" s="11"/>
      <c r="AI837" s="11"/>
      <c r="AJ837" s="11"/>
      <c r="AK837" s="11"/>
    </row>
    <row r="838">
      <c r="A838" s="11"/>
      <c r="B838" s="11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  <c r="AA838" s="119"/>
      <c r="AB838" s="119"/>
      <c r="AC838" s="119"/>
      <c r="AD838" s="119"/>
      <c r="AE838" s="119"/>
      <c r="AF838" s="119"/>
      <c r="AG838" s="119"/>
      <c r="AH838" s="11"/>
      <c r="AI838" s="11"/>
      <c r="AJ838" s="11"/>
      <c r="AK838" s="11"/>
    </row>
    <row r="839">
      <c r="A839" s="11"/>
      <c r="B839" s="11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  <c r="AA839" s="119"/>
      <c r="AB839" s="119"/>
      <c r="AC839" s="119"/>
      <c r="AD839" s="119"/>
      <c r="AE839" s="119"/>
      <c r="AF839" s="119"/>
      <c r="AG839" s="119"/>
      <c r="AH839" s="11"/>
      <c r="AI839" s="11"/>
      <c r="AJ839" s="11"/>
      <c r="AK839" s="11"/>
    </row>
    <row r="840">
      <c r="A840" s="11"/>
      <c r="B840" s="11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  <c r="AA840" s="119"/>
      <c r="AB840" s="119"/>
      <c r="AC840" s="119"/>
      <c r="AD840" s="119"/>
      <c r="AE840" s="119"/>
      <c r="AF840" s="119"/>
      <c r="AG840" s="119"/>
      <c r="AH840" s="11"/>
      <c r="AI840" s="11"/>
      <c r="AJ840" s="11"/>
      <c r="AK840" s="11"/>
    </row>
    <row r="841">
      <c r="A841" s="11"/>
      <c r="B841" s="11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  <c r="AA841" s="119"/>
      <c r="AB841" s="119"/>
      <c r="AC841" s="119"/>
      <c r="AD841" s="119"/>
      <c r="AE841" s="119"/>
      <c r="AF841" s="119"/>
      <c r="AG841" s="119"/>
      <c r="AH841" s="11"/>
      <c r="AI841" s="11"/>
      <c r="AJ841" s="11"/>
      <c r="AK841" s="11"/>
    </row>
    <row r="842">
      <c r="A842" s="11"/>
      <c r="B842" s="11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  <c r="AA842" s="119"/>
      <c r="AB842" s="119"/>
      <c r="AC842" s="119"/>
      <c r="AD842" s="119"/>
      <c r="AE842" s="119"/>
      <c r="AF842" s="119"/>
      <c r="AG842" s="119"/>
      <c r="AH842" s="11"/>
      <c r="AI842" s="11"/>
      <c r="AJ842" s="11"/>
      <c r="AK842" s="11"/>
    </row>
    <row r="843">
      <c r="A843" s="11"/>
      <c r="B843" s="11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  <c r="AA843" s="119"/>
      <c r="AB843" s="119"/>
      <c r="AC843" s="119"/>
      <c r="AD843" s="119"/>
      <c r="AE843" s="119"/>
      <c r="AF843" s="119"/>
      <c r="AG843" s="119"/>
      <c r="AH843" s="11"/>
      <c r="AI843" s="11"/>
      <c r="AJ843" s="11"/>
      <c r="AK843" s="11"/>
    </row>
    <row r="844">
      <c r="A844" s="11"/>
      <c r="B844" s="11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  <c r="AA844" s="119"/>
      <c r="AB844" s="119"/>
      <c r="AC844" s="119"/>
      <c r="AD844" s="119"/>
      <c r="AE844" s="119"/>
      <c r="AF844" s="119"/>
      <c r="AG844" s="119"/>
      <c r="AH844" s="11"/>
      <c r="AI844" s="11"/>
      <c r="AJ844" s="11"/>
      <c r="AK844" s="11"/>
    </row>
    <row r="845">
      <c r="A845" s="11"/>
      <c r="B845" s="11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  <c r="AA845" s="119"/>
      <c r="AB845" s="119"/>
      <c r="AC845" s="119"/>
      <c r="AD845" s="119"/>
      <c r="AE845" s="119"/>
      <c r="AF845" s="119"/>
      <c r="AG845" s="119"/>
      <c r="AH845" s="11"/>
      <c r="AI845" s="11"/>
      <c r="AJ845" s="11"/>
      <c r="AK845" s="11"/>
    </row>
    <row r="846">
      <c r="A846" s="11"/>
      <c r="B846" s="11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  <c r="AA846" s="119"/>
      <c r="AB846" s="119"/>
      <c r="AC846" s="119"/>
      <c r="AD846" s="119"/>
      <c r="AE846" s="119"/>
      <c r="AF846" s="119"/>
      <c r="AG846" s="119"/>
      <c r="AH846" s="11"/>
      <c r="AI846" s="11"/>
      <c r="AJ846" s="11"/>
      <c r="AK846" s="11"/>
    </row>
    <row r="847">
      <c r="A847" s="11"/>
      <c r="B847" s="11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  <c r="AA847" s="119"/>
      <c r="AB847" s="119"/>
      <c r="AC847" s="119"/>
      <c r="AD847" s="119"/>
      <c r="AE847" s="119"/>
      <c r="AF847" s="119"/>
      <c r="AG847" s="119"/>
      <c r="AH847" s="11"/>
      <c r="AI847" s="11"/>
      <c r="AJ847" s="11"/>
      <c r="AK847" s="11"/>
    </row>
    <row r="848">
      <c r="A848" s="11"/>
      <c r="B848" s="11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  <c r="AA848" s="119"/>
      <c r="AB848" s="119"/>
      <c r="AC848" s="119"/>
      <c r="AD848" s="119"/>
      <c r="AE848" s="119"/>
      <c r="AF848" s="119"/>
      <c r="AG848" s="119"/>
      <c r="AH848" s="11"/>
      <c r="AI848" s="11"/>
      <c r="AJ848" s="11"/>
      <c r="AK848" s="11"/>
    </row>
    <row r="849">
      <c r="A849" s="11"/>
      <c r="B849" s="11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  <c r="AA849" s="119"/>
      <c r="AB849" s="119"/>
      <c r="AC849" s="119"/>
      <c r="AD849" s="119"/>
      <c r="AE849" s="119"/>
      <c r="AF849" s="119"/>
      <c r="AG849" s="119"/>
      <c r="AH849" s="11"/>
      <c r="AI849" s="11"/>
      <c r="AJ849" s="11"/>
      <c r="AK849" s="11"/>
    </row>
    <row r="850">
      <c r="A850" s="11"/>
      <c r="B850" s="11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  <c r="AA850" s="119"/>
      <c r="AB850" s="119"/>
      <c r="AC850" s="119"/>
      <c r="AD850" s="119"/>
      <c r="AE850" s="119"/>
      <c r="AF850" s="119"/>
      <c r="AG850" s="119"/>
      <c r="AH850" s="11"/>
      <c r="AI850" s="11"/>
      <c r="AJ850" s="11"/>
      <c r="AK850" s="11"/>
    </row>
    <row r="851">
      <c r="A851" s="11"/>
      <c r="B851" s="11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  <c r="AA851" s="119"/>
      <c r="AB851" s="119"/>
      <c r="AC851" s="119"/>
      <c r="AD851" s="119"/>
      <c r="AE851" s="119"/>
      <c r="AF851" s="119"/>
      <c r="AG851" s="119"/>
      <c r="AH851" s="11"/>
      <c r="AI851" s="11"/>
      <c r="AJ851" s="11"/>
      <c r="AK851" s="11"/>
    </row>
    <row r="852">
      <c r="A852" s="11"/>
      <c r="B852" s="11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  <c r="AA852" s="119"/>
      <c r="AB852" s="119"/>
      <c r="AC852" s="119"/>
      <c r="AD852" s="119"/>
      <c r="AE852" s="119"/>
      <c r="AF852" s="119"/>
      <c r="AG852" s="119"/>
      <c r="AH852" s="11"/>
      <c r="AI852" s="11"/>
      <c r="AJ852" s="11"/>
      <c r="AK852" s="11"/>
    </row>
    <row r="853">
      <c r="A853" s="11"/>
      <c r="B853" s="11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  <c r="AA853" s="119"/>
      <c r="AB853" s="119"/>
      <c r="AC853" s="119"/>
      <c r="AD853" s="119"/>
      <c r="AE853" s="119"/>
      <c r="AF853" s="119"/>
      <c r="AG853" s="119"/>
      <c r="AH853" s="11"/>
      <c r="AI853" s="11"/>
      <c r="AJ853" s="11"/>
      <c r="AK853" s="11"/>
    </row>
    <row r="854">
      <c r="A854" s="11"/>
      <c r="B854" s="11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  <c r="AA854" s="119"/>
      <c r="AB854" s="119"/>
      <c r="AC854" s="119"/>
      <c r="AD854" s="119"/>
      <c r="AE854" s="119"/>
      <c r="AF854" s="119"/>
      <c r="AG854" s="119"/>
      <c r="AH854" s="11"/>
      <c r="AI854" s="11"/>
      <c r="AJ854" s="11"/>
      <c r="AK854" s="11"/>
    </row>
    <row r="855">
      <c r="A855" s="11"/>
      <c r="B855" s="11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  <c r="AA855" s="119"/>
      <c r="AB855" s="119"/>
      <c r="AC855" s="119"/>
      <c r="AD855" s="119"/>
      <c r="AE855" s="119"/>
      <c r="AF855" s="119"/>
      <c r="AG855" s="119"/>
      <c r="AH855" s="11"/>
      <c r="AI855" s="11"/>
      <c r="AJ855" s="11"/>
      <c r="AK855" s="11"/>
    </row>
    <row r="856">
      <c r="A856" s="11"/>
      <c r="B856" s="11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  <c r="AA856" s="119"/>
      <c r="AB856" s="119"/>
      <c r="AC856" s="119"/>
      <c r="AD856" s="119"/>
      <c r="AE856" s="119"/>
      <c r="AF856" s="119"/>
      <c r="AG856" s="119"/>
      <c r="AH856" s="11"/>
      <c r="AI856" s="11"/>
      <c r="AJ856" s="11"/>
      <c r="AK856" s="11"/>
    </row>
    <row r="857">
      <c r="A857" s="11"/>
      <c r="B857" s="11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  <c r="AA857" s="119"/>
      <c r="AB857" s="119"/>
      <c r="AC857" s="119"/>
      <c r="AD857" s="119"/>
      <c r="AE857" s="119"/>
      <c r="AF857" s="119"/>
      <c r="AG857" s="119"/>
      <c r="AH857" s="11"/>
      <c r="AI857" s="11"/>
      <c r="AJ857" s="11"/>
      <c r="AK857" s="11"/>
    </row>
    <row r="858">
      <c r="A858" s="11"/>
      <c r="B858" s="11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  <c r="AA858" s="119"/>
      <c r="AB858" s="119"/>
      <c r="AC858" s="119"/>
      <c r="AD858" s="119"/>
      <c r="AE858" s="119"/>
      <c r="AF858" s="119"/>
      <c r="AG858" s="119"/>
      <c r="AH858" s="11"/>
      <c r="AI858" s="11"/>
      <c r="AJ858" s="11"/>
      <c r="AK858" s="11"/>
    </row>
    <row r="859">
      <c r="A859" s="11"/>
      <c r="B859" s="11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  <c r="AA859" s="119"/>
      <c r="AB859" s="119"/>
      <c r="AC859" s="119"/>
      <c r="AD859" s="119"/>
      <c r="AE859" s="119"/>
      <c r="AF859" s="119"/>
      <c r="AG859" s="119"/>
      <c r="AH859" s="11"/>
      <c r="AI859" s="11"/>
      <c r="AJ859" s="11"/>
      <c r="AK859" s="11"/>
    </row>
    <row r="860">
      <c r="A860" s="11"/>
      <c r="B860" s="11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  <c r="AA860" s="119"/>
      <c r="AB860" s="119"/>
      <c r="AC860" s="119"/>
      <c r="AD860" s="119"/>
      <c r="AE860" s="119"/>
      <c r="AF860" s="119"/>
      <c r="AG860" s="119"/>
      <c r="AH860" s="11"/>
      <c r="AI860" s="11"/>
      <c r="AJ860" s="11"/>
      <c r="AK860" s="11"/>
    </row>
    <row r="861">
      <c r="A861" s="11"/>
      <c r="B861" s="11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  <c r="AA861" s="119"/>
      <c r="AB861" s="119"/>
      <c r="AC861" s="119"/>
      <c r="AD861" s="119"/>
      <c r="AE861" s="119"/>
      <c r="AF861" s="119"/>
      <c r="AG861" s="119"/>
      <c r="AH861" s="11"/>
      <c r="AI861" s="11"/>
      <c r="AJ861" s="11"/>
      <c r="AK861" s="11"/>
    </row>
    <row r="862">
      <c r="A862" s="11"/>
      <c r="B862" s="11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  <c r="AA862" s="119"/>
      <c r="AB862" s="119"/>
      <c r="AC862" s="119"/>
      <c r="AD862" s="119"/>
      <c r="AE862" s="119"/>
      <c r="AF862" s="119"/>
      <c r="AG862" s="119"/>
      <c r="AH862" s="11"/>
      <c r="AI862" s="11"/>
      <c r="AJ862" s="11"/>
      <c r="AK862" s="11"/>
    </row>
    <row r="863">
      <c r="A863" s="11"/>
      <c r="B863" s="11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  <c r="AA863" s="119"/>
      <c r="AB863" s="119"/>
      <c r="AC863" s="119"/>
      <c r="AD863" s="119"/>
      <c r="AE863" s="119"/>
      <c r="AF863" s="119"/>
      <c r="AG863" s="119"/>
      <c r="AH863" s="11"/>
      <c r="AI863" s="11"/>
      <c r="AJ863" s="11"/>
      <c r="AK863" s="11"/>
    </row>
    <row r="864">
      <c r="A864" s="11"/>
      <c r="B864" s="11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  <c r="AA864" s="119"/>
      <c r="AB864" s="119"/>
      <c r="AC864" s="119"/>
      <c r="AD864" s="119"/>
      <c r="AE864" s="119"/>
      <c r="AF864" s="119"/>
      <c r="AG864" s="119"/>
      <c r="AH864" s="11"/>
      <c r="AI864" s="11"/>
      <c r="AJ864" s="11"/>
      <c r="AK864" s="11"/>
    </row>
    <row r="865">
      <c r="A865" s="11"/>
      <c r="B865" s="11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  <c r="AA865" s="119"/>
      <c r="AB865" s="119"/>
      <c r="AC865" s="119"/>
      <c r="AD865" s="119"/>
      <c r="AE865" s="119"/>
      <c r="AF865" s="119"/>
      <c r="AG865" s="119"/>
      <c r="AH865" s="11"/>
      <c r="AI865" s="11"/>
      <c r="AJ865" s="11"/>
      <c r="AK865" s="11"/>
    </row>
    <row r="866">
      <c r="A866" s="11"/>
      <c r="B866" s="11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  <c r="AA866" s="119"/>
      <c r="AB866" s="119"/>
      <c r="AC866" s="119"/>
      <c r="AD866" s="119"/>
      <c r="AE866" s="119"/>
      <c r="AF866" s="119"/>
      <c r="AG866" s="119"/>
      <c r="AH866" s="11"/>
      <c r="AI866" s="11"/>
      <c r="AJ866" s="11"/>
      <c r="AK866" s="11"/>
    </row>
    <row r="867">
      <c r="A867" s="11"/>
      <c r="B867" s="11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  <c r="AA867" s="119"/>
      <c r="AB867" s="119"/>
      <c r="AC867" s="119"/>
      <c r="AD867" s="119"/>
      <c r="AE867" s="119"/>
      <c r="AF867" s="119"/>
      <c r="AG867" s="119"/>
      <c r="AH867" s="11"/>
      <c r="AI867" s="11"/>
      <c r="AJ867" s="11"/>
      <c r="AK867" s="11"/>
    </row>
    <row r="868">
      <c r="A868" s="11"/>
      <c r="B868" s="11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  <c r="AA868" s="119"/>
      <c r="AB868" s="119"/>
      <c r="AC868" s="119"/>
      <c r="AD868" s="119"/>
      <c r="AE868" s="119"/>
      <c r="AF868" s="119"/>
      <c r="AG868" s="119"/>
      <c r="AH868" s="11"/>
      <c r="AI868" s="11"/>
      <c r="AJ868" s="11"/>
      <c r="AK868" s="11"/>
    </row>
    <row r="869">
      <c r="A869" s="11"/>
      <c r="B869" s="11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  <c r="AA869" s="119"/>
      <c r="AB869" s="119"/>
      <c r="AC869" s="119"/>
      <c r="AD869" s="119"/>
      <c r="AE869" s="119"/>
      <c r="AF869" s="119"/>
      <c r="AG869" s="119"/>
      <c r="AH869" s="11"/>
      <c r="AI869" s="11"/>
      <c r="AJ869" s="11"/>
      <c r="AK869" s="11"/>
    </row>
    <row r="870">
      <c r="A870" s="11"/>
      <c r="B870" s="11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  <c r="AA870" s="119"/>
      <c r="AB870" s="119"/>
      <c r="AC870" s="119"/>
      <c r="AD870" s="119"/>
      <c r="AE870" s="119"/>
      <c r="AF870" s="119"/>
      <c r="AG870" s="119"/>
      <c r="AH870" s="11"/>
      <c r="AI870" s="11"/>
      <c r="AJ870" s="11"/>
      <c r="AK870" s="11"/>
    </row>
    <row r="871">
      <c r="A871" s="11"/>
      <c r="B871" s="11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  <c r="AA871" s="119"/>
      <c r="AB871" s="119"/>
      <c r="AC871" s="119"/>
      <c r="AD871" s="119"/>
      <c r="AE871" s="119"/>
      <c r="AF871" s="119"/>
      <c r="AG871" s="119"/>
      <c r="AH871" s="11"/>
      <c r="AI871" s="11"/>
      <c r="AJ871" s="11"/>
      <c r="AK871" s="11"/>
    </row>
    <row r="872">
      <c r="A872" s="11"/>
      <c r="B872" s="11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  <c r="AA872" s="119"/>
      <c r="AB872" s="119"/>
      <c r="AC872" s="119"/>
      <c r="AD872" s="119"/>
      <c r="AE872" s="119"/>
      <c r="AF872" s="119"/>
      <c r="AG872" s="119"/>
      <c r="AH872" s="11"/>
      <c r="AI872" s="11"/>
      <c r="AJ872" s="11"/>
      <c r="AK872" s="11"/>
    </row>
    <row r="873">
      <c r="A873" s="11"/>
      <c r="B873" s="11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  <c r="AC873" s="119"/>
      <c r="AD873" s="119"/>
      <c r="AE873" s="119"/>
      <c r="AF873" s="119"/>
      <c r="AG873" s="119"/>
      <c r="AH873" s="11"/>
      <c r="AI873" s="11"/>
      <c r="AJ873" s="11"/>
      <c r="AK873" s="11"/>
    </row>
    <row r="874">
      <c r="A874" s="11"/>
      <c r="B874" s="11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  <c r="AA874" s="119"/>
      <c r="AB874" s="119"/>
      <c r="AC874" s="119"/>
      <c r="AD874" s="119"/>
      <c r="AE874" s="119"/>
      <c r="AF874" s="119"/>
      <c r="AG874" s="119"/>
      <c r="AH874" s="11"/>
      <c r="AI874" s="11"/>
      <c r="AJ874" s="11"/>
      <c r="AK874" s="11"/>
    </row>
    <row r="875">
      <c r="A875" s="11"/>
      <c r="B875" s="11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  <c r="AA875" s="119"/>
      <c r="AB875" s="119"/>
      <c r="AC875" s="119"/>
      <c r="AD875" s="119"/>
      <c r="AE875" s="119"/>
      <c r="AF875" s="119"/>
      <c r="AG875" s="119"/>
      <c r="AH875" s="11"/>
      <c r="AI875" s="11"/>
      <c r="AJ875" s="11"/>
      <c r="AK875" s="11"/>
    </row>
    <row r="876">
      <c r="A876" s="11"/>
      <c r="B876" s="11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  <c r="AA876" s="119"/>
      <c r="AB876" s="119"/>
      <c r="AC876" s="119"/>
      <c r="AD876" s="119"/>
      <c r="AE876" s="119"/>
      <c r="AF876" s="119"/>
      <c r="AG876" s="119"/>
      <c r="AH876" s="11"/>
      <c r="AI876" s="11"/>
      <c r="AJ876" s="11"/>
      <c r="AK876" s="11"/>
    </row>
    <row r="877">
      <c r="A877" s="11"/>
      <c r="B877" s="11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  <c r="AA877" s="119"/>
      <c r="AB877" s="119"/>
      <c r="AC877" s="119"/>
      <c r="AD877" s="119"/>
      <c r="AE877" s="119"/>
      <c r="AF877" s="119"/>
      <c r="AG877" s="119"/>
      <c r="AH877" s="11"/>
      <c r="AI877" s="11"/>
      <c r="AJ877" s="11"/>
      <c r="AK877" s="11"/>
    </row>
    <row r="878">
      <c r="A878" s="11"/>
      <c r="B878" s="11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  <c r="AA878" s="119"/>
      <c r="AB878" s="119"/>
      <c r="AC878" s="119"/>
      <c r="AD878" s="119"/>
      <c r="AE878" s="119"/>
      <c r="AF878" s="119"/>
      <c r="AG878" s="119"/>
      <c r="AH878" s="11"/>
      <c r="AI878" s="11"/>
      <c r="AJ878" s="11"/>
      <c r="AK878" s="11"/>
    </row>
    <row r="879">
      <c r="A879" s="11"/>
      <c r="B879" s="11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  <c r="AA879" s="119"/>
      <c r="AB879" s="119"/>
      <c r="AC879" s="119"/>
      <c r="AD879" s="119"/>
      <c r="AE879" s="119"/>
      <c r="AF879" s="119"/>
      <c r="AG879" s="119"/>
      <c r="AH879" s="11"/>
      <c r="AI879" s="11"/>
      <c r="AJ879" s="11"/>
      <c r="AK879" s="11"/>
    </row>
    <row r="880">
      <c r="A880" s="11"/>
      <c r="B880" s="11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  <c r="AA880" s="119"/>
      <c r="AB880" s="119"/>
      <c r="AC880" s="119"/>
      <c r="AD880" s="119"/>
      <c r="AE880" s="119"/>
      <c r="AF880" s="119"/>
      <c r="AG880" s="119"/>
      <c r="AH880" s="11"/>
      <c r="AI880" s="11"/>
      <c r="AJ880" s="11"/>
      <c r="AK880" s="11"/>
    </row>
    <row r="881">
      <c r="A881" s="11"/>
      <c r="B881" s="11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  <c r="AA881" s="119"/>
      <c r="AB881" s="119"/>
      <c r="AC881" s="119"/>
      <c r="AD881" s="119"/>
      <c r="AE881" s="119"/>
      <c r="AF881" s="119"/>
      <c r="AG881" s="119"/>
      <c r="AH881" s="11"/>
      <c r="AI881" s="11"/>
      <c r="AJ881" s="11"/>
      <c r="AK881" s="11"/>
    </row>
    <row r="882">
      <c r="A882" s="11"/>
      <c r="B882" s="11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  <c r="AA882" s="119"/>
      <c r="AB882" s="119"/>
      <c r="AC882" s="119"/>
      <c r="AD882" s="119"/>
      <c r="AE882" s="119"/>
      <c r="AF882" s="119"/>
      <c r="AG882" s="119"/>
      <c r="AH882" s="11"/>
      <c r="AI882" s="11"/>
      <c r="AJ882" s="11"/>
      <c r="AK882" s="11"/>
    </row>
    <row r="883">
      <c r="A883" s="11"/>
      <c r="B883" s="11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  <c r="AA883" s="119"/>
      <c r="AB883" s="119"/>
      <c r="AC883" s="119"/>
      <c r="AD883" s="119"/>
      <c r="AE883" s="119"/>
      <c r="AF883" s="119"/>
      <c r="AG883" s="119"/>
      <c r="AH883" s="11"/>
      <c r="AI883" s="11"/>
      <c r="AJ883" s="11"/>
      <c r="AK883" s="11"/>
    </row>
    <row r="884">
      <c r="A884" s="11"/>
      <c r="B884" s="11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  <c r="AA884" s="119"/>
      <c r="AB884" s="119"/>
      <c r="AC884" s="119"/>
      <c r="AD884" s="119"/>
      <c r="AE884" s="119"/>
      <c r="AF884" s="119"/>
      <c r="AG884" s="119"/>
      <c r="AH884" s="11"/>
      <c r="AI884" s="11"/>
      <c r="AJ884" s="11"/>
      <c r="AK884" s="11"/>
    </row>
    <row r="885">
      <c r="A885" s="11"/>
      <c r="B885" s="11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  <c r="AA885" s="119"/>
      <c r="AB885" s="119"/>
      <c r="AC885" s="119"/>
      <c r="AD885" s="119"/>
      <c r="AE885" s="119"/>
      <c r="AF885" s="119"/>
      <c r="AG885" s="119"/>
      <c r="AH885" s="11"/>
      <c r="AI885" s="11"/>
      <c r="AJ885" s="11"/>
      <c r="AK885" s="11"/>
    </row>
    <row r="886">
      <c r="A886" s="11"/>
      <c r="B886" s="11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  <c r="AA886" s="119"/>
      <c r="AB886" s="119"/>
      <c r="AC886" s="119"/>
      <c r="AD886" s="119"/>
      <c r="AE886" s="119"/>
      <c r="AF886" s="119"/>
      <c r="AG886" s="119"/>
      <c r="AH886" s="11"/>
      <c r="AI886" s="11"/>
      <c r="AJ886" s="11"/>
      <c r="AK886" s="11"/>
    </row>
    <row r="887">
      <c r="A887" s="11"/>
      <c r="B887" s="11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  <c r="AA887" s="119"/>
      <c r="AB887" s="119"/>
      <c r="AC887" s="119"/>
      <c r="AD887" s="119"/>
      <c r="AE887" s="119"/>
      <c r="AF887" s="119"/>
      <c r="AG887" s="119"/>
      <c r="AH887" s="11"/>
      <c r="AI887" s="11"/>
      <c r="AJ887" s="11"/>
      <c r="AK887" s="11"/>
    </row>
    <row r="888">
      <c r="A888" s="11"/>
      <c r="B888" s="11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  <c r="AA888" s="119"/>
      <c r="AB888" s="119"/>
      <c r="AC888" s="119"/>
      <c r="AD888" s="119"/>
      <c r="AE888" s="119"/>
      <c r="AF888" s="119"/>
      <c r="AG888" s="119"/>
      <c r="AH888" s="11"/>
      <c r="AI888" s="11"/>
      <c r="AJ888" s="11"/>
      <c r="AK888" s="11"/>
    </row>
    <row r="889">
      <c r="A889" s="11"/>
      <c r="B889" s="11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  <c r="AA889" s="119"/>
      <c r="AB889" s="119"/>
      <c r="AC889" s="119"/>
      <c r="AD889" s="119"/>
      <c r="AE889" s="119"/>
      <c r="AF889" s="119"/>
      <c r="AG889" s="119"/>
      <c r="AH889" s="11"/>
      <c r="AI889" s="11"/>
      <c r="AJ889" s="11"/>
      <c r="AK889" s="11"/>
    </row>
    <row r="890">
      <c r="A890" s="11"/>
      <c r="B890" s="11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  <c r="AA890" s="119"/>
      <c r="AB890" s="119"/>
      <c r="AC890" s="119"/>
      <c r="AD890" s="119"/>
      <c r="AE890" s="119"/>
      <c r="AF890" s="119"/>
      <c r="AG890" s="119"/>
      <c r="AH890" s="11"/>
      <c r="AI890" s="11"/>
      <c r="AJ890" s="11"/>
      <c r="AK890" s="11"/>
    </row>
    <row r="891">
      <c r="A891" s="11"/>
      <c r="B891" s="11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  <c r="AA891" s="119"/>
      <c r="AB891" s="119"/>
      <c r="AC891" s="119"/>
      <c r="AD891" s="119"/>
      <c r="AE891" s="119"/>
      <c r="AF891" s="119"/>
      <c r="AG891" s="119"/>
      <c r="AH891" s="11"/>
      <c r="AI891" s="11"/>
      <c r="AJ891" s="11"/>
      <c r="AK891" s="11"/>
    </row>
    <row r="892">
      <c r="A892" s="11"/>
      <c r="B892" s="11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  <c r="AA892" s="119"/>
      <c r="AB892" s="119"/>
      <c r="AC892" s="119"/>
      <c r="AD892" s="119"/>
      <c r="AE892" s="119"/>
      <c r="AF892" s="119"/>
      <c r="AG892" s="119"/>
      <c r="AH892" s="11"/>
      <c r="AI892" s="11"/>
      <c r="AJ892" s="11"/>
      <c r="AK892" s="11"/>
    </row>
    <row r="893">
      <c r="A893" s="11"/>
      <c r="B893" s="11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  <c r="AA893" s="119"/>
      <c r="AB893" s="119"/>
      <c r="AC893" s="119"/>
      <c r="AD893" s="119"/>
      <c r="AE893" s="119"/>
      <c r="AF893" s="119"/>
      <c r="AG893" s="119"/>
      <c r="AH893" s="11"/>
      <c r="AI893" s="11"/>
      <c r="AJ893" s="11"/>
      <c r="AK893" s="11"/>
    </row>
    <row r="894">
      <c r="A894" s="11"/>
      <c r="B894" s="11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  <c r="AA894" s="119"/>
      <c r="AB894" s="119"/>
      <c r="AC894" s="119"/>
      <c r="AD894" s="119"/>
      <c r="AE894" s="119"/>
      <c r="AF894" s="119"/>
      <c r="AG894" s="119"/>
      <c r="AH894" s="11"/>
      <c r="AI894" s="11"/>
      <c r="AJ894" s="11"/>
      <c r="AK894" s="11"/>
    </row>
    <row r="895">
      <c r="A895" s="11"/>
      <c r="B895" s="11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  <c r="AA895" s="119"/>
      <c r="AB895" s="119"/>
      <c r="AC895" s="119"/>
      <c r="AD895" s="119"/>
      <c r="AE895" s="119"/>
      <c r="AF895" s="119"/>
      <c r="AG895" s="119"/>
      <c r="AH895" s="11"/>
      <c r="AI895" s="11"/>
      <c r="AJ895" s="11"/>
      <c r="AK895" s="11"/>
    </row>
    <row r="896">
      <c r="A896" s="11"/>
      <c r="B896" s="11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  <c r="AA896" s="119"/>
      <c r="AB896" s="119"/>
      <c r="AC896" s="119"/>
      <c r="AD896" s="119"/>
      <c r="AE896" s="119"/>
      <c r="AF896" s="119"/>
      <c r="AG896" s="119"/>
      <c r="AH896" s="11"/>
      <c r="AI896" s="11"/>
      <c r="AJ896" s="11"/>
      <c r="AK896" s="11"/>
    </row>
    <row r="897">
      <c r="A897" s="11"/>
      <c r="B897" s="11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  <c r="AA897" s="119"/>
      <c r="AB897" s="119"/>
      <c r="AC897" s="119"/>
      <c r="AD897" s="119"/>
      <c r="AE897" s="119"/>
      <c r="AF897" s="119"/>
      <c r="AG897" s="119"/>
      <c r="AH897" s="11"/>
      <c r="AI897" s="11"/>
      <c r="AJ897" s="11"/>
      <c r="AK897" s="11"/>
    </row>
    <row r="898">
      <c r="A898" s="11"/>
      <c r="B898" s="11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  <c r="AA898" s="119"/>
      <c r="AB898" s="119"/>
      <c r="AC898" s="119"/>
      <c r="AD898" s="119"/>
      <c r="AE898" s="119"/>
      <c r="AF898" s="119"/>
      <c r="AG898" s="119"/>
      <c r="AH898" s="11"/>
      <c r="AI898" s="11"/>
      <c r="AJ898" s="11"/>
      <c r="AK898" s="11"/>
    </row>
    <row r="899">
      <c r="A899" s="11"/>
      <c r="B899" s="11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  <c r="AA899" s="119"/>
      <c r="AB899" s="119"/>
      <c r="AC899" s="119"/>
      <c r="AD899" s="119"/>
      <c r="AE899" s="119"/>
      <c r="AF899" s="119"/>
      <c r="AG899" s="119"/>
      <c r="AH899" s="11"/>
      <c r="AI899" s="11"/>
      <c r="AJ899" s="11"/>
      <c r="AK899" s="11"/>
    </row>
    <row r="900">
      <c r="A900" s="11"/>
      <c r="B900" s="11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  <c r="AA900" s="119"/>
      <c r="AB900" s="119"/>
      <c r="AC900" s="119"/>
      <c r="AD900" s="119"/>
      <c r="AE900" s="119"/>
      <c r="AF900" s="119"/>
      <c r="AG900" s="119"/>
      <c r="AH900" s="11"/>
      <c r="AI900" s="11"/>
      <c r="AJ900" s="11"/>
      <c r="AK900" s="11"/>
    </row>
    <row r="901">
      <c r="A901" s="11"/>
      <c r="B901" s="11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  <c r="AA901" s="119"/>
      <c r="AB901" s="119"/>
      <c r="AC901" s="119"/>
      <c r="AD901" s="119"/>
      <c r="AE901" s="119"/>
      <c r="AF901" s="119"/>
      <c r="AG901" s="119"/>
      <c r="AH901" s="11"/>
      <c r="AI901" s="11"/>
      <c r="AJ901" s="11"/>
      <c r="AK901" s="11"/>
    </row>
    <row r="902">
      <c r="A902" s="11"/>
      <c r="B902" s="11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  <c r="AA902" s="119"/>
      <c r="AB902" s="119"/>
      <c r="AC902" s="119"/>
      <c r="AD902" s="119"/>
      <c r="AE902" s="119"/>
      <c r="AF902" s="119"/>
      <c r="AG902" s="119"/>
      <c r="AH902" s="11"/>
      <c r="AI902" s="11"/>
      <c r="AJ902" s="11"/>
      <c r="AK902" s="11"/>
    </row>
    <row r="903">
      <c r="A903" s="11"/>
      <c r="B903" s="11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  <c r="AA903" s="119"/>
      <c r="AB903" s="119"/>
      <c r="AC903" s="119"/>
      <c r="AD903" s="119"/>
      <c r="AE903" s="119"/>
      <c r="AF903" s="119"/>
      <c r="AG903" s="119"/>
      <c r="AH903" s="11"/>
      <c r="AI903" s="11"/>
      <c r="AJ903" s="11"/>
      <c r="AK903" s="11"/>
    </row>
    <row r="904">
      <c r="A904" s="11"/>
      <c r="B904" s="11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  <c r="AA904" s="119"/>
      <c r="AB904" s="119"/>
      <c r="AC904" s="119"/>
      <c r="AD904" s="119"/>
      <c r="AE904" s="119"/>
      <c r="AF904" s="119"/>
      <c r="AG904" s="119"/>
      <c r="AH904" s="11"/>
      <c r="AI904" s="11"/>
      <c r="AJ904" s="11"/>
      <c r="AK904" s="11"/>
    </row>
    <row r="905">
      <c r="A905" s="11"/>
      <c r="B905" s="11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  <c r="AA905" s="119"/>
      <c r="AB905" s="119"/>
      <c r="AC905" s="119"/>
      <c r="AD905" s="119"/>
      <c r="AE905" s="119"/>
      <c r="AF905" s="119"/>
      <c r="AG905" s="119"/>
      <c r="AH905" s="11"/>
      <c r="AI905" s="11"/>
      <c r="AJ905" s="11"/>
      <c r="AK905" s="11"/>
    </row>
    <row r="906">
      <c r="A906" s="11"/>
      <c r="B906" s="11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  <c r="AA906" s="119"/>
      <c r="AB906" s="119"/>
      <c r="AC906" s="119"/>
      <c r="AD906" s="119"/>
      <c r="AE906" s="119"/>
      <c r="AF906" s="119"/>
      <c r="AG906" s="119"/>
      <c r="AH906" s="11"/>
      <c r="AI906" s="11"/>
      <c r="AJ906" s="11"/>
      <c r="AK906" s="11"/>
    </row>
    <row r="907">
      <c r="A907" s="11"/>
      <c r="B907" s="11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  <c r="AA907" s="119"/>
      <c r="AB907" s="119"/>
      <c r="AC907" s="119"/>
      <c r="AD907" s="119"/>
      <c r="AE907" s="119"/>
      <c r="AF907" s="119"/>
      <c r="AG907" s="119"/>
      <c r="AH907" s="11"/>
      <c r="AI907" s="11"/>
      <c r="AJ907" s="11"/>
      <c r="AK907" s="11"/>
    </row>
    <row r="908">
      <c r="A908" s="11"/>
      <c r="B908" s="11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  <c r="AA908" s="119"/>
      <c r="AB908" s="119"/>
      <c r="AC908" s="119"/>
      <c r="AD908" s="119"/>
      <c r="AE908" s="119"/>
      <c r="AF908" s="119"/>
      <c r="AG908" s="119"/>
      <c r="AH908" s="11"/>
      <c r="AI908" s="11"/>
      <c r="AJ908" s="11"/>
      <c r="AK908" s="11"/>
    </row>
    <row r="909">
      <c r="A909" s="11"/>
      <c r="B909" s="11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  <c r="AA909" s="119"/>
      <c r="AB909" s="119"/>
      <c r="AC909" s="119"/>
      <c r="AD909" s="119"/>
      <c r="AE909" s="119"/>
      <c r="AF909" s="119"/>
      <c r="AG909" s="119"/>
      <c r="AH909" s="11"/>
      <c r="AI909" s="11"/>
      <c r="AJ909" s="11"/>
      <c r="AK909" s="11"/>
    </row>
    <row r="910">
      <c r="A910" s="11"/>
      <c r="B910" s="11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  <c r="AA910" s="119"/>
      <c r="AB910" s="119"/>
      <c r="AC910" s="119"/>
      <c r="AD910" s="119"/>
      <c r="AE910" s="119"/>
      <c r="AF910" s="119"/>
      <c r="AG910" s="119"/>
      <c r="AH910" s="11"/>
      <c r="AI910" s="11"/>
      <c r="AJ910" s="11"/>
      <c r="AK910" s="11"/>
    </row>
    <row r="911">
      <c r="A911" s="11"/>
      <c r="B911" s="11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  <c r="AA911" s="119"/>
      <c r="AB911" s="119"/>
      <c r="AC911" s="119"/>
      <c r="AD911" s="119"/>
      <c r="AE911" s="119"/>
      <c r="AF911" s="119"/>
      <c r="AG911" s="119"/>
      <c r="AH911" s="11"/>
      <c r="AI911" s="11"/>
      <c r="AJ911" s="11"/>
      <c r="AK911" s="11"/>
    </row>
    <row r="912">
      <c r="A912" s="11"/>
      <c r="B912" s="11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  <c r="AA912" s="119"/>
      <c r="AB912" s="119"/>
      <c r="AC912" s="119"/>
      <c r="AD912" s="119"/>
      <c r="AE912" s="119"/>
      <c r="AF912" s="119"/>
      <c r="AG912" s="119"/>
      <c r="AH912" s="11"/>
      <c r="AI912" s="11"/>
      <c r="AJ912" s="11"/>
      <c r="AK912" s="11"/>
    </row>
    <row r="913">
      <c r="A913" s="11"/>
      <c r="B913" s="11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  <c r="AA913" s="119"/>
      <c r="AB913" s="119"/>
      <c r="AC913" s="119"/>
      <c r="AD913" s="119"/>
      <c r="AE913" s="119"/>
      <c r="AF913" s="119"/>
      <c r="AG913" s="119"/>
      <c r="AH913" s="11"/>
      <c r="AI913" s="11"/>
      <c r="AJ913" s="11"/>
      <c r="AK913" s="11"/>
    </row>
    <row r="914">
      <c r="A914" s="11"/>
      <c r="B914" s="11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  <c r="AA914" s="119"/>
      <c r="AB914" s="119"/>
      <c r="AC914" s="119"/>
      <c r="AD914" s="119"/>
      <c r="AE914" s="119"/>
      <c r="AF914" s="119"/>
      <c r="AG914" s="119"/>
      <c r="AH914" s="11"/>
      <c r="AI914" s="11"/>
      <c r="AJ914" s="11"/>
      <c r="AK914" s="11"/>
    </row>
    <row r="915">
      <c r="A915" s="11"/>
      <c r="B915" s="11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  <c r="AA915" s="119"/>
      <c r="AB915" s="119"/>
      <c r="AC915" s="119"/>
      <c r="AD915" s="119"/>
      <c r="AE915" s="119"/>
      <c r="AF915" s="119"/>
      <c r="AG915" s="119"/>
      <c r="AH915" s="11"/>
      <c r="AI915" s="11"/>
      <c r="AJ915" s="11"/>
      <c r="AK915" s="11"/>
    </row>
    <row r="916">
      <c r="A916" s="11"/>
      <c r="B916" s="11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  <c r="AA916" s="119"/>
      <c r="AB916" s="119"/>
      <c r="AC916" s="119"/>
      <c r="AD916" s="119"/>
      <c r="AE916" s="119"/>
      <c r="AF916" s="119"/>
      <c r="AG916" s="119"/>
      <c r="AH916" s="11"/>
      <c r="AI916" s="11"/>
      <c r="AJ916" s="11"/>
      <c r="AK916" s="11"/>
    </row>
    <row r="917">
      <c r="A917" s="11"/>
      <c r="B917" s="11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  <c r="AA917" s="119"/>
      <c r="AB917" s="119"/>
      <c r="AC917" s="119"/>
      <c r="AD917" s="119"/>
      <c r="AE917" s="119"/>
      <c r="AF917" s="119"/>
      <c r="AG917" s="119"/>
      <c r="AH917" s="11"/>
      <c r="AI917" s="11"/>
      <c r="AJ917" s="11"/>
      <c r="AK917" s="11"/>
    </row>
    <row r="918">
      <c r="A918" s="11"/>
      <c r="B918" s="11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  <c r="AA918" s="119"/>
      <c r="AB918" s="119"/>
      <c r="AC918" s="119"/>
      <c r="AD918" s="119"/>
      <c r="AE918" s="119"/>
      <c r="AF918" s="119"/>
      <c r="AG918" s="119"/>
      <c r="AH918" s="11"/>
      <c r="AI918" s="11"/>
      <c r="AJ918" s="11"/>
      <c r="AK918" s="11"/>
    </row>
    <row r="919">
      <c r="A919" s="11"/>
      <c r="B919" s="11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  <c r="AA919" s="119"/>
      <c r="AB919" s="119"/>
      <c r="AC919" s="119"/>
      <c r="AD919" s="119"/>
      <c r="AE919" s="119"/>
      <c r="AF919" s="119"/>
      <c r="AG919" s="119"/>
      <c r="AH919" s="11"/>
      <c r="AI919" s="11"/>
      <c r="AJ919" s="11"/>
      <c r="AK919" s="11"/>
    </row>
    <row r="920">
      <c r="A920" s="11"/>
      <c r="B920" s="11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  <c r="AA920" s="119"/>
      <c r="AB920" s="119"/>
      <c r="AC920" s="119"/>
      <c r="AD920" s="119"/>
      <c r="AE920" s="119"/>
      <c r="AF920" s="119"/>
      <c r="AG920" s="119"/>
      <c r="AH920" s="11"/>
      <c r="AI920" s="11"/>
      <c r="AJ920" s="11"/>
      <c r="AK920" s="11"/>
    </row>
    <row r="921">
      <c r="A921" s="11"/>
      <c r="B921" s="11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  <c r="AA921" s="119"/>
      <c r="AB921" s="119"/>
      <c r="AC921" s="119"/>
      <c r="AD921" s="119"/>
      <c r="AE921" s="119"/>
      <c r="AF921" s="119"/>
      <c r="AG921" s="119"/>
      <c r="AH921" s="11"/>
      <c r="AI921" s="11"/>
      <c r="AJ921" s="11"/>
      <c r="AK921" s="11"/>
    </row>
    <row r="922">
      <c r="A922" s="11"/>
      <c r="B922" s="11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  <c r="AA922" s="119"/>
      <c r="AB922" s="119"/>
      <c r="AC922" s="119"/>
      <c r="AD922" s="119"/>
      <c r="AE922" s="119"/>
      <c r="AF922" s="119"/>
      <c r="AG922" s="119"/>
      <c r="AH922" s="11"/>
      <c r="AI922" s="11"/>
      <c r="AJ922" s="11"/>
      <c r="AK922" s="11"/>
    </row>
    <row r="923">
      <c r="A923" s="11"/>
      <c r="B923" s="11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  <c r="AA923" s="119"/>
      <c r="AB923" s="119"/>
      <c r="AC923" s="119"/>
      <c r="AD923" s="119"/>
      <c r="AE923" s="119"/>
      <c r="AF923" s="119"/>
      <c r="AG923" s="119"/>
      <c r="AH923" s="11"/>
      <c r="AI923" s="11"/>
      <c r="AJ923" s="11"/>
      <c r="AK923" s="11"/>
    </row>
    <row r="924">
      <c r="A924" s="11"/>
      <c r="B924" s="11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  <c r="AA924" s="119"/>
      <c r="AB924" s="119"/>
      <c r="AC924" s="119"/>
      <c r="AD924" s="119"/>
      <c r="AE924" s="119"/>
      <c r="AF924" s="119"/>
      <c r="AG924" s="119"/>
      <c r="AH924" s="11"/>
      <c r="AI924" s="11"/>
      <c r="AJ924" s="11"/>
      <c r="AK924" s="11"/>
    </row>
    <row r="925">
      <c r="A925" s="11"/>
      <c r="B925" s="11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  <c r="AA925" s="119"/>
      <c r="AB925" s="119"/>
      <c r="AC925" s="119"/>
      <c r="AD925" s="119"/>
      <c r="AE925" s="119"/>
      <c r="AF925" s="119"/>
      <c r="AG925" s="119"/>
      <c r="AH925" s="11"/>
      <c r="AI925" s="11"/>
      <c r="AJ925" s="11"/>
      <c r="AK925" s="11"/>
    </row>
    <row r="926">
      <c r="A926" s="11"/>
      <c r="B926" s="11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  <c r="AA926" s="119"/>
      <c r="AB926" s="119"/>
      <c r="AC926" s="119"/>
      <c r="AD926" s="119"/>
      <c r="AE926" s="119"/>
      <c r="AF926" s="119"/>
      <c r="AG926" s="119"/>
      <c r="AH926" s="11"/>
      <c r="AI926" s="11"/>
      <c r="AJ926" s="11"/>
      <c r="AK926" s="11"/>
    </row>
    <row r="927">
      <c r="A927" s="11"/>
      <c r="B927" s="11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  <c r="AA927" s="119"/>
      <c r="AB927" s="119"/>
      <c r="AC927" s="119"/>
      <c r="AD927" s="119"/>
      <c r="AE927" s="119"/>
      <c r="AF927" s="119"/>
      <c r="AG927" s="119"/>
      <c r="AH927" s="11"/>
      <c r="AI927" s="11"/>
      <c r="AJ927" s="11"/>
      <c r="AK927" s="11"/>
    </row>
    <row r="928">
      <c r="A928" s="11"/>
      <c r="B928" s="11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  <c r="AA928" s="119"/>
      <c r="AB928" s="119"/>
      <c r="AC928" s="119"/>
      <c r="AD928" s="119"/>
      <c r="AE928" s="119"/>
      <c r="AF928" s="119"/>
      <c r="AG928" s="119"/>
      <c r="AH928" s="11"/>
      <c r="AI928" s="11"/>
      <c r="AJ928" s="11"/>
      <c r="AK928" s="11"/>
    </row>
    <row r="929">
      <c r="A929" s="11"/>
      <c r="B929" s="11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  <c r="AA929" s="119"/>
      <c r="AB929" s="119"/>
      <c r="AC929" s="119"/>
      <c r="AD929" s="119"/>
      <c r="AE929" s="119"/>
      <c r="AF929" s="119"/>
      <c r="AG929" s="119"/>
      <c r="AH929" s="11"/>
      <c r="AI929" s="11"/>
      <c r="AJ929" s="11"/>
      <c r="AK929" s="11"/>
    </row>
    <row r="930">
      <c r="A930" s="11"/>
      <c r="B930" s="11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  <c r="AA930" s="119"/>
      <c r="AB930" s="119"/>
      <c r="AC930" s="119"/>
      <c r="AD930" s="119"/>
      <c r="AE930" s="119"/>
      <c r="AF930" s="119"/>
      <c r="AG930" s="119"/>
      <c r="AH930" s="11"/>
      <c r="AI930" s="11"/>
      <c r="AJ930" s="11"/>
      <c r="AK930" s="11"/>
    </row>
    <row r="931">
      <c r="A931" s="11"/>
      <c r="B931" s="11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  <c r="AA931" s="119"/>
      <c r="AB931" s="119"/>
      <c r="AC931" s="119"/>
      <c r="AD931" s="119"/>
      <c r="AE931" s="119"/>
      <c r="AF931" s="119"/>
      <c r="AG931" s="119"/>
      <c r="AH931" s="11"/>
      <c r="AI931" s="11"/>
      <c r="AJ931" s="11"/>
      <c r="AK931" s="11"/>
    </row>
    <row r="932">
      <c r="A932" s="11"/>
      <c r="B932" s="11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  <c r="AA932" s="119"/>
      <c r="AB932" s="119"/>
      <c r="AC932" s="119"/>
      <c r="AD932" s="119"/>
      <c r="AE932" s="119"/>
      <c r="AF932" s="119"/>
      <c r="AG932" s="119"/>
      <c r="AH932" s="11"/>
      <c r="AI932" s="11"/>
      <c r="AJ932" s="11"/>
      <c r="AK932" s="11"/>
    </row>
    <row r="933">
      <c r="A933" s="11"/>
      <c r="B933" s="11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  <c r="AA933" s="119"/>
      <c r="AB933" s="119"/>
      <c r="AC933" s="119"/>
      <c r="AD933" s="119"/>
      <c r="AE933" s="119"/>
      <c r="AF933" s="119"/>
      <c r="AG933" s="119"/>
      <c r="AH933" s="11"/>
      <c r="AI933" s="11"/>
      <c r="AJ933" s="11"/>
      <c r="AK933" s="11"/>
    </row>
    <row r="934">
      <c r="A934" s="11"/>
      <c r="B934" s="11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  <c r="AA934" s="119"/>
      <c r="AB934" s="119"/>
      <c r="AC934" s="119"/>
      <c r="AD934" s="119"/>
      <c r="AE934" s="119"/>
      <c r="AF934" s="119"/>
      <c r="AG934" s="119"/>
      <c r="AH934" s="11"/>
      <c r="AI934" s="11"/>
      <c r="AJ934" s="11"/>
      <c r="AK934" s="11"/>
    </row>
    <row r="935">
      <c r="A935" s="11"/>
      <c r="B935" s="11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  <c r="AA935" s="119"/>
      <c r="AB935" s="119"/>
      <c r="AC935" s="119"/>
      <c r="AD935" s="119"/>
      <c r="AE935" s="119"/>
      <c r="AF935" s="119"/>
      <c r="AG935" s="119"/>
      <c r="AH935" s="11"/>
      <c r="AI935" s="11"/>
      <c r="AJ935" s="11"/>
      <c r="AK935" s="11"/>
    </row>
    <row r="936">
      <c r="A936" s="11"/>
      <c r="B936" s="11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  <c r="AA936" s="119"/>
      <c r="AB936" s="119"/>
      <c r="AC936" s="119"/>
      <c r="AD936" s="119"/>
      <c r="AE936" s="119"/>
      <c r="AF936" s="119"/>
      <c r="AG936" s="119"/>
      <c r="AH936" s="11"/>
      <c r="AI936" s="11"/>
      <c r="AJ936" s="11"/>
      <c r="AK936" s="11"/>
    </row>
    <row r="937">
      <c r="A937" s="11"/>
      <c r="B937" s="11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  <c r="AA937" s="119"/>
      <c r="AB937" s="119"/>
      <c r="AC937" s="119"/>
      <c r="AD937" s="119"/>
      <c r="AE937" s="119"/>
      <c r="AF937" s="119"/>
      <c r="AG937" s="119"/>
      <c r="AH937" s="11"/>
      <c r="AI937" s="11"/>
      <c r="AJ937" s="11"/>
      <c r="AK937" s="11"/>
    </row>
    <row r="938">
      <c r="A938" s="11"/>
      <c r="B938" s="11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  <c r="AA938" s="119"/>
      <c r="AB938" s="119"/>
      <c r="AC938" s="119"/>
      <c r="AD938" s="119"/>
      <c r="AE938" s="119"/>
      <c r="AF938" s="119"/>
      <c r="AG938" s="119"/>
      <c r="AH938" s="11"/>
      <c r="AI938" s="11"/>
      <c r="AJ938" s="11"/>
      <c r="AK938" s="11"/>
    </row>
    <row r="939">
      <c r="A939" s="11"/>
      <c r="B939" s="11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  <c r="AA939" s="119"/>
      <c r="AB939" s="119"/>
      <c r="AC939" s="119"/>
      <c r="AD939" s="119"/>
      <c r="AE939" s="119"/>
      <c r="AF939" s="119"/>
      <c r="AG939" s="119"/>
      <c r="AH939" s="11"/>
      <c r="AI939" s="11"/>
      <c r="AJ939" s="11"/>
      <c r="AK939" s="11"/>
    </row>
    <row r="940">
      <c r="A940" s="11"/>
      <c r="B940" s="11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  <c r="AA940" s="119"/>
      <c r="AB940" s="119"/>
      <c r="AC940" s="119"/>
      <c r="AD940" s="119"/>
      <c r="AE940" s="119"/>
      <c r="AF940" s="119"/>
      <c r="AG940" s="119"/>
      <c r="AH940" s="11"/>
      <c r="AI940" s="11"/>
      <c r="AJ940" s="11"/>
      <c r="AK940" s="11"/>
    </row>
    <row r="941">
      <c r="A941" s="11"/>
      <c r="B941" s="11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  <c r="AA941" s="119"/>
      <c r="AB941" s="119"/>
      <c r="AC941" s="119"/>
      <c r="AD941" s="119"/>
      <c r="AE941" s="119"/>
      <c r="AF941" s="119"/>
      <c r="AG941" s="119"/>
      <c r="AH941" s="11"/>
      <c r="AI941" s="11"/>
      <c r="AJ941" s="11"/>
      <c r="AK941" s="11"/>
    </row>
    <row r="942">
      <c r="A942" s="11"/>
      <c r="B942" s="11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  <c r="AA942" s="119"/>
      <c r="AB942" s="119"/>
      <c r="AC942" s="119"/>
      <c r="AD942" s="119"/>
      <c r="AE942" s="119"/>
      <c r="AF942" s="119"/>
      <c r="AG942" s="119"/>
      <c r="AH942" s="11"/>
      <c r="AI942" s="11"/>
      <c r="AJ942" s="11"/>
      <c r="AK942" s="11"/>
    </row>
    <row r="943">
      <c r="A943" s="11"/>
      <c r="B943" s="11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  <c r="AA943" s="119"/>
      <c r="AB943" s="119"/>
      <c r="AC943" s="119"/>
      <c r="AD943" s="119"/>
      <c r="AE943" s="119"/>
      <c r="AF943" s="119"/>
      <c r="AG943" s="119"/>
      <c r="AH943" s="11"/>
      <c r="AI943" s="11"/>
      <c r="AJ943" s="11"/>
      <c r="AK943" s="11"/>
    </row>
    <row r="944">
      <c r="A944" s="11"/>
      <c r="B944" s="11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  <c r="AA944" s="119"/>
      <c r="AB944" s="119"/>
      <c r="AC944" s="119"/>
      <c r="AD944" s="119"/>
      <c r="AE944" s="119"/>
      <c r="AF944" s="119"/>
      <c r="AG944" s="119"/>
      <c r="AH944" s="11"/>
      <c r="AI944" s="11"/>
      <c r="AJ944" s="11"/>
      <c r="AK944" s="11"/>
    </row>
    <row r="945">
      <c r="A945" s="11"/>
      <c r="B945" s="11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  <c r="AA945" s="119"/>
      <c r="AB945" s="119"/>
      <c r="AC945" s="119"/>
      <c r="AD945" s="119"/>
      <c r="AE945" s="119"/>
      <c r="AF945" s="119"/>
      <c r="AG945" s="119"/>
      <c r="AH945" s="11"/>
      <c r="AI945" s="11"/>
      <c r="AJ945" s="11"/>
      <c r="AK945" s="11"/>
    </row>
    <row r="946">
      <c r="A946" s="11"/>
      <c r="B946" s="11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  <c r="AA946" s="119"/>
      <c r="AB946" s="119"/>
      <c r="AC946" s="119"/>
      <c r="AD946" s="119"/>
      <c r="AE946" s="119"/>
      <c r="AF946" s="119"/>
      <c r="AG946" s="119"/>
      <c r="AH946" s="11"/>
      <c r="AI946" s="11"/>
      <c r="AJ946" s="11"/>
      <c r="AK946" s="11"/>
    </row>
    <row r="947">
      <c r="A947" s="11"/>
      <c r="B947" s="11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  <c r="AA947" s="119"/>
      <c r="AB947" s="119"/>
      <c r="AC947" s="119"/>
      <c r="AD947" s="119"/>
      <c r="AE947" s="119"/>
      <c r="AF947" s="119"/>
      <c r="AG947" s="119"/>
      <c r="AH947" s="11"/>
      <c r="AI947" s="11"/>
      <c r="AJ947" s="11"/>
      <c r="AK947" s="11"/>
    </row>
    <row r="948">
      <c r="A948" s="11"/>
      <c r="B948" s="11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  <c r="AA948" s="119"/>
      <c r="AB948" s="119"/>
      <c r="AC948" s="119"/>
      <c r="AD948" s="119"/>
      <c r="AE948" s="119"/>
      <c r="AF948" s="119"/>
      <c r="AG948" s="119"/>
      <c r="AH948" s="11"/>
      <c r="AI948" s="11"/>
      <c r="AJ948" s="11"/>
      <c r="AK948" s="11"/>
    </row>
    <row r="949">
      <c r="A949" s="11"/>
      <c r="B949" s="11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  <c r="AA949" s="119"/>
      <c r="AB949" s="119"/>
      <c r="AC949" s="119"/>
      <c r="AD949" s="119"/>
      <c r="AE949" s="119"/>
      <c r="AF949" s="119"/>
      <c r="AG949" s="119"/>
      <c r="AH949" s="11"/>
      <c r="AI949" s="11"/>
      <c r="AJ949" s="11"/>
      <c r="AK949" s="11"/>
    </row>
    <row r="950">
      <c r="A950" s="11"/>
      <c r="B950" s="11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  <c r="AA950" s="119"/>
      <c r="AB950" s="119"/>
      <c r="AC950" s="119"/>
      <c r="AD950" s="119"/>
      <c r="AE950" s="119"/>
      <c r="AF950" s="119"/>
      <c r="AG950" s="119"/>
      <c r="AH950" s="11"/>
      <c r="AI950" s="11"/>
      <c r="AJ950" s="11"/>
      <c r="AK950" s="11"/>
    </row>
    <row r="951">
      <c r="A951" s="11"/>
      <c r="B951" s="11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  <c r="AA951" s="119"/>
      <c r="AB951" s="119"/>
      <c r="AC951" s="119"/>
      <c r="AD951" s="119"/>
      <c r="AE951" s="119"/>
      <c r="AF951" s="119"/>
      <c r="AG951" s="119"/>
      <c r="AH951" s="11"/>
      <c r="AI951" s="11"/>
      <c r="AJ951" s="11"/>
      <c r="AK951" s="11"/>
    </row>
    <row r="952">
      <c r="A952" s="11"/>
      <c r="B952" s="11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  <c r="AA952" s="119"/>
      <c r="AB952" s="119"/>
      <c r="AC952" s="119"/>
      <c r="AD952" s="119"/>
      <c r="AE952" s="119"/>
      <c r="AF952" s="119"/>
      <c r="AG952" s="119"/>
      <c r="AH952" s="11"/>
      <c r="AI952" s="11"/>
      <c r="AJ952" s="11"/>
      <c r="AK952" s="11"/>
    </row>
    <row r="953">
      <c r="A953" s="11"/>
      <c r="B953" s="11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  <c r="AA953" s="119"/>
      <c r="AB953" s="119"/>
      <c r="AC953" s="119"/>
      <c r="AD953" s="119"/>
      <c r="AE953" s="119"/>
      <c r="AF953" s="119"/>
      <c r="AG953" s="119"/>
      <c r="AH953" s="11"/>
      <c r="AI953" s="11"/>
      <c r="AJ953" s="11"/>
      <c r="AK953" s="11"/>
    </row>
    <row r="954">
      <c r="A954" s="11"/>
      <c r="B954" s="11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  <c r="AA954" s="119"/>
      <c r="AB954" s="119"/>
      <c r="AC954" s="119"/>
      <c r="AD954" s="119"/>
      <c r="AE954" s="119"/>
      <c r="AF954" s="119"/>
      <c r="AG954" s="119"/>
      <c r="AH954" s="11"/>
      <c r="AI954" s="11"/>
      <c r="AJ954" s="11"/>
      <c r="AK954" s="11"/>
    </row>
    <row r="955">
      <c r="A955" s="11"/>
      <c r="B955" s="11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  <c r="AA955" s="119"/>
      <c r="AB955" s="119"/>
      <c r="AC955" s="119"/>
      <c r="AD955" s="119"/>
      <c r="AE955" s="119"/>
      <c r="AF955" s="119"/>
      <c r="AG955" s="119"/>
      <c r="AH955" s="11"/>
      <c r="AI955" s="11"/>
      <c r="AJ955" s="11"/>
      <c r="AK955" s="11"/>
    </row>
    <row r="956">
      <c r="A956" s="11"/>
      <c r="B956" s="11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  <c r="AA956" s="119"/>
      <c r="AB956" s="119"/>
      <c r="AC956" s="119"/>
      <c r="AD956" s="119"/>
      <c r="AE956" s="119"/>
      <c r="AF956" s="119"/>
      <c r="AG956" s="119"/>
      <c r="AH956" s="11"/>
      <c r="AI956" s="11"/>
      <c r="AJ956" s="11"/>
      <c r="AK956" s="11"/>
    </row>
    <row r="957">
      <c r="A957" s="11"/>
      <c r="B957" s="11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  <c r="AA957" s="119"/>
      <c r="AB957" s="119"/>
      <c r="AC957" s="119"/>
      <c r="AD957" s="119"/>
      <c r="AE957" s="119"/>
      <c r="AF957" s="119"/>
      <c r="AG957" s="119"/>
      <c r="AH957" s="11"/>
      <c r="AI957" s="11"/>
      <c r="AJ957" s="11"/>
      <c r="AK957" s="11"/>
    </row>
    <row r="958">
      <c r="A958" s="11"/>
      <c r="B958" s="11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  <c r="AA958" s="119"/>
      <c r="AB958" s="119"/>
      <c r="AC958" s="119"/>
      <c r="AD958" s="119"/>
      <c r="AE958" s="119"/>
      <c r="AF958" s="119"/>
      <c r="AG958" s="119"/>
      <c r="AH958" s="11"/>
      <c r="AI958" s="11"/>
      <c r="AJ958" s="11"/>
      <c r="AK958" s="11"/>
    </row>
    <row r="959">
      <c r="A959" s="11"/>
      <c r="B959" s="11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  <c r="AA959" s="119"/>
      <c r="AB959" s="119"/>
      <c r="AC959" s="119"/>
      <c r="AD959" s="119"/>
      <c r="AE959" s="119"/>
      <c r="AF959" s="119"/>
      <c r="AG959" s="119"/>
      <c r="AH959" s="11"/>
      <c r="AI959" s="11"/>
      <c r="AJ959" s="11"/>
      <c r="AK959" s="11"/>
    </row>
    <row r="960">
      <c r="A960" s="11"/>
      <c r="B960" s="11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  <c r="AA960" s="119"/>
      <c r="AB960" s="119"/>
      <c r="AC960" s="119"/>
      <c r="AD960" s="119"/>
      <c r="AE960" s="119"/>
      <c r="AF960" s="119"/>
      <c r="AG960" s="119"/>
      <c r="AH960" s="11"/>
      <c r="AI960" s="11"/>
      <c r="AJ960" s="11"/>
      <c r="AK960" s="11"/>
    </row>
    <row r="961">
      <c r="A961" s="11"/>
      <c r="B961" s="11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  <c r="AA961" s="119"/>
      <c r="AB961" s="119"/>
      <c r="AC961" s="119"/>
      <c r="AD961" s="119"/>
      <c r="AE961" s="119"/>
      <c r="AF961" s="119"/>
      <c r="AG961" s="119"/>
      <c r="AH961" s="11"/>
      <c r="AI961" s="11"/>
      <c r="AJ961" s="11"/>
      <c r="AK961" s="11"/>
    </row>
    <row r="962">
      <c r="A962" s="11"/>
      <c r="B962" s="11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  <c r="AA962" s="119"/>
      <c r="AB962" s="119"/>
      <c r="AC962" s="119"/>
      <c r="AD962" s="119"/>
      <c r="AE962" s="119"/>
      <c r="AF962" s="119"/>
      <c r="AG962" s="119"/>
      <c r="AH962" s="11"/>
      <c r="AI962" s="11"/>
      <c r="AJ962" s="11"/>
      <c r="AK962" s="11"/>
    </row>
    <row r="963">
      <c r="A963" s="11"/>
      <c r="B963" s="11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  <c r="AA963" s="119"/>
      <c r="AB963" s="119"/>
      <c r="AC963" s="119"/>
      <c r="AD963" s="119"/>
      <c r="AE963" s="119"/>
      <c r="AF963" s="119"/>
      <c r="AG963" s="119"/>
      <c r="AH963" s="11"/>
      <c r="AI963" s="11"/>
      <c r="AJ963" s="11"/>
      <c r="AK963" s="11"/>
    </row>
    <row r="964">
      <c r="A964" s="11"/>
      <c r="B964" s="11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  <c r="AA964" s="119"/>
      <c r="AB964" s="119"/>
      <c r="AC964" s="119"/>
      <c r="AD964" s="119"/>
      <c r="AE964" s="119"/>
      <c r="AF964" s="119"/>
      <c r="AG964" s="119"/>
      <c r="AH964" s="11"/>
      <c r="AI964" s="11"/>
      <c r="AJ964" s="11"/>
      <c r="AK964" s="11"/>
    </row>
    <row r="965">
      <c r="A965" s="11"/>
      <c r="B965" s="11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  <c r="AA965" s="119"/>
      <c r="AB965" s="119"/>
      <c r="AC965" s="119"/>
      <c r="AD965" s="119"/>
      <c r="AE965" s="119"/>
      <c r="AF965" s="119"/>
      <c r="AG965" s="119"/>
      <c r="AH965" s="11"/>
      <c r="AI965" s="11"/>
      <c r="AJ965" s="11"/>
      <c r="AK965" s="11"/>
    </row>
    <row r="966">
      <c r="A966" s="11"/>
      <c r="B966" s="11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  <c r="AA966" s="119"/>
      <c r="AB966" s="119"/>
      <c r="AC966" s="119"/>
      <c r="AD966" s="119"/>
      <c r="AE966" s="119"/>
      <c r="AF966" s="119"/>
      <c r="AG966" s="119"/>
      <c r="AH966" s="11"/>
      <c r="AI966" s="11"/>
      <c r="AJ966" s="11"/>
      <c r="AK966" s="11"/>
    </row>
    <row r="967">
      <c r="A967" s="11"/>
      <c r="B967" s="11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  <c r="AA967" s="119"/>
      <c r="AB967" s="119"/>
      <c r="AC967" s="119"/>
      <c r="AD967" s="119"/>
      <c r="AE967" s="119"/>
      <c r="AF967" s="119"/>
      <c r="AG967" s="119"/>
      <c r="AH967" s="11"/>
      <c r="AI967" s="11"/>
      <c r="AJ967" s="11"/>
      <c r="AK967" s="11"/>
    </row>
    <row r="968">
      <c r="A968" s="11"/>
      <c r="B968" s="11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  <c r="AA968" s="119"/>
      <c r="AB968" s="119"/>
      <c r="AC968" s="119"/>
      <c r="AD968" s="119"/>
      <c r="AE968" s="119"/>
      <c r="AF968" s="119"/>
      <c r="AG968" s="119"/>
      <c r="AH968" s="11"/>
      <c r="AI968" s="11"/>
      <c r="AJ968" s="11"/>
      <c r="AK968" s="11"/>
    </row>
    <row r="969">
      <c r="A969" s="11"/>
      <c r="B969" s="11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  <c r="AA969" s="119"/>
      <c r="AB969" s="119"/>
      <c r="AC969" s="119"/>
      <c r="AD969" s="119"/>
      <c r="AE969" s="119"/>
      <c r="AF969" s="119"/>
      <c r="AG969" s="119"/>
      <c r="AH969" s="11"/>
      <c r="AI969" s="11"/>
      <c r="AJ969" s="11"/>
      <c r="AK969" s="11"/>
    </row>
    <row r="970">
      <c r="A970" s="11"/>
      <c r="B970" s="11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  <c r="AA970" s="119"/>
      <c r="AB970" s="119"/>
      <c r="AC970" s="119"/>
      <c r="AD970" s="119"/>
      <c r="AE970" s="119"/>
      <c r="AF970" s="119"/>
      <c r="AG970" s="119"/>
      <c r="AH970" s="11"/>
      <c r="AI970" s="11"/>
      <c r="AJ970" s="11"/>
      <c r="AK970" s="11"/>
    </row>
    <row r="971">
      <c r="A971" s="11"/>
      <c r="B971" s="11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  <c r="AA971" s="119"/>
      <c r="AB971" s="119"/>
      <c r="AC971" s="119"/>
      <c r="AD971" s="119"/>
      <c r="AE971" s="119"/>
      <c r="AF971" s="119"/>
      <c r="AG971" s="119"/>
      <c r="AH971" s="11"/>
      <c r="AI971" s="11"/>
      <c r="AJ971" s="11"/>
      <c r="AK971" s="11"/>
    </row>
    <row r="972">
      <c r="A972" s="11"/>
      <c r="B972" s="11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  <c r="AA972" s="119"/>
      <c r="AB972" s="119"/>
      <c r="AC972" s="119"/>
      <c r="AD972" s="119"/>
      <c r="AE972" s="119"/>
      <c r="AF972" s="119"/>
      <c r="AG972" s="119"/>
      <c r="AH972" s="11"/>
      <c r="AI972" s="11"/>
      <c r="AJ972" s="11"/>
      <c r="AK972" s="11"/>
    </row>
    <row r="973">
      <c r="A973" s="11"/>
      <c r="B973" s="11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  <c r="AA973" s="119"/>
      <c r="AB973" s="119"/>
      <c r="AC973" s="119"/>
      <c r="AD973" s="119"/>
      <c r="AE973" s="119"/>
      <c r="AF973" s="119"/>
      <c r="AG973" s="119"/>
      <c r="AH973" s="11"/>
      <c r="AI973" s="11"/>
      <c r="AJ973" s="11"/>
      <c r="AK973" s="11"/>
    </row>
    <row r="974">
      <c r="A974" s="11"/>
      <c r="B974" s="11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  <c r="AA974" s="119"/>
      <c r="AB974" s="119"/>
      <c r="AC974" s="119"/>
      <c r="AD974" s="119"/>
      <c r="AE974" s="119"/>
      <c r="AF974" s="119"/>
      <c r="AG974" s="119"/>
      <c r="AH974" s="11"/>
      <c r="AI974" s="11"/>
      <c r="AJ974" s="11"/>
      <c r="AK974" s="11"/>
    </row>
    <row r="975">
      <c r="A975" s="11"/>
      <c r="B975" s="11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  <c r="AA975" s="119"/>
      <c r="AB975" s="119"/>
      <c r="AC975" s="119"/>
      <c r="AD975" s="119"/>
      <c r="AE975" s="119"/>
      <c r="AF975" s="119"/>
      <c r="AG975" s="119"/>
      <c r="AH975" s="11"/>
      <c r="AI975" s="11"/>
      <c r="AJ975" s="11"/>
      <c r="AK975" s="11"/>
    </row>
    <row r="976">
      <c r="A976" s="11"/>
      <c r="B976" s="11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  <c r="AA976" s="119"/>
      <c r="AB976" s="119"/>
      <c r="AC976" s="119"/>
      <c r="AD976" s="119"/>
      <c r="AE976" s="119"/>
      <c r="AF976" s="119"/>
      <c r="AG976" s="119"/>
      <c r="AH976" s="11"/>
      <c r="AI976" s="11"/>
      <c r="AJ976" s="11"/>
      <c r="AK976" s="11"/>
    </row>
    <row r="977">
      <c r="A977" s="11"/>
      <c r="B977" s="11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  <c r="AA977" s="119"/>
      <c r="AB977" s="119"/>
      <c r="AC977" s="119"/>
      <c r="AD977" s="119"/>
      <c r="AE977" s="119"/>
      <c r="AF977" s="119"/>
      <c r="AG977" s="119"/>
      <c r="AH977" s="11"/>
      <c r="AI977" s="11"/>
      <c r="AJ977" s="11"/>
      <c r="AK977" s="11"/>
    </row>
    <row r="978">
      <c r="A978" s="11"/>
      <c r="B978" s="11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  <c r="AA978" s="119"/>
      <c r="AB978" s="119"/>
      <c r="AC978" s="119"/>
      <c r="AD978" s="119"/>
      <c r="AE978" s="119"/>
      <c r="AF978" s="119"/>
      <c r="AG978" s="119"/>
      <c r="AH978" s="11"/>
      <c r="AI978" s="11"/>
      <c r="AJ978" s="11"/>
      <c r="AK978" s="11"/>
    </row>
    <row r="979">
      <c r="A979" s="11"/>
      <c r="B979" s="11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  <c r="AA979" s="119"/>
      <c r="AB979" s="119"/>
      <c r="AC979" s="119"/>
      <c r="AD979" s="119"/>
      <c r="AE979" s="119"/>
      <c r="AF979" s="119"/>
      <c r="AG979" s="119"/>
      <c r="AH979" s="11"/>
      <c r="AI979" s="11"/>
      <c r="AJ979" s="11"/>
      <c r="AK979" s="11"/>
    </row>
    <row r="980">
      <c r="A980" s="11"/>
      <c r="B980" s="11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  <c r="AA980" s="119"/>
      <c r="AB980" s="119"/>
      <c r="AC980" s="119"/>
      <c r="AD980" s="119"/>
      <c r="AE980" s="119"/>
      <c r="AF980" s="119"/>
      <c r="AG980" s="119"/>
      <c r="AH980" s="11"/>
      <c r="AI980" s="11"/>
      <c r="AJ980" s="11"/>
      <c r="AK980" s="11"/>
    </row>
    <row r="981">
      <c r="A981" s="11"/>
      <c r="B981" s="11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  <c r="AA981" s="119"/>
      <c r="AB981" s="119"/>
      <c r="AC981" s="119"/>
      <c r="AD981" s="119"/>
      <c r="AE981" s="119"/>
      <c r="AF981" s="119"/>
      <c r="AG981" s="119"/>
      <c r="AH981" s="11"/>
      <c r="AI981" s="11"/>
      <c r="AJ981" s="11"/>
      <c r="AK981" s="11"/>
    </row>
    <row r="982">
      <c r="A982" s="11"/>
      <c r="B982" s="11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  <c r="AA982" s="119"/>
      <c r="AB982" s="119"/>
      <c r="AC982" s="119"/>
      <c r="AD982" s="119"/>
      <c r="AE982" s="119"/>
      <c r="AF982" s="119"/>
      <c r="AG982" s="119"/>
      <c r="AH982" s="11"/>
      <c r="AI982" s="11"/>
      <c r="AJ982" s="11"/>
      <c r="AK982" s="11"/>
    </row>
    <row r="983">
      <c r="A983" s="11"/>
      <c r="B983" s="11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  <c r="AA983" s="119"/>
      <c r="AB983" s="119"/>
      <c r="AC983" s="119"/>
      <c r="AD983" s="119"/>
      <c r="AE983" s="119"/>
      <c r="AF983" s="119"/>
      <c r="AG983" s="119"/>
      <c r="AH983" s="11"/>
      <c r="AI983" s="11"/>
      <c r="AJ983" s="11"/>
      <c r="AK983" s="11"/>
    </row>
    <row r="984">
      <c r="A984" s="11"/>
      <c r="B984" s="11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  <c r="AA984" s="119"/>
      <c r="AB984" s="119"/>
      <c r="AC984" s="119"/>
      <c r="AD984" s="119"/>
      <c r="AE984" s="119"/>
      <c r="AF984" s="119"/>
      <c r="AG984" s="119"/>
      <c r="AH984" s="11"/>
      <c r="AI984" s="11"/>
      <c r="AJ984" s="11"/>
      <c r="AK984" s="11"/>
    </row>
    <row r="985">
      <c r="A985" s="11"/>
      <c r="B985" s="11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  <c r="AA985" s="119"/>
      <c r="AB985" s="119"/>
      <c r="AC985" s="119"/>
      <c r="AD985" s="119"/>
      <c r="AE985" s="119"/>
      <c r="AF985" s="119"/>
      <c r="AG985" s="119"/>
      <c r="AH985" s="11"/>
      <c r="AI985" s="11"/>
      <c r="AJ985" s="11"/>
      <c r="AK985" s="11"/>
    </row>
    <row r="986">
      <c r="A986" s="11"/>
      <c r="B986" s="11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  <c r="AA986" s="119"/>
      <c r="AB986" s="119"/>
      <c r="AC986" s="119"/>
      <c r="AD986" s="119"/>
      <c r="AE986" s="119"/>
      <c r="AF986" s="119"/>
      <c r="AG986" s="119"/>
      <c r="AH986" s="11"/>
      <c r="AI986" s="11"/>
      <c r="AJ986" s="11"/>
      <c r="AK986" s="11"/>
    </row>
    <row r="987">
      <c r="A987" s="11"/>
      <c r="B987" s="11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  <c r="AA987" s="119"/>
      <c r="AB987" s="119"/>
      <c r="AC987" s="119"/>
      <c r="AD987" s="119"/>
      <c r="AE987" s="119"/>
      <c r="AF987" s="119"/>
      <c r="AG987" s="119"/>
      <c r="AH987" s="11"/>
      <c r="AI987" s="11"/>
      <c r="AJ987" s="11"/>
      <c r="AK987" s="11"/>
    </row>
    <row r="988">
      <c r="A988" s="11"/>
      <c r="B988" s="11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  <c r="AA988" s="119"/>
      <c r="AB988" s="119"/>
      <c r="AC988" s="119"/>
      <c r="AD988" s="119"/>
      <c r="AE988" s="119"/>
      <c r="AF988" s="119"/>
      <c r="AG988" s="119"/>
      <c r="AH988" s="11"/>
      <c r="AI988" s="11"/>
      <c r="AJ988" s="11"/>
      <c r="AK988" s="11"/>
    </row>
    <row r="989">
      <c r="A989" s="11"/>
      <c r="B989" s="11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  <c r="AA989" s="119"/>
      <c r="AB989" s="119"/>
      <c r="AC989" s="119"/>
      <c r="AD989" s="119"/>
      <c r="AE989" s="119"/>
      <c r="AF989" s="119"/>
      <c r="AG989" s="119"/>
      <c r="AH989" s="11"/>
      <c r="AI989" s="11"/>
      <c r="AJ989" s="11"/>
      <c r="AK989" s="11"/>
    </row>
    <row r="990">
      <c r="A990" s="11"/>
      <c r="B990" s="11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  <c r="AA990" s="119"/>
      <c r="AB990" s="119"/>
      <c r="AC990" s="119"/>
      <c r="AD990" s="119"/>
      <c r="AE990" s="119"/>
      <c r="AF990" s="119"/>
      <c r="AG990" s="119"/>
      <c r="AH990" s="11"/>
      <c r="AI990" s="11"/>
      <c r="AJ990" s="11"/>
      <c r="AK990" s="11"/>
    </row>
    <row r="991">
      <c r="A991" s="11"/>
      <c r="B991" s="11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  <c r="AA991" s="119"/>
      <c r="AB991" s="119"/>
      <c r="AC991" s="119"/>
      <c r="AD991" s="119"/>
      <c r="AE991" s="119"/>
      <c r="AF991" s="119"/>
      <c r="AG991" s="119"/>
      <c r="AH991" s="11"/>
      <c r="AI991" s="11"/>
      <c r="AJ991" s="11"/>
      <c r="AK991" s="11"/>
    </row>
    <row r="992">
      <c r="A992" s="11"/>
      <c r="B992" s="11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  <c r="AA992" s="119"/>
      <c r="AB992" s="119"/>
      <c r="AC992" s="119"/>
      <c r="AD992" s="119"/>
      <c r="AE992" s="119"/>
      <c r="AF992" s="119"/>
      <c r="AG992" s="119"/>
      <c r="AH992" s="11"/>
      <c r="AI992" s="11"/>
      <c r="AJ992" s="11"/>
      <c r="AK992" s="11"/>
    </row>
    <row r="993">
      <c r="A993" s="11"/>
      <c r="B993" s="11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  <c r="AA993" s="119"/>
      <c r="AB993" s="119"/>
      <c r="AC993" s="119"/>
      <c r="AD993" s="119"/>
      <c r="AE993" s="119"/>
      <c r="AF993" s="119"/>
      <c r="AG993" s="119"/>
      <c r="AH993" s="11"/>
      <c r="AI993" s="11"/>
      <c r="AJ993" s="11"/>
      <c r="AK993" s="11"/>
    </row>
    <row r="994">
      <c r="A994" s="11"/>
      <c r="B994" s="11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  <c r="AA994" s="119"/>
      <c r="AB994" s="119"/>
      <c r="AC994" s="119"/>
      <c r="AD994" s="119"/>
      <c r="AE994" s="119"/>
      <c r="AF994" s="119"/>
      <c r="AG994" s="119"/>
      <c r="AH994" s="11"/>
      <c r="AI994" s="11"/>
      <c r="AJ994" s="11"/>
      <c r="AK994" s="11"/>
    </row>
    <row r="995">
      <c r="A995" s="11"/>
      <c r="B995" s="11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  <c r="AA995" s="119"/>
      <c r="AB995" s="119"/>
      <c r="AC995" s="119"/>
      <c r="AD995" s="119"/>
      <c r="AE995" s="119"/>
      <c r="AF995" s="119"/>
      <c r="AG995" s="119"/>
      <c r="AH995" s="11"/>
      <c r="AI995" s="11"/>
      <c r="AJ995" s="11"/>
      <c r="AK995" s="11"/>
    </row>
    <row r="996">
      <c r="A996" s="11"/>
      <c r="B996" s="11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  <c r="AA996" s="119"/>
      <c r="AB996" s="119"/>
      <c r="AC996" s="119"/>
      <c r="AD996" s="119"/>
      <c r="AE996" s="119"/>
      <c r="AF996" s="119"/>
      <c r="AG996" s="119"/>
      <c r="AH996" s="11"/>
      <c r="AI996" s="11"/>
      <c r="AJ996" s="11"/>
      <c r="AK996" s="11"/>
    </row>
    <row r="997">
      <c r="A997" s="11"/>
      <c r="B997" s="11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  <c r="AA997" s="119"/>
      <c r="AB997" s="119"/>
      <c r="AC997" s="119"/>
      <c r="AD997" s="119"/>
      <c r="AE997" s="119"/>
      <c r="AF997" s="119"/>
      <c r="AG997" s="119"/>
      <c r="AH997" s="11"/>
      <c r="AI997" s="11"/>
      <c r="AJ997" s="11"/>
      <c r="AK997" s="11"/>
    </row>
    <row r="998">
      <c r="A998" s="11"/>
      <c r="B998" s="11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  <c r="AA998" s="119"/>
      <c r="AB998" s="119"/>
      <c r="AC998" s="119"/>
      <c r="AD998" s="119"/>
      <c r="AE998" s="119"/>
      <c r="AF998" s="119"/>
      <c r="AG998" s="119"/>
      <c r="AH998" s="11"/>
      <c r="AI998" s="11"/>
      <c r="AJ998" s="11"/>
      <c r="AK998" s="11"/>
    </row>
    <row r="999">
      <c r="A999" s="11"/>
      <c r="B999" s="11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  <c r="AA999" s="119"/>
      <c r="AB999" s="119"/>
      <c r="AC999" s="119"/>
      <c r="AD999" s="119"/>
      <c r="AE999" s="119"/>
      <c r="AF999" s="119"/>
      <c r="AG999" s="119"/>
      <c r="AH999" s="11"/>
      <c r="AI999" s="11"/>
      <c r="AJ999" s="11"/>
      <c r="AK999" s="11"/>
    </row>
    <row r="1000">
      <c r="A1000" s="11"/>
      <c r="B1000" s="11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  <c r="AA1000" s="119"/>
      <c r="AB1000" s="119"/>
      <c r="AC1000" s="119"/>
      <c r="AD1000" s="119"/>
      <c r="AE1000" s="119"/>
      <c r="AF1000" s="119"/>
      <c r="AG1000" s="119"/>
      <c r="AH1000" s="11"/>
      <c r="AI1000" s="11"/>
      <c r="AJ1000" s="11"/>
      <c r="AK1000" s="1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3" max="4" width="2.63"/>
    <col customWidth="1" min="5" max="5" width="30.13"/>
    <col customWidth="1" min="7" max="8" width="2.63"/>
    <col customWidth="1" min="10" max="11" width="2.63"/>
    <col customWidth="1" min="12" max="12" width="22.63"/>
    <col customWidth="1" min="13" max="14" width="2.63"/>
    <col customWidth="1" min="15" max="15" width="12.63"/>
    <col customWidth="1" min="16" max="17" width="2.63"/>
    <col customWidth="1" min="18" max="18" width="12.63"/>
    <col customWidth="1" min="19" max="19" width="2.63"/>
  </cols>
  <sheetData>
    <row r="1">
      <c r="A1" s="175"/>
      <c r="B1" s="176" t="s">
        <v>2</v>
      </c>
      <c r="C1" s="175"/>
      <c r="D1" s="175"/>
      <c r="E1" s="176" t="s">
        <v>10</v>
      </c>
      <c r="F1" s="177" t="s">
        <v>15</v>
      </c>
      <c r="G1" s="175"/>
      <c r="H1" s="175"/>
      <c r="I1" s="176" t="s">
        <v>554</v>
      </c>
      <c r="J1" s="175"/>
      <c r="K1" s="175"/>
      <c r="L1" s="176" t="s">
        <v>17</v>
      </c>
      <c r="M1" s="175"/>
      <c r="N1" s="175"/>
      <c r="O1" s="178" t="s">
        <v>6</v>
      </c>
      <c r="P1" s="175"/>
      <c r="Q1" s="175"/>
      <c r="R1" s="178" t="s">
        <v>7</v>
      </c>
      <c r="S1" s="175"/>
    </row>
    <row r="2">
      <c r="A2" s="1"/>
      <c r="B2" s="179" t="s">
        <v>507</v>
      </c>
      <c r="C2" s="1"/>
      <c r="D2" s="1"/>
      <c r="E2" s="180" t="s">
        <v>39</v>
      </c>
      <c r="F2" s="181">
        <v>650000.0</v>
      </c>
      <c r="G2" s="1"/>
      <c r="H2" s="1"/>
      <c r="I2" s="180" t="s">
        <v>27</v>
      </c>
      <c r="J2" s="1"/>
      <c r="K2" s="1"/>
      <c r="L2" s="180" t="s">
        <v>33</v>
      </c>
      <c r="M2" s="1"/>
      <c r="N2" s="1"/>
      <c r="O2" s="179" t="s">
        <v>67</v>
      </c>
      <c r="P2" s="1"/>
      <c r="Q2" s="1"/>
      <c r="R2" s="179" t="s">
        <v>676</v>
      </c>
      <c r="S2" s="1"/>
    </row>
    <row r="3">
      <c r="A3" s="1"/>
      <c r="B3" s="180" t="s">
        <v>40</v>
      </c>
      <c r="C3" s="1"/>
      <c r="D3" s="1"/>
      <c r="E3" s="180" t="s">
        <v>44</v>
      </c>
      <c r="F3" s="181">
        <v>1200000.0</v>
      </c>
      <c r="G3" s="1"/>
      <c r="H3" s="1"/>
      <c r="I3" s="180" t="s">
        <v>86</v>
      </c>
      <c r="J3" s="1"/>
      <c r="K3" s="1"/>
      <c r="L3" s="180" t="s">
        <v>28</v>
      </c>
      <c r="M3" s="1"/>
      <c r="N3" s="1"/>
      <c r="O3" s="179" t="s">
        <v>22</v>
      </c>
      <c r="P3" s="1"/>
      <c r="Q3" s="1"/>
      <c r="R3" s="179" t="s">
        <v>58</v>
      </c>
      <c r="S3" s="1"/>
    </row>
    <row r="4">
      <c r="A4" s="1"/>
      <c r="B4" s="180" t="s">
        <v>21</v>
      </c>
      <c r="C4" s="1"/>
      <c r="D4" s="1"/>
      <c r="E4" s="180" t="s">
        <v>397</v>
      </c>
      <c r="F4" s="181">
        <v>1300000.0</v>
      </c>
      <c r="G4" s="1"/>
      <c r="H4" s="1"/>
      <c r="I4" s="180" t="s">
        <v>132</v>
      </c>
      <c r="J4" s="1"/>
      <c r="K4" s="1"/>
      <c r="L4" s="180" t="s">
        <v>113</v>
      </c>
      <c r="M4" s="1"/>
      <c r="N4" s="1"/>
      <c r="O4" s="179" t="s">
        <v>29</v>
      </c>
      <c r="P4" s="1"/>
      <c r="Q4" s="1"/>
      <c r="R4" s="179" t="s">
        <v>35</v>
      </c>
      <c r="S4" s="1"/>
    </row>
    <row r="5">
      <c r="A5" s="1"/>
      <c r="B5" s="180" t="s">
        <v>677</v>
      </c>
      <c r="C5" s="1"/>
      <c r="D5" s="1"/>
      <c r="E5" s="180" t="s">
        <v>434</v>
      </c>
      <c r="F5" s="181">
        <v>2400000.0</v>
      </c>
      <c r="G5" s="1"/>
      <c r="H5" s="1"/>
      <c r="I5" s="180" t="s">
        <v>63</v>
      </c>
      <c r="J5" s="1"/>
      <c r="K5" s="1"/>
      <c r="L5" s="180" t="s">
        <v>45</v>
      </c>
      <c r="M5" s="1"/>
      <c r="N5" s="1"/>
      <c r="O5" s="179" t="s">
        <v>89</v>
      </c>
      <c r="P5" s="1"/>
      <c r="Q5" s="1"/>
      <c r="R5" s="179" t="s">
        <v>654</v>
      </c>
      <c r="S5" s="1"/>
    </row>
    <row r="6">
      <c r="A6" s="1"/>
      <c r="B6" s="180" t="s">
        <v>118</v>
      </c>
      <c r="C6" s="1"/>
      <c r="D6" s="1"/>
      <c r="E6" s="182" t="s">
        <v>395</v>
      </c>
      <c r="F6" s="181">
        <v>750000.0</v>
      </c>
      <c r="G6" s="1"/>
      <c r="H6" s="1"/>
      <c r="I6" s="3"/>
      <c r="J6" s="1"/>
      <c r="K6" s="1"/>
      <c r="L6" s="3"/>
      <c r="M6" s="1"/>
      <c r="N6" s="1"/>
      <c r="O6" s="179" t="s">
        <v>82</v>
      </c>
      <c r="P6" s="1"/>
      <c r="Q6" s="1"/>
      <c r="R6" s="179" t="s">
        <v>48</v>
      </c>
      <c r="S6" s="1"/>
    </row>
    <row r="7">
      <c r="A7" s="1"/>
      <c r="B7" s="3"/>
      <c r="C7" s="1"/>
      <c r="D7" s="1"/>
      <c r="E7" s="180" t="s">
        <v>678</v>
      </c>
      <c r="F7" s="181">
        <v>150000.0</v>
      </c>
      <c r="G7" s="1"/>
      <c r="H7" s="1"/>
      <c r="I7" s="3"/>
      <c r="J7" s="1"/>
      <c r="K7" s="1"/>
      <c r="L7" s="3"/>
      <c r="M7" s="1"/>
      <c r="N7" s="1"/>
      <c r="O7" s="179" t="s">
        <v>37</v>
      </c>
      <c r="P7" s="1"/>
      <c r="Q7" s="1"/>
      <c r="R7" s="179" t="s">
        <v>148</v>
      </c>
      <c r="S7" s="1"/>
    </row>
    <row r="8">
      <c r="A8" s="1"/>
      <c r="B8" s="3"/>
      <c r="C8" s="1"/>
      <c r="D8" s="1"/>
      <c r="E8" s="180" t="s">
        <v>679</v>
      </c>
      <c r="F8" s="181">
        <v>275000.0</v>
      </c>
      <c r="G8" s="1"/>
      <c r="H8" s="1"/>
      <c r="I8" s="3"/>
      <c r="J8" s="1"/>
      <c r="K8" s="1"/>
      <c r="L8" s="3"/>
      <c r="M8" s="1"/>
      <c r="N8" s="1"/>
      <c r="O8" s="179" t="s">
        <v>46</v>
      </c>
      <c r="P8" s="1"/>
      <c r="Q8" s="1"/>
      <c r="R8" s="179" t="s">
        <v>70</v>
      </c>
      <c r="S8" s="1"/>
    </row>
    <row r="9">
      <c r="A9" s="1"/>
      <c r="B9" s="3"/>
      <c r="C9" s="1"/>
      <c r="D9" s="1"/>
      <c r="E9" s="180" t="s">
        <v>32</v>
      </c>
      <c r="F9" s="181">
        <v>150000.0</v>
      </c>
      <c r="G9" s="1"/>
      <c r="H9" s="1"/>
      <c r="I9" s="3"/>
      <c r="J9" s="1"/>
      <c r="K9" s="1"/>
      <c r="L9" s="3"/>
      <c r="M9" s="1"/>
      <c r="N9" s="1"/>
      <c r="O9" s="179" t="s">
        <v>41</v>
      </c>
      <c r="P9" s="1"/>
      <c r="Q9" s="1"/>
      <c r="R9" s="179" t="s">
        <v>68</v>
      </c>
      <c r="S9" s="1"/>
    </row>
    <row r="10">
      <c r="A10" s="1"/>
      <c r="B10" s="3"/>
      <c r="C10" s="1"/>
      <c r="D10" s="1"/>
      <c r="E10" s="180" t="s">
        <v>369</v>
      </c>
      <c r="F10" s="181">
        <v>180000.0</v>
      </c>
      <c r="G10" s="1"/>
      <c r="H10" s="1"/>
      <c r="I10" s="3"/>
      <c r="J10" s="1"/>
      <c r="K10" s="1"/>
      <c r="L10" s="3"/>
      <c r="M10" s="1"/>
      <c r="N10" s="1"/>
      <c r="O10" s="179" t="s">
        <v>53</v>
      </c>
      <c r="P10" s="1"/>
      <c r="Q10" s="1"/>
      <c r="R10" s="179" t="s">
        <v>118</v>
      </c>
      <c r="S10" s="1"/>
    </row>
    <row r="11">
      <c r="A11" s="1"/>
      <c r="B11" s="3"/>
      <c r="C11" s="1"/>
      <c r="D11" s="1"/>
      <c r="E11" s="180" t="s">
        <v>26</v>
      </c>
      <c r="F11" s="181">
        <v>250000.0</v>
      </c>
      <c r="G11" s="1"/>
      <c r="H11" s="1"/>
      <c r="I11" s="3"/>
      <c r="J11" s="1"/>
      <c r="K11" s="1"/>
      <c r="L11" s="3"/>
      <c r="M11" s="1"/>
      <c r="N11" s="1"/>
      <c r="O11" s="179" t="s">
        <v>95</v>
      </c>
      <c r="P11" s="1"/>
      <c r="Q11" s="1"/>
      <c r="R11" s="179" t="s">
        <v>655</v>
      </c>
      <c r="S11" s="1"/>
    </row>
    <row r="12">
      <c r="A12" s="1"/>
      <c r="B12" s="3"/>
      <c r="C12" s="1"/>
      <c r="D12" s="1"/>
      <c r="E12" s="180" t="s">
        <v>680</v>
      </c>
      <c r="F12" s="181">
        <v>0.0</v>
      </c>
      <c r="G12" s="1"/>
      <c r="H12" s="1"/>
      <c r="I12" s="3"/>
      <c r="J12" s="1"/>
      <c r="K12" s="1"/>
      <c r="L12" s="3"/>
      <c r="M12" s="1"/>
      <c r="N12" s="1"/>
      <c r="O12" s="179" t="s">
        <v>56</v>
      </c>
      <c r="P12" s="1"/>
      <c r="Q12" s="1"/>
      <c r="R12" s="179" t="s">
        <v>23</v>
      </c>
      <c r="S12" s="1"/>
    </row>
    <row r="13">
      <c r="A13" s="1"/>
      <c r="B13" s="3"/>
      <c r="C13" s="1"/>
      <c r="D13" s="1"/>
      <c r="E13" s="180" t="s">
        <v>308</v>
      </c>
      <c r="F13" s="181">
        <v>25000.0</v>
      </c>
      <c r="G13" s="1"/>
      <c r="H13" s="1"/>
      <c r="I13" s="3"/>
      <c r="J13" s="1"/>
      <c r="K13" s="1"/>
      <c r="L13" s="3"/>
      <c r="M13" s="1"/>
      <c r="N13" s="1"/>
      <c r="O13" s="179" t="s">
        <v>61</v>
      </c>
      <c r="P13" s="1"/>
      <c r="Q13" s="1"/>
      <c r="R13" s="179" t="s">
        <v>51</v>
      </c>
      <c r="S13" s="1"/>
    </row>
    <row r="14">
      <c r="A14" s="1"/>
      <c r="B14" s="3"/>
      <c r="C14" s="1"/>
      <c r="D14" s="1"/>
      <c r="E14" s="180" t="s">
        <v>681</v>
      </c>
      <c r="F14" s="181">
        <v>20000.0</v>
      </c>
      <c r="G14" s="1"/>
      <c r="H14" s="1"/>
      <c r="I14" s="3"/>
      <c r="J14" s="1"/>
      <c r="K14" s="1"/>
      <c r="L14" s="3"/>
      <c r="M14" s="1"/>
      <c r="N14" s="1"/>
      <c r="O14" s="179" t="s">
        <v>118</v>
      </c>
      <c r="P14" s="1"/>
      <c r="Q14" s="1"/>
      <c r="R14" s="179" t="s">
        <v>42</v>
      </c>
      <c r="S14" s="1"/>
    </row>
    <row r="15">
      <c r="A15" s="1"/>
      <c r="B15" s="3"/>
      <c r="C15" s="1"/>
      <c r="D15" s="1"/>
      <c r="E15" s="180" t="s">
        <v>124</v>
      </c>
      <c r="F15" s="181">
        <v>50000.0</v>
      </c>
      <c r="G15" s="1"/>
      <c r="H15" s="1"/>
      <c r="I15" s="3"/>
      <c r="J15" s="1"/>
      <c r="K15" s="1"/>
      <c r="L15" s="3"/>
      <c r="M15" s="1"/>
      <c r="N15" s="1"/>
      <c r="P15" s="1"/>
      <c r="Q15" s="1"/>
      <c r="R15" s="179" t="s">
        <v>345</v>
      </c>
      <c r="S15" s="1"/>
    </row>
    <row r="16">
      <c r="A16" s="1"/>
      <c r="B16" s="3"/>
      <c r="C16" s="1"/>
      <c r="D16" s="1"/>
      <c r="E16" s="180" t="s">
        <v>309</v>
      </c>
      <c r="F16" s="181">
        <v>45000.0</v>
      </c>
      <c r="G16" s="1"/>
      <c r="H16" s="1"/>
      <c r="I16" s="3"/>
      <c r="J16" s="1"/>
      <c r="K16" s="1"/>
      <c r="L16" s="3"/>
      <c r="M16" s="1"/>
      <c r="N16" s="1"/>
      <c r="P16" s="1"/>
      <c r="Q16" s="1"/>
      <c r="R16" s="179" t="s">
        <v>30</v>
      </c>
      <c r="S16" s="1"/>
    </row>
    <row r="17">
      <c r="A17" s="1"/>
      <c r="B17" s="3"/>
      <c r="C17" s="1"/>
      <c r="D17" s="1"/>
      <c r="E17" s="180" t="s">
        <v>682</v>
      </c>
      <c r="F17" s="181">
        <v>40000.0</v>
      </c>
      <c r="G17" s="1"/>
      <c r="H17" s="1"/>
      <c r="I17" s="3"/>
      <c r="J17" s="1"/>
      <c r="K17" s="1"/>
      <c r="L17" s="3"/>
      <c r="M17" s="1"/>
      <c r="N17" s="1"/>
      <c r="P17" s="1"/>
      <c r="Q17" s="1"/>
      <c r="S17" s="1"/>
    </row>
    <row r="18">
      <c r="A18" s="1"/>
      <c r="B18" s="3"/>
      <c r="C18" s="1"/>
      <c r="D18" s="1"/>
      <c r="E18" s="180" t="s">
        <v>683</v>
      </c>
      <c r="F18" s="181">
        <v>25000.0</v>
      </c>
      <c r="G18" s="1"/>
      <c r="H18" s="1"/>
      <c r="I18" s="3"/>
      <c r="J18" s="1"/>
      <c r="K18" s="1"/>
      <c r="L18" s="3"/>
      <c r="M18" s="1"/>
      <c r="N18" s="1"/>
      <c r="P18" s="1"/>
      <c r="Q18" s="1"/>
      <c r="S18" s="1"/>
    </row>
    <row r="19">
      <c r="A19" s="1"/>
      <c r="B19" s="3"/>
      <c r="C19" s="1"/>
      <c r="D19" s="1"/>
      <c r="E19" s="180" t="s">
        <v>684</v>
      </c>
      <c r="F19" s="181">
        <v>35000.0</v>
      </c>
      <c r="G19" s="1"/>
      <c r="H19" s="1"/>
      <c r="I19" s="3"/>
      <c r="J19" s="1"/>
      <c r="K19" s="1"/>
      <c r="L19" s="3"/>
      <c r="M19" s="1"/>
      <c r="N19" s="1"/>
      <c r="P19" s="1"/>
      <c r="Q19" s="1"/>
      <c r="S19" s="1"/>
    </row>
    <row r="20">
      <c r="A20" s="1"/>
      <c r="B20" s="3"/>
      <c r="C20" s="1"/>
      <c r="D20" s="1"/>
      <c r="E20" s="180" t="s">
        <v>685</v>
      </c>
      <c r="F20" s="181">
        <v>50000.0</v>
      </c>
      <c r="G20" s="1"/>
      <c r="H20" s="1"/>
      <c r="I20" s="3"/>
      <c r="J20" s="1"/>
      <c r="K20" s="1"/>
      <c r="L20" s="3"/>
      <c r="M20" s="1"/>
      <c r="N20" s="1"/>
      <c r="P20" s="1"/>
      <c r="Q20" s="1"/>
      <c r="S20" s="1"/>
    </row>
    <row r="21">
      <c r="A21" s="1"/>
      <c r="B21" s="3"/>
      <c r="C21" s="1"/>
      <c r="D21" s="1"/>
      <c r="E21" s="180" t="s">
        <v>197</v>
      </c>
      <c r="F21" s="181">
        <v>1800000.0</v>
      </c>
      <c r="G21" s="1"/>
      <c r="H21" s="1"/>
      <c r="I21" s="3"/>
      <c r="J21" s="1"/>
      <c r="K21" s="1"/>
      <c r="L21" s="3"/>
      <c r="M21" s="1"/>
      <c r="N21" s="1"/>
      <c r="P21" s="1"/>
      <c r="Q21" s="1"/>
      <c r="S21" s="1"/>
    </row>
    <row r="22">
      <c r="A22" s="1"/>
      <c r="B22" s="3"/>
      <c r="C22" s="1"/>
      <c r="D22" s="1"/>
      <c r="E22" s="180" t="s">
        <v>178</v>
      </c>
      <c r="F22" s="181">
        <v>2300000.0</v>
      </c>
      <c r="G22" s="1"/>
      <c r="H22" s="1"/>
      <c r="I22" s="3"/>
      <c r="J22" s="1"/>
      <c r="K22" s="1"/>
      <c r="L22" s="3"/>
      <c r="M22" s="1"/>
      <c r="N22" s="1"/>
      <c r="P22" s="1"/>
      <c r="Q22" s="1"/>
      <c r="S22" s="1"/>
    </row>
    <row r="23">
      <c r="A23" s="1"/>
      <c r="B23" s="3"/>
      <c r="C23" s="1"/>
      <c r="D23" s="1"/>
      <c r="E23" s="180" t="s">
        <v>686</v>
      </c>
      <c r="F23" s="181">
        <v>200000.0</v>
      </c>
      <c r="G23" s="1"/>
      <c r="H23" s="1"/>
      <c r="I23" s="3"/>
      <c r="J23" s="1"/>
      <c r="K23" s="1"/>
      <c r="L23" s="3"/>
      <c r="M23" s="1"/>
      <c r="N23" s="1"/>
      <c r="P23" s="1"/>
      <c r="Q23" s="1"/>
      <c r="S23" s="1"/>
    </row>
    <row r="24">
      <c r="A24" s="1"/>
      <c r="B24" s="3"/>
      <c r="C24" s="1"/>
      <c r="D24" s="1"/>
      <c r="E24" s="180" t="s">
        <v>687</v>
      </c>
      <c r="F24" s="181">
        <v>250000.0</v>
      </c>
      <c r="G24" s="1"/>
      <c r="H24" s="1"/>
      <c r="I24" s="3"/>
      <c r="J24" s="1"/>
      <c r="K24" s="1"/>
      <c r="L24" s="3"/>
      <c r="M24" s="1"/>
      <c r="N24" s="1"/>
      <c r="P24" s="1"/>
      <c r="Q24" s="1"/>
      <c r="S24" s="1"/>
    </row>
    <row r="25">
      <c r="A25" s="1"/>
      <c r="B25" s="3"/>
      <c r="C25" s="1"/>
      <c r="D25" s="1"/>
      <c r="E25" s="180" t="s">
        <v>688</v>
      </c>
      <c r="F25" s="181">
        <v>325000.0</v>
      </c>
      <c r="G25" s="1"/>
      <c r="H25" s="1"/>
      <c r="I25" s="3"/>
      <c r="J25" s="1"/>
      <c r="K25" s="1"/>
      <c r="L25" s="3"/>
      <c r="M25" s="1"/>
      <c r="N25" s="1"/>
      <c r="P25" s="1"/>
      <c r="Q25" s="1"/>
      <c r="S25" s="1"/>
    </row>
    <row r="26">
      <c r="A26" s="1"/>
      <c r="B26" s="3"/>
      <c r="C26" s="1"/>
      <c r="D26" s="1"/>
      <c r="E26" s="180" t="s">
        <v>689</v>
      </c>
      <c r="F26" s="181">
        <v>375000.0</v>
      </c>
      <c r="G26" s="1"/>
      <c r="H26" s="1"/>
      <c r="I26" s="3"/>
      <c r="J26" s="1"/>
      <c r="K26" s="1"/>
      <c r="L26" s="3"/>
      <c r="M26" s="1"/>
      <c r="N26" s="1"/>
      <c r="P26" s="1"/>
      <c r="Q26" s="1"/>
      <c r="S26" s="1"/>
    </row>
    <row r="27">
      <c r="A27" s="1"/>
      <c r="B27" s="3"/>
      <c r="C27" s="1"/>
      <c r="D27" s="1"/>
      <c r="E27" s="180" t="s">
        <v>92</v>
      </c>
      <c r="F27" s="181">
        <v>200000.0</v>
      </c>
      <c r="G27" s="1"/>
      <c r="H27" s="1"/>
      <c r="I27" s="3"/>
      <c r="J27" s="1"/>
      <c r="K27" s="1"/>
      <c r="L27" s="3"/>
      <c r="M27" s="1"/>
      <c r="N27" s="1"/>
      <c r="P27" s="1"/>
      <c r="Q27" s="1"/>
      <c r="S27" s="1"/>
    </row>
    <row r="28">
      <c r="A28" s="1"/>
      <c r="B28" s="3"/>
      <c r="C28" s="1"/>
      <c r="D28" s="1"/>
      <c r="E28" s="180" t="s">
        <v>232</v>
      </c>
      <c r="F28" s="181">
        <v>250000.0</v>
      </c>
      <c r="G28" s="1"/>
      <c r="H28" s="1"/>
      <c r="I28" s="3"/>
      <c r="J28" s="1"/>
      <c r="K28" s="1"/>
      <c r="L28" s="3"/>
      <c r="M28" s="1"/>
      <c r="N28" s="1"/>
      <c r="P28" s="1"/>
      <c r="Q28" s="1"/>
      <c r="S28" s="1"/>
    </row>
    <row r="29">
      <c r="A29" s="1"/>
      <c r="B29" s="3"/>
      <c r="C29" s="1"/>
      <c r="D29" s="1"/>
      <c r="E29" s="180" t="s">
        <v>128</v>
      </c>
      <c r="F29" s="181">
        <v>300000.0</v>
      </c>
      <c r="G29" s="1"/>
      <c r="H29" s="1"/>
      <c r="I29" s="3"/>
      <c r="J29" s="1"/>
      <c r="K29" s="1"/>
      <c r="L29" s="3"/>
      <c r="M29" s="1"/>
      <c r="N29" s="1"/>
      <c r="P29" s="1"/>
      <c r="Q29" s="1"/>
      <c r="S29" s="1"/>
    </row>
    <row r="30">
      <c r="A30" s="1"/>
      <c r="B30" s="3"/>
      <c r="C30" s="1"/>
      <c r="D30" s="1"/>
      <c r="E30" s="180" t="s">
        <v>73</v>
      </c>
      <c r="F30" s="181">
        <v>350000.0</v>
      </c>
      <c r="G30" s="1"/>
      <c r="H30" s="1"/>
      <c r="I30" s="3"/>
      <c r="J30" s="1"/>
      <c r="K30" s="1"/>
      <c r="L30" s="3"/>
      <c r="M30" s="1"/>
      <c r="N30" s="1"/>
      <c r="P30" s="1"/>
      <c r="Q30" s="1"/>
      <c r="S30" s="1"/>
    </row>
    <row r="31">
      <c r="A31" s="1"/>
      <c r="B31" s="3"/>
      <c r="C31" s="1"/>
      <c r="D31" s="1"/>
      <c r="E31" s="180" t="s">
        <v>690</v>
      </c>
      <c r="F31" s="181">
        <v>110000.0</v>
      </c>
      <c r="G31" s="1"/>
      <c r="H31" s="1"/>
      <c r="I31" s="3"/>
      <c r="J31" s="1"/>
      <c r="K31" s="1"/>
      <c r="L31" s="3"/>
      <c r="M31" s="1"/>
      <c r="N31" s="1"/>
      <c r="P31" s="1"/>
      <c r="Q31" s="1"/>
      <c r="S31" s="1"/>
    </row>
    <row r="32">
      <c r="A32" s="1"/>
      <c r="B32" s="3"/>
      <c r="C32" s="1"/>
      <c r="D32" s="1"/>
      <c r="E32" s="180" t="s">
        <v>691</v>
      </c>
      <c r="F32" s="181">
        <v>400000.0</v>
      </c>
      <c r="G32" s="1"/>
      <c r="H32" s="1"/>
      <c r="I32" s="3"/>
      <c r="J32" s="1"/>
      <c r="K32" s="1"/>
      <c r="L32" s="3"/>
      <c r="M32" s="1"/>
      <c r="N32" s="1"/>
      <c r="P32" s="1"/>
      <c r="Q32" s="1"/>
      <c r="S32" s="1"/>
    </row>
    <row r="33">
      <c r="A33" s="1"/>
      <c r="B33" s="3"/>
      <c r="C33" s="1"/>
      <c r="D33" s="1"/>
      <c r="E33" s="180" t="s">
        <v>692</v>
      </c>
      <c r="F33" s="181">
        <v>720000.0</v>
      </c>
      <c r="G33" s="1"/>
      <c r="H33" s="1"/>
      <c r="I33" s="3"/>
      <c r="J33" s="1"/>
      <c r="K33" s="1"/>
      <c r="L33" s="3"/>
      <c r="M33" s="1"/>
      <c r="N33" s="1"/>
      <c r="P33" s="1"/>
      <c r="Q33" s="1"/>
      <c r="S33" s="1"/>
    </row>
    <row r="34">
      <c r="A34" s="1"/>
      <c r="B34" s="3"/>
      <c r="C34" s="1"/>
      <c r="D34" s="1"/>
      <c r="E34" s="180" t="s">
        <v>693</v>
      </c>
      <c r="F34" s="181">
        <v>960000.0</v>
      </c>
      <c r="G34" s="1"/>
      <c r="H34" s="1"/>
      <c r="I34" s="3"/>
      <c r="J34" s="1"/>
      <c r="K34" s="1"/>
      <c r="L34" s="3"/>
      <c r="M34" s="1"/>
      <c r="N34" s="1"/>
      <c r="P34" s="1"/>
      <c r="Q34" s="1"/>
      <c r="S34" s="1"/>
    </row>
    <row r="35">
      <c r="A35" s="1"/>
      <c r="B35" s="3"/>
      <c r="C35" s="1"/>
      <c r="D35" s="1"/>
      <c r="E35" s="180" t="s">
        <v>694</v>
      </c>
      <c r="F35" s="181">
        <v>120000.0</v>
      </c>
      <c r="G35" s="1"/>
      <c r="H35" s="1"/>
      <c r="I35" s="3"/>
      <c r="J35" s="1"/>
      <c r="K35" s="1"/>
      <c r="L35" s="3"/>
      <c r="M35" s="1"/>
      <c r="N35" s="1"/>
      <c r="P35" s="1"/>
      <c r="Q35" s="1"/>
      <c r="S35" s="1"/>
    </row>
    <row r="36">
      <c r="A36" s="1"/>
      <c r="B36" s="3"/>
      <c r="C36" s="1"/>
      <c r="D36" s="1"/>
      <c r="E36" s="180" t="s">
        <v>695</v>
      </c>
      <c r="F36" s="181">
        <v>440000.0</v>
      </c>
      <c r="G36" s="1"/>
      <c r="H36" s="1"/>
      <c r="I36" s="180"/>
      <c r="J36" s="1"/>
      <c r="K36" s="1"/>
      <c r="L36" s="3"/>
      <c r="M36" s="1"/>
      <c r="N36" s="1"/>
      <c r="P36" s="1"/>
      <c r="Q36" s="1"/>
      <c r="S36" s="1"/>
    </row>
    <row r="37">
      <c r="A37" s="1"/>
      <c r="B37" s="3"/>
      <c r="C37" s="1"/>
      <c r="D37" s="1"/>
      <c r="E37" s="180" t="s">
        <v>696</v>
      </c>
      <c r="F37" s="181">
        <v>800000.0</v>
      </c>
      <c r="G37" s="1"/>
      <c r="H37" s="1"/>
      <c r="I37" s="3"/>
      <c r="J37" s="1"/>
      <c r="K37" s="1"/>
      <c r="L37" s="3"/>
      <c r="M37" s="1"/>
      <c r="N37" s="1"/>
      <c r="P37" s="1"/>
      <c r="Q37" s="1"/>
      <c r="S37" s="1"/>
    </row>
    <row r="38">
      <c r="A38" s="1"/>
      <c r="B38" s="3"/>
      <c r="C38" s="1"/>
      <c r="D38" s="1"/>
      <c r="E38" s="180" t="s">
        <v>697</v>
      </c>
      <c r="F38" s="181">
        <v>1080000.0</v>
      </c>
      <c r="G38" s="1"/>
      <c r="H38" s="1"/>
      <c r="I38" s="3"/>
      <c r="J38" s="1"/>
      <c r="K38" s="1"/>
      <c r="L38" s="3"/>
      <c r="M38" s="1"/>
      <c r="N38" s="1"/>
      <c r="P38" s="1"/>
      <c r="Q38" s="1"/>
      <c r="S38" s="1"/>
    </row>
    <row r="39">
      <c r="A39" s="1"/>
      <c r="B39" s="3"/>
      <c r="C39" s="1"/>
      <c r="D39" s="1"/>
      <c r="E39" s="180"/>
      <c r="F39" s="183"/>
      <c r="G39" s="1"/>
      <c r="H39" s="1"/>
      <c r="I39" s="3"/>
      <c r="J39" s="1"/>
      <c r="K39" s="1"/>
      <c r="L39" s="3"/>
      <c r="M39" s="1"/>
      <c r="N39" s="1"/>
      <c r="P39" s="1"/>
      <c r="Q39" s="1"/>
      <c r="S39" s="1"/>
    </row>
    <row r="40">
      <c r="A40" s="1"/>
      <c r="B40" s="3"/>
      <c r="C40" s="1"/>
      <c r="D40" s="1"/>
      <c r="E40" s="180"/>
      <c r="F40" s="183"/>
      <c r="G40" s="1"/>
      <c r="H40" s="1"/>
      <c r="I40" s="3"/>
      <c r="J40" s="1"/>
      <c r="K40" s="1"/>
      <c r="L40" s="3"/>
      <c r="M40" s="1"/>
      <c r="N40" s="1"/>
      <c r="P40" s="1"/>
      <c r="Q40" s="1"/>
      <c r="S40" s="1"/>
    </row>
    <row r="41">
      <c r="A41" s="1"/>
      <c r="B41" s="3"/>
      <c r="C41" s="1"/>
      <c r="D41" s="1"/>
      <c r="E41" s="180"/>
      <c r="F41" s="183"/>
      <c r="G41" s="1"/>
      <c r="H41" s="1"/>
      <c r="I41" s="3"/>
      <c r="J41" s="1"/>
      <c r="K41" s="1"/>
      <c r="L41" s="3"/>
      <c r="M41" s="1"/>
      <c r="N41" s="1"/>
      <c r="P41" s="1"/>
      <c r="Q41" s="1"/>
      <c r="S41" s="1"/>
    </row>
    <row r="42">
      <c r="A42" s="1"/>
      <c r="B42" s="3"/>
      <c r="C42" s="1"/>
      <c r="D42" s="1"/>
      <c r="E42" s="180"/>
      <c r="F42" s="183"/>
      <c r="G42" s="1"/>
      <c r="H42" s="1"/>
      <c r="I42" s="3"/>
      <c r="J42" s="1"/>
      <c r="K42" s="1"/>
      <c r="L42" s="3"/>
      <c r="M42" s="1"/>
      <c r="N42" s="1"/>
      <c r="P42" s="1"/>
      <c r="Q42" s="1"/>
      <c r="S42" s="1"/>
    </row>
    <row r="43">
      <c r="A43" s="1"/>
      <c r="B43" s="3"/>
      <c r="C43" s="1"/>
      <c r="D43" s="1"/>
      <c r="E43" s="180"/>
      <c r="F43" s="183"/>
      <c r="G43" s="1"/>
      <c r="H43" s="1"/>
      <c r="I43" s="3"/>
      <c r="J43" s="1"/>
      <c r="K43" s="1"/>
      <c r="L43" s="3"/>
      <c r="M43" s="1"/>
      <c r="N43" s="1"/>
      <c r="P43" s="1"/>
      <c r="Q43" s="1"/>
      <c r="S43" s="1"/>
    </row>
    <row r="44">
      <c r="A44" s="1"/>
      <c r="B44" s="3"/>
      <c r="C44" s="1"/>
      <c r="D44" s="1"/>
      <c r="E44" s="180"/>
      <c r="F44" s="183"/>
      <c r="G44" s="1"/>
      <c r="H44" s="1"/>
      <c r="I44" s="3"/>
      <c r="J44" s="1"/>
      <c r="K44" s="1"/>
      <c r="L44" s="3"/>
      <c r="M44" s="1"/>
      <c r="N44" s="1"/>
      <c r="P44" s="1"/>
      <c r="Q44" s="1"/>
      <c r="S44" s="1"/>
    </row>
    <row r="45">
      <c r="A45" s="1"/>
      <c r="B45" s="3"/>
      <c r="C45" s="1"/>
      <c r="D45" s="1"/>
      <c r="E45" s="180"/>
      <c r="F45" s="183"/>
      <c r="G45" s="1"/>
      <c r="H45" s="1"/>
      <c r="I45" s="3"/>
      <c r="J45" s="1"/>
      <c r="K45" s="1"/>
      <c r="L45" s="3"/>
      <c r="M45" s="1"/>
      <c r="N45" s="1"/>
      <c r="P45" s="1"/>
      <c r="Q45" s="1"/>
      <c r="S45" s="1"/>
    </row>
    <row r="46">
      <c r="A46" s="1"/>
      <c r="B46" s="3"/>
      <c r="C46" s="1"/>
      <c r="D46" s="1"/>
      <c r="E46" s="3"/>
      <c r="F46" s="183"/>
      <c r="G46" s="1"/>
      <c r="H46" s="1"/>
      <c r="I46" s="3"/>
      <c r="J46" s="1"/>
      <c r="K46" s="1"/>
      <c r="L46" s="3"/>
      <c r="M46" s="1"/>
      <c r="N46" s="1"/>
      <c r="P46" s="1"/>
      <c r="Q46" s="1"/>
      <c r="S46" s="1"/>
    </row>
  </sheetData>
  <drawing r:id="rId1"/>
  <tableParts count="1">
    <tablePart r:id="rId3"/>
  </tableParts>
</worksheet>
</file>